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1CA4A581-6650-420C-884B-F37E6D3F8870}" xr6:coauthVersionLast="47" xr6:coauthVersionMax="47" xr10:uidLastSave="{00000000-0000-0000-0000-000000000000}"/>
  <bookViews>
    <workbookView xWindow="28690" yWindow="-110" windowWidth="29020" windowHeight="15700" tabRatio="752" activeTab="11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Q4" i="20" l="1"/>
  <c r="EQ5" i="20"/>
  <c r="EQ6" i="20"/>
  <c r="EQ7" i="20"/>
  <c r="EQ8" i="20"/>
  <c r="EQ9" i="20"/>
  <c r="EQ10" i="20"/>
  <c r="EQ11" i="20"/>
  <c r="EQ12" i="20"/>
  <c r="EQ13" i="20"/>
  <c r="EQ14" i="20"/>
  <c r="EQ15" i="20"/>
  <c r="EQ16" i="20"/>
  <c r="EQ17" i="20"/>
  <c r="EQ18" i="20"/>
  <c r="EQ19" i="20"/>
  <c r="EQ20" i="20"/>
  <c r="EQ21" i="20"/>
  <c r="EQ22" i="20"/>
  <c r="EQ23" i="20"/>
  <c r="EQ24" i="20"/>
  <c r="EQ25" i="20"/>
  <c r="EQ26" i="20"/>
  <c r="EQ27" i="20"/>
  <c r="EQ28" i="20"/>
  <c r="EQ29" i="20"/>
  <c r="EQ30" i="20"/>
  <c r="EQ31" i="20"/>
  <c r="EQ32" i="20"/>
  <c r="EQ33" i="20"/>
  <c r="EQ34" i="20"/>
  <c r="EQ35" i="20"/>
  <c r="EQ36" i="20"/>
  <c r="EQ37" i="20"/>
  <c r="EQ38" i="20"/>
  <c r="EQ39" i="20"/>
  <c r="EQ40" i="20"/>
  <c r="EQ41" i="20"/>
  <c r="EQ42" i="20"/>
  <c r="EQ43" i="20"/>
  <c r="EQ44" i="20"/>
  <c r="EQ45" i="20"/>
  <c r="EQ46" i="20"/>
  <c r="EQ47" i="20"/>
  <c r="EQ48" i="20"/>
  <c r="EQ49" i="20"/>
  <c r="EQ50" i="20"/>
  <c r="EQ51" i="20"/>
  <c r="EQ52" i="20"/>
  <c r="EQ53" i="20"/>
  <c r="EQ54" i="20"/>
  <c r="EQ55" i="20"/>
  <c r="EQ56" i="20"/>
  <c r="EQ57" i="20"/>
  <c r="EQ58" i="20"/>
  <c r="EQ59" i="20"/>
  <c r="EQ60" i="20"/>
  <c r="EQ61" i="20"/>
  <c r="EQ62" i="20"/>
  <c r="EQ63" i="20"/>
  <c r="EQ64" i="20"/>
  <c r="EQ65" i="20"/>
  <c r="EQ66" i="20"/>
  <c r="EQ67" i="20"/>
  <c r="EQ68" i="20"/>
  <c r="EQ69" i="20"/>
  <c r="EQ70" i="20"/>
  <c r="EQ71" i="20"/>
  <c r="EQ72" i="20"/>
  <c r="EQ73" i="20"/>
  <c r="EQ74" i="20"/>
  <c r="EQ75" i="20"/>
  <c r="EQ76" i="20"/>
  <c r="EQ77" i="20"/>
  <c r="EQ78" i="20"/>
  <c r="EQ79" i="20"/>
  <c r="EQ80" i="20"/>
  <c r="EQ81" i="20"/>
  <c r="EQ82" i="20"/>
  <c r="EQ83" i="20"/>
  <c r="EQ84" i="20"/>
  <c r="EQ85" i="20"/>
  <c r="EQ86" i="20"/>
  <c r="EQ87" i="20"/>
  <c r="EQ88" i="20"/>
  <c r="EQ89" i="20"/>
  <c r="EQ90" i="20"/>
  <c r="EQ91" i="20"/>
  <c r="EQ92" i="20"/>
  <c r="EQ93" i="20"/>
  <c r="EQ94" i="20"/>
  <c r="EQ95" i="20"/>
  <c r="EQ96" i="20"/>
  <c r="EQ97" i="20"/>
  <c r="EQ98" i="20"/>
  <c r="EQ99" i="20"/>
  <c r="EQ100" i="20"/>
  <c r="EQ101" i="20"/>
  <c r="EQ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19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Q137" i="20"/>
  <c r="EQ138" i="20"/>
  <c r="EQ139" i="20"/>
  <c r="EQ140" i="20"/>
  <c r="EQ141" i="20"/>
  <c r="EQ142" i="20"/>
  <c r="EQ143" i="20"/>
  <c r="EQ144" i="20"/>
  <c r="EQ145" i="20"/>
  <c r="EQ146" i="20"/>
  <c r="EQ147" i="20"/>
  <c r="EQ148" i="20"/>
  <c r="EQ149" i="20"/>
  <c r="EQ150" i="20"/>
  <c r="EQ151" i="20"/>
  <c r="EQ152" i="20"/>
  <c r="EQ153" i="20"/>
  <c r="EQ154" i="20"/>
  <c r="EQ155" i="20"/>
  <c r="EQ156" i="20"/>
  <c r="EQ157" i="20"/>
  <c r="EQ158" i="20"/>
  <c r="EQ159" i="20"/>
  <c r="EQ160" i="20"/>
  <c r="EQ161" i="20"/>
  <c r="EQ162" i="20"/>
  <c r="EQ163" i="20"/>
  <c r="EQ164" i="20"/>
  <c r="EQ165" i="20"/>
  <c r="EQ166" i="20"/>
  <c r="EQ167" i="20"/>
  <c r="EQ168" i="20"/>
  <c r="EQ169" i="20"/>
  <c r="EQ170" i="20"/>
  <c r="EQ3" i="20"/>
  <c r="BG3" i="20"/>
  <c r="EM3" i="20" l="1"/>
  <c r="EN4" i="20"/>
  <c r="EN5" i="20"/>
  <c r="EN6" i="20"/>
  <c r="EN7" i="20"/>
  <c r="EN8" i="20"/>
  <c r="EN9" i="20"/>
  <c r="EN10" i="20"/>
  <c r="EN11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N49" i="20"/>
  <c r="EN50" i="20"/>
  <c r="EN51" i="20"/>
  <c r="EN52" i="20"/>
  <c r="EN53" i="20"/>
  <c r="EN54" i="20"/>
  <c r="EN55" i="20"/>
  <c r="EN56" i="20"/>
  <c r="EN57" i="20"/>
  <c r="EN58" i="20"/>
  <c r="EN59" i="20"/>
  <c r="EN60" i="20"/>
  <c r="EN61" i="20"/>
  <c r="EN62" i="20"/>
  <c r="EN63" i="20"/>
  <c r="EN64" i="20"/>
  <c r="EN65" i="20"/>
  <c r="EN66" i="20"/>
  <c r="EN67" i="20"/>
  <c r="EN68" i="20"/>
  <c r="EN69" i="20"/>
  <c r="EN70" i="20"/>
  <c r="EN71" i="20"/>
  <c r="EN72" i="20"/>
  <c r="EN73" i="20"/>
  <c r="EN74" i="20"/>
  <c r="EN75" i="20"/>
  <c r="EN76" i="20"/>
  <c r="EN77" i="20"/>
  <c r="EN78" i="20"/>
  <c r="EN79" i="20"/>
  <c r="EN80" i="20"/>
  <c r="EN81" i="20"/>
  <c r="EN82" i="20"/>
  <c r="EN83" i="20"/>
  <c r="EN84" i="20"/>
  <c r="EN85" i="20"/>
  <c r="EN86" i="20"/>
  <c r="EN87" i="20"/>
  <c r="EN88" i="20"/>
  <c r="EN89" i="20"/>
  <c r="EN90" i="20"/>
  <c r="EN91" i="20"/>
  <c r="EN92" i="20"/>
  <c r="EN93" i="20"/>
  <c r="EN94" i="20"/>
  <c r="EN95" i="20"/>
  <c r="EN96" i="20"/>
  <c r="EN97" i="20"/>
  <c r="EN98" i="20"/>
  <c r="EN99" i="20"/>
  <c r="EN100" i="20"/>
  <c r="EN101" i="20"/>
  <c r="EN102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N119" i="20"/>
  <c r="EN120" i="20"/>
  <c r="EN121" i="20"/>
  <c r="EN122" i="20"/>
  <c r="EN123" i="20"/>
  <c r="EN124" i="20"/>
  <c r="EN125" i="20"/>
  <c r="EN126" i="20"/>
  <c r="EN127" i="20"/>
  <c r="EN128" i="20"/>
  <c r="EN129" i="20"/>
  <c r="EN130" i="20"/>
  <c r="EN131" i="20"/>
  <c r="EN132" i="20"/>
  <c r="EN133" i="20"/>
  <c r="EN134" i="20"/>
  <c r="EN135" i="20"/>
  <c r="EN136" i="20"/>
  <c r="EN137" i="20"/>
  <c r="EN138" i="20"/>
  <c r="EN139" i="20"/>
  <c r="EN140" i="20"/>
  <c r="EN141" i="20"/>
  <c r="EN142" i="20"/>
  <c r="EN143" i="20"/>
  <c r="EN144" i="20"/>
  <c r="EN145" i="20"/>
  <c r="EN146" i="20"/>
  <c r="EN147" i="20"/>
  <c r="EN148" i="20"/>
  <c r="EN149" i="20"/>
  <c r="EN150" i="20"/>
  <c r="EN151" i="20"/>
  <c r="EN152" i="20"/>
  <c r="EN153" i="20"/>
  <c r="EN154" i="20"/>
  <c r="EN155" i="20"/>
  <c r="EN156" i="20"/>
  <c r="EN157" i="20"/>
  <c r="EN158" i="20"/>
  <c r="EN159" i="20"/>
  <c r="EN160" i="20"/>
  <c r="EN161" i="20"/>
  <c r="EN162" i="20"/>
  <c r="EN163" i="20"/>
  <c r="EN164" i="20"/>
  <c r="EN165" i="20"/>
  <c r="EN166" i="20"/>
  <c r="EN167" i="20"/>
  <c r="EN168" i="20"/>
  <c r="EN169" i="20"/>
  <c r="EN170" i="20"/>
  <c r="EN3" i="20"/>
  <c r="EM4" i="20"/>
  <c r="EM5" i="20"/>
  <c r="EM6" i="20"/>
  <c r="EM7" i="20"/>
  <c r="EM8" i="20"/>
  <c r="EM9" i="20"/>
  <c r="EM10" i="20"/>
  <c r="EM11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M49" i="20"/>
  <c r="EM50" i="20"/>
  <c r="EM51" i="20"/>
  <c r="EM52" i="20"/>
  <c r="EM53" i="20"/>
  <c r="EM54" i="20"/>
  <c r="EM55" i="20"/>
  <c r="EM56" i="20"/>
  <c r="EM57" i="20"/>
  <c r="EM58" i="20"/>
  <c r="EM59" i="20"/>
  <c r="EM60" i="20"/>
  <c r="EM61" i="20"/>
  <c r="EM62" i="20"/>
  <c r="EM63" i="20"/>
  <c r="EM64" i="20"/>
  <c r="EM65" i="20"/>
  <c r="EM66" i="20"/>
  <c r="EM67" i="20"/>
  <c r="EM68" i="20"/>
  <c r="EM69" i="20"/>
  <c r="EM70" i="20"/>
  <c r="EM71" i="20"/>
  <c r="EM72" i="20"/>
  <c r="EM73" i="20"/>
  <c r="EM74" i="20"/>
  <c r="EM75" i="20"/>
  <c r="EM76" i="20"/>
  <c r="EM77" i="20"/>
  <c r="EM78" i="20"/>
  <c r="EM79" i="20"/>
  <c r="EM80" i="20"/>
  <c r="EM81" i="20"/>
  <c r="EM82" i="20"/>
  <c r="EM83" i="20"/>
  <c r="EM84" i="20"/>
  <c r="EM85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M103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M119" i="20"/>
  <c r="EM120" i="20"/>
  <c r="EM121" i="20"/>
  <c r="EM122" i="20"/>
  <c r="EM123" i="20"/>
  <c r="EM124" i="20"/>
  <c r="EM125" i="20"/>
  <c r="EM126" i="20"/>
  <c r="EM127" i="20"/>
  <c r="EM128" i="20"/>
  <c r="EM129" i="20"/>
  <c r="EM130" i="20"/>
  <c r="EM131" i="20"/>
  <c r="EM132" i="20"/>
  <c r="EM133" i="20"/>
  <c r="EM134" i="20"/>
  <c r="EM135" i="20"/>
  <c r="EM136" i="20"/>
  <c r="EM137" i="20"/>
  <c r="EM138" i="20"/>
  <c r="EM139" i="20"/>
  <c r="EM140" i="20"/>
  <c r="EM141" i="20"/>
  <c r="EM142" i="20"/>
  <c r="EM143" i="20"/>
  <c r="EM144" i="20"/>
  <c r="EM145" i="20"/>
  <c r="EM146" i="20"/>
  <c r="EM147" i="20"/>
  <c r="EM148" i="20"/>
  <c r="EM149" i="20"/>
  <c r="EM150" i="20"/>
  <c r="EM151" i="20"/>
  <c r="EM152" i="20"/>
  <c r="EM153" i="20"/>
  <c r="EM154" i="20"/>
  <c r="EM155" i="20"/>
  <c r="EM156" i="20"/>
  <c r="EM157" i="20"/>
  <c r="EM158" i="20"/>
  <c r="EM159" i="20"/>
  <c r="EM160" i="20"/>
  <c r="EM161" i="20"/>
  <c r="EM162" i="20"/>
  <c r="EM163" i="20"/>
  <c r="EM164" i="20"/>
  <c r="EM165" i="20"/>
  <c r="EM166" i="20"/>
  <c r="EM167" i="20"/>
  <c r="EM168" i="20"/>
  <c r="EM169" i="20"/>
  <c r="EM170" i="20"/>
  <c r="DQ4" i="20"/>
  <c r="DQ5" i="20"/>
  <c r="DQ6" i="20"/>
  <c r="DQ7" i="20"/>
  <c r="DQ8" i="20"/>
  <c r="DQ9" i="20"/>
  <c r="DQ10" i="20"/>
  <c r="DQ11" i="20"/>
  <c r="DQ12" i="20"/>
  <c r="DQ13" i="20"/>
  <c r="DQ14" i="20"/>
  <c r="DQ15" i="20"/>
  <c r="DQ16" i="20"/>
  <c r="DQ17" i="20"/>
  <c r="DQ18" i="20"/>
  <c r="DQ19" i="20"/>
  <c r="DQ20" i="20"/>
  <c r="DQ21" i="20"/>
  <c r="DQ22" i="20"/>
  <c r="DQ23" i="20"/>
  <c r="DQ24" i="20"/>
  <c r="DQ25" i="20"/>
  <c r="DQ26" i="20"/>
  <c r="DQ27" i="20"/>
  <c r="DQ28" i="20"/>
  <c r="DQ29" i="20"/>
  <c r="DQ30" i="20"/>
  <c r="DQ31" i="20"/>
  <c r="DQ32" i="20"/>
  <c r="DQ33" i="20"/>
  <c r="DQ34" i="20"/>
  <c r="DQ35" i="20"/>
  <c r="DQ36" i="20"/>
  <c r="DQ37" i="20"/>
  <c r="DQ38" i="20"/>
  <c r="DQ39" i="20"/>
  <c r="DQ40" i="20"/>
  <c r="DQ41" i="20"/>
  <c r="DQ42" i="20"/>
  <c r="DQ43" i="20"/>
  <c r="DQ44" i="20"/>
  <c r="DQ45" i="20"/>
  <c r="DQ46" i="20"/>
  <c r="DQ47" i="20"/>
  <c r="DQ48" i="20"/>
  <c r="DQ49" i="20"/>
  <c r="DQ50" i="20"/>
  <c r="DQ51" i="20"/>
  <c r="DQ52" i="20"/>
  <c r="DQ53" i="20"/>
  <c r="DQ54" i="20"/>
  <c r="DQ55" i="20"/>
  <c r="DQ56" i="20"/>
  <c r="DQ57" i="20"/>
  <c r="DQ58" i="20"/>
  <c r="DQ59" i="20"/>
  <c r="DQ60" i="20"/>
  <c r="DQ61" i="20"/>
  <c r="DQ62" i="20"/>
  <c r="DQ63" i="20"/>
  <c r="DQ64" i="20"/>
  <c r="DQ65" i="20"/>
  <c r="DQ66" i="20"/>
  <c r="DQ67" i="20"/>
  <c r="DQ68" i="20"/>
  <c r="DQ69" i="20"/>
  <c r="DQ70" i="20"/>
  <c r="DQ71" i="20"/>
  <c r="DQ72" i="20"/>
  <c r="DQ73" i="20"/>
  <c r="DQ74" i="20"/>
  <c r="DQ75" i="20"/>
  <c r="DQ76" i="20"/>
  <c r="DQ77" i="20"/>
  <c r="DQ78" i="20"/>
  <c r="DQ79" i="20"/>
  <c r="DQ80" i="20"/>
  <c r="DQ81" i="20"/>
  <c r="DQ82" i="20"/>
  <c r="DQ83" i="20"/>
  <c r="DQ84" i="20"/>
  <c r="DQ85" i="20"/>
  <c r="DQ86" i="20"/>
  <c r="DQ87" i="20"/>
  <c r="DQ88" i="20"/>
  <c r="DQ89" i="20"/>
  <c r="DQ90" i="20"/>
  <c r="DQ91" i="20"/>
  <c r="DQ92" i="20"/>
  <c r="DQ93" i="20"/>
  <c r="DQ94" i="20"/>
  <c r="DQ95" i="20"/>
  <c r="DQ96" i="20"/>
  <c r="DQ97" i="20"/>
  <c r="DQ98" i="20"/>
  <c r="DQ99" i="20"/>
  <c r="DQ100" i="20"/>
  <c r="DQ101" i="20"/>
  <c r="DQ102" i="20"/>
  <c r="DQ103" i="20"/>
  <c r="DQ104" i="20"/>
  <c r="DQ105" i="20"/>
  <c r="DQ106" i="20"/>
  <c r="DQ107" i="20"/>
  <c r="DQ108" i="20"/>
  <c r="DQ109" i="20"/>
  <c r="DQ110" i="20"/>
  <c r="DQ111" i="20"/>
  <c r="DQ112" i="20"/>
  <c r="DQ113" i="20"/>
  <c r="DQ114" i="20"/>
  <c r="DQ115" i="20"/>
  <c r="DQ116" i="20"/>
  <c r="DQ117" i="20"/>
  <c r="DQ118" i="20"/>
  <c r="DQ119" i="20"/>
  <c r="DQ120" i="20"/>
  <c r="DQ121" i="20"/>
  <c r="DQ122" i="20"/>
  <c r="DQ123" i="20"/>
  <c r="DQ124" i="20"/>
  <c r="DQ125" i="20"/>
  <c r="DQ126" i="20"/>
  <c r="DQ127" i="20"/>
  <c r="DQ128" i="20"/>
  <c r="DQ129" i="20"/>
  <c r="DQ130" i="20"/>
  <c r="DQ131" i="20"/>
  <c r="DQ132" i="20"/>
  <c r="DQ133" i="20"/>
  <c r="DQ134" i="20"/>
  <c r="DQ135" i="20"/>
  <c r="DQ136" i="20"/>
  <c r="DQ137" i="20"/>
  <c r="DQ138" i="20"/>
  <c r="DQ139" i="20"/>
  <c r="DQ140" i="20"/>
  <c r="DQ141" i="20"/>
  <c r="DQ142" i="20"/>
  <c r="DQ143" i="20"/>
  <c r="DQ144" i="20"/>
  <c r="DQ145" i="20"/>
  <c r="DQ146" i="20"/>
  <c r="DQ147" i="20"/>
  <c r="DQ148" i="20"/>
  <c r="DQ149" i="20"/>
  <c r="DQ150" i="20"/>
  <c r="DQ151" i="20"/>
  <c r="DQ152" i="20"/>
  <c r="DQ153" i="20"/>
  <c r="DQ154" i="20"/>
  <c r="DQ155" i="20"/>
  <c r="DQ156" i="20"/>
  <c r="DQ157" i="20"/>
  <c r="DQ158" i="20"/>
  <c r="DQ159" i="20"/>
  <c r="DQ160" i="20"/>
  <c r="DQ161" i="20"/>
  <c r="DQ162" i="20"/>
  <c r="DQ163" i="20"/>
  <c r="DQ164" i="20"/>
  <c r="DQ165" i="20"/>
  <c r="DQ166" i="20"/>
  <c r="DQ167" i="20"/>
  <c r="DQ168" i="20"/>
  <c r="DQ169" i="20"/>
  <c r="DQ170" i="20"/>
  <c r="DQ3" i="20"/>
  <c r="AD3" i="20"/>
  <c r="AD4" i="20" s="1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AD15" i="20" s="1"/>
  <c r="AD16" i="20" s="1"/>
  <c r="AD17" i="20" s="1"/>
  <c r="AD18" i="20" s="1"/>
  <c r="AD19" i="20" s="1"/>
  <c r="AD20" i="20" s="1"/>
  <c r="AD21" i="20" s="1"/>
  <c r="AD22" i="20" s="1"/>
  <c r="AD23" i="20" s="1"/>
  <c r="AD24" i="20" s="1"/>
  <c r="AD25" i="20" s="1"/>
  <c r="AD26" i="20" s="1"/>
  <c r="AD27" i="20" s="1"/>
  <c r="AD28" i="20" s="1"/>
  <c r="AD29" i="20" s="1"/>
  <c r="AD30" i="20" s="1"/>
  <c r="AD31" i="20" s="1"/>
  <c r="AD32" i="20" s="1"/>
  <c r="AD33" i="20" s="1"/>
  <c r="AD34" i="20" s="1"/>
  <c r="AD35" i="20" s="1"/>
  <c r="AD36" i="20" s="1"/>
  <c r="AD37" i="20" s="1"/>
  <c r="AD38" i="20" s="1"/>
  <c r="AD39" i="20" s="1"/>
  <c r="AD40" i="20" s="1"/>
  <c r="AD41" i="20" s="1"/>
  <c r="AD42" i="20" s="1"/>
  <c r="AD43" i="20" s="1"/>
  <c r="AD44" i="20" s="1"/>
  <c r="AD45" i="20" s="1"/>
  <c r="AD46" i="20" s="1"/>
  <c r="AD47" i="20" s="1"/>
  <c r="AD48" i="20" s="1"/>
  <c r="AD49" i="20" s="1"/>
  <c r="AD50" i="20" s="1"/>
  <c r="AD51" i="20" s="1"/>
  <c r="AD52" i="20" s="1"/>
  <c r="AD53" i="20" s="1"/>
  <c r="AD54" i="20" s="1"/>
  <c r="AD55" i="20" s="1"/>
  <c r="AD56" i="20" s="1"/>
  <c r="AD57" i="20" s="1"/>
  <c r="AD58" i="20" s="1"/>
  <c r="AD59" i="20" s="1"/>
  <c r="AD60" i="20" s="1"/>
  <c r="AD61" i="20" s="1"/>
  <c r="AD62" i="20" s="1"/>
  <c r="AD63" i="20" s="1"/>
  <c r="AD64" i="20" s="1"/>
  <c r="AD65" i="20" s="1"/>
  <c r="AD66" i="20" s="1"/>
  <c r="AD67" i="20" s="1"/>
  <c r="AD68" i="20" s="1"/>
  <c r="AD69" i="20" s="1"/>
  <c r="AD70" i="20" s="1"/>
  <c r="AD71" i="20" s="1"/>
  <c r="AD72" i="20" s="1"/>
  <c r="AD73" i="20" s="1"/>
  <c r="AD74" i="20" s="1"/>
  <c r="AD75" i="20" s="1"/>
  <c r="AD76" i="20" s="1"/>
  <c r="AD77" i="20" s="1"/>
  <c r="AD78" i="20" s="1"/>
  <c r="AD79" i="20" s="1"/>
  <c r="AD80" i="20" s="1"/>
  <c r="AD81" i="20" s="1"/>
  <c r="AD82" i="20" s="1"/>
  <c r="AD83" i="20" s="1"/>
  <c r="AD84" i="20" s="1"/>
  <c r="AD85" i="20" s="1"/>
  <c r="AD86" i="20" s="1"/>
  <c r="AD87" i="20" s="1"/>
  <c r="AD88" i="20" s="1"/>
  <c r="AD89" i="20" s="1"/>
  <c r="AD90" i="20" s="1"/>
  <c r="AD91" i="20" s="1"/>
  <c r="AD92" i="20" s="1"/>
  <c r="AD93" i="20" s="1"/>
  <c r="AD94" i="20" s="1"/>
  <c r="AD95" i="20" s="1"/>
  <c r="AD96" i="20" s="1"/>
  <c r="AD97" i="20" s="1"/>
  <c r="AD98" i="20" s="1"/>
  <c r="AD99" i="20" s="1"/>
  <c r="AD100" i="20" s="1"/>
  <c r="AD101" i="20" s="1"/>
  <c r="AD102" i="20" s="1"/>
  <c r="AD103" i="20" s="1"/>
  <c r="AD104" i="20" s="1"/>
  <c r="AD105" i="20" s="1"/>
  <c r="AD106" i="20" s="1"/>
  <c r="AD107" i="20" s="1"/>
  <c r="AD108" i="20" s="1"/>
  <c r="AD109" i="20" s="1"/>
  <c r="AD110" i="20" s="1"/>
  <c r="AD111" i="20" s="1"/>
  <c r="AD112" i="20" s="1"/>
  <c r="AD113" i="20" s="1"/>
  <c r="AD114" i="20" s="1"/>
  <c r="AD115" i="20" s="1"/>
  <c r="AD116" i="20" s="1"/>
  <c r="AD117" i="20" s="1"/>
  <c r="AD118" i="20" s="1"/>
  <c r="AD119" i="20" s="1"/>
  <c r="AD120" i="20" s="1"/>
  <c r="AD121" i="20" s="1"/>
  <c r="AD122" i="20" s="1"/>
  <c r="AD123" i="20" s="1"/>
  <c r="AD124" i="20" s="1"/>
  <c r="AD125" i="20" s="1"/>
  <c r="AD126" i="20" s="1"/>
  <c r="AD127" i="20" s="1"/>
  <c r="AD128" i="20" s="1"/>
  <c r="AD129" i="20" s="1"/>
  <c r="AD130" i="20" s="1"/>
  <c r="AD131" i="20" s="1"/>
  <c r="AD132" i="20" s="1"/>
  <c r="AD133" i="20" s="1"/>
  <c r="AD134" i="20" s="1"/>
  <c r="AD135" i="20" s="1"/>
  <c r="AD136" i="20" s="1"/>
  <c r="AD137" i="20" s="1"/>
  <c r="AD138" i="20" s="1"/>
  <c r="AD139" i="20" s="1"/>
  <c r="AD140" i="20" s="1"/>
  <c r="AD141" i="20" s="1"/>
  <c r="AD142" i="20" s="1"/>
  <c r="AD143" i="20" s="1"/>
  <c r="AD144" i="20" s="1"/>
  <c r="AD145" i="20" s="1"/>
  <c r="AD146" i="20" s="1"/>
  <c r="AD147" i="20" s="1"/>
  <c r="AD148" i="20" s="1"/>
  <c r="AD149" i="20" s="1"/>
  <c r="AD150" i="20" s="1"/>
  <c r="AD151" i="20" s="1"/>
  <c r="AD152" i="20" s="1"/>
  <c r="AD153" i="20" s="1"/>
  <c r="AD154" i="20" s="1"/>
  <c r="AD155" i="20" s="1"/>
  <c r="AD156" i="20" s="1"/>
  <c r="AD157" i="20" s="1"/>
  <c r="AD158" i="20" s="1"/>
  <c r="AD159" i="20" s="1"/>
  <c r="AD160" i="20" s="1"/>
  <c r="AD161" i="20" s="1"/>
  <c r="AD162" i="20" s="1"/>
  <c r="AD163" i="20" s="1"/>
  <c r="AD164" i="20" s="1"/>
  <c r="AD165" i="20" s="1"/>
  <c r="AD166" i="20" s="1"/>
  <c r="AD167" i="20" s="1"/>
  <c r="AD168" i="20" s="1"/>
  <c r="AD169" i="20" s="1"/>
  <c r="AD170" i="20" s="1"/>
  <c r="DM4" i="20"/>
  <c r="DM5" i="20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DM103" i="20"/>
  <c r="DM104" i="20"/>
  <c r="DM105" i="20"/>
  <c r="DM106" i="20"/>
  <c r="DM107" i="20"/>
  <c r="DM108" i="20"/>
  <c r="DM109" i="20"/>
  <c r="DM110" i="20"/>
  <c r="DM111" i="20"/>
  <c r="DM112" i="20"/>
  <c r="DM113" i="20"/>
  <c r="DM114" i="20"/>
  <c r="DM115" i="20"/>
  <c r="DM116" i="20"/>
  <c r="DM117" i="20"/>
  <c r="DM118" i="20"/>
  <c r="DM119" i="20"/>
  <c r="DM120" i="20"/>
  <c r="DM121" i="20"/>
  <c r="DM122" i="20"/>
  <c r="DM123" i="20"/>
  <c r="DM124" i="20"/>
  <c r="DM125" i="20"/>
  <c r="DM126" i="20"/>
  <c r="DM127" i="20"/>
  <c r="DM128" i="20"/>
  <c r="DM129" i="20"/>
  <c r="DM130" i="20"/>
  <c r="DM131" i="20"/>
  <c r="DM132" i="20"/>
  <c r="DM133" i="20"/>
  <c r="DM134" i="20"/>
  <c r="DM135" i="20"/>
  <c r="DM136" i="20"/>
  <c r="DM137" i="20"/>
  <c r="DM138" i="20"/>
  <c r="DM139" i="20"/>
  <c r="DM140" i="20"/>
  <c r="DM141" i="20"/>
  <c r="DM142" i="20"/>
  <c r="DM143" i="20"/>
  <c r="DM144" i="20"/>
  <c r="DM145" i="20"/>
  <c r="DM146" i="20"/>
  <c r="DM147" i="20"/>
  <c r="DM148" i="20"/>
  <c r="DM149" i="20"/>
  <c r="DM150" i="20"/>
  <c r="DM151" i="20"/>
  <c r="DM152" i="20"/>
  <c r="DM153" i="20"/>
  <c r="DM154" i="20"/>
  <c r="DM155" i="20"/>
  <c r="DM156" i="20"/>
  <c r="DM157" i="20"/>
  <c r="DM158" i="20"/>
  <c r="DM159" i="20"/>
  <c r="DM160" i="20"/>
  <c r="DM161" i="20"/>
  <c r="DM162" i="20"/>
  <c r="DM163" i="20"/>
  <c r="DM164" i="20"/>
  <c r="DM165" i="20"/>
  <c r="DM166" i="20"/>
  <c r="DM167" i="20"/>
  <c r="DM168" i="20"/>
  <c r="DM169" i="20"/>
  <c r="DM170" i="20"/>
  <c r="DM3" i="20"/>
  <c r="DI4" i="20"/>
  <c r="DI5" i="20"/>
  <c r="DI6" i="20"/>
  <c r="DI7" i="20"/>
  <c r="DI8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7" i="20"/>
  <c r="DI48" i="20"/>
  <c r="DI49" i="20"/>
  <c r="DI50" i="20"/>
  <c r="DI51" i="20"/>
  <c r="DI52" i="20"/>
  <c r="DI53" i="20"/>
  <c r="DI54" i="20"/>
  <c r="DI55" i="20"/>
  <c r="DI56" i="20"/>
  <c r="DI57" i="20"/>
  <c r="DI58" i="20"/>
  <c r="DI59" i="20"/>
  <c r="DI60" i="20"/>
  <c r="DI61" i="20"/>
  <c r="DI62" i="20"/>
  <c r="DI63" i="20"/>
  <c r="DI64" i="20"/>
  <c r="DI65" i="20"/>
  <c r="DI66" i="20"/>
  <c r="DI67" i="20"/>
  <c r="DI68" i="20"/>
  <c r="DI69" i="20"/>
  <c r="DI70" i="20"/>
  <c r="DI71" i="20"/>
  <c r="DI72" i="20"/>
  <c r="DI73" i="20"/>
  <c r="DI74" i="20"/>
  <c r="DI75" i="20"/>
  <c r="DI76" i="20"/>
  <c r="DI77" i="20"/>
  <c r="DI78" i="20"/>
  <c r="DI79" i="20"/>
  <c r="DI80" i="20"/>
  <c r="DI81" i="20"/>
  <c r="DI82" i="20"/>
  <c r="DI83" i="20"/>
  <c r="DI84" i="20"/>
  <c r="DI85" i="20"/>
  <c r="DI86" i="20"/>
  <c r="DI87" i="20"/>
  <c r="DI88" i="20"/>
  <c r="DI89" i="20"/>
  <c r="DI90" i="20"/>
  <c r="DI91" i="20"/>
  <c r="DI92" i="20"/>
  <c r="DI93" i="20"/>
  <c r="DI94" i="20"/>
  <c r="DI95" i="20"/>
  <c r="DI96" i="20"/>
  <c r="DI97" i="20"/>
  <c r="DI98" i="20"/>
  <c r="DI99" i="20"/>
  <c r="DI100" i="20"/>
  <c r="DI101" i="20"/>
  <c r="DI102" i="20"/>
  <c r="DI103" i="20"/>
  <c r="DI104" i="20"/>
  <c r="DI105" i="20"/>
  <c r="DI106" i="20"/>
  <c r="DI107" i="20"/>
  <c r="DI108" i="20"/>
  <c r="DI109" i="20"/>
  <c r="DI110" i="20"/>
  <c r="DI111" i="20"/>
  <c r="DI112" i="20"/>
  <c r="DI113" i="20"/>
  <c r="DI114" i="20"/>
  <c r="DI115" i="20"/>
  <c r="DI116" i="20"/>
  <c r="DI117" i="20"/>
  <c r="DI118" i="20"/>
  <c r="DI119" i="20"/>
  <c r="DI120" i="20"/>
  <c r="DI121" i="20"/>
  <c r="DI122" i="20"/>
  <c r="DI123" i="20"/>
  <c r="DI124" i="20"/>
  <c r="DI125" i="20"/>
  <c r="DI126" i="20"/>
  <c r="DI127" i="20"/>
  <c r="DI128" i="20"/>
  <c r="DI129" i="20"/>
  <c r="DI130" i="20"/>
  <c r="DI131" i="20"/>
  <c r="DI132" i="20"/>
  <c r="DI133" i="20"/>
  <c r="DI134" i="20"/>
  <c r="DI135" i="20"/>
  <c r="DI136" i="20"/>
  <c r="DI137" i="20"/>
  <c r="DI138" i="20"/>
  <c r="DI139" i="20"/>
  <c r="DI140" i="20"/>
  <c r="DI141" i="20"/>
  <c r="DI142" i="20"/>
  <c r="DI143" i="20"/>
  <c r="DI144" i="20"/>
  <c r="DI145" i="20"/>
  <c r="DI146" i="20"/>
  <c r="DI147" i="20"/>
  <c r="DI148" i="20"/>
  <c r="DI149" i="20"/>
  <c r="DI150" i="20"/>
  <c r="DI151" i="20"/>
  <c r="DI152" i="20"/>
  <c r="DI153" i="20"/>
  <c r="DI154" i="20"/>
  <c r="DI155" i="20"/>
  <c r="DI156" i="20"/>
  <c r="DI157" i="20"/>
  <c r="DI158" i="20"/>
  <c r="DI159" i="20"/>
  <c r="DI160" i="20"/>
  <c r="DI161" i="20"/>
  <c r="DI162" i="20"/>
  <c r="DI163" i="20"/>
  <c r="DI164" i="20"/>
  <c r="DI165" i="20"/>
  <c r="DI166" i="20"/>
  <c r="DI167" i="20"/>
  <c r="DI168" i="20"/>
  <c r="DI169" i="20"/>
  <c r="DI170" i="20"/>
  <c r="DI3" i="20"/>
  <c r="DE4" i="20"/>
  <c r="DE5" i="20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88" i="20"/>
  <c r="DE89" i="20"/>
  <c r="DE90" i="20"/>
  <c r="DE91" i="20"/>
  <c r="DE92" i="20"/>
  <c r="DE93" i="20"/>
  <c r="DE94" i="20"/>
  <c r="DE95" i="20"/>
  <c r="DE96" i="20"/>
  <c r="DE97" i="20"/>
  <c r="DE98" i="20"/>
  <c r="DE99" i="20"/>
  <c r="DE100" i="20"/>
  <c r="DE101" i="20"/>
  <c r="DE102" i="20"/>
  <c r="DE103" i="20"/>
  <c r="DE104" i="20"/>
  <c r="DE105" i="20"/>
  <c r="DE106" i="20"/>
  <c r="DE107" i="20"/>
  <c r="DE108" i="20"/>
  <c r="DE109" i="20"/>
  <c r="DE110" i="20"/>
  <c r="DE111" i="20"/>
  <c r="DE112" i="20"/>
  <c r="DE113" i="20"/>
  <c r="DE114" i="20"/>
  <c r="DE115" i="20"/>
  <c r="DE116" i="20"/>
  <c r="DE117" i="20"/>
  <c r="DE118" i="20"/>
  <c r="DE119" i="20"/>
  <c r="DE120" i="20"/>
  <c r="DE121" i="20"/>
  <c r="DE122" i="20"/>
  <c r="DE123" i="20"/>
  <c r="DE124" i="20"/>
  <c r="DE125" i="20"/>
  <c r="DE126" i="20"/>
  <c r="DE127" i="20"/>
  <c r="DE128" i="20"/>
  <c r="DE129" i="20"/>
  <c r="DE130" i="20"/>
  <c r="DE131" i="20"/>
  <c r="DE132" i="20"/>
  <c r="DE133" i="20"/>
  <c r="DE134" i="20"/>
  <c r="DE135" i="20"/>
  <c r="DE136" i="20"/>
  <c r="DE137" i="20"/>
  <c r="DE138" i="20"/>
  <c r="DE139" i="20"/>
  <c r="DE140" i="20"/>
  <c r="DE141" i="20"/>
  <c r="DE142" i="20"/>
  <c r="DE143" i="20"/>
  <c r="DE144" i="20"/>
  <c r="DE145" i="20"/>
  <c r="DE146" i="20"/>
  <c r="DE147" i="20"/>
  <c r="DE148" i="20"/>
  <c r="DE149" i="20"/>
  <c r="DE150" i="20"/>
  <c r="DE151" i="20"/>
  <c r="DE152" i="20"/>
  <c r="DE153" i="20"/>
  <c r="DE154" i="20"/>
  <c r="DE155" i="20"/>
  <c r="DE156" i="20"/>
  <c r="DE157" i="20"/>
  <c r="DE158" i="20"/>
  <c r="DE159" i="20"/>
  <c r="DE160" i="20"/>
  <c r="DE161" i="20"/>
  <c r="DE162" i="20"/>
  <c r="DE163" i="20"/>
  <c r="DE164" i="20"/>
  <c r="DE165" i="20"/>
  <c r="DE166" i="20"/>
  <c r="DE167" i="20"/>
  <c r="DE168" i="20"/>
  <c r="DE169" i="20"/>
  <c r="DE170" i="20"/>
  <c r="DE3" i="20"/>
  <c r="D22" i="15"/>
  <c r="D21" i="15"/>
  <c r="CY170" i="20"/>
  <c r="CY169" i="20"/>
  <c r="CY168" i="20"/>
  <c r="CY167" i="20"/>
  <c r="CY166" i="20"/>
  <c r="CY165" i="20"/>
  <c r="CY164" i="20"/>
  <c r="CY163" i="20"/>
  <c r="CY162" i="20"/>
  <c r="CY161" i="20"/>
  <c r="CY160" i="20"/>
  <c r="CY159" i="20"/>
  <c r="CY158" i="20"/>
  <c r="CY157" i="20"/>
  <c r="CY156" i="20"/>
  <c r="CY155" i="20"/>
  <c r="CY154" i="20"/>
  <c r="CY153" i="20"/>
  <c r="CY152" i="20"/>
  <c r="CY151" i="20"/>
  <c r="CY150" i="20"/>
  <c r="CY149" i="20"/>
  <c r="CY148" i="20"/>
  <c r="CY147" i="20"/>
  <c r="CY146" i="20"/>
  <c r="CY145" i="20"/>
  <c r="CY144" i="20"/>
  <c r="CY143" i="20"/>
  <c r="CY142" i="20"/>
  <c r="CY141" i="20"/>
  <c r="CY140" i="20"/>
  <c r="CY139" i="20"/>
  <c r="CY138" i="20"/>
  <c r="CY137" i="20"/>
  <c r="CY136" i="20"/>
  <c r="CY135" i="20"/>
  <c r="CY134" i="20"/>
  <c r="CY133" i="20"/>
  <c r="CY132" i="20"/>
  <c r="CY131" i="20"/>
  <c r="CY130" i="20"/>
  <c r="CY129" i="20"/>
  <c r="CY128" i="20"/>
  <c r="CY127" i="20"/>
  <c r="CY126" i="20"/>
  <c r="CY125" i="20"/>
  <c r="CY124" i="20"/>
  <c r="CY123" i="20"/>
  <c r="CY122" i="20"/>
  <c r="CY121" i="20"/>
  <c r="CY120" i="20"/>
  <c r="CY119" i="20"/>
  <c r="CY118" i="20"/>
  <c r="CY117" i="20"/>
  <c r="CY116" i="20"/>
  <c r="CY115" i="20"/>
  <c r="CY114" i="20"/>
  <c r="CY113" i="20"/>
  <c r="CY112" i="20"/>
  <c r="CY111" i="20"/>
  <c r="CY110" i="20"/>
  <c r="CY109" i="20"/>
  <c r="CY108" i="20"/>
  <c r="CY107" i="20"/>
  <c r="CY106" i="20"/>
  <c r="CY105" i="20"/>
  <c r="CY104" i="20"/>
  <c r="CY103" i="20"/>
  <c r="CY102" i="20"/>
  <c r="CY101" i="20"/>
  <c r="CY100" i="20"/>
  <c r="CY99" i="20"/>
  <c r="CY98" i="20"/>
  <c r="CY97" i="20"/>
  <c r="CY96" i="20"/>
  <c r="CY95" i="20"/>
  <c r="CY94" i="20"/>
  <c r="CY93" i="20"/>
  <c r="CY92" i="20"/>
  <c r="CY91" i="20"/>
  <c r="CY90" i="20"/>
  <c r="CY89" i="20"/>
  <c r="CY88" i="20"/>
  <c r="CY87" i="20"/>
  <c r="CY86" i="20"/>
  <c r="CY85" i="20"/>
  <c r="CY84" i="20"/>
  <c r="CY83" i="20"/>
  <c r="CY82" i="20"/>
  <c r="CY81" i="20"/>
  <c r="CY80" i="20"/>
  <c r="CY79" i="20"/>
  <c r="CY78" i="20"/>
  <c r="CY77" i="20"/>
  <c r="CY76" i="20"/>
  <c r="CY75" i="20"/>
  <c r="CY74" i="20"/>
  <c r="CY73" i="20"/>
  <c r="CY72" i="20"/>
  <c r="CY71" i="20"/>
  <c r="CY70" i="20"/>
  <c r="CY69" i="20"/>
  <c r="CY68" i="20"/>
  <c r="CY67" i="20"/>
  <c r="CY66" i="20"/>
  <c r="CY65" i="20"/>
  <c r="CY64" i="20"/>
  <c r="CY63" i="20"/>
  <c r="CY62" i="20"/>
  <c r="CY61" i="20"/>
  <c r="CY60" i="20"/>
  <c r="CY59" i="20"/>
  <c r="CY58" i="20"/>
  <c r="CY57" i="20"/>
  <c r="CY56" i="20"/>
  <c r="CY55" i="20"/>
  <c r="CY54" i="20"/>
  <c r="CY53" i="20"/>
  <c r="CY52" i="20"/>
  <c r="CY51" i="20"/>
  <c r="CY50" i="20"/>
  <c r="CY49" i="20"/>
  <c r="CY48" i="20"/>
  <c r="CY47" i="20"/>
  <c r="CY46" i="20"/>
  <c r="CY45" i="20"/>
  <c r="CY44" i="20"/>
  <c r="CY43" i="20"/>
  <c r="CY42" i="20"/>
  <c r="CY41" i="20"/>
  <c r="CY40" i="20"/>
  <c r="CY39" i="20"/>
  <c r="CY38" i="20"/>
  <c r="CY37" i="20"/>
  <c r="CY36" i="20"/>
  <c r="CY35" i="20"/>
  <c r="CY34" i="20"/>
  <c r="CY33" i="20"/>
  <c r="CY32" i="20"/>
  <c r="CY31" i="20"/>
  <c r="CY30" i="20"/>
  <c r="CY29" i="20"/>
  <c r="CY28" i="20"/>
  <c r="CY27" i="20"/>
  <c r="CY26" i="20"/>
  <c r="CY25" i="20"/>
  <c r="CY24" i="20"/>
  <c r="CY23" i="20"/>
  <c r="CY22" i="20"/>
  <c r="CY21" i="20"/>
  <c r="CY20" i="20"/>
  <c r="CY19" i="20"/>
  <c r="CY18" i="20"/>
  <c r="CY17" i="20"/>
  <c r="CY16" i="20"/>
  <c r="CY15" i="20"/>
  <c r="CY14" i="20"/>
  <c r="CY13" i="20"/>
  <c r="CY12" i="20"/>
  <c r="CY11" i="20"/>
  <c r="CY10" i="20"/>
  <c r="CY9" i="20"/>
  <c r="CY8" i="20"/>
  <c r="CY7" i="20"/>
  <c r="CY6" i="20"/>
  <c r="CY5" i="20"/>
  <c r="CY4" i="20"/>
  <c r="CY3" i="20"/>
  <c r="CW170" i="20"/>
  <c r="CW169" i="20"/>
  <c r="CW168" i="20"/>
  <c r="CW167" i="20"/>
  <c r="CW166" i="20"/>
  <c r="CW165" i="20"/>
  <c r="CW164" i="20"/>
  <c r="CW163" i="20"/>
  <c r="CW162" i="20"/>
  <c r="CW161" i="20"/>
  <c r="CW160" i="20"/>
  <c r="CW159" i="20"/>
  <c r="CW158" i="20"/>
  <c r="CW157" i="20"/>
  <c r="CW156" i="20"/>
  <c r="CW155" i="20"/>
  <c r="CW154" i="20"/>
  <c r="CW153" i="20"/>
  <c r="CW152" i="20"/>
  <c r="CW151" i="20"/>
  <c r="CW150" i="20"/>
  <c r="CW149" i="20"/>
  <c r="CW148" i="20"/>
  <c r="CW147" i="20"/>
  <c r="CW146" i="20"/>
  <c r="CW145" i="20"/>
  <c r="CW144" i="20"/>
  <c r="CW143" i="20"/>
  <c r="CW142" i="20"/>
  <c r="CW141" i="20"/>
  <c r="CW140" i="20"/>
  <c r="CW139" i="20"/>
  <c r="CW138" i="20"/>
  <c r="CW137" i="20"/>
  <c r="CW136" i="20"/>
  <c r="CW135" i="20"/>
  <c r="CW134" i="20"/>
  <c r="CW133" i="20"/>
  <c r="CW132" i="20"/>
  <c r="CW131" i="20"/>
  <c r="CW130" i="20"/>
  <c r="CW129" i="20"/>
  <c r="CW128" i="20"/>
  <c r="CW127" i="20"/>
  <c r="CW126" i="20"/>
  <c r="CW125" i="20"/>
  <c r="CW124" i="20"/>
  <c r="CW123" i="20"/>
  <c r="CW122" i="20"/>
  <c r="CW121" i="20"/>
  <c r="CW120" i="20"/>
  <c r="CW119" i="20"/>
  <c r="CW118" i="20"/>
  <c r="CW117" i="20"/>
  <c r="CW116" i="20"/>
  <c r="CW115" i="20"/>
  <c r="CW114" i="20"/>
  <c r="CW113" i="20"/>
  <c r="CW112" i="20"/>
  <c r="CW111" i="20"/>
  <c r="CW110" i="20"/>
  <c r="CW109" i="20"/>
  <c r="CW108" i="20"/>
  <c r="CW107" i="20"/>
  <c r="CW106" i="20"/>
  <c r="CW105" i="20"/>
  <c r="CW104" i="20"/>
  <c r="CW103" i="20"/>
  <c r="CW102" i="20"/>
  <c r="CW101" i="20"/>
  <c r="CW100" i="20"/>
  <c r="CW99" i="20"/>
  <c r="CW98" i="20"/>
  <c r="CW97" i="20"/>
  <c r="CW96" i="20"/>
  <c r="CW95" i="20"/>
  <c r="CW94" i="20"/>
  <c r="CW93" i="20"/>
  <c r="CW92" i="20"/>
  <c r="CW91" i="20"/>
  <c r="CW90" i="20"/>
  <c r="CW89" i="20"/>
  <c r="CW88" i="20"/>
  <c r="CW87" i="20"/>
  <c r="CW86" i="20"/>
  <c r="CW85" i="20"/>
  <c r="CW84" i="20"/>
  <c r="CW83" i="20"/>
  <c r="CW82" i="20"/>
  <c r="CW81" i="20"/>
  <c r="CW80" i="20"/>
  <c r="CW79" i="20"/>
  <c r="CW78" i="20"/>
  <c r="CW77" i="20"/>
  <c r="CW76" i="20"/>
  <c r="CW75" i="20"/>
  <c r="CW74" i="20"/>
  <c r="CW73" i="20"/>
  <c r="CW72" i="20"/>
  <c r="CW71" i="20"/>
  <c r="CW70" i="20"/>
  <c r="CW69" i="20"/>
  <c r="CW68" i="20"/>
  <c r="CW67" i="20"/>
  <c r="CW66" i="20"/>
  <c r="CW65" i="20"/>
  <c r="CW64" i="20"/>
  <c r="CW63" i="20"/>
  <c r="CW62" i="20"/>
  <c r="CW61" i="20"/>
  <c r="CW60" i="20"/>
  <c r="CW59" i="20"/>
  <c r="CW58" i="20"/>
  <c r="CW57" i="20"/>
  <c r="CW56" i="20"/>
  <c r="CW55" i="20"/>
  <c r="CW54" i="20"/>
  <c r="CW53" i="20"/>
  <c r="CW52" i="20"/>
  <c r="CW51" i="20"/>
  <c r="CW50" i="20"/>
  <c r="CW49" i="20"/>
  <c r="CW48" i="20"/>
  <c r="CW47" i="20"/>
  <c r="CW46" i="20"/>
  <c r="CW45" i="20"/>
  <c r="CW44" i="20"/>
  <c r="CW43" i="20"/>
  <c r="CW42" i="20"/>
  <c r="CW41" i="20"/>
  <c r="CW40" i="20"/>
  <c r="CW39" i="20"/>
  <c r="CW38" i="20"/>
  <c r="CW37" i="20"/>
  <c r="CW36" i="20"/>
  <c r="CW35" i="20"/>
  <c r="CW34" i="20"/>
  <c r="CW33" i="20"/>
  <c r="CW32" i="20"/>
  <c r="CW31" i="20"/>
  <c r="CW30" i="20"/>
  <c r="CW29" i="20"/>
  <c r="CW28" i="20"/>
  <c r="CW27" i="20"/>
  <c r="CW26" i="20"/>
  <c r="CW25" i="20"/>
  <c r="CW24" i="20"/>
  <c r="CW23" i="20"/>
  <c r="CW22" i="20"/>
  <c r="CW21" i="20"/>
  <c r="CW20" i="20"/>
  <c r="CW19" i="20"/>
  <c r="CW18" i="20"/>
  <c r="CW17" i="20"/>
  <c r="CW16" i="20"/>
  <c r="CW15" i="20"/>
  <c r="CW14" i="20"/>
  <c r="CW13" i="20"/>
  <c r="CW12" i="20"/>
  <c r="CW11" i="20"/>
  <c r="CW10" i="20"/>
  <c r="CW9" i="20"/>
  <c r="CW8" i="20"/>
  <c r="CW7" i="20"/>
  <c r="CW6" i="20"/>
  <c r="CW5" i="20"/>
  <c r="CW4" i="20"/>
  <c r="CW3" i="20"/>
  <c r="CU170" i="20"/>
  <c r="CU169" i="20"/>
  <c r="CU168" i="20"/>
  <c r="CU167" i="20"/>
  <c r="CU166" i="20"/>
  <c r="CU165" i="20"/>
  <c r="CU164" i="20"/>
  <c r="CU163" i="20"/>
  <c r="CU162" i="20"/>
  <c r="CU161" i="20"/>
  <c r="CU160" i="20"/>
  <c r="CU159" i="20"/>
  <c r="CU158" i="20"/>
  <c r="CU157" i="20"/>
  <c r="CU156" i="20"/>
  <c r="CU155" i="20"/>
  <c r="CU154" i="20"/>
  <c r="CU153" i="20"/>
  <c r="CU152" i="20"/>
  <c r="CU151" i="20"/>
  <c r="CU150" i="20"/>
  <c r="CU149" i="20"/>
  <c r="CU148" i="20"/>
  <c r="CU147" i="20"/>
  <c r="CU146" i="20"/>
  <c r="CU145" i="20"/>
  <c r="CU144" i="20"/>
  <c r="CU143" i="20"/>
  <c r="CU142" i="20"/>
  <c r="CU141" i="20"/>
  <c r="CU140" i="20"/>
  <c r="CU139" i="20"/>
  <c r="CU138" i="20"/>
  <c r="CU137" i="20"/>
  <c r="CU136" i="20"/>
  <c r="CU135" i="20"/>
  <c r="CU134" i="20"/>
  <c r="CU133" i="20"/>
  <c r="CU132" i="20"/>
  <c r="CU131" i="20"/>
  <c r="CU130" i="20"/>
  <c r="CU129" i="20"/>
  <c r="CU128" i="20"/>
  <c r="CU127" i="20"/>
  <c r="CU126" i="20"/>
  <c r="CU125" i="20"/>
  <c r="CU124" i="20"/>
  <c r="CU123" i="20"/>
  <c r="CU122" i="20"/>
  <c r="CU121" i="20"/>
  <c r="CU120" i="20"/>
  <c r="CU119" i="20"/>
  <c r="CU118" i="20"/>
  <c r="CU117" i="20"/>
  <c r="CU116" i="20"/>
  <c r="CU115" i="20"/>
  <c r="CU114" i="20"/>
  <c r="CU113" i="20"/>
  <c r="CU112" i="20"/>
  <c r="CU111" i="20"/>
  <c r="CU110" i="20"/>
  <c r="CU109" i="20"/>
  <c r="CU108" i="20"/>
  <c r="CU107" i="20"/>
  <c r="CU106" i="20"/>
  <c r="CU105" i="20"/>
  <c r="CU104" i="20"/>
  <c r="CU103" i="20"/>
  <c r="CU102" i="20"/>
  <c r="CU101" i="20"/>
  <c r="CU100" i="20"/>
  <c r="CU99" i="20"/>
  <c r="CU98" i="20"/>
  <c r="CU97" i="20"/>
  <c r="CU96" i="20"/>
  <c r="CU95" i="20"/>
  <c r="CU94" i="20"/>
  <c r="CU93" i="20"/>
  <c r="CU92" i="20"/>
  <c r="CU91" i="20"/>
  <c r="CU90" i="20"/>
  <c r="CU89" i="20"/>
  <c r="CU88" i="20"/>
  <c r="CU87" i="20"/>
  <c r="CU86" i="20"/>
  <c r="CU85" i="20"/>
  <c r="CU84" i="20"/>
  <c r="CU83" i="20"/>
  <c r="CU82" i="20"/>
  <c r="CU81" i="20"/>
  <c r="CU80" i="20"/>
  <c r="CU79" i="20"/>
  <c r="CU78" i="20"/>
  <c r="CU77" i="20"/>
  <c r="CU76" i="20"/>
  <c r="CU75" i="20"/>
  <c r="CU74" i="20"/>
  <c r="CU73" i="20"/>
  <c r="CU72" i="20"/>
  <c r="CU71" i="20"/>
  <c r="CU70" i="20"/>
  <c r="CU69" i="20"/>
  <c r="CU68" i="20"/>
  <c r="CU67" i="20"/>
  <c r="CU66" i="20"/>
  <c r="CU65" i="20"/>
  <c r="CU64" i="20"/>
  <c r="CU63" i="20"/>
  <c r="CU62" i="20"/>
  <c r="CU61" i="20"/>
  <c r="CU60" i="20"/>
  <c r="CU59" i="20"/>
  <c r="CU58" i="20"/>
  <c r="CU57" i="20"/>
  <c r="CU56" i="20"/>
  <c r="CU55" i="20"/>
  <c r="CU54" i="20"/>
  <c r="CU53" i="20"/>
  <c r="CU52" i="20"/>
  <c r="CU51" i="20"/>
  <c r="CU50" i="20"/>
  <c r="CU49" i="20"/>
  <c r="CU48" i="20"/>
  <c r="CU47" i="20"/>
  <c r="CU46" i="20"/>
  <c r="CU45" i="20"/>
  <c r="CU44" i="20"/>
  <c r="CU43" i="20"/>
  <c r="CU42" i="20"/>
  <c r="CU41" i="20"/>
  <c r="CU40" i="20"/>
  <c r="CU39" i="20"/>
  <c r="CU38" i="20"/>
  <c r="CU37" i="20"/>
  <c r="CU36" i="20"/>
  <c r="CU35" i="20"/>
  <c r="CU34" i="20"/>
  <c r="CU33" i="20"/>
  <c r="CU32" i="20"/>
  <c r="CU31" i="20"/>
  <c r="CU30" i="20"/>
  <c r="CU29" i="20"/>
  <c r="CU28" i="20"/>
  <c r="CU27" i="20"/>
  <c r="CU26" i="20"/>
  <c r="CU25" i="20"/>
  <c r="CU24" i="20"/>
  <c r="CU23" i="20"/>
  <c r="CU22" i="20"/>
  <c r="CU21" i="20"/>
  <c r="CU20" i="20"/>
  <c r="CU19" i="20"/>
  <c r="CU18" i="20"/>
  <c r="CU17" i="20"/>
  <c r="CU16" i="20"/>
  <c r="CU15" i="20"/>
  <c r="CU14" i="20"/>
  <c r="CU13" i="20"/>
  <c r="CU12" i="20"/>
  <c r="CU11" i="20"/>
  <c r="CU10" i="20"/>
  <c r="CU9" i="20"/>
  <c r="CU8" i="20"/>
  <c r="CU7" i="20"/>
  <c r="CU6" i="20"/>
  <c r="CU5" i="20"/>
  <c r="CU4" i="20"/>
  <c r="CU3" i="20"/>
  <c r="CS170" i="20"/>
  <c r="CS169" i="20"/>
  <c r="CS168" i="20"/>
  <c r="CS167" i="20"/>
  <c r="CS166" i="20"/>
  <c r="CS165" i="20"/>
  <c r="CS164" i="20"/>
  <c r="CS163" i="20"/>
  <c r="CS162" i="20"/>
  <c r="CS161" i="20"/>
  <c r="CS160" i="20"/>
  <c r="CS159" i="20"/>
  <c r="CS158" i="20"/>
  <c r="CS157" i="20"/>
  <c r="CS156" i="20"/>
  <c r="CS155" i="20"/>
  <c r="CS154" i="20"/>
  <c r="CS153" i="20"/>
  <c r="CS152" i="20"/>
  <c r="CS151" i="20"/>
  <c r="CS150" i="20"/>
  <c r="CS149" i="20"/>
  <c r="CS148" i="20"/>
  <c r="CS147" i="20"/>
  <c r="CS146" i="20"/>
  <c r="CS145" i="20"/>
  <c r="CS144" i="20"/>
  <c r="CS143" i="20"/>
  <c r="CS142" i="20"/>
  <c r="CS141" i="20"/>
  <c r="CS140" i="20"/>
  <c r="CS139" i="20"/>
  <c r="CS138" i="20"/>
  <c r="CS137" i="20"/>
  <c r="CS136" i="20"/>
  <c r="CS135" i="20"/>
  <c r="CS134" i="20"/>
  <c r="CS133" i="20"/>
  <c r="CS132" i="20"/>
  <c r="CS131" i="20"/>
  <c r="CS130" i="20"/>
  <c r="CS129" i="20"/>
  <c r="CS128" i="20"/>
  <c r="CS127" i="20"/>
  <c r="CS126" i="20"/>
  <c r="CS125" i="20"/>
  <c r="CS124" i="20"/>
  <c r="CS123" i="20"/>
  <c r="CS122" i="20"/>
  <c r="CS121" i="20"/>
  <c r="CS120" i="20"/>
  <c r="CS119" i="20"/>
  <c r="CS118" i="20"/>
  <c r="CS117" i="20"/>
  <c r="CS116" i="20"/>
  <c r="CS115" i="20"/>
  <c r="CS114" i="20"/>
  <c r="CS113" i="20"/>
  <c r="CS112" i="20"/>
  <c r="CS111" i="20"/>
  <c r="CS110" i="20"/>
  <c r="CS109" i="20"/>
  <c r="CS108" i="20"/>
  <c r="CS107" i="20"/>
  <c r="CS106" i="20"/>
  <c r="CS105" i="20"/>
  <c r="CS104" i="20"/>
  <c r="CS103" i="20"/>
  <c r="CS102" i="20"/>
  <c r="CS101" i="20"/>
  <c r="CS100" i="20"/>
  <c r="CS99" i="20"/>
  <c r="CS98" i="20"/>
  <c r="CS97" i="20"/>
  <c r="CS96" i="20"/>
  <c r="CS95" i="20"/>
  <c r="CS94" i="20"/>
  <c r="CS93" i="20"/>
  <c r="CS92" i="20"/>
  <c r="CS91" i="20"/>
  <c r="CS90" i="20"/>
  <c r="CS89" i="20"/>
  <c r="CS88" i="20"/>
  <c r="CS87" i="20"/>
  <c r="CS86" i="20"/>
  <c r="CS85" i="20"/>
  <c r="CS84" i="20"/>
  <c r="CS83" i="20"/>
  <c r="CS82" i="20"/>
  <c r="CS81" i="20"/>
  <c r="CS80" i="20"/>
  <c r="CS79" i="20"/>
  <c r="CS78" i="20"/>
  <c r="CS77" i="20"/>
  <c r="CS76" i="20"/>
  <c r="CS75" i="20"/>
  <c r="CS74" i="20"/>
  <c r="CS73" i="20"/>
  <c r="CS72" i="20"/>
  <c r="CS71" i="20"/>
  <c r="CS70" i="20"/>
  <c r="CS69" i="20"/>
  <c r="CS68" i="20"/>
  <c r="CS67" i="20"/>
  <c r="CS66" i="20"/>
  <c r="CS65" i="20"/>
  <c r="CS64" i="20"/>
  <c r="CS63" i="20"/>
  <c r="CS62" i="20"/>
  <c r="CS61" i="20"/>
  <c r="CS60" i="20"/>
  <c r="CS59" i="20"/>
  <c r="CS58" i="20"/>
  <c r="CS57" i="20"/>
  <c r="CS56" i="20"/>
  <c r="CS55" i="20"/>
  <c r="CS54" i="20"/>
  <c r="CS53" i="20"/>
  <c r="CS52" i="20"/>
  <c r="CS51" i="20"/>
  <c r="CS50" i="20"/>
  <c r="CS49" i="20"/>
  <c r="CS48" i="20"/>
  <c r="CS47" i="20"/>
  <c r="CS46" i="20"/>
  <c r="CS45" i="20"/>
  <c r="CS44" i="20"/>
  <c r="CS43" i="20"/>
  <c r="CS42" i="20"/>
  <c r="CS41" i="20"/>
  <c r="CS40" i="20"/>
  <c r="CS39" i="20"/>
  <c r="CS38" i="20"/>
  <c r="CS37" i="20"/>
  <c r="CS36" i="20"/>
  <c r="CS35" i="20"/>
  <c r="CS34" i="20"/>
  <c r="CS33" i="20"/>
  <c r="CS32" i="20"/>
  <c r="CS31" i="20"/>
  <c r="CS30" i="20"/>
  <c r="CS29" i="20"/>
  <c r="CS28" i="20"/>
  <c r="CS27" i="20"/>
  <c r="CS26" i="20"/>
  <c r="CS25" i="20"/>
  <c r="CS24" i="20"/>
  <c r="CS23" i="20"/>
  <c r="CS22" i="20"/>
  <c r="CS21" i="20"/>
  <c r="CS20" i="20"/>
  <c r="CS19" i="20"/>
  <c r="CS18" i="20"/>
  <c r="CS17" i="20"/>
  <c r="CS16" i="20"/>
  <c r="CS15" i="20"/>
  <c r="CS14" i="20"/>
  <c r="CS13" i="20"/>
  <c r="CS12" i="20"/>
  <c r="CS11" i="20"/>
  <c r="CS10" i="20"/>
  <c r="CS9" i="20"/>
  <c r="CS8" i="20"/>
  <c r="CS7" i="20"/>
  <c r="CS6" i="20"/>
  <c r="CS5" i="20"/>
  <c r="CS4" i="20"/>
  <c r="CS3" i="20"/>
  <c r="CQ170" i="20"/>
  <c r="CQ169" i="20"/>
  <c r="CQ168" i="20"/>
  <c r="CQ167" i="20"/>
  <c r="CQ166" i="20"/>
  <c r="CQ165" i="20"/>
  <c r="CQ164" i="20"/>
  <c r="CQ163" i="20"/>
  <c r="CQ162" i="20"/>
  <c r="CQ161" i="20"/>
  <c r="CQ160" i="20"/>
  <c r="CQ159" i="20"/>
  <c r="CQ158" i="20"/>
  <c r="CQ157" i="20"/>
  <c r="CQ156" i="20"/>
  <c r="CQ155" i="20"/>
  <c r="CQ154" i="20"/>
  <c r="CQ153" i="20"/>
  <c r="CQ152" i="20"/>
  <c r="CQ151" i="20"/>
  <c r="CQ150" i="20"/>
  <c r="CQ149" i="20"/>
  <c r="CQ148" i="20"/>
  <c r="CQ147" i="20"/>
  <c r="CQ146" i="20"/>
  <c r="CQ145" i="20"/>
  <c r="CQ144" i="20"/>
  <c r="CQ143" i="20"/>
  <c r="CQ142" i="20"/>
  <c r="CQ141" i="20"/>
  <c r="CQ140" i="20"/>
  <c r="CQ139" i="20"/>
  <c r="CQ138" i="20"/>
  <c r="CQ137" i="20"/>
  <c r="CQ136" i="20"/>
  <c r="CQ135" i="20"/>
  <c r="CQ134" i="20"/>
  <c r="CQ133" i="20"/>
  <c r="CQ132" i="20"/>
  <c r="CQ131" i="20"/>
  <c r="CQ130" i="20"/>
  <c r="CQ129" i="20"/>
  <c r="CQ128" i="20"/>
  <c r="CQ127" i="20"/>
  <c r="CQ126" i="20"/>
  <c r="CQ125" i="20"/>
  <c r="CQ124" i="20"/>
  <c r="CQ123" i="20"/>
  <c r="CQ122" i="20"/>
  <c r="CQ121" i="20"/>
  <c r="CQ120" i="20"/>
  <c r="CQ119" i="20"/>
  <c r="CQ118" i="20"/>
  <c r="CQ117" i="20"/>
  <c r="CQ116" i="20"/>
  <c r="CQ115" i="20"/>
  <c r="CQ114" i="20"/>
  <c r="CQ113" i="20"/>
  <c r="CQ112" i="20"/>
  <c r="CQ111" i="20"/>
  <c r="CQ110" i="20"/>
  <c r="CQ109" i="20"/>
  <c r="CQ108" i="20"/>
  <c r="CQ107" i="20"/>
  <c r="CQ106" i="20"/>
  <c r="CQ105" i="20"/>
  <c r="CQ104" i="20"/>
  <c r="CQ103" i="20"/>
  <c r="CQ102" i="20"/>
  <c r="CQ101" i="20"/>
  <c r="CQ100" i="20"/>
  <c r="CQ99" i="20"/>
  <c r="CQ98" i="20"/>
  <c r="CQ97" i="20"/>
  <c r="CQ96" i="20"/>
  <c r="CQ95" i="20"/>
  <c r="CQ94" i="20"/>
  <c r="CQ93" i="20"/>
  <c r="CQ92" i="20"/>
  <c r="CQ91" i="20"/>
  <c r="CQ90" i="20"/>
  <c r="CQ89" i="20"/>
  <c r="CQ88" i="20"/>
  <c r="CQ87" i="20"/>
  <c r="CQ86" i="20"/>
  <c r="CQ85" i="20"/>
  <c r="CQ84" i="20"/>
  <c r="CQ83" i="20"/>
  <c r="CQ82" i="20"/>
  <c r="CQ81" i="20"/>
  <c r="CQ80" i="20"/>
  <c r="CQ79" i="20"/>
  <c r="CQ78" i="20"/>
  <c r="CQ77" i="20"/>
  <c r="CQ76" i="20"/>
  <c r="CQ75" i="20"/>
  <c r="CQ74" i="20"/>
  <c r="CQ73" i="20"/>
  <c r="CQ72" i="20"/>
  <c r="CQ71" i="20"/>
  <c r="CQ70" i="20"/>
  <c r="CQ69" i="20"/>
  <c r="CQ68" i="20"/>
  <c r="CQ67" i="20"/>
  <c r="CQ66" i="20"/>
  <c r="CQ65" i="20"/>
  <c r="CQ64" i="20"/>
  <c r="CQ63" i="20"/>
  <c r="CQ62" i="20"/>
  <c r="CQ61" i="20"/>
  <c r="CQ60" i="20"/>
  <c r="CQ59" i="20"/>
  <c r="CQ58" i="20"/>
  <c r="CQ57" i="20"/>
  <c r="CQ56" i="20"/>
  <c r="CQ55" i="20"/>
  <c r="CQ54" i="20"/>
  <c r="CQ53" i="20"/>
  <c r="CQ52" i="20"/>
  <c r="CQ51" i="20"/>
  <c r="CQ50" i="20"/>
  <c r="CQ49" i="20"/>
  <c r="CQ48" i="20"/>
  <c r="CQ47" i="20"/>
  <c r="CQ46" i="20"/>
  <c r="CQ45" i="20"/>
  <c r="CQ44" i="20"/>
  <c r="CQ43" i="20"/>
  <c r="CQ42" i="20"/>
  <c r="CQ41" i="20"/>
  <c r="CQ40" i="20"/>
  <c r="CQ39" i="20"/>
  <c r="CQ38" i="20"/>
  <c r="CQ37" i="20"/>
  <c r="CQ36" i="20"/>
  <c r="CQ35" i="20"/>
  <c r="CQ34" i="20"/>
  <c r="CQ33" i="20"/>
  <c r="CQ32" i="20"/>
  <c r="CQ31" i="20"/>
  <c r="CQ30" i="20"/>
  <c r="CQ29" i="20"/>
  <c r="CQ28" i="20"/>
  <c r="CQ27" i="20"/>
  <c r="CQ26" i="20"/>
  <c r="CQ25" i="20"/>
  <c r="CQ24" i="20"/>
  <c r="CQ23" i="20"/>
  <c r="CQ22" i="20"/>
  <c r="CQ21" i="20"/>
  <c r="CQ20" i="20"/>
  <c r="CQ19" i="20"/>
  <c r="CQ18" i="20"/>
  <c r="CQ17" i="20"/>
  <c r="CQ16" i="20"/>
  <c r="CQ15" i="20"/>
  <c r="CQ14" i="20"/>
  <c r="CQ13" i="20"/>
  <c r="CQ12" i="20"/>
  <c r="CQ11" i="20"/>
  <c r="CQ10" i="20"/>
  <c r="CQ9" i="20"/>
  <c r="CQ8" i="20"/>
  <c r="CQ7" i="20"/>
  <c r="CQ6" i="20"/>
  <c r="CQ5" i="20"/>
  <c r="CQ4" i="20"/>
  <c r="CQ3" i="20"/>
  <c r="CO170" i="20"/>
  <c r="CO169" i="20"/>
  <c r="CO168" i="20"/>
  <c r="CO167" i="20"/>
  <c r="CO166" i="20"/>
  <c r="CO165" i="20"/>
  <c r="CO164" i="20"/>
  <c r="CO163" i="20"/>
  <c r="CO162" i="20"/>
  <c r="CO161" i="20"/>
  <c r="CO160" i="20"/>
  <c r="CO159" i="20"/>
  <c r="CO158" i="20"/>
  <c r="CO157" i="20"/>
  <c r="CO156" i="20"/>
  <c r="CO155" i="20"/>
  <c r="CO154" i="20"/>
  <c r="CO153" i="20"/>
  <c r="CO152" i="20"/>
  <c r="CO151" i="20"/>
  <c r="CO150" i="20"/>
  <c r="CO149" i="20"/>
  <c r="CO148" i="20"/>
  <c r="CO147" i="20"/>
  <c r="CO146" i="20"/>
  <c r="CO145" i="20"/>
  <c r="CO144" i="20"/>
  <c r="CO143" i="20"/>
  <c r="CO142" i="20"/>
  <c r="CO141" i="20"/>
  <c r="CO140" i="20"/>
  <c r="CO139" i="20"/>
  <c r="CO138" i="20"/>
  <c r="CO137" i="20"/>
  <c r="CO136" i="20"/>
  <c r="CO135" i="20"/>
  <c r="CO134" i="20"/>
  <c r="CO133" i="20"/>
  <c r="CO132" i="20"/>
  <c r="CO131" i="20"/>
  <c r="CO130" i="20"/>
  <c r="CO129" i="20"/>
  <c r="CO128" i="20"/>
  <c r="CO127" i="20"/>
  <c r="CO126" i="20"/>
  <c r="CO125" i="20"/>
  <c r="CO124" i="20"/>
  <c r="CO123" i="20"/>
  <c r="CO122" i="20"/>
  <c r="CO121" i="20"/>
  <c r="CO120" i="20"/>
  <c r="CO119" i="20"/>
  <c r="CO118" i="20"/>
  <c r="CO117" i="20"/>
  <c r="CO116" i="20"/>
  <c r="CO115" i="20"/>
  <c r="CO114" i="20"/>
  <c r="CO113" i="20"/>
  <c r="CO112" i="20"/>
  <c r="CO111" i="20"/>
  <c r="CO110" i="20"/>
  <c r="CO109" i="20"/>
  <c r="CO108" i="20"/>
  <c r="CO107" i="20"/>
  <c r="CO106" i="20"/>
  <c r="CO105" i="20"/>
  <c r="CO104" i="20"/>
  <c r="CO103" i="20"/>
  <c r="CO102" i="20"/>
  <c r="CO101" i="20"/>
  <c r="CO100" i="20"/>
  <c r="CO99" i="20"/>
  <c r="CO98" i="20"/>
  <c r="CO97" i="20"/>
  <c r="CO96" i="20"/>
  <c r="CO95" i="20"/>
  <c r="CO94" i="20"/>
  <c r="CO93" i="20"/>
  <c r="CO92" i="20"/>
  <c r="CO91" i="20"/>
  <c r="CO90" i="20"/>
  <c r="CO89" i="20"/>
  <c r="CO88" i="20"/>
  <c r="CO87" i="20"/>
  <c r="CO86" i="20"/>
  <c r="CO85" i="20"/>
  <c r="CO84" i="20"/>
  <c r="CO83" i="20"/>
  <c r="CO82" i="20"/>
  <c r="CO81" i="20"/>
  <c r="CO80" i="20"/>
  <c r="CO79" i="20"/>
  <c r="CO78" i="20"/>
  <c r="CO77" i="20"/>
  <c r="CO76" i="20"/>
  <c r="CO75" i="20"/>
  <c r="CO74" i="20"/>
  <c r="CO73" i="20"/>
  <c r="CO72" i="20"/>
  <c r="CO71" i="20"/>
  <c r="CO70" i="20"/>
  <c r="CO69" i="20"/>
  <c r="CO68" i="20"/>
  <c r="CO67" i="20"/>
  <c r="CO66" i="20"/>
  <c r="CO65" i="20"/>
  <c r="CO64" i="20"/>
  <c r="CO63" i="20"/>
  <c r="CO62" i="20"/>
  <c r="CO61" i="20"/>
  <c r="CO60" i="20"/>
  <c r="CO59" i="20"/>
  <c r="CO58" i="20"/>
  <c r="CO57" i="20"/>
  <c r="CO56" i="20"/>
  <c r="CO55" i="20"/>
  <c r="CO54" i="20"/>
  <c r="CO53" i="20"/>
  <c r="CO52" i="20"/>
  <c r="CO51" i="20"/>
  <c r="CO50" i="20"/>
  <c r="CO49" i="20"/>
  <c r="CO48" i="20"/>
  <c r="CO47" i="20"/>
  <c r="CO46" i="20"/>
  <c r="CO45" i="20"/>
  <c r="CO44" i="20"/>
  <c r="CO43" i="20"/>
  <c r="CO42" i="20"/>
  <c r="CO41" i="20"/>
  <c r="CO40" i="20"/>
  <c r="CO39" i="20"/>
  <c r="CO38" i="20"/>
  <c r="CO37" i="20"/>
  <c r="CO36" i="20"/>
  <c r="CO35" i="20"/>
  <c r="CO34" i="20"/>
  <c r="CO33" i="20"/>
  <c r="CO32" i="20"/>
  <c r="CO31" i="20"/>
  <c r="CO30" i="20"/>
  <c r="CO29" i="20"/>
  <c r="CO28" i="20"/>
  <c r="CO27" i="20"/>
  <c r="CO26" i="20"/>
  <c r="CO25" i="20"/>
  <c r="CO24" i="20"/>
  <c r="CO23" i="20"/>
  <c r="CO22" i="20"/>
  <c r="CO21" i="20"/>
  <c r="CO20" i="20"/>
  <c r="CO19" i="20"/>
  <c r="CO18" i="20"/>
  <c r="CO17" i="20"/>
  <c r="CO16" i="20"/>
  <c r="CO15" i="20"/>
  <c r="CO14" i="20"/>
  <c r="CO13" i="20"/>
  <c r="CO12" i="20"/>
  <c r="CO11" i="20"/>
  <c r="CO10" i="20"/>
  <c r="CO9" i="20"/>
  <c r="CO8" i="20"/>
  <c r="CO7" i="20"/>
  <c r="CO6" i="20"/>
  <c r="CO5" i="20"/>
  <c r="CO4" i="20"/>
  <c r="CO3" i="20"/>
  <c r="CM170" i="20"/>
  <c r="CM169" i="20"/>
  <c r="CM168" i="20"/>
  <c r="CM167" i="20"/>
  <c r="CM166" i="20"/>
  <c r="CM165" i="20"/>
  <c r="CM164" i="20"/>
  <c r="CM163" i="20"/>
  <c r="CM162" i="20"/>
  <c r="CM161" i="20"/>
  <c r="CM160" i="20"/>
  <c r="CM159" i="20"/>
  <c r="CM158" i="20"/>
  <c r="CM157" i="20"/>
  <c r="CM156" i="20"/>
  <c r="CM155" i="20"/>
  <c r="CM154" i="20"/>
  <c r="CM153" i="20"/>
  <c r="CM152" i="20"/>
  <c r="CM151" i="20"/>
  <c r="CM150" i="20"/>
  <c r="CM149" i="20"/>
  <c r="CM148" i="20"/>
  <c r="CM147" i="20"/>
  <c r="CM146" i="20"/>
  <c r="CM145" i="20"/>
  <c r="CM144" i="20"/>
  <c r="CM143" i="20"/>
  <c r="CM142" i="20"/>
  <c r="CM141" i="20"/>
  <c r="CM140" i="20"/>
  <c r="CM139" i="20"/>
  <c r="CM138" i="20"/>
  <c r="CM137" i="20"/>
  <c r="CM136" i="20"/>
  <c r="CM135" i="20"/>
  <c r="CM134" i="20"/>
  <c r="CM133" i="20"/>
  <c r="CM132" i="20"/>
  <c r="CM131" i="20"/>
  <c r="CM130" i="20"/>
  <c r="CM129" i="20"/>
  <c r="CM128" i="20"/>
  <c r="CM127" i="20"/>
  <c r="CM126" i="20"/>
  <c r="CM125" i="20"/>
  <c r="CM124" i="20"/>
  <c r="CM123" i="20"/>
  <c r="CM122" i="20"/>
  <c r="CM121" i="20"/>
  <c r="CM120" i="20"/>
  <c r="CM119" i="20"/>
  <c r="CM118" i="20"/>
  <c r="CM117" i="20"/>
  <c r="CM116" i="20"/>
  <c r="CM115" i="20"/>
  <c r="CM114" i="20"/>
  <c r="CM113" i="20"/>
  <c r="CM112" i="20"/>
  <c r="CM111" i="20"/>
  <c r="CM110" i="20"/>
  <c r="CM109" i="20"/>
  <c r="CM108" i="20"/>
  <c r="CM107" i="20"/>
  <c r="CM106" i="20"/>
  <c r="CM105" i="20"/>
  <c r="CM104" i="20"/>
  <c r="CM103" i="20"/>
  <c r="CM102" i="20"/>
  <c r="CM101" i="20"/>
  <c r="CM100" i="20"/>
  <c r="CM99" i="20"/>
  <c r="CM98" i="20"/>
  <c r="CM97" i="20"/>
  <c r="CM96" i="20"/>
  <c r="CM95" i="20"/>
  <c r="CM94" i="20"/>
  <c r="CM93" i="20"/>
  <c r="CM92" i="20"/>
  <c r="CM91" i="20"/>
  <c r="CM90" i="20"/>
  <c r="CM89" i="20"/>
  <c r="CM88" i="20"/>
  <c r="CM87" i="20"/>
  <c r="CM86" i="20"/>
  <c r="CM85" i="20"/>
  <c r="CM84" i="20"/>
  <c r="CM83" i="20"/>
  <c r="CM82" i="20"/>
  <c r="CM81" i="20"/>
  <c r="CM80" i="20"/>
  <c r="CM79" i="20"/>
  <c r="CM78" i="20"/>
  <c r="CM77" i="20"/>
  <c r="CM76" i="20"/>
  <c r="CM75" i="20"/>
  <c r="CM74" i="20"/>
  <c r="CM73" i="20"/>
  <c r="CM72" i="20"/>
  <c r="CM71" i="20"/>
  <c r="CM70" i="20"/>
  <c r="CM69" i="20"/>
  <c r="CM68" i="20"/>
  <c r="CM67" i="20"/>
  <c r="CM66" i="20"/>
  <c r="CM65" i="20"/>
  <c r="CM64" i="20"/>
  <c r="CM63" i="20"/>
  <c r="CM62" i="20"/>
  <c r="CM61" i="20"/>
  <c r="CM60" i="20"/>
  <c r="CM59" i="20"/>
  <c r="CM58" i="20"/>
  <c r="CM57" i="20"/>
  <c r="CM56" i="20"/>
  <c r="CM55" i="20"/>
  <c r="CM54" i="20"/>
  <c r="CM53" i="20"/>
  <c r="CM52" i="20"/>
  <c r="CM51" i="20"/>
  <c r="CM50" i="20"/>
  <c r="CM49" i="20"/>
  <c r="CM48" i="20"/>
  <c r="CM47" i="20"/>
  <c r="CM46" i="20"/>
  <c r="CM45" i="20"/>
  <c r="CM44" i="20"/>
  <c r="CM43" i="20"/>
  <c r="CM42" i="20"/>
  <c r="CM41" i="20"/>
  <c r="CM40" i="20"/>
  <c r="CM39" i="20"/>
  <c r="CM38" i="20"/>
  <c r="CM37" i="20"/>
  <c r="CM36" i="20"/>
  <c r="CM35" i="20"/>
  <c r="CM34" i="20"/>
  <c r="CM33" i="20"/>
  <c r="CM32" i="20"/>
  <c r="CM31" i="20"/>
  <c r="CM30" i="20"/>
  <c r="CM29" i="20"/>
  <c r="CM28" i="20"/>
  <c r="CM27" i="20"/>
  <c r="CM26" i="20"/>
  <c r="CM25" i="20"/>
  <c r="CM24" i="20"/>
  <c r="CM23" i="20"/>
  <c r="CM22" i="20"/>
  <c r="CM21" i="20"/>
  <c r="CM20" i="20"/>
  <c r="CM19" i="20"/>
  <c r="CM18" i="20"/>
  <c r="CM17" i="20"/>
  <c r="CM16" i="20"/>
  <c r="CM15" i="20"/>
  <c r="CM14" i="20"/>
  <c r="CM13" i="20"/>
  <c r="CM12" i="20"/>
  <c r="CM11" i="20"/>
  <c r="CM10" i="20"/>
  <c r="CM9" i="20"/>
  <c r="CM8" i="20"/>
  <c r="CM7" i="20"/>
  <c r="CM6" i="20"/>
  <c r="CM5" i="20"/>
  <c r="CM4" i="20"/>
  <c r="CM3" i="20"/>
  <c r="CK4" i="20"/>
  <c r="CK5" i="20"/>
  <c r="CK6" i="20"/>
  <c r="CK7" i="20"/>
  <c r="CK8" i="20"/>
  <c r="CK9" i="20"/>
  <c r="CK10" i="20"/>
  <c r="CK11" i="20"/>
  <c r="CK12" i="20"/>
  <c r="CK13" i="20"/>
  <c r="CK14" i="20"/>
  <c r="CK15" i="20"/>
  <c r="CK16" i="20"/>
  <c r="CK17" i="20"/>
  <c r="CK18" i="20"/>
  <c r="CK19" i="20"/>
  <c r="CK20" i="20"/>
  <c r="CK21" i="20"/>
  <c r="CK22" i="20"/>
  <c r="CK23" i="20"/>
  <c r="CK24" i="20"/>
  <c r="CK25" i="20"/>
  <c r="CK26" i="20"/>
  <c r="CK27" i="20"/>
  <c r="CK28" i="20"/>
  <c r="CK29" i="20"/>
  <c r="CK30" i="20"/>
  <c r="CK31" i="20"/>
  <c r="CK32" i="20"/>
  <c r="CK33" i="20"/>
  <c r="CK34" i="20"/>
  <c r="CK35" i="20"/>
  <c r="CK36" i="20"/>
  <c r="CK37" i="20"/>
  <c r="CK38" i="20"/>
  <c r="CK39" i="20"/>
  <c r="CK40" i="20"/>
  <c r="CK41" i="20"/>
  <c r="CK42" i="20"/>
  <c r="CK43" i="20"/>
  <c r="CK44" i="20"/>
  <c r="CK45" i="20"/>
  <c r="CK46" i="20"/>
  <c r="CK47" i="20"/>
  <c r="CK48" i="20"/>
  <c r="CK49" i="20"/>
  <c r="CK50" i="20"/>
  <c r="CK51" i="20"/>
  <c r="CK52" i="20"/>
  <c r="CK53" i="20"/>
  <c r="CK54" i="20"/>
  <c r="CK55" i="20"/>
  <c r="CK56" i="20"/>
  <c r="CK57" i="20"/>
  <c r="CK58" i="20"/>
  <c r="CK59" i="20"/>
  <c r="CK60" i="20"/>
  <c r="CK61" i="20"/>
  <c r="CK62" i="20"/>
  <c r="CK63" i="20"/>
  <c r="CK64" i="20"/>
  <c r="CK65" i="20"/>
  <c r="CK66" i="20"/>
  <c r="CK67" i="20"/>
  <c r="CK68" i="20"/>
  <c r="CK69" i="20"/>
  <c r="CK70" i="20"/>
  <c r="CK71" i="20"/>
  <c r="CK72" i="20"/>
  <c r="CK73" i="20"/>
  <c r="CK74" i="20"/>
  <c r="CK75" i="20"/>
  <c r="CK76" i="20"/>
  <c r="CK77" i="20"/>
  <c r="CK78" i="20"/>
  <c r="CK79" i="20"/>
  <c r="CK80" i="20"/>
  <c r="CK81" i="20"/>
  <c r="CK82" i="20"/>
  <c r="CK83" i="20"/>
  <c r="CK84" i="20"/>
  <c r="CK85" i="20"/>
  <c r="CK86" i="20"/>
  <c r="CK87" i="20"/>
  <c r="CK88" i="20"/>
  <c r="CK89" i="20"/>
  <c r="CK90" i="20"/>
  <c r="CK91" i="20"/>
  <c r="CK92" i="20"/>
  <c r="CK93" i="20"/>
  <c r="CK94" i="20"/>
  <c r="CK95" i="20"/>
  <c r="CK96" i="20"/>
  <c r="CK97" i="20"/>
  <c r="CK98" i="20"/>
  <c r="CK99" i="20"/>
  <c r="CK100" i="20"/>
  <c r="CK101" i="20"/>
  <c r="CK102" i="20"/>
  <c r="CK103" i="20"/>
  <c r="CK104" i="20"/>
  <c r="CK105" i="20"/>
  <c r="CK106" i="20"/>
  <c r="CK107" i="20"/>
  <c r="CK108" i="20"/>
  <c r="CK109" i="20"/>
  <c r="CK110" i="20"/>
  <c r="CK111" i="20"/>
  <c r="CK112" i="20"/>
  <c r="CK113" i="20"/>
  <c r="CK114" i="20"/>
  <c r="CK115" i="20"/>
  <c r="CK116" i="20"/>
  <c r="CK117" i="20"/>
  <c r="CK118" i="20"/>
  <c r="CK119" i="20"/>
  <c r="CK120" i="20"/>
  <c r="CK121" i="20"/>
  <c r="CK122" i="20"/>
  <c r="CK123" i="20"/>
  <c r="CK124" i="20"/>
  <c r="CK125" i="20"/>
  <c r="CK126" i="20"/>
  <c r="CK127" i="20"/>
  <c r="CK128" i="20"/>
  <c r="CK129" i="20"/>
  <c r="CK130" i="20"/>
  <c r="CK131" i="20"/>
  <c r="CK132" i="20"/>
  <c r="CK133" i="20"/>
  <c r="CK134" i="20"/>
  <c r="CK135" i="20"/>
  <c r="CK136" i="20"/>
  <c r="CK137" i="20"/>
  <c r="CK138" i="20"/>
  <c r="CK139" i="20"/>
  <c r="CK140" i="20"/>
  <c r="CK141" i="20"/>
  <c r="CK142" i="20"/>
  <c r="CK143" i="20"/>
  <c r="CK144" i="20"/>
  <c r="CK145" i="20"/>
  <c r="CK146" i="20"/>
  <c r="CK147" i="20"/>
  <c r="CK148" i="20"/>
  <c r="CK149" i="20"/>
  <c r="CK150" i="20"/>
  <c r="CK151" i="20"/>
  <c r="CK152" i="20"/>
  <c r="CK153" i="20"/>
  <c r="CK154" i="20"/>
  <c r="CK155" i="20"/>
  <c r="CK156" i="20"/>
  <c r="CK157" i="20"/>
  <c r="CK158" i="20"/>
  <c r="CK159" i="20"/>
  <c r="CK160" i="20"/>
  <c r="CK161" i="20"/>
  <c r="CK162" i="20"/>
  <c r="CK163" i="20"/>
  <c r="CK164" i="20"/>
  <c r="CK165" i="20"/>
  <c r="CK166" i="20"/>
  <c r="CK167" i="20"/>
  <c r="CK168" i="20"/>
  <c r="CK169" i="20"/>
  <c r="CK170" i="20"/>
  <c r="CK3" i="20"/>
  <c r="BW3" i="20"/>
  <c r="BU3" i="20"/>
  <c r="BS3" i="20"/>
  <c r="CG170" i="20"/>
  <c r="CG169" i="20"/>
  <c r="CG168" i="20"/>
  <c r="CG167" i="20"/>
  <c r="CG166" i="20"/>
  <c r="CG165" i="20"/>
  <c r="CG164" i="20"/>
  <c r="CG163" i="20"/>
  <c r="CG162" i="20"/>
  <c r="CG161" i="20"/>
  <c r="CG160" i="20"/>
  <c r="CG159" i="20"/>
  <c r="CG158" i="20"/>
  <c r="CG157" i="20"/>
  <c r="CG156" i="20"/>
  <c r="CG155" i="20"/>
  <c r="CG154" i="20"/>
  <c r="CG153" i="20"/>
  <c r="CG152" i="20"/>
  <c r="CG151" i="20"/>
  <c r="CG150" i="20"/>
  <c r="CG149" i="20"/>
  <c r="CG148" i="20"/>
  <c r="CG147" i="20"/>
  <c r="CG146" i="20"/>
  <c r="CG145" i="20"/>
  <c r="CG144" i="20"/>
  <c r="CG143" i="20"/>
  <c r="CG142" i="20"/>
  <c r="CG141" i="20"/>
  <c r="CG140" i="20"/>
  <c r="CG139" i="20"/>
  <c r="CG138" i="20"/>
  <c r="CG137" i="20"/>
  <c r="CG136" i="20"/>
  <c r="CG135" i="20"/>
  <c r="CG134" i="20"/>
  <c r="CG133" i="20"/>
  <c r="CG132" i="20"/>
  <c r="CG131" i="20"/>
  <c r="CG130" i="20"/>
  <c r="CG129" i="20"/>
  <c r="CG128" i="20"/>
  <c r="CG127" i="20"/>
  <c r="CG126" i="20"/>
  <c r="CG125" i="20"/>
  <c r="CG124" i="20"/>
  <c r="CG123" i="20"/>
  <c r="CG122" i="20"/>
  <c r="CG121" i="20"/>
  <c r="CG120" i="20"/>
  <c r="CG119" i="20"/>
  <c r="CG118" i="20"/>
  <c r="CG117" i="20"/>
  <c r="CG116" i="20"/>
  <c r="CG115" i="20"/>
  <c r="CG114" i="20"/>
  <c r="CG113" i="20"/>
  <c r="CG112" i="20"/>
  <c r="CG111" i="20"/>
  <c r="CG110" i="20"/>
  <c r="CG109" i="20"/>
  <c r="CG108" i="20"/>
  <c r="CG107" i="20"/>
  <c r="CG106" i="20"/>
  <c r="CG105" i="20"/>
  <c r="CG104" i="20"/>
  <c r="CG103" i="20"/>
  <c r="CG102" i="20"/>
  <c r="CG101" i="20"/>
  <c r="CG100" i="20"/>
  <c r="CG99" i="20"/>
  <c r="CG98" i="20"/>
  <c r="CG97" i="20"/>
  <c r="CG96" i="20"/>
  <c r="CG95" i="20"/>
  <c r="CG94" i="20"/>
  <c r="CG93" i="20"/>
  <c r="CG92" i="20"/>
  <c r="CG91" i="20"/>
  <c r="CG90" i="20"/>
  <c r="CG89" i="20"/>
  <c r="CG88" i="20"/>
  <c r="CG87" i="20"/>
  <c r="CG86" i="20"/>
  <c r="CG85" i="20"/>
  <c r="CG84" i="20"/>
  <c r="CG83" i="20"/>
  <c r="CG82" i="20"/>
  <c r="CG81" i="20"/>
  <c r="CG80" i="20"/>
  <c r="CG79" i="20"/>
  <c r="CG78" i="20"/>
  <c r="CG77" i="20"/>
  <c r="CG76" i="20"/>
  <c r="CG75" i="20"/>
  <c r="CG74" i="20"/>
  <c r="CG73" i="20"/>
  <c r="CG72" i="20"/>
  <c r="CG71" i="20"/>
  <c r="CG70" i="20"/>
  <c r="CG69" i="20"/>
  <c r="CG68" i="20"/>
  <c r="CG67" i="20"/>
  <c r="CG66" i="20"/>
  <c r="CG65" i="20"/>
  <c r="CG64" i="20"/>
  <c r="CG63" i="20"/>
  <c r="CG62" i="20"/>
  <c r="CG61" i="20"/>
  <c r="CG60" i="20"/>
  <c r="CG59" i="20"/>
  <c r="CG58" i="20"/>
  <c r="CG57" i="20"/>
  <c r="CG56" i="20"/>
  <c r="CG55" i="20"/>
  <c r="CG54" i="20"/>
  <c r="CG53" i="20"/>
  <c r="CG52" i="20"/>
  <c r="CG51" i="20"/>
  <c r="CG50" i="20"/>
  <c r="CG49" i="20"/>
  <c r="CG48" i="20"/>
  <c r="CG47" i="20"/>
  <c r="CG46" i="20"/>
  <c r="CG45" i="20"/>
  <c r="CG44" i="20"/>
  <c r="CG43" i="20"/>
  <c r="CG42" i="20"/>
  <c r="CG41" i="20"/>
  <c r="CG40" i="20"/>
  <c r="CG39" i="20"/>
  <c r="CG38" i="20"/>
  <c r="CG37" i="20"/>
  <c r="CG36" i="20"/>
  <c r="CG35" i="20"/>
  <c r="CG34" i="20"/>
  <c r="CG33" i="20"/>
  <c r="CG32" i="20"/>
  <c r="CG31" i="20"/>
  <c r="CG30" i="20"/>
  <c r="CG29" i="20"/>
  <c r="CG28" i="20"/>
  <c r="CG27" i="20"/>
  <c r="CG26" i="20"/>
  <c r="CG25" i="20"/>
  <c r="CG24" i="20"/>
  <c r="CG23" i="20"/>
  <c r="CG22" i="20"/>
  <c r="CG21" i="20"/>
  <c r="CG20" i="20"/>
  <c r="CG19" i="20"/>
  <c r="CG18" i="20"/>
  <c r="CG17" i="20"/>
  <c r="CG16" i="20"/>
  <c r="CG15" i="20"/>
  <c r="CG14" i="20"/>
  <c r="CG13" i="20"/>
  <c r="CG12" i="20"/>
  <c r="CG11" i="20"/>
  <c r="CG10" i="20"/>
  <c r="CG9" i="20"/>
  <c r="CG8" i="20"/>
  <c r="CG7" i="20"/>
  <c r="CG6" i="20"/>
  <c r="CG5" i="20"/>
  <c r="CG4" i="20"/>
  <c r="CG3" i="20"/>
  <c r="CE170" i="20"/>
  <c r="CE169" i="20"/>
  <c r="CE168" i="20"/>
  <c r="CE167" i="20"/>
  <c r="CE166" i="20"/>
  <c r="CE165" i="20"/>
  <c r="CE164" i="20"/>
  <c r="CE163" i="20"/>
  <c r="CE162" i="20"/>
  <c r="CE161" i="20"/>
  <c r="CE160" i="20"/>
  <c r="CE159" i="20"/>
  <c r="CE158" i="20"/>
  <c r="CE157" i="20"/>
  <c r="CE156" i="20"/>
  <c r="CE155" i="20"/>
  <c r="CE154" i="20"/>
  <c r="CE153" i="20"/>
  <c r="CE152" i="20"/>
  <c r="CE151" i="20"/>
  <c r="CE150" i="20"/>
  <c r="CE149" i="20"/>
  <c r="CE148" i="20"/>
  <c r="CE147" i="20"/>
  <c r="CE146" i="20"/>
  <c r="CE145" i="20"/>
  <c r="CE144" i="20"/>
  <c r="CE143" i="20"/>
  <c r="CE142" i="20"/>
  <c r="CE141" i="20"/>
  <c r="CE140" i="20"/>
  <c r="CE139" i="20"/>
  <c r="CE138" i="20"/>
  <c r="CE137" i="20"/>
  <c r="CE136" i="20"/>
  <c r="CE135" i="20"/>
  <c r="CE134" i="20"/>
  <c r="CE133" i="20"/>
  <c r="CE132" i="20"/>
  <c r="CE131" i="20"/>
  <c r="CE130" i="20"/>
  <c r="CE129" i="20"/>
  <c r="CE128" i="20"/>
  <c r="CE127" i="20"/>
  <c r="CE126" i="20"/>
  <c r="CE125" i="20"/>
  <c r="CE124" i="20"/>
  <c r="CE123" i="20"/>
  <c r="CE122" i="20"/>
  <c r="CE121" i="20"/>
  <c r="CE120" i="20"/>
  <c r="CE119" i="20"/>
  <c r="CE118" i="20"/>
  <c r="CE117" i="20"/>
  <c r="CE116" i="20"/>
  <c r="CE115" i="20"/>
  <c r="CE114" i="20"/>
  <c r="CE113" i="20"/>
  <c r="CE112" i="20"/>
  <c r="CE111" i="20"/>
  <c r="CE110" i="20"/>
  <c r="CE109" i="20"/>
  <c r="CE108" i="20"/>
  <c r="CE107" i="20"/>
  <c r="CE106" i="20"/>
  <c r="CE105" i="20"/>
  <c r="CE104" i="20"/>
  <c r="CE103" i="20"/>
  <c r="CE102" i="20"/>
  <c r="CE101" i="20"/>
  <c r="CE100" i="20"/>
  <c r="CE99" i="20"/>
  <c r="CE98" i="20"/>
  <c r="CE97" i="20"/>
  <c r="CE96" i="20"/>
  <c r="CE95" i="20"/>
  <c r="CE94" i="20"/>
  <c r="CE93" i="20"/>
  <c r="CE92" i="20"/>
  <c r="CE91" i="20"/>
  <c r="CE90" i="20"/>
  <c r="CE89" i="20"/>
  <c r="CE88" i="20"/>
  <c r="CE87" i="20"/>
  <c r="CE86" i="20"/>
  <c r="CE85" i="20"/>
  <c r="CE84" i="20"/>
  <c r="CE83" i="20"/>
  <c r="CE82" i="20"/>
  <c r="CE81" i="20"/>
  <c r="CE80" i="20"/>
  <c r="CE79" i="20"/>
  <c r="CE78" i="20"/>
  <c r="CE77" i="20"/>
  <c r="CE76" i="20"/>
  <c r="CE75" i="20"/>
  <c r="CE74" i="20"/>
  <c r="CE73" i="20"/>
  <c r="CE72" i="20"/>
  <c r="CE71" i="20"/>
  <c r="CE70" i="20"/>
  <c r="CE69" i="20"/>
  <c r="CE68" i="20"/>
  <c r="CE67" i="20"/>
  <c r="CE66" i="20"/>
  <c r="CE65" i="20"/>
  <c r="CE64" i="20"/>
  <c r="CE63" i="20"/>
  <c r="CE62" i="20"/>
  <c r="CE61" i="20"/>
  <c r="CE60" i="20"/>
  <c r="CE59" i="20"/>
  <c r="CE58" i="20"/>
  <c r="CE57" i="20"/>
  <c r="CE56" i="20"/>
  <c r="CE55" i="20"/>
  <c r="CE54" i="20"/>
  <c r="CE53" i="20"/>
  <c r="CE52" i="20"/>
  <c r="CE51" i="20"/>
  <c r="CE50" i="20"/>
  <c r="CE49" i="20"/>
  <c r="CE48" i="20"/>
  <c r="CE47" i="20"/>
  <c r="CE46" i="20"/>
  <c r="CE45" i="20"/>
  <c r="CE44" i="20"/>
  <c r="CE43" i="20"/>
  <c r="CE42" i="20"/>
  <c r="CE41" i="20"/>
  <c r="CE40" i="20"/>
  <c r="CE39" i="20"/>
  <c r="CE38" i="20"/>
  <c r="CE37" i="20"/>
  <c r="CE36" i="20"/>
  <c r="CE35" i="20"/>
  <c r="CE34" i="20"/>
  <c r="CE33" i="20"/>
  <c r="CE32" i="20"/>
  <c r="CE31" i="20"/>
  <c r="CE30" i="20"/>
  <c r="CE29" i="20"/>
  <c r="CE28" i="20"/>
  <c r="CE27" i="20"/>
  <c r="CE26" i="20"/>
  <c r="CE25" i="20"/>
  <c r="CE24" i="20"/>
  <c r="CE23" i="20"/>
  <c r="CE22" i="20"/>
  <c r="CE21" i="20"/>
  <c r="CE20" i="20"/>
  <c r="CE19" i="20"/>
  <c r="CE18" i="20"/>
  <c r="CE17" i="20"/>
  <c r="CE16" i="20"/>
  <c r="CE15" i="20"/>
  <c r="CE14" i="20"/>
  <c r="CE13" i="20"/>
  <c r="CE12" i="20"/>
  <c r="CE11" i="20"/>
  <c r="CE10" i="20"/>
  <c r="CE9" i="20"/>
  <c r="CE8" i="20"/>
  <c r="CE7" i="20"/>
  <c r="CE6" i="20"/>
  <c r="CE5" i="20"/>
  <c r="CE4" i="20"/>
  <c r="CE3" i="20"/>
  <c r="CC170" i="20"/>
  <c r="CC169" i="20"/>
  <c r="CC168" i="20"/>
  <c r="CC167" i="20"/>
  <c r="CC166" i="20"/>
  <c r="CC165" i="20"/>
  <c r="CC164" i="20"/>
  <c r="CC163" i="20"/>
  <c r="CC162" i="20"/>
  <c r="CC161" i="20"/>
  <c r="CC160" i="20"/>
  <c r="CC159" i="20"/>
  <c r="CC158" i="20"/>
  <c r="CC157" i="20"/>
  <c r="CC156" i="20"/>
  <c r="CC155" i="20"/>
  <c r="CC154" i="20"/>
  <c r="CC153" i="20"/>
  <c r="CC152" i="20"/>
  <c r="CC151" i="20"/>
  <c r="CC150" i="20"/>
  <c r="CC149" i="20"/>
  <c r="CC148" i="20"/>
  <c r="CC147" i="20"/>
  <c r="CC146" i="20"/>
  <c r="CC145" i="20"/>
  <c r="CC144" i="20"/>
  <c r="CC143" i="20"/>
  <c r="CC142" i="20"/>
  <c r="CC141" i="20"/>
  <c r="CC140" i="20"/>
  <c r="CC139" i="20"/>
  <c r="CC138" i="20"/>
  <c r="CC137" i="20"/>
  <c r="CC136" i="20"/>
  <c r="CC135" i="20"/>
  <c r="CC134" i="20"/>
  <c r="CC133" i="20"/>
  <c r="CC132" i="20"/>
  <c r="CC131" i="20"/>
  <c r="CC130" i="20"/>
  <c r="CC129" i="20"/>
  <c r="CC128" i="20"/>
  <c r="CC127" i="20"/>
  <c r="CC126" i="20"/>
  <c r="CC125" i="20"/>
  <c r="CC124" i="20"/>
  <c r="CC123" i="20"/>
  <c r="CC122" i="20"/>
  <c r="CC121" i="20"/>
  <c r="CC120" i="20"/>
  <c r="CC119" i="20"/>
  <c r="CC118" i="20"/>
  <c r="CC117" i="20"/>
  <c r="CC116" i="20"/>
  <c r="CC115" i="20"/>
  <c r="CC114" i="20"/>
  <c r="CC113" i="20"/>
  <c r="CC112" i="20"/>
  <c r="CC111" i="20"/>
  <c r="CC110" i="20"/>
  <c r="CC109" i="20"/>
  <c r="CC108" i="20"/>
  <c r="CC107" i="20"/>
  <c r="CC106" i="20"/>
  <c r="CC105" i="20"/>
  <c r="CC104" i="20"/>
  <c r="CC103" i="20"/>
  <c r="CC102" i="20"/>
  <c r="CC101" i="20"/>
  <c r="CC100" i="20"/>
  <c r="CC99" i="20"/>
  <c r="CC98" i="20"/>
  <c r="CC97" i="20"/>
  <c r="CC96" i="20"/>
  <c r="CC95" i="20"/>
  <c r="CC94" i="20"/>
  <c r="CC93" i="20"/>
  <c r="CC92" i="20"/>
  <c r="CC91" i="20"/>
  <c r="CC90" i="20"/>
  <c r="CC89" i="20"/>
  <c r="CC88" i="20"/>
  <c r="CC87" i="20"/>
  <c r="CC86" i="20"/>
  <c r="CC85" i="20"/>
  <c r="CC84" i="20"/>
  <c r="CC83" i="20"/>
  <c r="CC82" i="20"/>
  <c r="CC81" i="20"/>
  <c r="CC80" i="20"/>
  <c r="CC79" i="20"/>
  <c r="CC78" i="20"/>
  <c r="CC77" i="20"/>
  <c r="CC76" i="20"/>
  <c r="CC75" i="20"/>
  <c r="CC74" i="20"/>
  <c r="CC73" i="20"/>
  <c r="CC72" i="20"/>
  <c r="CC71" i="20"/>
  <c r="CC70" i="20"/>
  <c r="CC69" i="20"/>
  <c r="CC68" i="20"/>
  <c r="CC67" i="20"/>
  <c r="CC66" i="20"/>
  <c r="CC65" i="20"/>
  <c r="CC64" i="20"/>
  <c r="CC63" i="20"/>
  <c r="CC62" i="20"/>
  <c r="CC61" i="20"/>
  <c r="CC60" i="20"/>
  <c r="CC59" i="20"/>
  <c r="CC58" i="20"/>
  <c r="CC57" i="20"/>
  <c r="CC56" i="20"/>
  <c r="CC55" i="20"/>
  <c r="CC54" i="20"/>
  <c r="CC53" i="20"/>
  <c r="CC52" i="20"/>
  <c r="CC51" i="20"/>
  <c r="CC50" i="20"/>
  <c r="CC49" i="20"/>
  <c r="CC48" i="20"/>
  <c r="CC47" i="20"/>
  <c r="CC46" i="20"/>
  <c r="CC45" i="20"/>
  <c r="CC44" i="20"/>
  <c r="CC43" i="20"/>
  <c r="CC42" i="20"/>
  <c r="CC41" i="20"/>
  <c r="CC40" i="20"/>
  <c r="CC39" i="20"/>
  <c r="CC38" i="20"/>
  <c r="CC37" i="20"/>
  <c r="CC36" i="20"/>
  <c r="CC35" i="20"/>
  <c r="CC34" i="20"/>
  <c r="CC33" i="20"/>
  <c r="CC32" i="20"/>
  <c r="CC31" i="20"/>
  <c r="CC30" i="20"/>
  <c r="CC29" i="20"/>
  <c r="CC28" i="20"/>
  <c r="CC27" i="20"/>
  <c r="CC26" i="20"/>
  <c r="CC25" i="20"/>
  <c r="CC24" i="20"/>
  <c r="CC23" i="20"/>
  <c r="CC22" i="20"/>
  <c r="CC21" i="20"/>
  <c r="CC20" i="20"/>
  <c r="CC19" i="20"/>
  <c r="CC18" i="20"/>
  <c r="CC17" i="20"/>
  <c r="CC16" i="20"/>
  <c r="CC15" i="20"/>
  <c r="CC14" i="20"/>
  <c r="CC13" i="20"/>
  <c r="CC12" i="20"/>
  <c r="CC11" i="20"/>
  <c r="CC10" i="20"/>
  <c r="CC9" i="20"/>
  <c r="CC8" i="20"/>
  <c r="CC7" i="20"/>
  <c r="CC6" i="20"/>
  <c r="CC5" i="20"/>
  <c r="CC4" i="20"/>
  <c r="CC3" i="20"/>
  <c r="CA170" i="20"/>
  <c r="CA169" i="20"/>
  <c r="CA168" i="20"/>
  <c r="CA167" i="20"/>
  <c r="CA166" i="20"/>
  <c r="CA165" i="20"/>
  <c r="CA164" i="20"/>
  <c r="CA163" i="20"/>
  <c r="CA162" i="20"/>
  <c r="CA161" i="20"/>
  <c r="CA160" i="20"/>
  <c r="CA159" i="20"/>
  <c r="CA158" i="20"/>
  <c r="CA157" i="20"/>
  <c r="CA156" i="20"/>
  <c r="CA155" i="20"/>
  <c r="CA154" i="20"/>
  <c r="CA153" i="20"/>
  <c r="CA152" i="20"/>
  <c r="CA151" i="20"/>
  <c r="CA150" i="20"/>
  <c r="CA149" i="20"/>
  <c r="CA148" i="20"/>
  <c r="CA147" i="20"/>
  <c r="CA146" i="20"/>
  <c r="CA145" i="20"/>
  <c r="CA144" i="20"/>
  <c r="CA143" i="20"/>
  <c r="CA142" i="20"/>
  <c r="CA141" i="20"/>
  <c r="CA140" i="20"/>
  <c r="CA139" i="20"/>
  <c r="CA138" i="20"/>
  <c r="CA137" i="20"/>
  <c r="CA136" i="20"/>
  <c r="CA135" i="20"/>
  <c r="CA134" i="20"/>
  <c r="CA133" i="20"/>
  <c r="CA132" i="20"/>
  <c r="CA131" i="20"/>
  <c r="CA130" i="20"/>
  <c r="CA129" i="20"/>
  <c r="CA128" i="20"/>
  <c r="CA127" i="20"/>
  <c r="CA126" i="20"/>
  <c r="CA125" i="20"/>
  <c r="CA124" i="20"/>
  <c r="CA123" i="20"/>
  <c r="CA122" i="20"/>
  <c r="CA121" i="20"/>
  <c r="CA120" i="20"/>
  <c r="CA119" i="20"/>
  <c r="CA118" i="20"/>
  <c r="CA117" i="20"/>
  <c r="CA116" i="20"/>
  <c r="CA115" i="20"/>
  <c r="CA114" i="20"/>
  <c r="CA113" i="20"/>
  <c r="CA112" i="20"/>
  <c r="CA111" i="20"/>
  <c r="CA110" i="20"/>
  <c r="CA109" i="20"/>
  <c r="CA108" i="20"/>
  <c r="CA107" i="20"/>
  <c r="CA106" i="20"/>
  <c r="CA105" i="20"/>
  <c r="CA104" i="20"/>
  <c r="CA103" i="20"/>
  <c r="CA102" i="20"/>
  <c r="CA101" i="20"/>
  <c r="CA100" i="20"/>
  <c r="CA99" i="20"/>
  <c r="CA98" i="20"/>
  <c r="CA97" i="20"/>
  <c r="CA96" i="20"/>
  <c r="CA95" i="20"/>
  <c r="CA94" i="20"/>
  <c r="CA93" i="20"/>
  <c r="CA92" i="20"/>
  <c r="CA91" i="20"/>
  <c r="CA90" i="20"/>
  <c r="CA89" i="20"/>
  <c r="CA88" i="20"/>
  <c r="CA87" i="20"/>
  <c r="CA86" i="20"/>
  <c r="CA85" i="20"/>
  <c r="CA84" i="20"/>
  <c r="CA83" i="20"/>
  <c r="CA82" i="20"/>
  <c r="CA81" i="20"/>
  <c r="CA80" i="20"/>
  <c r="CA79" i="20"/>
  <c r="CA78" i="20"/>
  <c r="CA77" i="20"/>
  <c r="CA76" i="20"/>
  <c r="CA75" i="20"/>
  <c r="CA74" i="20"/>
  <c r="CA73" i="20"/>
  <c r="CA72" i="20"/>
  <c r="CA71" i="20"/>
  <c r="CA70" i="20"/>
  <c r="CA69" i="20"/>
  <c r="CA68" i="20"/>
  <c r="CA67" i="20"/>
  <c r="CA66" i="20"/>
  <c r="CA65" i="20"/>
  <c r="CA64" i="20"/>
  <c r="CA63" i="20"/>
  <c r="CA62" i="20"/>
  <c r="CA61" i="20"/>
  <c r="CA60" i="20"/>
  <c r="CA59" i="20"/>
  <c r="CA58" i="20"/>
  <c r="CA57" i="20"/>
  <c r="CA56" i="20"/>
  <c r="CA55" i="20"/>
  <c r="CA54" i="20"/>
  <c r="CA53" i="20"/>
  <c r="CA52" i="20"/>
  <c r="CA51" i="20"/>
  <c r="CA50" i="20"/>
  <c r="CA49" i="20"/>
  <c r="CA48" i="20"/>
  <c r="CA47" i="20"/>
  <c r="CA46" i="20"/>
  <c r="CA45" i="20"/>
  <c r="CA44" i="20"/>
  <c r="CA43" i="20"/>
  <c r="CA42" i="20"/>
  <c r="CA41" i="20"/>
  <c r="CA40" i="20"/>
  <c r="CA39" i="20"/>
  <c r="CA38" i="20"/>
  <c r="CA37" i="20"/>
  <c r="CA36" i="20"/>
  <c r="CA35" i="20"/>
  <c r="CA34" i="20"/>
  <c r="CA33" i="20"/>
  <c r="CA32" i="20"/>
  <c r="CA31" i="20"/>
  <c r="CA30" i="20"/>
  <c r="CA29" i="20"/>
  <c r="CA28" i="20"/>
  <c r="CA27" i="20"/>
  <c r="CA26" i="20"/>
  <c r="CA25" i="20"/>
  <c r="CA24" i="20"/>
  <c r="CA23" i="20"/>
  <c r="CA22" i="20"/>
  <c r="CA21" i="20"/>
  <c r="CA20" i="20"/>
  <c r="CA19" i="20"/>
  <c r="CA18" i="20"/>
  <c r="CA17" i="20"/>
  <c r="CA16" i="20"/>
  <c r="CA15" i="20"/>
  <c r="CA14" i="20"/>
  <c r="CA13" i="20"/>
  <c r="CA12" i="20"/>
  <c r="CA11" i="20"/>
  <c r="CA10" i="20"/>
  <c r="CA9" i="20"/>
  <c r="CA8" i="20"/>
  <c r="CA7" i="20"/>
  <c r="CA6" i="20"/>
  <c r="CA5" i="20"/>
  <c r="CA4" i="20"/>
  <c r="CA3" i="20"/>
  <c r="BY170" i="20"/>
  <c r="BY169" i="20"/>
  <c r="BY168" i="20"/>
  <c r="BY167" i="20"/>
  <c r="BY166" i="20"/>
  <c r="BY165" i="20"/>
  <c r="BY164" i="20"/>
  <c r="BY163" i="20"/>
  <c r="BY162" i="20"/>
  <c r="BY161" i="20"/>
  <c r="BY160" i="20"/>
  <c r="BY159" i="20"/>
  <c r="BY158" i="20"/>
  <c r="BY157" i="20"/>
  <c r="BY156" i="20"/>
  <c r="BY155" i="20"/>
  <c r="BY154" i="20"/>
  <c r="BY153" i="20"/>
  <c r="BY152" i="20"/>
  <c r="BY151" i="20"/>
  <c r="BY150" i="20"/>
  <c r="BY149" i="20"/>
  <c r="BY148" i="20"/>
  <c r="BY147" i="20"/>
  <c r="BY146" i="20"/>
  <c r="BY145" i="20"/>
  <c r="BY144" i="20"/>
  <c r="BY143" i="20"/>
  <c r="BY142" i="20"/>
  <c r="BY141" i="20"/>
  <c r="BY140" i="20"/>
  <c r="BY139" i="20"/>
  <c r="BY138" i="20"/>
  <c r="BY137" i="20"/>
  <c r="BY136" i="20"/>
  <c r="BY135" i="20"/>
  <c r="BY134" i="20"/>
  <c r="BY133" i="20"/>
  <c r="BY132" i="20"/>
  <c r="BY131" i="20"/>
  <c r="BY130" i="20"/>
  <c r="BY129" i="20"/>
  <c r="BY128" i="20"/>
  <c r="BY127" i="20"/>
  <c r="BY126" i="20"/>
  <c r="BY125" i="20"/>
  <c r="BY124" i="20"/>
  <c r="BY123" i="20"/>
  <c r="BY122" i="20"/>
  <c r="BY121" i="20"/>
  <c r="BY120" i="20"/>
  <c r="BY119" i="20"/>
  <c r="BY118" i="20"/>
  <c r="BY117" i="20"/>
  <c r="BY116" i="20"/>
  <c r="BY115" i="20"/>
  <c r="BY114" i="20"/>
  <c r="BY113" i="20"/>
  <c r="BY112" i="20"/>
  <c r="BY111" i="20"/>
  <c r="BY110" i="20"/>
  <c r="BY109" i="20"/>
  <c r="BY108" i="20"/>
  <c r="BY107" i="20"/>
  <c r="BY106" i="20"/>
  <c r="BY105" i="20"/>
  <c r="BY104" i="20"/>
  <c r="BY103" i="20"/>
  <c r="BY102" i="20"/>
  <c r="BY101" i="20"/>
  <c r="BY100" i="20"/>
  <c r="BY99" i="20"/>
  <c r="BY98" i="20"/>
  <c r="BY97" i="20"/>
  <c r="BY96" i="20"/>
  <c r="BY95" i="20"/>
  <c r="BY94" i="20"/>
  <c r="BY93" i="20"/>
  <c r="BY92" i="20"/>
  <c r="BY91" i="20"/>
  <c r="BY90" i="20"/>
  <c r="BY89" i="20"/>
  <c r="BY88" i="20"/>
  <c r="BY87" i="20"/>
  <c r="BY86" i="20"/>
  <c r="BY85" i="20"/>
  <c r="BY84" i="20"/>
  <c r="BY83" i="20"/>
  <c r="BY82" i="20"/>
  <c r="BY81" i="20"/>
  <c r="BY80" i="20"/>
  <c r="BY79" i="20"/>
  <c r="BY78" i="20"/>
  <c r="BY77" i="20"/>
  <c r="BY76" i="20"/>
  <c r="BY75" i="20"/>
  <c r="BY74" i="20"/>
  <c r="BY73" i="20"/>
  <c r="BY72" i="20"/>
  <c r="BY71" i="20"/>
  <c r="BY70" i="20"/>
  <c r="BY69" i="20"/>
  <c r="BY68" i="20"/>
  <c r="BY67" i="20"/>
  <c r="BY66" i="20"/>
  <c r="BY65" i="20"/>
  <c r="BY64" i="20"/>
  <c r="BY63" i="20"/>
  <c r="BY62" i="20"/>
  <c r="BY61" i="20"/>
  <c r="BY60" i="20"/>
  <c r="BY59" i="20"/>
  <c r="BY58" i="20"/>
  <c r="BY57" i="20"/>
  <c r="BY56" i="20"/>
  <c r="BY55" i="20"/>
  <c r="BY54" i="20"/>
  <c r="BY53" i="20"/>
  <c r="BY52" i="20"/>
  <c r="BY51" i="20"/>
  <c r="BY50" i="20"/>
  <c r="BY49" i="20"/>
  <c r="BY48" i="20"/>
  <c r="BY47" i="20"/>
  <c r="BY46" i="20"/>
  <c r="BY45" i="20"/>
  <c r="BY44" i="20"/>
  <c r="BY43" i="20"/>
  <c r="BY42" i="20"/>
  <c r="BY41" i="20"/>
  <c r="BY40" i="20"/>
  <c r="BY39" i="20"/>
  <c r="BY38" i="20"/>
  <c r="BY37" i="20"/>
  <c r="BY36" i="20"/>
  <c r="BY35" i="20"/>
  <c r="BY34" i="20"/>
  <c r="BY33" i="20"/>
  <c r="BY32" i="20"/>
  <c r="BY31" i="20"/>
  <c r="BY30" i="20"/>
  <c r="BY29" i="20"/>
  <c r="BY28" i="20"/>
  <c r="BY27" i="20"/>
  <c r="BY26" i="20"/>
  <c r="BY25" i="20"/>
  <c r="BY24" i="20"/>
  <c r="BY23" i="20"/>
  <c r="BY22" i="20"/>
  <c r="BY21" i="20"/>
  <c r="BY20" i="20"/>
  <c r="BY19" i="20"/>
  <c r="BY18" i="20"/>
  <c r="BY17" i="20"/>
  <c r="BY16" i="20"/>
  <c r="BY15" i="20"/>
  <c r="BY14" i="20"/>
  <c r="BY13" i="20"/>
  <c r="BY12" i="20"/>
  <c r="BY11" i="20"/>
  <c r="BY10" i="20"/>
  <c r="BY9" i="20"/>
  <c r="BY8" i="20"/>
  <c r="BY7" i="20"/>
  <c r="BY6" i="20"/>
  <c r="BY5" i="20"/>
  <c r="BY4" i="20"/>
  <c r="BY3" i="20"/>
  <c r="BW170" i="20"/>
  <c r="BW169" i="20"/>
  <c r="BW168" i="20"/>
  <c r="BW167" i="20"/>
  <c r="BW166" i="20"/>
  <c r="BW165" i="20"/>
  <c r="BW164" i="20"/>
  <c r="BW163" i="20"/>
  <c r="BW162" i="20"/>
  <c r="BW161" i="20"/>
  <c r="BW160" i="20"/>
  <c r="BW159" i="20"/>
  <c r="BW158" i="20"/>
  <c r="BW157" i="20"/>
  <c r="BW156" i="20"/>
  <c r="BW155" i="20"/>
  <c r="BW154" i="20"/>
  <c r="BW153" i="20"/>
  <c r="BW152" i="20"/>
  <c r="BW151" i="20"/>
  <c r="BW150" i="20"/>
  <c r="BW149" i="20"/>
  <c r="BW148" i="20"/>
  <c r="BW147" i="20"/>
  <c r="BW146" i="20"/>
  <c r="BW145" i="20"/>
  <c r="BW144" i="20"/>
  <c r="BW143" i="20"/>
  <c r="BW142" i="20"/>
  <c r="BW141" i="20"/>
  <c r="BW140" i="20"/>
  <c r="BW139" i="20"/>
  <c r="BW138" i="20"/>
  <c r="BW137" i="20"/>
  <c r="BW136" i="20"/>
  <c r="BW135" i="20"/>
  <c r="BW134" i="20"/>
  <c r="BW133" i="20"/>
  <c r="BW132" i="20"/>
  <c r="BW131" i="20"/>
  <c r="BW130" i="20"/>
  <c r="BW129" i="20"/>
  <c r="BW128" i="20"/>
  <c r="BW127" i="20"/>
  <c r="BW126" i="20"/>
  <c r="BW125" i="20"/>
  <c r="BW124" i="20"/>
  <c r="BW123" i="20"/>
  <c r="BW122" i="20"/>
  <c r="BW121" i="20"/>
  <c r="BW120" i="20"/>
  <c r="BW119" i="20"/>
  <c r="BW118" i="20"/>
  <c r="BW117" i="20"/>
  <c r="BW116" i="20"/>
  <c r="BW115" i="20"/>
  <c r="BW114" i="20"/>
  <c r="BW113" i="20"/>
  <c r="BW112" i="20"/>
  <c r="BW111" i="20"/>
  <c r="BW110" i="20"/>
  <c r="BW109" i="20"/>
  <c r="BW108" i="20"/>
  <c r="BW107" i="20"/>
  <c r="BW106" i="20"/>
  <c r="BW105" i="20"/>
  <c r="BW104" i="20"/>
  <c r="BW103" i="20"/>
  <c r="BW102" i="20"/>
  <c r="BW101" i="20"/>
  <c r="BW100" i="20"/>
  <c r="BW99" i="20"/>
  <c r="BW98" i="20"/>
  <c r="BW97" i="20"/>
  <c r="BW96" i="20"/>
  <c r="BW95" i="20"/>
  <c r="BW94" i="20"/>
  <c r="BW93" i="20"/>
  <c r="BW92" i="20"/>
  <c r="BW91" i="20"/>
  <c r="BW90" i="20"/>
  <c r="BW89" i="20"/>
  <c r="BW88" i="20"/>
  <c r="BW87" i="20"/>
  <c r="BW86" i="20"/>
  <c r="BW85" i="20"/>
  <c r="BW84" i="20"/>
  <c r="BW83" i="20"/>
  <c r="BW82" i="20"/>
  <c r="BW81" i="20"/>
  <c r="BW80" i="20"/>
  <c r="BW79" i="20"/>
  <c r="BW78" i="20"/>
  <c r="BW77" i="20"/>
  <c r="BW76" i="20"/>
  <c r="BW75" i="20"/>
  <c r="BW74" i="20"/>
  <c r="BW73" i="20"/>
  <c r="BW72" i="20"/>
  <c r="BW71" i="20"/>
  <c r="BW70" i="20"/>
  <c r="BW69" i="20"/>
  <c r="BW68" i="20"/>
  <c r="BW67" i="20"/>
  <c r="BW66" i="20"/>
  <c r="BW65" i="20"/>
  <c r="BW64" i="20"/>
  <c r="BW63" i="20"/>
  <c r="BW62" i="20"/>
  <c r="BW61" i="20"/>
  <c r="BW60" i="20"/>
  <c r="BW59" i="20"/>
  <c r="BW58" i="20"/>
  <c r="BW57" i="20"/>
  <c r="BW56" i="20"/>
  <c r="BW55" i="20"/>
  <c r="BW54" i="20"/>
  <c r="BW53" i="20"/>
  <c r="BW52" i="20"/>
  <c r="BW51" i="20"/>
  <c r="BW50" i="20"/>
  <c r="BW49" i="20"/>
  <c r="BW48" i="20"/>
  <c r="BW47" i="20"/>
  <c r="BW46" i="20"/>
  <c r="BW45" i="20"/>
  <c r="BW44" i="20"/>
  <c r="BW43" i="20"/>
  <c r="BW42" i="20"/>
  <c r="BW41" i="20"/>
  <c r="BW40" i="20"/>
  <c r="BW39" i="20"/>
  <c r="BW38" i="20"/>
  <c r="BW37" i="20"/>
  <c r="BW36" i="20"/>
  <c r="BW35" i="20"/>
  <c r="BW34" i="20"/>
  <c r="BW33" i="20"/>
  <c r="BW32" i="20"/>
  <c r="BW31" i="20"/>
  <c r="BW30" i="20"/>
  <c r="BW29" i="20"/>
  <c r="BW28" i="20"/>
  <c r="BW27" i="20"/>
  <c r="BW26" i="20"/>
  <c r="BW25" i="20"/>
  <c r="BW24" i="20"/>
  <c r="BW23" i="20"/>
  <c r="BW22" i="20"/>
  <c r="BW21" i="20"/>
  <c r="BW20" i="20"/>
  <c r="BW19" i="20"/>
  <c r="BW18" i="20"/>
  <c r="BW17" i="20"/>
  <c r="BW16" i="20"/>
  <c r="BW15" i="20"/>
  <c r="BW14" i="20"/>
  <c r="BW13" i="20"/>
  <c r="BW12" i="20"/>
  <c r="BW11" i="20"/>
  <c r="BW10" i="20"/>
  <c r="BW9" i="20"/>
  <c r="BW8" i="20"/>
  <c r="BW7" i="20"/>
  <c r="BW6" i="20"/>
  <c r="BW5" i="20"/>
  <c r="BW4" i="20"/>
  <c r="BU170" i="20"/>
  <c r="BU169" i="20"/>
  <c r="BU168" i="20"/>
  <c r="BU167" i="20"/>
  <c r="BU166" i="20"/>
  <c r="BU165" i="20"/>
  <c r="BU164" i="20"/>
  <c r="BU163" i="20"/>
  <c r="BU162" i="20"/>
  <c r="BU161" i="20"/>
  <c r="BU160" i="20"/>
  <c r="BU159" i="20"/>
  <c r="BU158" i="20"/>
  <c r="BU157" i="20"/>
  <c r="BU156" i="20"/>
  <c r="BU155" i="20"/>
  <c r="BU154" i="20"/>
  <c r="BU153" i="20"/>
  <c r="BU152" i="20"/>
  <c r="BU151" i="20"/>
  <c r="BU150" i="20"/>
  <c r="BU149" i="20"/>
  <c r="BU148" i="20"/>
  <c r="BU147" i="20"/>
  <c r="BU146" i="20"/>
  <c r="BU145" i="20"/>
  <c r="BU144" i="20"/>
  <c r="BU143" i="20"/>
  <c r="BU142" i="20"/>
  <c r="BU141" i="20"/>
  <c r="BU140" i="20"/>
  <c r="BU139" i="20"/>
  <c r="BU138" i="20"/>
  <c r="BU137" i="20"/>
  <c r="BU136" i="20"/>
  <c r="BU135" i="20"/>
  <c r="BU134" i="20"/>
  <c r="BU133" i="20"/>
  <c r="BU132" i="20"/>
  <c r="BU131" i="20"/>
  <c r="BU130" i="20"/>
  <c r="BU129" i="20"/>
  <c r="BU128" i="20"/>
  <c r="BU127" i="20"/>
  <c r="BU126" i="20"/>
  <c r="BU125" i="20"/>
  <c r="BU124" i="20"/>
  <c r="BU123" i="20"/>
  <c r="BU122" i="20"/>
  <c r="BU121" i="20"/>
  <c r="BU120" i="20"/>
  <c r="BU119" i="20"/>
  <c r="BU118" i="20"/>
  <c r="BU117" i="20"/>
  <c r="BU116" i="20"/>
  <c r="BU115" i="20"/>
  <c r="BU114" i="20"/>
  <c r="BU113" i="20"/>
  <c r="BU112" i="20"/>
  <c r="BU111" i="20"/>
  <c r="BU110" i="20"/>
  <c r="BU109" i="20"/>
  <c r="BU108" i="20"/>
  <c r="BU107" i="20"/>
  <c r="BU106" i="20"/>
  <c r="BU105" i="20"/>
  <c r="BU104" i="20"/>
  <c r="BU103" i="20"/>
  <c r="BU102" i="20"/>
  <c r="BU101" i="20"/>
  <c r="BU100" i="20"/>
  <c r="BU99" i="20"/>
  <c r="BU98" i="20"/>
  <c r="BU97" i="20"/>
  <c r="BU96" i="20"/>
  <c r="BU95" i="20"/>
  <c r="BU94" i="20"/>
  <c r="BU93" i="20"/>
  <c r="BU92" i="20"/>
  <c r="BU91" i="20"/>
  <c r="BU90" i="20"/>
  <c r="BU89" i="20"/>
  <c r="BU88" i="20"/>
  <c r="BU87" i="20"/>
  <c r="BU86" i="20"/>
  <c r="BU85" i="20"/>
  <c r="BU84" i="20"/>
  <c r="BU83" i="20"/>
  <c r="BU82" i="20"/>
  <c r="BU81" i="20"/>
  <c r="BU80" i="20"/>
  <c r="BU79" i="20"/>
  <c r="BU78" i="20"/>
  <c r="BU77" i="20"/>
  <c r="BU76" i="20"/>
  <c r="BU75" i="20"/>
  <c r="BU74" i="20"/>
  <c r="BU73" i="20"/>
  <c r="BU72" i="20"/>
  <c r="BU71" i="20"/>
  <c r="BU70" i="20"/>
  <c r="BU69" i="20"/>
  <c r="BU68" i="20"/>
  <c r="BU67" i="20"/>
  <c r="BU66" i="20"/>
  <c r="BU65" i="20"/>
  <c r="BU64" i="20"/>
  <c r="BU63" i="20"/>
  <c r="BU62" i="20"/>
  <c r="BU61" i="20"/>
  <c r="BU60" i="20"/>
  <c r="BU59" i="20"/>
  <c r="BU58" i="20"/>
  <c r="BU57" i="20"/>
  <c r="BU56" i="20"/>
  <c r="BU55" i="20"/>
  <c r="BU54" i="20"/>
  <c r="BU53" i="20"/>
  <c r="BU52" i="20"/>
  <c r="BU51" i="20"/>
  <c r="BU50" i="20"/>
  <c r="BU49" i="20"/>
  <c r="BU48" i="20"/>
  <c r="BU47" i="20"/>
  <c r="BU46" i="20"/>
  <c r="BU45" i="20"/>
  <c r="BU44" i="20"/>
  <c r="BU43" i="20"/>
  <c r="BU42" i="20"/>
  <c r="BU41" i="20"/>
  <c r="BU40" i="20"/>
  <c r="BU39" i="20"/>
  <c r="BU38" i="20"/>
  <c r="BU37" i="20"/>
  <c r="BU36" i="20"/>
  <c r="BU35" i="20"/>
  <c r="BU34" i="20"/>
  <c r="BU33" i="20"/>
  <c r="BU32" i="20"/>
  <c r="BU31" i="20"/>
  <c r="BU30" i="20"/>
  <c r="BU29" i="20"/>
  <c r="BU28" i="20"/>
  <c r="BU27" i="20"/>
  <c r="BU26" i="20"/>
  <c r="BU25" i="20"/>
  <c r="BU24" i="20"/>
  <c r="BU23" i="20"/>
  <c r="BU22" i="20"/>
  <c r="BU21" i="20"/>
  <c r="BU20" i="20"/>
  <c r="BU19" i="20"/>
  <c r="BU18" i="20"/>
  <c r="BU17" i="20"/>
  <c r="BU16" i="20"/>
  <c r="BU15" i="20"/>
  <c r="BU14" i="20"/>
  <c r="BU13" i="20"/>
  <c r="BU12" i="20"/>
  <c r="BU11" i="20"/>
  <c r="BU10" i="20"/>
  <c r="BU9" i="20"/>
  <c r="BU8" i="20"/>
  <c r="BU7" i="20"/>
  <c r="BU6" i="20"/>
  <c r="BU5" i="20"/>
  <c r="BU4" i="20"/>
  <c r="BS4" i="20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CZ44" i="20" l="1"/>
  <c r="CZ156" i="20"/>
  <c r="CZ132" i="20"/>
  <c r="CZ76" i="20"/>
  <c r="CZ100" i="20"/>
  <c r="CZ169" i="20"/>
  <c r="CZ161" i="20"/>
  <c r="CZ153" i="20"/>
  <c r="CZ145" i="20"/>
  <c r="CZ137" i="20"/>
  <c r="CZ77" i="20"/>
  <c r="CZ109" i="20"/>
  <c r="CZ154" i="20"/>
  <c r="CZ166" i="20"/>
  <c r="CZ158" i="20"/>
  <c r="CZ150" i="20"/>
  <c r="CZ142" i="20"/>
  <c r="CZ134" i="20"/>
  <c r="CZ126" i="20"/>
  <c r="CZ118" i="20"/>
  <c r="CZ110" i="20"/>
  <c r="CZ102" i="20"/>
  <c r="CZ94" i="20"/>
  <c r="CZ86" i="20"/>
  <c r="CZ78" i="20"/>
  <c r="CZ70" i="20"/>
  <c r="CZ54" i="20"/>
  <c r="CZ38" i="20"/>
  <c r="CZ22" i="20"/>
  <c r="CZ8" i="20"/>
  <c r="CZ16" i="20"/>
  <c r="CZ50" i="20"/>
  <c r="CZ74" i="20"/>
  <c r="CZ98" i="20"/>
  <c r="CZ130" i="20"/>
  <c r="CZ40" i="20"/>
  <c r="CZ56" i="20"/>
  <c r="CZ72" i="20"/>
  <c r="CZ88" i="20"/>
  <c r="CZ104" i="20"/>
  <c r="CZ120" i="20"/>
  <c r="CZ136" i="20"/>
  <c r="CZ160" i="20"/>
  <c r="CZ170" i="20"/>
  <c r="CZ162" i="20"/>
  <c r="CZ146" i="20"/>
  <c r="CZ138" i="20"/>
  <c r="CZ122" i="20"/>
  <c r="CZ114" i="20"/>
  <c r="CZ106" i="20"/>
  <c r="CZ90" i="20"/>
  <c r="CZ82" i="20"/>
  <c r="CZ58" i="20"/>
  <c r="CZ42" i="20"/>
  <c r="CZ34" i="20"/>
  <c r="CZ20" i="20"/>
  <c r="CZ28" i="20"/>
  <c r="CZ36" i="20"/>
  <c r="CZ52" i="20"/>
  <c r="CZ60" i="20"/>
  <c r="CZ68" i="20"/>
  <c r="CZ84" i="20"/>
  <c r="CZ92" i="20"/>
  <c r="CZ108" i="20"/>
  <c r="CZ116" i="20"/>
  <c r="CZ124" i="20"/>
  <c r="CZ140" i="20"/>
  <c r="CZ148" i="20"/>
  <c r="CZ164" i="20"/>
  <c r="CZ168" i="20"/>
  <c r="CZ152" i="20"/>
  <c r="CZ144" i="20"/>
  <c r="CZ128" i="20"/>
  <c r="CZ112" i="20"/>
  <c r="CZ96" i="20"/>
  <c r="CZ80" i="20"/>
  <c r="CZ64" i="20"/>
  <c r="CZ48" i="20"/>
  <c r="CZ32" i="20"/>
  <c r="CZ6" i="20"/>
  <c r="CZ14" i="20"/>
  <c r="CZ30" i="20"/>
  <c r="CZ46" i="20"/>
  <c r="CZ62" i="20"/>
  <c r="CH163" i="20"/>
  <c r="CH155" i="20"/>
  <c r="CH147" i="20"/>
  <c r="CH139" i="20"/>
  <c r="CH123" i="20"/>
  <c r="CH115" i="20"/>
  <c r="CH107" i="20"/>
  <c r="CH99" i="20"/>
  <c r="CH91" i="20"/>
  <c r="CH83" i="20"/>
  <c r="CH75" i="20"/>
  <c r="CH59" i="20"/>
  <c r="CH51" i="20"/>
  <c r="CH43" i="20"/>
  <c r="CH35" i="20"/>
  <c r="CH27" i="20"/>
  <c r="CH19" i="20"/>
  <c r="CH11" i="20"/>
  <c r="CZ141" i="20"/>
  <c r="CZ93" i="20"/>
  <c r="CZ13" i="20"/>
  <c r="CZ9" i="20"/>
  <c r="CZ17" i="20"/>
  <c r="CZ25" i="20"/>
  <c r="CZ33" i="20"/>
  <c r="CZ41" i="20"/>
  <c r="CZ49" i="20"/>
  <c r="CZ57" i="20"/>
  <c r="CZ81" i="20"/>
  <c r="CZ89" i="20"/>
  <c r="CZ10" i="20"/>
  <c r="CH161" i="20"/>
  <c r="CH153" i="20"/>
  <c r="CH145" i="20"/>
  <c r="CH137" i="20"/>
  <c r="CH129" i="20"/>
  <c r="CH121" i="20"/>
  <c r="CH113" i="20"/>
  <c r="CH105" i="20"/>
  <c r="CH97" i="20"/>
  <c r="CH89" i="20"/>
  <c r="CH81" i="20"/>
  <c r="CH73" i="20"/>
  <c r="CH65" i="20"/>
  <c r="CH57" i="20"/>
  <c r="CH49" i="20"/>
  <c r="CH41" i="20"/>
  <c r="CH33" i="20"/>
  <c r="CH25" i="20"/>
  <c r="CH17" i="20"/>
  <c r="CH9" i="20"/>
  <c r="CZ29" i="20"/>
  <c r="CZ45" i="20"/>
  <c r="CH169" i="20"/>
  <c r="CH168" i="20"/>
  <c r="CH160" i="20"/>
  <c r="CH152" i="20"/>
  <c r="CH144" i="20"/>
  <c r="CH136" i="20"/>
  <c r="CH128" i="20"/>
  <c r="CH120" i="20"/>
  <c r="CH112" i="20"/>
  <c r="CH104" i="20"/>
  <c r="CH96" i="20"/>
  <c r="CH88" i="20"/>
  <c r="CH80" i="20"/>
  <c r="CZ63" i="20"/>
  <c r="CZ31" i="20"/>
  <c r="CZ95" i="20"/>
  <c r="CZ47" i="20"/>
  <c r="CZ24" i="20"/>
  <c r="CZ97" i="20"/>
  <c r="CZ105" i="20"/>
  <c r="CZ121" i="20"/>
  <c r="CZ129" i="20"/>
  <c r="CZ65" i="20"/>
  <c r="CZ113" i="20"/>
  <c r="CZ73" i="20"/>
  <c r="CH164" i="20"/>
  <c r="CH156" i="20"/>
  <c r="CH148" i="20"/>
  <c r="CH140" i="20"/>
  <c r="CH132" i="20"/>
  <c r="CH124" i="20"/>
  <c r="CH116" i="20"/>
  <c r="CH108" i="20"/>
  <c r="CH100" i="20"/>
  <c r="CH92" i="20"/>
  <c r="CH84" i="20"/>
  <c r="CH76" i="20"/>
  <c r="CH68" i="20"/>
  <c r="CH60" i="20"/>
  <c r="CH52" i="20"/>
  <c r="CH44" i="20"/>
  <c r="CH36" i="20"/>
  <c r="CH28" i="20"/>
  <c r="CZ66" i="20"/>
  <c r="CZ18" i="20"/>
  <c r="CZ26" i="20"/>
  <c r="CZ3" i="20"/>
  <c r="CZ79" i="20"/>
  <c r="CZ111" i="20"/>
  <c r="CZ159" i="20"/>
  <c r="CZ139" i="20"/>
  <c r="CZ91" i="20"/>
  <c r="CZ59" i="20"/>
  <c r="CZ165" i="20"/>
  <c r="CZ151" i="20"/>
  <c r="CZ135" i="20"/>
  <c r="CZ131" i="20"/>
  <c r="CZ125" i="20"/>
  <c r="CZ115" i="20"/>
  <c r="CZ101" i="20"/>
  <c r="CZ71" i="20"/>
  <c r="CZ69" i="20"/>
  <c r="CZ51" i="20"/>
  <c r="CZ23" i="20"/>
  <c r="CZ5" i="20"/>
  <c r="CZ157" i="20"/>
  <c r="CZ143" i="20"/>
  <c r="CZ127" i="20"/>
  <c r="CZ61" i="20"/>
  <c r="CZ43" i="20"/>
  <c r="CZ15" i="20"/>
  <c r="CZ12" i="20"/>
  <c r="CZ149" i="20"/>
  <c r="CZ119" i="20"/>
  <c r="CZ117" i="20"/>
  <c r="CZ53" i="20"/>
  <c r="CZ35" i="20"/>
  <c r="CZ7" i="20"/>
  <c r="CZ4" i="20"/>
  <c r="CZ123" i="20"/>
  <c r="CZ107" i="20"/>
  <c r="CZ27" i="20"/>
  <c r="CZ167" i="20"/>
  <c r="CZ163" i="20"/>
  <c r="CZ133" i="20"/>
  <c r="CZ103" i="20"/>
  <c r="CZ99" i="20"/>
  <c r="CZ83" i="20"/>
  <c r="CZ55" i="20"/>
  <c r="CZ37" i="20"/>
  <c r="CZ19" i="20"/>
  <c r="CZ155" i="20"/>
  <c r="CZ75" i="20"/>
  <c r="CZ11" i="20"/>
  <c r="CZ147" i="20"/>
  <c r="CZ87" i="20"/>
  <c r="CZ85" i="20"/>
  <c r="CZ67" i="20"/>
  <c r="CZ39" i="20"/>
  <c r="CZ21" i="20"/>
  <c r="CH72" i="20"/>
  <c r="CH64" i="20"/>
  <c r="CH56" i="20"/>
  <c r="CH48" i="20"/>
  <c r="CH40" i="20"/>
  <c r="CH32" i="20"/>
  <c r="CH24" i="20"/>
  <c r="CH16" i="20"/>
  <c r="CH8" i="20"/>
  <c r="CH165" i="20"/>
  <c r="CH157" i="20"/>
  <c r="CH149" i="20"/>
  <c r="CH141" i="20"/>
  <c r="CH133" i="20"/>
  <c r="CH125" i="20"/>
  <c r="CH117" i="20"/>
  <c r="CH109" i="20"/>
  <c r="CH101" i="20"/>
  <c r="CH93" i="20"/>
  <c r="CH85" i="20"/>
  <c r="CH77" i="20"/>
  <c r="CH69" i="20"/>
  <c r="CH61" i="20"/>
  <c r="CH53" i="20"/>
  <c r="CH45" i="20"/>
  <c r="CH37" i="20"/>
  <c r="CH29" i="20"/>
  <c r="CH21" i="20"/>
  <c r="CH13" i="20"/>
  <c r="CH5" i="20"/>
  <c r="CH67" i="20"/>
  <c r="CH131" i="20"/>
  <c r="CH3" i="20"/>
  <c r="CH20" i="20"/>
  <c r="CH12" i="20"/>
  <c r="CH4" i="20"/>
  <c r="CH146" i="20"/>
  <c r="CH114" i="20"/>
  <c r="CH74" i="20"/>
  <c r="CH42" i="20"/>
  <c r="CH34" i="20"/>
  <c r="CH170" i="20"/>
  <c r="CH122" i="20"/>
  <c r="CH90" i="20"/>
  <c r="CH50" i="20"/>
  <c r="CH10" i="20"/>
  <c r="CH7" i="20"/>
  <c r="CH15" i="20"/>
  <c r="CH23" i="20"/>
  <c r="CH31" i="20"/>
  <c r="CH39" i="20"/>
  <c r="CH47" i="20"/>
  <c r="CH55" i="20"/>
  <c r="CH63" i="20"/>
  <c r="CH71" i="20"/>
  <c r="CH79" i="20"/>
  <c r="CH87" i="20"/>
  <c r="CH95" i="20"/>
  <c r="CH103" i="20"/>
  <c r="CH111" i="20"/>
  <c r="CH119" i="20"/>
  <c r="CH127" i="20"/>
  <c r="CH135" i="20"/>
  <c r="CH143" i="20"/>
  <c r="CH151" i="20"/>
  <c r="CH159" i="20"/>
  <c r="CH167" i="20"/>
  <c r="CH154" i="20"/>
  <c r="CH130" i="20"/>
  <c r="CH98" i="20"/>
  <c r="CH66" i="20"/>
  <c r="CH26" i="20"/>
  <c r="CH162" i="20"/>
  <c r="CH138" i="20"/>
  <c r="CH106" i="20"/>
  <c r="CH82" i="20"/>
  <c r="CH58" i="20"/>
  <c r="CH18" i="20"/>
  <c r="CH166" i="20"/>
  <c r="CH158" i="20"/>
  <c r="CH150" i="20"/>
  <c r="CH142" i="20"/>
  <c r="CH134" i="20"/>
  <c r="CH126" i="20"/>
  <c r="CH118" i="20"/>
  <c r="CH110" i="20"/>
  <c r="CH102" i="20"/>
  <c r="CH94" i="20"/>
  <c r="CH86" i="20"/>
  <c r="CH78" i="20"/>
  <c r="CH70" i="20"/>
  <c r="CH62" i="20"/>
  <c r="CH54" i="20"/>
  <c r="CH46" i="20"/>
  <c r="CH38" i="20"/>
  <c r="CH30" i="20"/>
  <c r="CH22" i="20"/>
  <c r="CH14" i="20"/>
  <c r="CH6" i="20"/>
  <c r="BN4" i="20" l="1"/>
  <c r="BN5" i="20"/>
  <c r="BN6" i="20"/>
  <c r="BN7" i="20"/>
  <c r="BN8" i="20"/>
  <c r="BN9" i="20"/>
  <c r="BN10" i="20"/>
  <c r="BN11" i="20"/>
  <c r="BN12" i="20"/>
  <c r="BN13" i="20"/>
  <c r="BN14" i="20"/>
  <c r="BN15" i="20"/>
  <c r="BN16" i="20"/>
  <c r="BN17" i="20"/>
  <c r="BN18" i="20"/>
  <c r="BN19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3" i="20"/>
  <c r="BM4" i="20"/>
  <c r="BM5" i="20"/>
  <c r="BM6" i="20"/>
  <c r="BM7" i="20"/>
  <c r="BM8" i="20"/>
  <c r="BM9" i="20"/>
  <c r="BM10" i="20"/>
  <c r="BM11" i="20"/>
  <c r="BM12" i="20"/>
  <c r="BM13" i="20"/>
  <c r="BM14" i="20"/>
  <c r="BM15" i="20"/>
  <c r="BM16" i="20"/>
  <c r="BM17" i="20"/>
  <c r="BM18" i="20"/>
  <c r="BM19" i="20"/>
  <c r="BM20" i="20"/>
  <c r="BM21" i="20"/>
  <c r="BM22" i="20"/>
  <c r="BM23" i="20"/>
  <c r="BM24" i="20"/>
  <c r="BM25" i="20"/>
  <c r="BM26" i="20"/>
  <c r="BM27" i="20"/>
  <c r="BM28" i="20"/>
  <c r="BM29" i="20"/>
  <c r="BM30" i="20"/>
  <c r="BM31" i="20"/>
  <c r="BM32" i="20"/>
  <c r="BM33" i="20"/>
  <c r="BM34" i="20"/>
  <c r="BM35" i="20"/>
  <c r="BM36" i="20"/>
  <c r="BM37" i="20"/>
  <c r="BM38" i="20"/>
  <c r="BM39" i="20"/>
  <c r="BM40" i="20"/>
  <c r="BM41" i="20"/>
  <c r="BM42" i="20"/>
  <c r="BM43" i="20"/>
  <c r="BM44" i="20"/>
  <c r="BM45" i="20"/>
  <c r="BM46" i="20"/>
  <c r="BM47" i="20"/>
  <c r="BM48" i="20"/>
  <c r="BM49" i="20"/>
  <c r="BM50" i="20"/>
  <c r="BM51" i="20"/>
  <c r="BM52" i="20"/>
  <c r="BM53" i="20"/>
  <c r="BM54" i="20"/>
  <c r="BM55" i="20"/>
  <c r="BM56" i="20"/>
  <c r="BM57" i="20"/>
  <c r="BM58" i="20"/>
  <c r="BM59" i="20"/>
  <c r="BM60" i="20"/>
  <c r="BM61" i="20"/>
  <c r="BM62" i="20"/>
  <c r="BM63" i="20"/>
  <c r="BM64" i="20"/>
  <c r="BM65" i="20"/>
  <c r="BM66" i="20"/>
  <c r="BM67" i="20"/>
  <c r="BM68" i="20"/>
  <c r="BM69" i="20"/>
  <c r="BM70" i="20"/>
  <c r="BM71" i="20"/>
  <c r="BM72" i="20"/>
  <c r="BM73" i="20"/>
  <c r="BM74" i="20"/>
  <c r="BM75" i="20"/>
  <c r="BM76" i="20"/>
  <c r="BM77" i="20"/>
  <c r="BM78" i="20"/>
  <c r="BM79" i="20"/>
  <c r="BM80" i="20"/>
  <c r="BM81" i="20"/>
  <c r="BM82" i="20"/>
  <c r="BM83" i="20"/>
  <c r="BM84" i="20"/>
  <c r="BM85" i="20"/>
  <c r="BM86" i="20"/>
  <c r="BM87" i="20"/>
  <c r="BM88" i="20"/>
  <c r="BM89" i="20"/>
  <c r="BM90" i="20"/>
  <c r="BM91" i="20"/>
  <c r="BM92" i="20"/>
  <c r="BM93" i="20"/>
  <c r="BM94" i="20"/>
  <c r="BM95" i="20"/>
  <c r="BM96" i="20"/>
  <c r="BM97" i="20"/>
  <c r="BM98" i="20"/>
  <c r="BM99" i="20"/>
  <c r="BM100" i="20"/>
  <c r="BM101" i="20"/>
  <c r="BM102" i="20"/>
  <c r="BM103" i="20"/>
  <c r="BM104" i="20"/>
  <c r="BM105" i="20"/>
  <c r="BM106" i="20"/>
  <c r="BM107" i="20"/>
  <c r="BM108" i="20"/>
  <c r="BM109" i="20"/>
  <c r="BM110" i="20"/>
  <c r="BM111" i="20"/>
  <c r="BM112" i="20"/>
  <c r="BM113" i="20"/>
  <c r="BM114" i="20"/>
  <c r="BM115" i="20"/>
  <c r="BM116" i="20"/>
  <c r="BM117" i="20"/>
  <c r="BM118" i="20"/>
  <c r="BM119" i="20"/>
  <c r="BM120" i="20"/>
  <c r="BM121" i="20"/>
  <c r="BM122" i="20"/>
  <c r="BM123" i="20"/>
  <c r="BM124" i="20"/>
  <c r="BM125" i="20"/>
  <c r="BM126" i="20"/>
  <c r="BM127" i="20"/>
  <c r="BM128" i="20"/>
  <c r="BM129" i="20"/>
  <c r="BM130" i="20"/>
  <c r="BM131" i="20"/>
  <c r="BM132" i="20"/>
  <c r="BM133" i="20"/>
  <c r="BM134" i="20"/>
  <c r="BM135" i="20"/>
  <c r="BM136" i="20"/>
  <c r="BM137" i="20"/>
  <c r="BM138" i="20"/>
  <c r="BM139" i="20"/>
  <c r="BM140" i="20"/>
  <c r="BM141" i="20"/>
  <c r="BM142" i="20"/>
  <c r="BM143" i="20"/>
  <c r="BM144" i="20"/>
  <c r="BM145" i="20"/>
  <c r="BM146" i="20"/>
  <c r="BM147" i="20"/>
  <c r="BM148" i="20"/>
  <c r="BM149" i="20"/>
  <c r="BM150" i="20"/>
  <c r="BM151" i="20"/>
  <c r="BM152" i="20"/>
  <c r="BM153" i="20"/>
  <c r="BM154" i="20"/>
  <c r="BM155" i="20"/>
  <c r="BM156" i="20"/>
  <c r="BM157" i="20"/>
  <c r="BM158" i="20"/>
  <c r="BM159" i="20"/>
  <c r="BM160" i="20"/>
  <c r="BM161" i="20"/>
  <c r="BM162" i="20"/>
  <c r="BM163" i="20"/>
  <c r="BM164" i="20"/>
  <c r="BM165" i="20"/>
  <c r="BM166" i="20"/>
  <c r="BM167" i="20"/>
  <c r="BM168" i="20"/>
  <c r="BM169" i="20"/>
  <c r="BM170" i="20"/>
  <c r="BM3" i="20"/>
  <c r="BH4" i="20"/>
  <c r="BH5" i="20"/>
  <c r="BH6" i="20"/>
  <c r="BH7" i="20"/>
  <c r="BH8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G4" i="20"/>
  <c r="BG5" i="20"/>
  <c r="BG6" i="20"/>
  <c r="BG7" i="20"/>
  <c r="BG8" i="20"/>
  <c r="BG9" i="20"/>
  <c r="BG10" i="20"/>
  <c r="BG11" i="20"/>
  <c r="BG12" i="20"/>
  <c r="BG13" i="20"/>
  <c r="BG14" i="20"/>
  <c r="BG15" i="20"/>
  <c r="BG16" i="20"/>
  <c r="BG17" i="20"/>
  <c r="BG18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H3" i="20"/>
  <c r="T4" i="20" l="1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T72" i="20"/>
  <c r="T73" i="20"/>
  <c r="T74" i="20"/>
  <c r="T75" i="20"/>
  <c r="T76" i="20"/>
  <c r="T77" i="20"/>
  <c r="T78" i="20"/>
  <c r="T79" i="20"/>
  <c r="T80" i="20"/>
  <c r="T81" i="20"/>
  <c r="T82" i="20"/>
  <c r="T83" i="20"/>
  <c r="T84" i="20"/>
  <c r="T85" i="20"/>
  <c r="T86" i="20"/>
  <c r="T87" i="20"/>
  <c r="T88" i="20"/>
  <c r="T89" i="20"/>
  <c r="T90" i="20"/>
  <c r="T91" i="20"/>
  <c r="T92" i="20"/>
  <c r="T93" i="20"/>
  <c r="T94" i="20"/>
  <c r="T95" i="20"/>
  <c r="T96" i="20"/>
  <c r="T97" i="20"/>
  <c r="T98" i="20"/>
  <c r="T99" i="20"/>
  <c r="T100" i="20"/>
  <c r="T101" i="20"/>
  <c r="T102" i="20"/>
  <c r="T103" i="20"/>
  <c r="T104" i="20"/>
  <c r="T105" i="20"/>
  <c r="T106" i="20"/>
  <c r="T107" i="20"/>
  <c r="T108" i="20"/>
  <c r="T109" i="20"/>
  <c r="T110" i="20"/>
  <c r="T111" i="20"/>
  <c r="T112" i="20"/>
  <c r="T113" i="20"/>
  <c r="T114" i="20"/>
  <c r="T115" i="20"/>
  <c r="T116" i="20"/>
  <c r="T117" i="20"/>
  <c r="T118" i="20"/>
  <c r="T119" i="20"/>
  <c r="T120" i="20"/>
  <c r="T121" i="20"/>
  <c r="T122" i="20"/>
  <c r="T123" i="20"/>
  <c r="T124" i="20"/>
  <c r="T125" i="20"/>
  <c r="T126" i="20"/>
  <c r="T127" i="20"/>
  <c r="T128" i="20"/>
  <c r="T129" i="20"/>
  <c r="T130" i="20"/>
  <c r="T131" i="20"/>
  <c r="T132" i="20"/>
  <c r="T133" i="20"/>
  <c r="T134" i="20"/>
  <c r="T135" i="20"/>
  <c r="T136" i="20"/>
  <c r="T137" i="20"/>
  <c r="T138" i="20"/>
  <c r="T139" i="20"/>
  <c r="T140" i="20"/>
  <c r="T141" i="20"/>
  <c r="T142" i="20"/>
  <c r="T143" i="20"/>
  <c r="T144" i="20"/>
  <c r="T145" i="20"/>
  <c r="T146" i="20"/>
  <c r="T147" i="20"/>
  <c r="T148" i="20"/>
  <c r="T149" i="20"/>
  <c r="T150" i="20"/>
  <c r="T151" i="20"/>
  <c r="T152" i="20"/>
  <c r="T153" i="20"/>
  <c r="T154" i="20"/>
  <c r="T155" i="20"/>
  <c r="T156" i="20"/>
  <c r="T157" i="20"/>
  <c r="T158" i="20"/>
  <c r="T159" i="20"/>
  <c r="T160" i="20"/>
  <c r="T161" i="20"/>
  <c r="T162" i="20"/>
  <c r="T163" i="20"/>
  <c r="T164" i="20"/>
  <c r="T165" i="20"/>
  <c r="T166" i="20"/>
  <c r="T167" i="20"/>
  <c r="T168" i="20"/>
  <c r="T169" i="20"/>
  <c r="T170" i="20"/>
  <c r="R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P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3" i="20"/>
  <c r="R3" i="20"/>
  <c r="T3" i="20"/>
  <c r="AJ4" i="20"/>
  <c r="AJ5" i="20"/>
  <c r="AJ6" i="20"/>
  <c r="AJ7" i="20"/>
  <c r="AJ8" i="20"/>
  <c r="AJ9" i="20"/>
  <c r="AJ10" i="20"/>
  <c r="AJ11" i="20"/>
  <c r="AJ12" i="20"/>
  <c r="AJ13" i="20"/>
  <c r="AJ14" i="20"/>
  <c r="AJ15" i="20"/>
  <c r="AJ16" i="20"/>
  <c r="AJ17" i="20"/>
  <c r="AJ18" i="20"/>
  <c r="AJ19" i="20"/>
  <c r="AJ20" i="20"/>
  <c r="AJ21" i="20"/>
  <c r="AJ22" i="20"/>
  <c r="AJ23" i="20"/>
  <c r="AJ24" i="20"/>
  <c r="AJ25" i="20"/>
  <c r="AJ26" i="20"/>
  <c r="AJ27" i="20"/>
  <c r="AJ28" i="20"/>
  <c r="AJ29" i="20"/>
  <c r="AJ30" i="20"/>
  <c r="AJ31" i="20"/>
  <c r="AJ32" i="20"/>
  <c r="AJ33" i="20"/>
  <c r="AJ34" i="20"/>
  <c r="AJ35" i="20"/>
  <c r="AJ36" i="20"/>
  <c r="AJ37" i="20"/>
  <c r="AJ38" i="20"/>
  <c r="AJ39" i="20"/>
  <c r="AJ40" i="20"/>
  <c r="AJ41" i="20"/>
  <c r="AJ42" i="20"/>
  <c r="AJ43" i="20"/>
  <c r="AJ44" i="20"/>
  <c r="AJ45" i="20"/>
  <c r="AJ46" i="20"/>
  <c r="AJ47" i="20"/>
  <c r="AJ48" i="20"/>
  <c r="AJ49" i="20"/>
  <c r="AJ50" i="20"/>
  <c r="AJ51" i="20"/>
  <c r="AJ52" i="20"/>
  <c r="AJ53" i="20"/>
  <c r="AJ54" i="20"/>
  <c r="AJ55" i="20"/>
  <c r="AJ56" i="20"/>
  <c r="AJ57" i="20"/>
  <c r="AJ58" i="20"/>
  <c r="AJ59" i="20"/>
  <c r="AJ60" i="20"/>
  <c r="AJ61" i="20"/>
  <c r="AJ62" i="20"/>
  <c r="AJ63" i="20"/>
  <c r="AJ64" i="20"/>
  <c r="AJ65" i="20"/>
  <c r="AJ66" i="20"/>
  <c r="AJ67" i="20"/>
  <c r="AJ68" i="20"/>
  <c r="AJ69" i="20"/>
  <c r="AJ70" i="20"/>
  <c r="AJ71" i="20"/>
  <c r="AJ72" i="20"/>
  <c r="AJ73" i="20"/>
  <c r="AJ74" i="20"/>
  <c r="AJ75" i="20"/>
  <c r="AJ76" i="20"/>
  <c r="AJ77" i="20"/>
  <c r="AJ78" i="20"/>
  <c r="AJ79" i="20"/>
  <c r="AJ80" i="20"/>
  <c r="AJ81" i="20"/>
  <c r="AJ82" i="20"/>
  <c r="AJ83" i="20"/>
  <c r="AJ84" i="20"/>
  <c r="AJ85" i="20"/>
  <c r="AJ86" i="20"/>
  <c r="AJ87" i="20"/>
  <c r="AJ88" i="20"/>
  <c r="AJ89" i="20"/>
  <c r="AJ90" i="20"/>
  <c r="AJ91" i="20"/>
  <c r="AJ92" i="20"/>
  <c r="AJ93" i="20"/>
  <c r="AJ94" i="20"/>
  <c r="AJ95" i="20"/>
  <c r="AJ96" i="20"/>
  <c r="AJ97" i="20"/>
  <c r="AJ98" i="20"/>
  <c r="AJ99" i="20"/>
  <c r="AJ100" i="20"/>
  <c r="AJ101" i="20"/>
  <c r="AJ102" i="20"/>
  <c r="AJ103" i="20"/>
  <c r="AJ104" i="20"/>
  <c r="AJ105" i="20"/>
  <c r="AJ106" i="20"/>
  <c r="AJ107" i="20"/>
  <c r="AJ108" i="20"/>
  <c r="AJ109" i="20"/>
  <c r="AJ110" i="20"/>
  <c r="AJ111" i="20"/>
  <c r="AJ112" i="20"/>
  <c r="AJ113" i="20"/>
  <c r="AJ114" i="20"/>
  <c r="AJ115" i="20"/>
  <c r="AJ116" i="20"/>
  <c r="AJ117" i="20"/>
  <c r="AJ118" i="20"/>
  <c r="AJ119" i="20"/>
  <c r="AJ120" i="20"/>
  <c r="AJ121" i="20"/>
  <c r="AJ122" i="20"/>
  <c r="AJ123" i="20"/>
  <c r="AJ124" i="20"/>
  <c r="AJ125" i="20"/>
  <c r="AJ126" i="20"/>
  <c r="AJ127" i="20"/>
  <c r="AJ128" i="20"/>
  <c r="AJ129" i="20"/>
  <c r="AJ130" i="20"/>
  <c r="AJ131" i="20"/>
  <c r="AJ132" i="20"/>
  <c r="AJ133" i="20"/>
  <c r="AJ134" i="20"/>
  <c r="AJ135" i="20"/>
  <c r="AJ136" i="20"/>
  <c r="AJ137" i="20"/>
  <c r="AJ138" i="20"/>
  <c r="AJ139" i="20"/>
  <c r="AJ140" i="20"/>
  <c r="AJ141" i="20"/>
  <c r="AJ142" i="20"/>
  <c r="AJ143" i="20"/>
  <c r="AJ144" i="20"/>
  <c r="AJ145" i="20"/>
  <c r="AJ146" i="20"/>
  <c r="AJ147" i="20"/>
  <c r="AJ148" i="20"/>
  <c r="AJ149" i="20"/>
  <c r="AJ150" i="20"/>
  <c r="AJ151" i="20"/>
  <c r="AJ152" i="20"/>
  <c r="AJ153" i="20"/>
  <c r="AJ154" i="20"/>
  <c r="AJ155" i="20"/>
  <c r="AJ156" i="20"/>
  <c r="AJ157" i="20"/>
  <c r="AJ158" i="20"/>
  <c r="AJ159" i="20"/>
  <c r="AJ160" i="20"/>
  <c r="AJ161" i="20"/>
  <c r="AJ162" i="20"/>
  <c r="AJ163" i="20"/>
  <c r="AJ164" i="20"/>
  <c r="AJ165" i="20"/>
  <c r="AJ166" i="20"/>
  <c r="AJ167" i="20"/>
  <c r="AJ168" i="20"/>
  <c r="AJ169" i="20"/>
  <c r="AJ170" i="20"/>
  <c r="AI4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5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H4" i="20"/>
  <c r="AH5" i="20"/>
  <c r="AH6" i="20"/>
  <c r="AH7" i="20"/>
  <c r="AH8" i="20"/>
  <c r="AH9" i="20"/>
  <c r="AH10" i="20"/>
  <c r="AH11" i="20"/>
  <c r="AH12" i="20"/>
  <c r="AH13" i="20"/>
  <c r="AH14" i="20"/>
  <c r="AH15" i="20"/>
  <c r="AH16" i="20"/>
  <c r="AH17" i="20"/>
  <c r="AH18" i="20"/>
  <c r="AH19" i="20"/>
  <c r="AH20" i="20"/>
  <c r="AH21" i="20"/>
  <c r="AH22" i="20"/>
  <c r="AH23" i="20"/>
  <c r="AH24" i="20"/>
  <c r="AH25" i="20"/>
  <c r="AH26" i="20"/>
  <c r="AH27" i="20"/>
  <c r="AH28" i="20"/>
  <c r="AH29" i="20"/>
  <c r="AH30" i="20"/>
  <c r="AH31" i="20"/>
  <c r="AH32" i="20"/>
  <c r="AH33" i="20"/>
  <c r="AH34" i="20"/>
  <c r="AH35" i="20"/>
  <c r="AH36" i="20"/>
  <c r="AH37" i="20"/>
  <c r="AH38" i="20"/>
  <c r="AH39" i="20"/>
  <c r="AH40" i="20"/>
  <c r="AH41" i="20"/>
  <c r="AH42" i="20"/>
  <c r="AH43" i="20"/>
  <c r="AH44" i="20"/>
  <c r="AH45" i="20"/>
  <c r="AH46" i="20"/>
  <c r="AH47" i="20"/>
  <c r="AH48" i="20"/>
  <c r="AH49" i="20"/>
  <c r="AH50" i="20"/>
  <c r="AH51" i="20"/>
  <c r="AH52" i="20"/>
  <c r="AH53" i="20"/>
  <c r="AH54" i="20"/>
  <c r="AH55" i="20"/>
  <c r="AH56" i="20"/>
  <c r="AH57" i="20"/>
  <c r="AH58" i="20"/>
  <c r="AH59" i="20"/>
  <c r="AH60" i="20"/>
  <c r="AH61" i="20"/>
  <c r="AH62" i="20"/>
  <c r="AH63" i="20"/>
  <c r="AH64" i="20"/>
  <c r="AH65" i="20"/>
  <c r="AH66" i="20"/>
  <c r="AH67" i="20"/>
  <c r="AH68" i="20"/>
  <c r="AH69" i="20"/>
  <c r="AH70" i="20"/>
  <c r="AH71" i="20"/>
  <c r="AH72" i="20"/>
  <c r="AH73" i="20"/>
  <c r="AH74" i="20"/>
  <c r="AH75" i="20"/>
  <c r="AH76" i="20"/>
  <c r="AH77" i="20"/>
  <c r="AH78" i="20"/>
  <c r="AH79" i="20"/>
  <c r="AH80" i="20"/>
  <c r="AH81" i="20"/>
  <c r="AH82" i="20"/>
  <c r="AH83" i="20"/>
  <c r="AH84" i="20"/>
  <c r="AH85" i="20"/>
  <c r="AH86" i="20"/>
  <c r="AH87" i="20"/>
  <c r="AH88" i="20"/>
  <c r="AH89" i="20"/>
  <c r="AH90" i="20"/>
  <c r="AH91" i="20"/>
  <c r="AH92" i="20"/>
  <c r="AH93" i="20"/>
  <c r="AH94" i="20"/>
  <c r="AH95" i="20"/>
  <c r="AH96" i="20"/>
  <c r="AH97" i="20"/>
  <c r="AH98" i="20"/>
  <c r="AH99" i="20"/>
  <c r="AH100" i="20"/>
  <c r="AH101" i="20"/>
  <c r="AH102" i="20"/>
  <c r="AH103" i="20"/>
  <c r="AH104" i="20"/>
  <c r="AH105" i="20"/>
  <c r="AH106" i="20"/>
  <c r="AH107" i="20"/>
  <c r="AH108" i="20"/>
  <c r="AH109" i="20"/>
  <c r="AH110" i="20"/>
  <c r="AH111" i="20"/>
  <c r="AH112" i="20"/>
  <c r="AH113" i="20"/>
  <c r="AH114" i="20"/>
  <c r="AH115" i="20"/>
  <c r="AH116" i="20"/>
  <c r="AH117" i="20"/>
  <c r="AH118" i="20"/>
  <c r="AH119" i="20"/>
  <c r="AH120" i="20"/>
  <c r="AH121" i="20"/>
  <c r="AH122" i="20"/>
  <c r="AH123" i="20"/>
  <c r="AH124" i="20"/>
  <c r="AH125" i="20"/>
  <c r="AH126" i="20"/>
  <c r="AH127" i="20"/>
  <c r="AH128" i="20"/>
  <c r="AH129" i="20"/>
  <c r="AH130" i="20"/>
  <c r="AH131" i="20"/>
  <c r="AH132" i="20"/>
  <c r="AH133" i="20"/>
  <c r="AH134" i="20"/>
  <c r="AH135" i="20"/>
  <c r="AH136" i="20"/>
  <c r="AH137" i="20"/>
  <c r="AH138" i="20"/>
  <c r="AH139" i="20"/>
  <c r="AH140" i="20"/>
  <c r="AH141" i="20"/>
  <c r="AH142" i="20"/>
  <c r="AH143" i="20"/>
  <c r="AH144" i="20"/>
  <c r="AH145" i="20"/>
  <c r="AH146" i="20"/>
  <c r="AH147" i="20"/>
  <c r="AH148" i="20"/>
  <c r="AH149" i="20"/>
  <c r="AH150" i="20"/>
  <c r="AH151" i="20"/>
  <c r="AH152" i="20"/>
  <c r="AH153" i="20"/>
  <c r="AH154" i="20"/>
  <c r="AH155" i="20"/>
  <c r="AH156" i="20"/>
  <c r="AH157" i="20"/>
  <c r="AH158" i="20"/>
  <c r="AH159" i="20"/>
  <c r="AH160" i="20"/>
  <c r="AH161" i="20"/>
  <c r="AH162" i="20"/>
  <c r="AH163" i="20"/>
  <c r="AH164" i="20"/>
  <c r="AH165" i="20"/>
  <c r="AH166" i="20"/>
  <c r="AH167" i="20"/>
  <c r="AH168" i="20"/>
  <c r="AH169" i="20"/>
  <c r="AH170" i="20"/>
  <c r="AJ3" i="20"/>
  <c r="AI3" i="20"/>
  <c r="AH3" i="20"/>
  <c r="AB4" i="20" l="1"/>
  <c r="AB5" i="20"/>
  <c r="AB6" i="20"/>
  <c r="AB7" i="20"/>
  <c r="AB8" i="20"/>
  <c r="AB9" i="20"/>
  <c r="AB10" i="20"/>
  <c r="AB11" i="20"/>
  <c r="AB12" i="20"/>
  <c r="AB13" i="20"/>
  <c r="AB14" i="20"/>
  <c r="AB15" i="20"/>
  <c r="AB16" i="20"/>
  <c r="AB17" i="20"/>
  <c r="AB18" i="20"/>
  <c r="AB19" i="20"/>
  <c r="AB20" i="20"/>
  <c r="AB21" i="20"/>
  <c r="AB22" i="20"/>
  <c r="AB23" i="20"/>
  <c r="AB24" i="20"/>
  <c r="AB25" i="20"/>
  <c r="AB26" i="20"/>
  <c r="AB27" i="20"/>
  <c r="AB28" i="20"/>
  <c r="AB29" i="20"/>
  <c r="AB30" i="20"/>
  <c r="AB31" i="20"/>
  <c r="AB32" i="20"/>
  <c r="AB33" i="20"/>
  <c r="AB34" i="20"/>
  <c r="AB35" i="20"/>
  <c r="AB36" i="20"/>
  <c r="AB37" i="20"/>
  <c r="AB38" i="20"/>
  <c r="AB39" i="20"/>
  <c r="AB40" i="20"/>
  <c r="AB41" i="20"/>
  <c r="AB42" i="20"/>
  <c r="AB43" i="20"/>
  <c r="AB44" i="20"/>
  <c r="AB45" i="20"/>
  <c r="AB46" i="20"/>
  <c r="AB47" i="20"/>
  <c r="AB48" i="20"/>
  <c r="AB49" i="20"/>
  <c r="AB50" i="20"/>
  <c r="AB51" i="20"/>
  <c r="AB52" i="20"/>
  <c r="AB53" i="20"/>
  <c r="AB54" i="20"/>
  <c r="AB55" i="20"/>
  <c r="AB56" i="20"/>
  <c r="AB57" i="20"/>
  <c r="AB58" i="20"/>
  <c r="AB59" i="20"/>
  <c r="AB60" i="20"/>
  <c r="AB61" i="20"/>
  <c r="AB62" i="20"/>
  <c r="AB63" i="20"/>
  <c r="AB64" i="20"/>
  <c r="AB65" i="20"/>
  <c r="AB66" i="20"/>
  <c r="AB67" i="20"/>
  <c r="AB68" i="20"/>
  <c r="AB69" i="20"/>
  <c r="AB70" i="20"/>
  <c r="AB71" i="20"/>
  <c r="AB72" i="20"/>
  <c r="AB73" i="20"/>
  <c r="AB74" i="20"/>
  <c r="AB75" i="20"/>
  <c r="AB76" i="20"/>
  <c r="AB77" i="20"/>
  <c r="AB78" i="20"/>
  <c r="AB79" i="20"/>
  <c r="AB80" i="20"/>
  <c r="AB81" i="20"/>
  <c r="AB82" i="20"/>
  <c r="AB83" i="20"/>
  <c r="AB84" i="20"/>
  <c r="AB85" i="20"/>
  <c r="AB86" i="20"/>
  <c r="AB87" i="20"/>
  <c r="AB88" i="20"/>
  <c r="AB89" i="20"/>
  <c r="AB90" i="20"/>
  <c r="AB91" i="20"/>
  <c r="AB92" i="20"/>
  <c r="AB93" i="20"/>
  <c r="AB94" i="20"/>
  <c r="AB95" i="20"/>
  <c r="AB96" i="20"/>
  <c r="AB97" i="20"/>
  <c r="AB98" i="20"/>
  <c r="AB99" i="20"/>
  <c r="AB100" i="20"/>
  <c r="AB101" i="20"/>
  <c r="AB102" i="20"/>
  <c r="AB103" i="20"/>
  <c r="AB104" i="20"/>
  <c r="AB105" i="20"/>
  <c r="AB106" i="20"/>
  <c r="AB107" i="20"/>
  <c r="AB108" i="20"/>
  <c r="AB109" i="20"/>
  <c r="AB110" i="20"/>
  <c r="AB111" i="20"/>
  <c r="AB112" i="20"/>
  <c r="AB113" i="20"/>
  <c r="AB114" i="20"/>
  <c r="AB115" i="20"/>
  <c r="AB116" i="20"/>
  <c r="AB117" i="20"/>
  <c r="AB118" i="20"/>
  <c r="AB119" i="20"/>
  <c r="AB120" i="20"/>
  <c r="AB121" i="20"/>
  <c r="AB122" i="20"/>
  <c r="AB123" i="20"/>
  <c r="AB124" i="20"/>
  <c r="AB125" i="20"/>
  <c r="AB126" i="20"/>
  <c r="AB127" i="20"/>
  <c r="AB128" i="20"/>
  <c r="AB129" i="20"/>
  <c r="AB130" i="20"/>
  <c r="AB131" i="20"/>
  <c r="AB132" i="20"/>
  <c r="AB133" i="20"/>
  <c r="AB134" i="20"/>
  <c r="AB135" i="20"/>
  <c r="AB136" i="20"/>
  <c r="AB137" i="20"/>
  <c r="AB138" i="20"/>
  <c r="AB139" i="20"/>
  <c r="AB140" i="20"/>
  <c r="AB141" i="20"/>
  <c r="AB142" i="20"/>
  <c r="AB143" i="20"/>
  <c r="AB144" i="20"/>
  <c r="AB145" i="20"/>
  <c r="AB146" i="20"/>
  <c r="AB147" i="20"/>
  <c r="AB148" i="20"/>
  <c r="AB149" i="20"/>
  <c r="AB150" i="20"/>
  <c r="AB151" i="20"/>
  <c r="AB152" i="20"/>
  <c r="AB153" i="20"/>
  <c r="AB154" i="20"/>
  <c r="AB155" i="20"/>
  <c r="AB156" i="20"/>
  <c r="AB157" i="20"/>
  <c r="AB158" i="20"/>
  <c r="AB159" i="20"/>
  <c r="AB160" i="20"/>
  <c r="AB161" i="20"/>
  <c r="AB162" i="20"/>
  <c r="AB163" i="20"/>
  <c r="AB164" i="20"/>
  <c r="AB165" i="20"/>
  <c r="AB166" i="20"/>
  <c r="AB167" i="20"/>
  <c r="AB168" i="20"/>
  <c r="AB169" i="20"/>
  <c r="AB170" i="20"/>
  <c r="AB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3" i="20"/>
  <c r="BB4" i="20"/>
  <c r="BB5" i="20"/>
  <c r="BB6" i="20"/>
  <c r="BB7" i="20"/>
  <c r="BB8" i="20"/>
  <c r="BB9" i="20"/>
  <c r="BB10" i="20"/>
  <c r="BB11" i="20"/>
  <c r="BB12" i="20"/>
  <c r="BB13" i="20"/>
  <c r="BB14" i="20"/>
  <c r="BB15" i="20"/>
  <c r="BB16" i="20"/>
  <c r="BB17" i="20"/>
  <c r="BB18" i="20"/>
  <c r="BB19" i="20"/>
  <c r="BB20" i="20"/>
  <c r="BB21" i="20"/>
  <c r="BB22" i="20"/>
  <c r="BB23" i="20"/>
  <c r="BB24" i="20"/>
  <c r="BB25" i="20"/>
  <c r="BB26" i="20"/>
  <c r="BB27" i="20"/>
  <c r="BB28" i="20"/>
  <c r="BB29" i="20"/>
  <c r="BB30" i="20"/>
  <c r="BB31" i="20"/>
  <c r="BB32" i="20"/>
  <c r="BB33" i="20"/>
  <c r="BB34" i="20"/>
  <c r="BB35" i="20"/>
  <c r="BB36" i="20"/>
  <c r="BB37" i="20"/>
  <c r="BB38" i="20"/>
  <c r="BB39" i="20"/>
  <c r="BB40" i="20"/>
  <c r="BB41" i="20"/>
  <c r="BB42" i="20"/>
  <c r="BB43" i="20"/>
  <c r="BB44" i="20"/>
  <c r="BB45" i="20"/>
  <c r="BB46" i="20"/>
  <c r="BB47" i="20"/>
  <c r="BB48" i="20"/>
  <c r="BB49" i="20"/>
  <c r="BB50" i="20"/>
  <c r="BB51" i="20"/>
  <c r="BB52" i="20"/>
  <c r="BB53" i="20"/>
  <c r="BB54" i="20"/>
  <c r="BB55" i="20"/>
  <c r="BB56" i="20"/>
  <c r="BB57" i="20"/>
  <c r="BB58" i="20"/>
  <c r="BB59" i="20"/>
  <c r="BB60" i="20"/>
  <c r="BB61" i="20"/>
  <c r="BB62" i="20"/>
  <c r="BB63" i="20"/>
  <c r="BB64" i="20"/>
  <c r="BB65" i="20"/>
  <c r="BB66" i="20"/>
  <c r="BB67" i="20"/>
  <c r="BB68" i="20"/>
  <c r="BB69" i="20"/>
  <c r="BB70" i="20"/>
  <c r="BB71" i="20"/>
  <c r="BB72" i="20"/>
  <c r="BB73" i="20"/>
  <c r="BB74" i="20"/>
  <c r="BB75" i="20"/>
  <c r="BB76" i="20"/>
  <c r="BB77" i="20"/>
  <c r="BB78" i="20"/>
  <c r="BB79" i="20"/>
  <c r="BB80" i="20"/>
  <c r="BB81" i="20"/>
  <c r="BB82" i="20"/>
  <c r="BB83" i="20"/>
  <c r="BB84" i="20"/>
  <c r="BB85" i="20"/>
  <c r="BB86" i="20"/>
  <c r="BB87" i="20"/>
  <c r="BB88" i="20"/>
  <c r="BB89" i="20"/>
  <c r="BB90" i="20"/>
  <c r="BB91" i="20"/>
  <c r="BB92" i="20"/>
  <c r="BB93" i="20"/>
  <c r="BB94" i="20"/>
  <c r="BB95" i="20"/>
  <c r="BB96" i="20"/>
  <c r="BB97" i="20"/>
  <c r="BB98" i="20"/>
  <c r="BB99" i="20"/>
  <c r="BB100" i="20"/>
  <c r="BB101" i="20"/>
  <c r="BB102" i="20"/>
  <c r="BB103" i="20"/>
  <c r="BB104" i="20"/>
  <c r="BB105" i="20"/>
  <c r="BB106" i="20"/>
  <c r="BB107" i="20"/>
  <c r="BB108" i="20"/>
  <c r="BB109" i="20"/>
  <c r="BB110" i="20"/>
  <c r="BB111" i="20"/>
  <c r="BB112" i="20"/>
  <c r="BB113" i="20"/>
  <c r="BB114" i="20"/>
  <c r="BB115" i="20"/>
  <c r="BB116" i="20"/>
  <c r="BB117" i="20"/>
  <c r="BB118" i="20"/>
  <c r="BB119" i="20"/>
  <c r="BB120" i="20"/>
  <c r="BB121" i="20"/>
  <c r="BB122" i="20"/>
  <c r="BB123" i="20"/>
  <c r="BB124" i="20"/>
  <c r="BB125" i="20"/>
  <c r="BB126" i="20"/>
  <c r="BB127" i="20"/>
  <c r="BB128" i="20"/>
  <c r="BB129" i="20"/>
  <c r="BB130" i="20"/>
  <c r="BB131" i="20"/>
  <c r="BB132" i="20"/>
  <c r="BB133" i="20"/>
  <c r="BB134" i="20"/>
  <c r="BB135" i="20"/>
  <c r="BB136" i="20"/>
  <c r="BB137" i="20"/>
  <c r="BB138" i="20"/>
  <c r="BB139" i="20"/>
  <c r="BB140" i="20"/>
  <c r="BB141" i="20"/>
  <c r="BB142" i="20"/>
  <c r="BB143" i="20"/>
  <c r="BB144" i="20"/>
  <c r="BB145" i="20"/>
  <c r="BB146" i="20"/>
  <c r="BB147" i="20"/>
  <c r="BB148" i="20"/>
  <c r="BB149" i="20"/>
  <c r="BB150" i="20"/>
  <c r="BB151" i="20"/>
  <c r="BB152" i="20"/>
  <c r="BB153" i="20"/>
  <c r="BB154" i="20"/>
  <c r="BB155" i="20"/>
  <c r="BB156" i="20"/>
  <c r="BB157" i="20"/>
  <c r="BB158" i="20"/>
  <c r="BB159" i="20"/>
  <c r="BB160" i="20"/>
  <c r="BB161" i="20"/>
  <c r="BB162" i="20"/>
  <c r="BB163" i="20"/>
  <c r="BB164" i="20"/>
  <c r="BB165" i="20"/>
  <c r="BB166" i="20"/>
  <c r="BB167" i="20"/>
  <c r="BB168" i="20"/>
  <c r="BB169" i="20"/>
  <c r="BB170" i="20"/>
  <c r="BB3" i="20"/>
  <c r="AR4" i="20"/>
  <c r="AR5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8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Q4" i="20"/>
  <c r="AQ5" i="20"/>
  <c r="AQ6" i="20"/>
  <c r="AQ7" i="20"/>
  <c r="AQ8" i="20"/>
  <c r="AQ9" i="20"/>
  <c r="AQ10" i="20"/>
  <c r="AQ11" i="20"/>
  <c r="AQ12" i="20"/>
  <c r="AQ13" i="20"/>
  <c r="AQ14" i="20"/>
  <c r="AQ15" i="20"/>
  <c r="AQ16" i="20"/>
  <c r="AQ17" i="20"/>
  <c r="AQ18" i="20"/>
  <c r="AQ19" i="20"/>
  <c r="AQ20" i="20"/>
  <c r="AQ21" i="20"/>
  <c r="AQ22" i="20"/>
  <c r="AQ23" i="20"/>
  <c r="AQ24" i="20"/>
  <c r="AQ25" i="20"/>
  <c r="AQ26" i="20"/>
  <c r="AQ27" i="20"/>
  <c r="AQ28" i="20"/>
  <c r="AQ29" i="20"/>
  <c r="AQ30" i="20"/>
  <c r="AQ31" i="20"/>
  <c r="AQ32" i="20"/>
  <c r="AQ33" i="20"/>
  <c r="AQ34" i="20"/>
  <c r="AQ35" i="20"/>
  <c r="AQ36" i="20"/>
  <c r="AQ37" i="20"/>
  <c r="AQ38" i="20"/>
  <c r="AQ39" i="20"/>
  <c r="AQ40" i="20"/>
  <c r="AQ41" i="20"/>
  <c r="AQ42" i="20"/>
  <c r="AQ43" i="20"/>
  <c r="AQ44" i="20"/>
  <c r="AQ45" i="20"/>
  <c r="AQ46" i="20"/>
  <c r="AQ47" i="20"/>
  <c r="AQ48" i="20"/>
  <c r="AQ49" i="20"/>
  <c r="AQ50" i="20"/>
  <c r="AQ51" i="20"/>
  <c r="AQ52" i="20"/>
  <c r="AQ53" i="20"/>
  <c r="AQ54" i="20"/>
  <c r="AQ55" i="20"/>
  <c r="AQ56" i="20"/>
  <c r="AQ57" i="20"/>
  <c r="AQ58" i="20"/>
  <c r="AQ59" i="20"/>
  <c r="AQ60" i="20"/>
  <c r="AQ61" i="20"/>
  <c r="AQ62" i="20"/>
  <c r="AQ63" i="20"/>
  <c r="AQ64" i="20"/>
  <c r="AQ65" i="20"/>
  <c r="AQ66" i="20"/>
  <c r="AQ67" i="20"/>
  <c r="AQ68" i="20"/>
  <c r="AQ69" i="20"/>
  <c r="AQ70" i="20"/>
  <c r="AQ71" i="20"/>
  <c r="AQ72" i="20"/>
  <c r="AQ73" i="20"/>
  <c r="AQ74" i="20"/>
  <c r="AQ75" i="20"/>
  <c r="AQ76" i="20"/>
  <c r="AQ77" i="20"/>
  <c r="AQ78" i="20"/>
  <c r="AQ79" i="20"/>
  <c r="AQ80" i="20"/>
  <c r="AQ81" i="20"/>
  <c r="AQ82" i="20"/>
  <c r="AQ83" i="20"/>
  <c r="AQ84" i="20"/>
  <c r="AQ85" i="20"/>
  <c r="AQ86" i="20"/>
  <c r="AQ87" i="20"/>
  <c r="AQ88" i="20"/>
  <c r="AQ89" i="20"/>
  <c r="AQ90" i="20"/>
  <c r="AQ91" i="20"/>
  <c r="AQ92" i="20"/>
  <c r="AQ93" i="20"/>
  <c r="AQ94" i="20"/>
  <c r="AQ95" i="20"/>
  <c r="AQ96" i="20"/>
  <c r="AQ97" i="20"/>
  <c r="AQ98" i="20"/>
  <c r="AQ99" i="20"/>
  <c r="AQ100" i="20"/>
  <c r="AQ101" i="20"/>
  <c r="AQ102" i="20"/>
  <c r="AQ103" i="20"/>
  <c r="AQ104" i="20"/>
  <c r="AQ105" i="20"/>
  <c r="AQ106" i="20"/>
  <c r="AQ107" i="20"/>
  <c r="AQ108" i="20"/>
  <c r="AQ109" i="20"/>
  <c r="AQ110" i="20"/>
  <c r="AQ111" i="20"/>
  <c r="AQ112" i="20"/>
  <c r="AQ113" i="20"/>
  <c r="AQ114" i="20"/>
  <c r="AQ115" i="20"/>
  <c r="AQ116" i="20"/>
  <c r="AQ117" i="20"/>
  <c r="AQ118" i="20"/>
  <c r="AQ119" i="20"/>
  <c r="AQ120" i="20"/>
  <c r="AQ121" i="20"/>
  <c r="AQ122" i="20"/>
  <c r="AQ123" i="20"/>
  <c r="AQ124" i="20"/>
  <c r="AQ125" i="20"/>
  <c r="AQ126" i="20"/>
  <c r="AQ127" i="20"/>
  <c r="AQ128" i="20"/>
  <c r="AQ129" i="20"/>
  <c r="AQ130" i="20"/>
  <c r="AQ131" i="20"/>
  <c r="AQ132" i="20"/>
  <c r="AQ133" i="20"/>
  <c r="AQ134" i="20"/>
  <c r="AQ135" i="20"/>
  <c r="AQ136" i="20"/>
  <c r="AQ137" i="20"/>
  <c r="AQ138" i="20"/>
  <c r="AQ139" i="20"/>
  <c r="AQ140" i="20"/>
  <c r="AQ141" i="20"/>
  <c r="AQ142" i="20"/>
  <c r="AQ143" i="20"/>
  <c r="AQ144" i="20"/>
  <c r="AQ145" i="20"/>
  <c r="AQ146" i="20"/>
  <c r="AQ147" i="20"/>
  <c r="AQ148" i="20"/>
  <c r="AQ149" i="20"/>
  <c r="AQ150" i="20"/>
  <c r="AQ151" i="20"/>
  <c r="AQ152" i="20"/>
  <c r="AQ153" i="20"/>
  <c r="AQ154" i="20"/>
  <c r="AQ155" i="20"/>
  <c r="AQ156" i="20"/>
  <c r="AQ157" i="20"/>
  <c r="AQ158" i="20"/>
  <c r="AQ159" i="20"/>
  <c r="AQ160" i="20"/>
  <c r="AQ161" i="20"/>
  <c r="AQ162" i="20"/>
  <c r="AQ163" i="20"/>
  <c r="AQ164" i="20"/>
  <c r="AQ165" i="20"/>
  <c r="AQ166" i="20"/>
  <c r="AQ167" i="20"/>
  <c r="AQ168" i="20"/>
  <c r="AQ169" i="20"/>
  <c r="AQ170" i="20"/>
  <c r="AR3" i="20"/>
  <c r="AQ3" i="20"/>
  <c r="AY4" i="20"/>
  <c r="AY5" i="20"/>
  <c r="AY6" i="20"/>
  <c r="AY7" i="20"/>
  <c r="AY8" i="20"/>
  <c r="AY9" i="20"/>
  <c r="AY10" i="20"/>
  <c r="AY11" i="20"/>
  <c r="AY12" i="20"/>
  <c r="AY13" i="20"/>
  <c r="AY14" i="20"/>
  <c r="AY15" i="20"/>
  <c r="AY16" i="20"/>
  <c r="AY17" i="20"/>
  <c r="AY18" i="20"/>
  <c r="AY19" i="20"/>
  <c r="AY20" i="20"/>
  <c r="AY21" i="20"/>
  <c r="AY22" i="20"/>
  <c r="AY23" i="20"/>
  <c r="AY24" i="20"/>
  <c r="AY25" i="20"/>
  <c r="AY26" i="20"/>
  <c r="AY27" i="20"/>
  <c r="AY28" i="20"/>
  <c r="AY29" i="20"/>
  <c r="AY30" i="20"/>
  <c r="AY31" i="20"/>
  <c r="AY32" i="20"/>
  <c r="AY33" i="20"/>
  <c r="AY34" i="20"/>
  <c r="AY35" i="20"/>
  <c r="AY36" i="20"/>
  <c r="AY37" i="20"/>
  <c r="AY38" i="20"/>
  <c r="AY39" i="20"/>
  <c r="AY40" i="20"/>
  <c r="AY41" i="20"/>
  <c r="AY42" i="20"/>
  <c r="AY43" i="20"/>
  <c r="AY44" i="20"/>
  <c r="AY45" i="20"/>
  <c r="AY46" i="20"/>
  <c r="AY47" i="20"/>
  <c r="AY48" i="20"/>
  <c r="AY49" i="20"/>
  <c r="AY50" i="20"/>
  <c r="AY51" i="20"/>
  <c r="AY52" i="20"/>
  <c r="AY53" i="20"/>
  <c r="AY54" i="20"/>
  <c r="AY55" i="20"/>
  <c r="AY56" i="20"/>
  <c r="AY57" i="20"/>
  <c r="AY58" i="20"/>
  <c r="AY59" i="20"/>
  <c r="AY60" i="20"/>
  <c r="AY61" i="20"/>
  <c r="AY62" i="20"/>
  <c r="AY63" i="20"/>
  <c r="AY64" i="20"/>
  <c r="AY65" i="20"/>
  <c r="AY66" i="20"/>
  <c r="AY67" i="20"/>
  <c r="AY68" i="20"/>
  <c r="AY69" i="20"/>
  <c r="AY70" i="20"/>
  <c r="AY71" i="20"/>
  <c r="AY72" i="20"/>
  <c r="AY73" i="20"/>
  <c r="AY74" i="20"/>
  <c r="AY75" i="20"/>
  <c r="AY76" i="20"/>
  <c r="AY77" i="20"/>
  <c r="AY78" i="20"/>
  <c r="AY79" i="20"/>
  <c r="AY80" i="20"/>
  <c r="AY81" i="20"/>
  <c r="AY82" i="20"/>
  <c r="AY83" i="20"/>
  <c r="AY84" i="20"/>
  <c r="AY85" i="20"/>
  <c r="AY86" i="20"/>
  <c r="AY87" i="20"/>
  <c r="AY88" i="20"/>
  <c r="AY89" i="20"/>
  <c r="AY90" i="20"/>
  <c r="AY91" i="20"/>
  <c r="AY92" i="20"/>
  <c r="AY93" i="20"/>
  <c r="AY94" i="20"/>
  <c r="AY95" i="20"/>
  <c r="AY96" i="20"/>
  <c r="AY97" i="20"/>
  <c r="AY98" i="20"/>
  <c r="AY99" i="20"/>
  <c r="AY100" i="20"/>
  <c r="AY101" i="20"/>
  <c r="AY102" i="20"/>
  <c r="AY103" i="20"/>
  <c r="AY104" i="20"/>
  <c r="AY105" i="20"/>
  <c r="AY106" i="20"/>
  <c r="AY107" i="20"/>
  <c r="AY108" i="20"/>
  <c r="AY109" i="20"/>
  <c r="AY110" i="20"/>
  <c r="AY111" i="20"/>
  <c r="AY112" i="20"/>
  <c r="AY113" i="20"/>
  <c r="AY114" i="20"/>
  <c r="AY115" i="20"/>
  <c r="AY116" i="20"/>
  <c r="AY117" i="20"/>
  <c r="AY118" i="20"/>
  <c r="AY119" i="20"/>
  <c r="AY120" i="20"/>
  <c r="AY121" i="20"/>
  <c r="AY122" i="20"/>
  <c r="AY123" i="20"/>
  <c r="AY124" i="20"/>
  <c r="AY125" i="20"/>
  <c r="AY126" i="20"/>
  <c r="AY127" i="20"/>
  <c r="AY128" i="20"/>
  <c r="AY129" i="20"/>
  <c r="AY130" i="20"/>
  <c r="AY131" i="20"/>
  <c r="AY132" i="20"/>
  <c r="AY133" i="20"/>
  <c r="AY134" i="20"/>
  <c r="AY135" i="20"/>
  <c r="AY136" i="20"/>
  <c r="AY137" i="20"/>
  <c r="AY138" i="20"/>
  <c r="AY139" i="20"/>
  <c r="AY140" i="20"/>
  <c r="AY141" i="20"/>
  <c r="AY142" i="20"/>
  <c r="AY143" i="20"/>
  <c r="AY144" i="20"/>
  <c r="AY145" i="20"/>
  <c r="AY146" i="20"/>
  <c r="AY147" i="20"/>
  <c r="AY148" i="20"/>
  <c r="AY149" i="20"/>
  <c r="AY150" i="20"/>
  <c r="AY151" i="20"/>
  <c r="AY152" i="20"/>
  <c r="AY153" i="20"/>
  <c r="AY154" i="20"/>
  <c r="AY155" i="20"/>
  <c r="AY156" i="20"/>
  <c r="AY157" i="20"/>
  <c r="AY158" i="20"/>
  <c r="AY159" i="20"/>
  <c r="AY160" i="20"/>
  <c r="AY161" i="20"/>
  <c r="AY162" i="20"/>
  <c r="AY163" i="20"/>
  <c r="AY164" i="20"/>
  <c r="AY165" i="20"/>
  <c r="AY166" i="20"/>
  <c r="AY167" i="20"/>
  <c r="AY168" i="20"/>
  <c r="AY169" i="20"/>
  <c r="AY170" i="20"/>
  <c r="AY3" i="20"/>
  <c r="C6" i="17"/>
  <c r="AW4" i="20"/>
  <c r="AW5" i="20"/>
  <c r="AW6" i="20"/>
  <c r="AW7" i="20"/>
  <c r="AW8" i="20"/>
  <c r="AW9" i="20"/>
  <c r="AW10" i="20"/>
  <c r="AW11" i="20"/>
  <c r="AW12" i="20"/>
  <c r="AW13" i="20"/>
  <c r="AW14" i="20"/>
  <c r="AW15" i="20"/>
  <c r="AW16" i="20"/>
  <c r="AW17" i="20"/>
  <c r="AW18" i="20"/>
  <c r="AW19" i="20"/>
  <c r="AW20" i="20"/>
  <c r="AW21" i="20"/>
  <c r="AW22" i="20"/>
  <c r="AW23" i="20"/>
  <c r="AW24" i="20"/>
  <c r="AW25" i="20"/>
  <c r="AW26" i="20"/>
  <c r="AW27" i="20"/>
  <c r="AW28" i="20"/>
  <c r="AW29" i="20"/>
  <c r="AW30" i="20"/>
  <c r="AW31" i="20"/>
  <c r="AW32" i="20"/>
  <c r="AW33" i="20"/>
  <c r="AW34" i="20"/>
  <c r="AW35" i="20"/>
  <c r="AW36" i="20"/>
  <c r="AW37" i="20"/>
  <c r="AW38" i="20"/>
  <c r="AW39" i="20"/>
  <c r="AW40" i="20"/>
  <c r="AW41" i="20"/>
  <c r="AW42" i="20"/>
  <c r="AW43" i="20"/>
  <c r="AW44" i="20"/>
  <c r="AW45" i="20"/>
  <c r="AW46" i="20"/>
  <c r="AW47" i="20"/>
  <c r="AW48" i="20"/>
  <c r="AW49" i="20"/>
  <c r="AW50" i="20"/>
  <c r="AW51" i="20"/>
  <c r="AW52" i="20"/>
  <c r="AW53" i="20"/>
  <c r="AW54" i="20"/>
  <c r="AW55" i="20"/>
  <c r="AW56" i="20"/>
  <c r="AW57" i="20"/>
  <c r="AW58" i="20"/>
  <c r="AW59" i="20"/>
  <c r="AW60" i="20"/>
  <c r="AW61" i="20"/>
  <c r="AW62" i="20"/>
  <c r="AW63" i="20"/>
  <c r="AW64" i="20"/>
  <c r="AW65" i="20"/>
  <c r="AW66" i="20"/>
  <c r="AW67" i="20"/>
  <c r="AW68" i="20"/>
  <c r="AW69" i="20"/>
  <c r="AW70" i="20"/>
  <c r="AW71" i="20"/>
  <c r="AW72" i="20"/>
  <c r="AW73" i="20"/>
  <c r="AW74" i="20"/>
  <c r="AW75" i="20"/>
  <c r="AW76" i="20"/>
  <c r="AW77" i="20"/>
  <c r="AW78" i="20"/>
  <c r="AW79" i="20"/>
  <c r="AW80" i="20"/>
  <c r="AW81" i="20"/>
  <c r="AW82" i="20"/>
  <c r="AW83" i="20"/>
  <c r="AW84" i="20"/>
  <c r="AW85" i="20"/>
  <c r="AW86" i="20"/>
  <c r="AW87" i="20"/>
  <c r="AW88" i="20"/>
  <c r="AW89" i="20"/>
  <c r="AW90" i="20"/>
  <c r="AW91" i="20"/>
  <c r="AW92" i="20"/>
  <c r="AW93" i="20"/>
  <c r="AW94" i="20"/>
  <c r="AW95" i="20"/>
  <c r="AW96" i="20"/>
  <c r="AW97" i="20"/>
  <c r="AW98" i="20"/>
  <c r="AW99" i="20"/>
  <c r="AW100" i="20"/>
  <c r="AW101" i="20"/>
  <c r="AW102" i="20"/>
  <c r="AW103" i="20"/>
  <c r="AW104" i="20"/>
  <c r="AW105" i="20"/>
  <c r="AW106" i="20"/>
  <c r="AW107" i="20"/>
  <c r="AW108" i="20"/>
  <c r="AW109" i="20"/>
  <c r="AW110" i="20"/>
  <c r="AW111" i="20"/>
  <c r="AW112" i="20"/>
  <c r="AW113" i="20"/>
  <c r="AW114" i="20"/>
  <c r="AW115" i="20"/>
  <c r="AW116" i="20"/>
  <c r="AW117" i="20"/>
  <c r="AW118" i="20"/>
  <c r="AW119" i="20"/>
  <c r="AW120" i="20"/>
  <c r="AW121" i="20"/>
  <c r="AW122" i="20"/>
  <c r="AW123" i="20"/>
  <c r="AW124" i="20"/>
  <c r="AW125" i="20"/>
  <c r="AW126" i="20"/>
  <c r="AW127" i="20"/>
  <c r="AW128" i="20"/>
  <c r="AW129" i="20"/>
  <c r="AW130" i="20"/>
  <c r="AW131" i="20"/>
  <c r="AW132" i="20"/>
  <c r="AW133" i="20"/>
  <c r="AW134" i="20"/>
  <c r="AW135" i="20"/>
  <c r="AW136" i="20"/>
  <c r="AW137" i="20"/>
  <c r="AW138" i="20"/>
  <c r="AW139" i="20"/>
  <c r="AW140" i="20"/>
  <c r="AW141" i="20"/>
  <c r="AW142" i="20"/>
  <c r="AW143" i="20"/>
  <c r="AW144" i="20"/>
  <c r="AW145" i="20"/>
  <c r="AW146" i="20"/>
  <c r="AW147" i="20"/>
  <c r="AW148" i="20"/>
  <c r="AW149" i="20"/>
  <c r="AW150" i="20"/>
  <c r="AW151" i="20"/>
  <c r="AW152" i="20"/>
  <c r="AW153" i="20"/>
  <c r="AW154" i="20"/>
  <c r="AW155" i="20"/>
  <c r="AW156" i="20"/>
  <c r="AW157" i="20"/>
  <c r="AW158" i="20"/>
  <c r="AW159" i="20"/>
  <c r="AW160" i="20"/>
  <c r="AW161" i="20"/>
  <c r="AW162" i="20"/>
  <c r="AW163" i="20"/>
  <c r="AW164" i="20"/>
  <c r="AW165" i="20"/>
  <c r="AW166" i="20"/>
  <c r="AW167" i="20"/>
  <c r="AW168" i="20"/>
  <c r="AW169" i="20"/>
  <c r="AW170" i="20"/>
  <c r="AW3" i="20"/>
  <c r="AU4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3" i="20"/>
  <c r="AN4" i="20" l="1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3" i="20"/>
  <c r="AM4" i="20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3" i="20"/>
  <c r="P3" i="10" l="1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2" i="10"/>
  <c r="C10" i="17" l="1"/>
  <c r="X4" i="20" l="1"/>
  <c r="X5" i="20"/>
  <c r="X6" i="20"/>
  <c r="X7" i="20"/>
  <c r="X8" i="20"/>
  <c r="X9" i="20"/>
  <c r="X10" i="20"/>
  <c r="X11" i="20"/>
  <c r="X12" i="20"/>
  <c r="X13" i="20"/>
  <c r="X14" i="20"/>
  <c r="X15" i="20"/>
  <c r="X16" i="20"/>
  <c r="X17" i="20"/>
  <c r="X18" i="20"/>
  <c r="X19" i="20"/>
  <c r="X20" i="20"/>
  <c r="X21" i="20"/>
  <c r="X22" i="20"/>
  <c r="X23" i="20"/>
  <c r="X24" i="20"/>
  <c r="X25" i="20"/>
  <c r="X26" i="20"/>
  <c r="X27" i="20"/>
  <c r="X28" i="20"/>
  <c r="X29" i="20"/>
  <c r="X30" i="20"/>
  <c r="X31" i="20"/>
  <c r="X32" i="20"/>
  <c r="X33" i="20"/>
  <c r="X34" i="20"/>
  <c r="X35" i="20"/>
  <c r="X36" i="20"/>
  <c r="X37" i="20"/>
  <c r="X38" i="20"/>
  <c r="X39" i="20"/>
  <c r="X40" i="20"/>
  <c r="X41" i="20"/>
  <c r="X42" i="20"/>
  <c r="X43" i="20"/>
  <c r="X44" i="20"/>
  <c r="X45" i="20"/>
  <c r="X46" i="20"/>
  <c r="X47" i="20"/>
  <c r="X48" i="20"/>
  <c r="X49" i="20"/>
  <c r="X50" i="20"/>
  <c r="X51" i="20"/>
  <c r="X52" i="20"/>
  <c r="X53" i="20"/>
  <c r="X54" i="20"/>
  <c r="X55" i="20"/>
  <c r="X56" i="20"/>
  <c r="X57" i="20"/>
  <c r="X58" i="20"/>
  <c r="X59" i="20"/>
  <c r="X60" i="20"/>
  <c r="X61" i="20"/>
  <c r="X62" i="20"/>
  <c r="X63" i="20"/>
  <c r="X64" i="20"/>
  <c r="X65" i="20"/>
  <c r="X66" i="20"/>
  <c r="X67" i="20"/>
  <c r="X68" i="20"/>
  <c r="X69" i="20"/>
  <c r="X70" i="20"/>
  <c r="X71" i="20"/>
  <c r="X72" i="20"/>
  <c r="X73" i="20"/>
  <c r="X74" i="20"/>
  <c r="X75" i="20"/>
  <c r="X76" i="20"/>
  <c r="X77" i="20"/>
  <c r="X78" i="20"/>
  <c r="X79" i="20"/>
  <c r="X80" i="20"/>
  <c r="X81" i="20"/>
  <c r="X82" i="20"/>
  <c r="X83" i="20"/>
  <c r="X84" i="20"/>
  <c r="X85" i="20"/>
  <c r="X86" i="20"/>
  <c r="X87" i="20"/>
  <c r="X88" i="20"/>
  <c r="X89" i="20"/>
  <c r="X90" i="20"/>
  <c r="X91" i="20"/>
  <c r="X92" i="20"/>
  <c r="X93" i="20"/>
  <c r="X94" i="20"/>
  <c r="X95" i="20"/>
  <c r="X96" i="20"/>
  <c r="X97" i="20"/>
  <c r="X98" i="20"/>
  <c r="X99" i="20"/>
  <c r="X100" i="20"/>
  <c r="X101" i="20"/>
  <c r="X102" i="20"/>
  <c r="X103" i="20"/>
  <c r="X104" i="20"/>
  <c r="X105" i="20"/>
  <c r="X106" i="20"/>
  <c r="X107" i="20"/>
  <c r="X108" i="20"/>
  <c r="X109" i="20"/>
  <c r="X110" i="20"/>
  <c r="X111" i="20"/>
  <c r="X112" i="20"/>
  <c r="X113" i="20"/>
  <c r="X114" i="20"/>
  <c r="X115" i="20"/>
  <c r="X116" i="20"/>
  <c r="X117" i="20"/>
  <c r="X118" i="20"/>
  <c r="X119" i="20"/>
  <c r="X120" i="20"/>
  <c r="X121" i="20"/>
  <c r="X122" i="20"/>
  <c r="X123" i="20"/>
  <c r="X124" i="20"/>
  <c r="X125" i="20"/>
  <c r="X126" i="20"/>
  <c r="X127" i="20"/>
  <c r="X128" i="20"/>
  <c r="X129" i="20"/>
  <c r="X130" i="20"/>
  <c r="X131" i="20"/>
  <c r="X132" i="20"/>
  <c r="X133" i="20"/>
  <c r="X134" i="20"/>
  <c r="X135" i="20"/>
  <c r="X136" i="20"/>
  <c r="X137" i="20"/>
  <c r="X138" i="20"/>
  <c r="X139" i="20"/>
  <c r="X140" i="20"/>
  <c r="X141" i="20"/>
  <c r="X142" i="20"/>
  <c r="X143" i="20"/>
  <c r="X144" i="20"/>
  <c r="X145" i="20"/>
  <c r="X146" i="20"/>
  <c r="X147" i="20"/>
  <c r="X148" i="20"/>
  <c r="X149" i="20"/>
  <c r="X150" i="20"/>
  <c r="X151" i="20"/>
  <c r="X152" i="20"/>
  <c r="X153" i="20"/>
  <c r="X154" i="20"/>
  <c r="X155" i="20"/>
  <c r="X156" i="20"/>
  <c r="X157" i="20"/>
  <c r="X158" i="20"/>
  <c r="X159" i="20"/>
  <c r="X160" i="20"/>
  <c r="X161" i="20"/>
  <c r="X162" i="20"/>
  <c r="X163" i="20"/>
  <c r="X164" i="20"/>
  <c r="X165" i="20"/>
  <c r="X166" i="20"/>
  <c r="X167" i="20"/>
  <c r="X168" i="20"/>
  <c r="X169" i="20"/>
  <c r="X170" i="20"/>
  <c r="X3" i="20"/>
  <c r="V4" i="20"/>
  <c r="V5" i="20"/>
  <c r="V6" i="20"/>
  <c r="V7" i="20"/>
  <c r="V8" i="20"/>
  <c r="V9" i="20"/>
  <c r="V10" i="20"/>
  <c r="V11" i="20"/>
  <c r="V12" i="20"/>
  <c r="V13" i="20"/>
  <c r="V14" i="20"/>
  <c r="V15" i="20"/>
  <c r="V16" i="20"/>
  <c r="V17" i="20"/>
  <c r="V18" i="20"/>
  <c r="V19" i="20"/>
  <c r="V20" i="20"/>
  <c r="V21" i="20"/>
  <c r="V22" i="20"/>
  <c r="V23" i="20"/>
  <c r="V24" i="20"/>
  <c r="V25" i="20"/>
  <c r="V26" i="20"/>
  <c r="V27" i="20"/>
  <c r="V28" i="20"/>
  <c r="V29" i="20"/>
  <c r="V30" i="20"/>
  <c r="V31" i="20"/>
  <c r="V32" i="20"/>
  <c r="V33" i="20"/>
  <c r="V34" i="20"/>
  <c r="V35" i="20"/>
  <c r="V36" i="20"/>
  <c r="V37" i="20"/>
  <c r="V38" i="20"/>
  <c r="V39" i="20"/>
  <c r="V40" i="20"/>
  <c r="V41" i="20"/>
  <c r="V42" i="20"/>
  <c r="V43" i="20"/>
  <c r="V44" i="20"/>
  <c r="V45" i="20"/>
  <c r="V46" i="20"/>
  <c r="V47" i="20"/>
  <c r="V48" i="20"/>
  <c r="V49" i="20"/>
  <c r="V50" i="20"/>
  <c r="V51" i="20"/>
  <c r="V52" i="20"/>
  <c r="V53" i="20"/>
  <c r="V54" i="20"/>
  <c r="V55" i="20"/>
  <c r="V56" i="20"/>
  <c r="V57" i="20"/>
  <c r="V58" i="20"/>
  <c r="V59" i="20"/>
  <c r="V60" i="20"/>
  <c r="V61" i="20"/>
  <c r="V62" i="20"/>
  <c r="V63" i="20"/>
  <c r="V64" i="20"/>
  <c r="V65" i="20"/>
  <c r="V66" i="20"/>
  <c r="V67" i="20"/>
  <c r="V68" i="20"/>
  <c r="V69" i="20"/>
  <c r="V70" i="20"/>
  <c r="V71" i="20"/>
  <c r="V72" i="20"/>
  <c r="V73" i="20"/>
  <c r="V74" i="20"/>
  <c r="V75" i="20"/>
  <c r="V76" i="20"/>
  <c r="V77" i="20"/>
  <c r="V78" i="20"/>
  <c r="V79" i="20"/>
  <c r="V80" i="20"/>
  <c r="V81" i="20"/>
  <c r="V82" i="20"/>
  <c r="V83" i="20"/>
  <c r="V84" i="20"/>
  <c r="V85" i="20"/>
  <c r="V86" i="20"/>
  <c r="V87" i="20"/>
  <c r="V88" i="20"/>
  <c r="V89" i="20"/>
  <c r="V90" i="20"/>
  <c r="V91" i="20"/>
  <c r="V92" i="20"/>
  <c r="V93" i="20"/>
  <c r="V94" i="20"/>
  <c r="V95" i="20"/>
  <c r="V96" i="20"/>
  <c r="V97" i="20"/>
  <c r="V98" i="20"/>
  <c r="V99" i="20"/>
  <c r="V100" i="20"/>
  <c r="V101" i="20"/>
  <c r="V102" i="20"/>
  <c r="V103" i="20"/>
  <c r="V104" i="20"/>
  <c r="V105" i="20"/>
  <c r="V106" i="20"/>
  <c r="V107" i="20"/>
  <c r="V108" i="20"/>
  <c r="V109" i="20"/>
  <c r="V110" i="20"/>
  <c r="V111" i="20"/>
  <c r="V112" i="20"/>
  <c r="V113" i="20"/>
  <c r="V114" i="20"/>
  <c r="V115" i="20"/>
  <c r="V116" i="20"/>
  <c r="V117" i="20"/>
  <c r="V118" i="20"/>
  <c r="V119" i="20"/>
  <c r="V120" i="20"/>
  <c r="V121" i="20"/>
  <c r="V122" i="20"/>
  <c r="V123" i="20"/>
  <c r="V124" i="20"/>
  <c r="V125" i="20"/>
  <c r="V126" i="20"/>
  <c r="V127" i="20"/>
  <c r="V128" i="20"/>
  <c r="V129" i="20"/>
  <c r="V130" i="20"/>
  <c r="V131" i="20"/>
  <c r="V132" i="20"/>
  <c r="V133" i="20"/>
  <c r="V134" i="20"/>
  <c r="V135" i="20"/>
  <c r="V136" i="20"/>
  <c r="V137" i="20"/>
  <c r="V138" i="20"/>
  <c r="V139" i="20"/>
  <c r="V140" i="20"/>
  <c r="V141" i="20"/>
  <c r="V142" i="20"/>
  <c r="V143" i="20"/>
  <c r="V144" i="20"/>
  <c r="V145" i="20"/>
  <c r="V146" i="20"/>
  <c r="V147" i="20"/>
  <c r="V148" i="20"/>
  <c r="V149" i="20"/>
  <c r="V150" i="20"/>
  <c r="V151" i="20"/>
  <c r="V152" i="20"/>
  <c r="V153" i="20"/>
  <c r="V154" i="20"/>
  <c r="V155" i="20"/>
  <c r="V156" i="20"/>
  <c r="V157" i="20"/>
  <c r="V158" i="20"/>
  <c r="V159" i="20"/>
  <c r="V160" i="20"/>
  <c r="V161" i="20"/>
  <c r="V162" i="20"/>
  <c r="V163" i="20"/>
  <c r="V164" i="20"/>
  <c r="V165" i="20"/>
  <c r="V166" i="20"/>
  <c r="V167" i="20"/>
  <c r="V168" i="20"/>
  <c r="V169" i="20"/>
  <c r="V170" i="20"/>
  <c r="V3" i="20"/>
  <c r="N3" i="20" l="1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N86" i="20" s="1"/>
  <c r="N87" i="20" s="1"/>
  <c r="N88" i="20" s="1"/>
  <c r="N89" i="20" s="1"/>
  <c r="N90" i="20" s="1"/>
  <c r="N91" i="20" s="1"/>
  <c r="N92" i="20" s="1"/>
  <c r="N93" i="20" s="1"/>
  <c r="N94" i="20" s="1"/>
  <c r="N95" i="20" s="1"/>
  <c r="N96" i="20" s="1"/>
  <c r="N97" i="20" s="1"/>
  <c r="N98" i="20" s="1"/>
  <c r="N99" i="20" s="1"/>
  <c r="N100" i="20" s="1"/>
  <c r="N101" i="20" s="1"/>
  <c r="N102" i="20" s="1"/>
  <c r="N103" i="20" s="1"/>
  <c r="N104" i="20" s="1"/>
  <c r="N105" i="20" s="1"/>
  <c r="N106" i="20" s="1"/>
  <c r="N107" i="20" s="1"/>
  <c r="N108" i="20" s="1"/>
  <c r="N109" i="20" s="1"/>
  <c r="N110" i="20" s="1"/>
  <c r="N111" i="20" s="1"/>
  <c r="N112" i="20" s="1"/>
  <c r="N113" i="20" s="1"/>
  <c r="N114" i="20" s="1"/>
  <c r="N115" i="20" s="1"/>
  <c r="N116" i="20" s="1"/>
  <c r="N117" i="20" s="1"/>
  <c r="N118" i="20" s="1"/>
  <c r="N119" i="20" s="1"/>
  <c r="N120" i="20" s="1"/>
  <c r="N121" i="20" s="1"/>
  <c r="N122" i="20" s="1"/>
  <c r="N123" i="20" s="1"/>
  <c r="N124" i="20" s="1"/>
  <c r="N125" i="20" s="1"/>
  <c r="N126" i="20" s="1"/>
  <c r="N127" i="20" s="1"/>
  <c r="N128" i="20" s="1"/>
  <c r="N129" i="20" s="1"/>
  <c r="N130" i="20" s="1"/>
  <c r="N131" i="20" s="1"/>
  <c r="N132" i="20" s="1"/>
  <c r="N133" i="20" s="1"/>
  <c r="N134" i="20" s="1"/>
  <c r="N135" i="20" s="1"/>
  <c r="N136" i="20" s="1"/>
  <c r="N137" i="20" s="1"/>
  <c r="N138" i="20" s="1"/>
  <c r="N139" i="20" s="1"/>
  <c r="N140" i="20" s="1"/>
  <c r="N141" i="20" s="1"/>
  <c r="N142" i="20" s="1"/>
  <c r="N143" i="20" s="1"/>
  <c r="N144" i="20" s="1"/>
  <c r="N145" i="20" s="1"/>
  <c r="N146" i="20" s="1"/>
  <c r="N147" i="20" s="1"/>
  <c r="N148" i="20" s="1"/>
  <c r="N149" i="20" s="1"/>
  <c r="N150" i="20" s="1"/>
  <c r="N151" i="20" s="1"/>
  <c r="N152" i="20" s="1"/>
  <c r="N153" i="20" s="1"/>
  <c r="N154" i="20" s="1"/>
  <c r="N155" i="20" s="1"/>
  <c r="N156" i="20" s="1"/>
  <c r="N157" i="20" s="1"/>
  <c r="N158" i="20" s="1"/>
  <c r="N159" i="20" s="1"/>
  <c r="N160" i="20" s="1"/>
  <c r="N161" i="20" s="1"/>
  <c r="N162" i="20" s="1"/>
  <c r="N163" i="20" s="1"/>
  <c r="N164" i="20" s="1"/>
  <c r="N165" i="20" s="1"/>
  <c r="N166" i="20" s="1"/>
  <c r="N167" i="20" s="1"/>
  <c r="N168" i="20" s="1"/>
  <c r="N169" i="20" s="1"/>
  <c r="N170" i="20" s="1"/>
  <c r="C19" i="17"/>
  <c r="A4" i="12" l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3" i="12"/>
  <c r="A2" i="12"/>
  <c r="D32" i="17" l="1"/>
  <c r="D3" i="7" l="1"/>
  <c r="C3" i="7"/>
  <c r="C2" i="7"/>
  <c r="D2" i="7" s="1"/>
  <c r="C2" i="6" l="1"/>
  <c r="C16" i="17" l="1"/>
  <c r="C7" i="17"/>
  <c r="D4" i="16" l="1"/>
  <c r="D3" i="16"/>
</calcChain>
</file>

<file path=xl/sharedStrings.xml><?xml version="1.0" encoding="utf-8"?>
<sst xmlns="http://schemas.openxmlformats.org/spreadsheetml/2006/main" count="761" uniqueCount="312">
  <si>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</si>
  <si>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</si>
  <si>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</si>
  <si>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</si>
  <si>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</si>
  <si>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</si>
  <si>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</si>
  <si>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</si>
  <si>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</si>
  <si>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</si>
  <si>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</si>
  <si>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</si>
  <si>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</si>
  <si>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</si>
  <si>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</si>
  <si>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</si>
  <si>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</si>
  <si>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</si>
  <si>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</si>
  <si>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</si>
  <si>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</si>
  <si>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</si>
  <si>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</si>
  <si>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</si>
  <si>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</si>
  <si>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</si>
  <si>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</si>
  <si>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</si>
  <si>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</si>
  <si>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</si>
  <si>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</si>
  <si>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</si>
  <si>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</si>
  <si>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</si>
  <si>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</si>
  <si>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</si>
  <si>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</si>
  <si>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</si>
  <si>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</si>
  <si>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</si>
  <si>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</si>
  <si>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</si>
  <si>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</si>
  <si>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</si>
  <si>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</si>
  <si>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</si>
  <si>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</si>
  <si>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</si>
  <si>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</si>
  <si>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</si>
  <si>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</si>
  <si>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</si>
  <si>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</si>
  <si>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</si>
  <si>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</si>
  <si>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</si>
  <si>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</si>
  <si>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</si>
  <si>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</si>
  <si>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</si>
  <si>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</si>
  <si>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</si>
  <si>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</si>
  <si>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</si>
  <si>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</si>
  <si>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</si>
  <si>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</si>
  <si>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</si>
  <si>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</si>
  <si>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</si>
  <si>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</si>
  <si>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</si>
  <si>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</si>
  <si>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</si>
  <si>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</si>
  <si>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</si>
  <si>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</si>
  <si>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</si>
  <si>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</si>
  <si>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</si>
  <si>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</si>
  <si>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</si>
  <si>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</si>
  <si>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</si>
  <si>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</si>
  <si>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</si>
  <si>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</si>
  <si>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</si>
  <si>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</si>
  <si>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</si>
  <si>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</si>
  <si>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</si>
  <si>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</si>
  <si>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</si>
  <si>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</si>
  <si>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</si>
  <si>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</si>
  <si>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</si>
  <si>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</si>
  <si>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</si>
  <si>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</si>
  <si>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</si>
  <si>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</si>
  <si>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</si>
  <si>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</si>
  <si>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</si>
  <si>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</si>
  <si>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</si>
  <si>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</si>
  <si>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</si>
  <si>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</si>
  <si>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</si>
  <si>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</si>
  <si>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</si>
  <si>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</si>
  <si>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</si>
  <si>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</si>
  <si>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</si>
  <si>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</si>
  <si>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</si>
  <si>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</si>
  <si>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</si>
  <si>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</si>
  <si>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</si>
  <si>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</si>
  <si>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</si>
  <si>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</si>
  <si>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</si>
  <si>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</si>
  <si>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</si>
  <si>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</si>
  <si>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</si>
  <si>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ES_solar_rooftop_profile</t>
  </si>
  <si>
    <t>ES_solar_pv_profile</t>
  </si>
  <si>
    <t>ES_solar_pv</t>
  </si>
  <si>
    <t>ES_solar_csp</t>
  </si>
  <si>
    <t>ES_solar_rooftop</t>
  </si>
  <si>
    <t>PT_solar_pv</t>
  </si>
  <si>
    <t>PT_solar_rooftop</t>
  </si>
  <si>
    <t>PT_solar_rooftop_profile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</si>
  <si>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</si>
  <si>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</si>
  <si>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</si>
  <si>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</si>
  <si>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</si>
  <si>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</si>
  <si>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</si>
  <si>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</si>
  <si>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</si>
  <si>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</si>
  <si>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</si>
  <si>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</si>
  <si>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</si>
  <si>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</si>
  <si>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</si>
  <si>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</si>
  <si>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</si>
  <si>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</si>
  <si>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</si>
  <si>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</si>
  <si>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</si>
  <si>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</si>
  <si>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</si>
  <si>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</si>
  <si>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</si>
  <si>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</si>
  <si>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</si>
  <si>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</si>
  <si>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</si>
  <si>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</si>
  <si>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</si>
  <si>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 xml:space="preserve">Perfil </t>
  </si>
  <si>
    <t>Perfil Off</t>
  </si>
  <si>
    <t>Perfil On</t>
  </si>
  <si>
    <t>Solar ES-PT</t>
  </si>
  <si>
    <t>FR00 Gas CCGT new</t>
  </si>
  <si>
    <t>FR00 Nuclear</t>
  </si>
  <si>
    <t>FR00 Other nonRES 1</t>
  </si>
  <si>
    <t>FR00 Wind Onshore</t>
  </si>
  <si>
    <t>FR00 Solar PV Utility</t>
  </si>
  <si>
    <t>FR00 Wind Offshore Radial</t>
  </si>
  <si>
    <t>FR00 Other RES</t>
  </si>
  <si>
    <t>FR00 Run of River</t>
  </si>
  <si>
    <t>FR00 Reservoir</t>
  </si>
  <si>
    <t>FR00 PS Open</t>
  </si>
  <si>
    <t>FR00 PS Open Pump</t>
  </si>
  <si>
    <t>FR00 PS Closed</t>
  </si>
  <si>
    <t>FR00 PS Closed Pump</t>
  </si>
  <si>
    <t>FR00 DSR Price Band 1</t>
  </si>
  <si>
    <t>FR00RETE Solar PV Rooftop</t>
  </si>
  <si>
    <t>FRh2 SMR CCS</t>
  </si>
  <si>
    <t>Ammonia_FRN-FRh2N-HIGH</t>
  </si>
  <si>
    <t>Ammonia_FRN-FRh2N-LOW</t>
  </si>
  <si>
    <t>Ammonia_FRSW-FRh2SW-HIGH</t>
  </si>
  <si>
    <t>Ammonia_FRSW-FRh2SW-LOW</t>
  </si>
  <si>
    <t>ES00 Gas CCGT present 1</t>
  </si>
  <si>
    <t>ES00 Other nonRES 1</t>
  </si>
  <si>
    <t>ES00 Wind Onshore</t>
  </si>
  <si>
    <t>ES00 Wind Offshore Radial</t>
  </si>
  <si>
    <t>ES00 Wind Offshore Hub Ready</t>
  </si>
  <si>
    <t>ES00 Run of River</t>
  </si>
  <si>
    <t>ES00 Reservoir</t>
  </si>
  <si>
    <t>ES00 PS Open</t>
  </si>
  <si>
    <t>ES00 PS Open Pump</t>
  </si>
  <si>
    <t>ES00 PS Closed</t>
  </si>
  <si>
    <t>ES00 PS Closed Pump</t>
  </si>
  <si>
    <t>ES00 DSR Price Band 1</t>
  </si>
  <si>
    <t>ES00RETE Solar PV Rooftop</t>
  </si>
  <si>
    <t>ES00_SRES_RES_Solar</t>
  </si>
  <si>
    <t>ES00_SRES_RES_Wind_Onshore</t>
  </si>
  <si>
    <t>ES00_SRES_P2G</t>
  </si>
  <si>
    <t>MA-ESh2-HIGH</t>
  </si>
  <si>
    <t>MA-ESh2-LOW</t>
  </si>
  <si>
    <t>PT00 Gas CCGT present 1</t>
  </si>
  <si>
    <t>PT00 Other nonRES 1</t>
  </si>
  <si>
    <t>PT00 Other RES</t>
  </si>
  <si>
    <t>PT00 Run of River</t>
  </si>
  <si>
    <t>PT00 Reservoir</t>
  </si>
  <si>
    <t>PT00 PS Open</t>
  </si>
  <si>
    <t>PT00 PS Open Pump</t>
  </si>
  <si>
    <t>PT00 Pondage</t>
  </si>
  <si>
    <t>PT00_SRES_RES_Solar</t>
  </si>
  <si>
    <t>PT00_SRES_RES_Wind_Offshore</t>
  </si>
  <si>
    <t>PT00_SRES_RES_Wind_Onshore</t>
  </si>
  <si>
    <t>PT00_SRES_P2G</t>
  </si>
  <si>
    <t>ESPAÑA</t>
  </si>
  <si>
    <t>PORTUGAL</t>
  </si>
  <si>
    <t>FRANCIA</t>
  </si>
  <si>
    <t>Biomasa</t>
  </si>
  <si>
    <t>Perfil Of</t>
  </si>
  <si>
    <t>Nuclear</t>
  </si>
  <si>
    <t>SRES: e-market o h2</t>
  </si>
  <si>
    <t>Wind</t>
  </si>
  <si>
    <t>Perfil Hub</t>
  </si>
  <si>
    <t>Perfil SRES to h2</t>
  </si>
  <si>
    <t>Perfil SRES emarket</t>
  </si>
  <si>
    <t>Francia??? No tiene? No aparece en generator generation y en otros.</t>
  </si>
  <si>
    <t>Exportaciones desde FR00 a EU00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</si>
  <si>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</si>
  <si>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</si>
  <si>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</si>
  <si>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</si>
  <si>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</si>
  <si>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</si>
  <si>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</si>
  <si>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</si>
  <si>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</si>
  <si>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</si>
  <si>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</si>
  <si>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</si>
  <si>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Importaciones FR00</t>
  </si>
  <si>
    <t>wind_hub</t>
  </si>
  <si>
    <t>EU_electricity_market_bus</t>
  </si>
  <si>
    <t>EU_hydrogen_bus</t>
  </si>
  <si>
    <t>FR_solar_pv_profile</t>
  </si>
  <si>
    <t>FR_solar_rooftop_profile</t>
  </si>
  <si>
    <t>FR_wind_onshore_profile</t>
  </si>
  <si>
    <t>FR_wind_offshore_profile</t>
  </si>
  <si>
    <t>FR_biomass_profile</t>
  </si>
  <si>
    <t>FR_nuclear_profile</t>
  </si>
  <si>
    <t>EU_demand_exportaciones</t>
  </si>
  <si>
    <t>EU_generator</t>
  </si>
  <si>
    <t>PTh2 Native Demand</t>
  </si>
  <si>
    <t>PT00 Native Demand</t>
  </si>
  <si>
    <t>FR00 Native Demand [MW_e]</t>
  </si>
  <si>
    <t>Native Demand FR00RETE</t>
  </si>
  <si>
    <t>FRh2S Native Demand [MW_H2]</t>
  </si>
  <si>
    <t>FRh2SW Native Demand [MW_H2]</t>
  </si>
  <si>
    <t>Demandas Electricidad</t>
  </si>
  <si>
    <t>Demandas Hidrógeno</t>
  </si>
  <si>
    <t>ES00 Native Demand [MW_e]</t>
  </si>
  <si>
    <t>ES00 Fixed Demand [MW_e]</t>
  </si>
  <si>
    <t>ES00RETE Native Demand [MW_e]</t>
  </si>
  <si>
    <t>ES00_demand</t>
  </si>
  <si>
    <t>FR00_demand</t>
  </si>
  <si>
    <t>ESh2 H2 Heat Demand [GJ]</t>
  </si>
  <si>
    <t>ESh2 Native Demand [MW_H2]</t>
  </si>
  <si>
    <t>ESh2 Demand</t>
  </si>
  <si>
    <t>FRh2-e-liquids</t>
  </si>
  <si>
    <t>FRh2_demand</t>
  </si>
  <si>
    <t>FRh2 Native Demand</t>
  </si>
  <si>
    <t>FR00-FRh2-P2G_emarket - generation</t>
  </si>
  <si>
    <t>FR00-FRh2SW-P2G_emarket - generation</t>
  </si>
  <si>
    <t>FRh2S_demand</t>
  </si>
  <si>
    <t>FRh2SW_demand</t>
  </si>
  <si>
    <t>FR_electricity_market_battery</t>
  </si>
  <si>
    <t>EU_FR_interconexión_electricidad</t>
  </si>
  <si>
    <t>FR_EU_interconexion_electricidad</t>
  </si>
  <si>
    <t>FR_EU_interconexion_hidrogeno</t>
  </si>
  <si>
    <t>EU_FR_interconexión_hidrogeno</t>
  </si>
  <si>
    <t>FRh2-FRh2S</t>
  </si>
  <si>
    <t>FRh2-LUh2</t>
  </si>
  <si>
    <t>FRh2S-FRh2SW</t>
  </si>
  <si>
    <t>BEh2-FRh2</t>
  </si>
  <si>
    <t>BEh2-FRh2N</t>
  </si>
  <si>
    <t>DEh2-FRh2</t>
  </si>
  <si>
    <t>Ammonia_FRN-FRh2N</t>
  </si>
  <si>
    <t>Ammonia_FRSW-FRh2SW</t>
  </si>
  <si>
    <t>Exportaciones EUh2</t>
  </si>
  <si>
    <t>FRh2S-FRh2</t>
  </si>
  <si>
    <t>LUh2-FRh2</t>
  </si>
  <si>
    <t>FRh2SW-FRh2S</t>
  </si>
  <si>
    <t>FRh2-DEh2</t>
  </si>
  <si>
    <t>FRh2N-BEh2</t>
  </si>
  <si>
    <t>FRh2-BEh2</t>
  </si>
  <si>
    <t>Importaciones EU a FRh2</t>
  </si>
  <si>
    <t>Load EUh2</t>
  </si>
  <si>
    <t>Generador EUh2</t>
  </si>
  <si>
    <t>EU_hydrogen_demand_exportaciones</t>
  </si>
  <si>
    <t>EU_hydrogen_generator</t>
  </si>
  <si>
    <t>FR_embalse</t>
  </si>
  <si>
    <t>FR_water_bus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</si>
</sst>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10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8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</cellStyleXfs>
  <cellXfs count="174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7" borderId="4" xfId="0" applyFont="1" applyFill="1" applyBorder="1" applyAlignment="1">
      <alignment horizontal="center" vertical="center"/>
    </xf>
    <xf numFmtId="0" fontId="28" fillId="10" borderId="4" xfId="0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4" fillId="7" borderId="0" xfId="0" applyFont="1" applyFill="1"/>
    <xf numFmtId="1" fontId="28" fillId="7" borderId="3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29" fillId="7" borderId="3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28" fillId="7" borderId="2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39" fillId="7" borderId="1" xfId="0" applyFont="1" applyFill="1" applyBorder="1"/>
    <xf numFmtId="165" fontId="28" fillId="7" borderId="19" xfId="0" applyNumberFormat="1" applyFont="1" applyFill="1" applyBorder="1"/>
    <xf numFmtId="165" fontId="28" fillId="7" borderId="20" xfId="0" applyNumberFormat="1" applyFont="1" applyFill="1" applyBorder="1"/>
    <xf numFmtId="2" fontId="29" fillId="7" borderId="15" xfId="0" applyNumberFormat="1" applyFont="1" applyFill="1" applyBorder="1"/>
    <xf numFmtId="2" fontId="29" fillId="7" borderId="14" xfId="0" applyNumberFormat="1" applyFont="1" applyFill="1" applyBorder="1"/>
    <xf numFmtId="2" fontId="29" fillId="7" borderId="15" xfId="0" applyNumberFormat="1" applyFont="1" applyFill="1" applyBorder="1" applyAlignment="1">
      <alignment horizontal="center"/>
    </xf>
    <xf numFmtId="2" fontId="29" fillId="7" borderId="19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0" fontId="39" fillId="7" borderId="1" xfId="0" applyFont="1" applyFill="1" applyBorder="1" applyAlignment="1">
      <alignment horizontal="left"/>
    </xf>
    <xf numFmtId="0" fontId="29" fillId="0" borderId="2" xfId="0" applyFont="1" applyBorder="1"/>
    <xf numFmtId="0" fontId="29" fillId="7" borderId="18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9" xfId="0" applyFont="1" applyFill="1" applyBorder="1" applyAlignment="1">
      <alignment horizontal="left"/>
    </xf>
    <xf numFmtId="0" fontId="29" fillId="7" borderId="20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center"/>
    </xf>
    <xf numFmtId="0" fontId="39" fillId="7" borderId="0" xfId="0" applyFont="1" applyFill="1" applyAlignment="1">
      <alignment horizontal="left"/>
    </xf>
    <xf numFmtId="0" fontId="28" fillId="7" borderId="23" xfId="0" applyFont="1" applyFill="1" applyBorder="1" applyAlignment="1">
      <alignment horizontal="center"/>
    </xf>
    <xf numFmtId="0" fontId="40" fillId="7" borderId="0" xfId="0" applyFont="1" applyFill="1"/>
    <xf numFmtId="165" fontId="28" fillId="7" borderId="1" xfId="0" applyNumberFormat="1" applyFont="1" applyFill="1" applyBorder="1"/>
    <xf numFmtId="165" fontId="40" fillId="7" borderId="0" xfId="0" applyNumberFormat="1" applyFont="1" applyFill="1"/>
    <xf numFmtId="0" fontId="28" fillId="7" borderId="1" xfId="0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1" borderId="1" xfId="0" applyFont="1" applyFill="1" applyBorder="1" applyAlignment="1">
      <alignment horizontal="left"/>
    </xf>
    <xf numFmtId="1" fontId="28" fillId="7" borderId="0" xfId="0" applyNumberFormat="1" applyFont="1" applyFill="1" applyAlignment="1">
      <alignment horizontal="center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8" borderId="2" xfId="0" applyFont="1" applyFill="1" applyBorder="1"/>
    <xf numFmtId="2" fontId="29" fillId="7" borderId="0" xfId="0" applyNumberFormat="1" applyFont="1" applyFill="1" applyAlignment="1">
      <alignment horizontal="center"/>
    </xf>
    <xf numFmtId="2" fontId="0" fillId="7" borderId="19" xfId="0" applyNumberForma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0" fillId="7" borderId="20" xfId="0" applyNumberForma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0" fontId="34" fillId="3" borderId="2" xfId="0" applyFont="1" applyFill="1" applyBorder="1" applyAlignment="1">
      <alignment horizontal="left"/>
    </xf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38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7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13" borderId="1" xfId="0" applyFont="1" applyFill="1" applyBorder="1" applyAlignment="1">
      <alignment horizontal="center"/>
    </xf>
    <xf numFmtId="0" fontId="28" fillId="8" borderId="0" xfId="0" applyFont="1" applyFill="1" applyAlignment="1">
      <alignment horizontal="left"/>
    </xf>
    <xf numFmtId="0" fontId="28" fillId="13" borderId="0" xfId="0" applyFont="1" applyFill="1" applyAlignment="1">
      <alignment horizontal="left"/>
    </xf>
    <xf numFmtId="0" fontId="34" fillId="0" borderId="1" xfId="0" applyFont="1" applyBorder="1"/>
    <xf numFmtId="0" fontId="34" fillId="7" borderId="1" xfId="0" applyFont="1" applyFill="1" applyBorder="1"/>
    <xf numFmtId="0" fontId="28" fillId="13" borderId="4" xfId="0" applyFont="1" applyFill="1" applyBorder="1" applyAlignment="1">
      <alignment horizontal="center"/>
    </xf>
    <xf numFmtId="0" fontId="28" fillId="10" borderId="0" xfId="0" applyFont="1" applyFill="1"/>
    <xf numFmtId="165" fontId="28" fillId="7" borderId="17" xfId="0" applyNumberFormat="1" applyFont="1" applyFill="1" applyBorder="1"/>
    <xf numFmtId="165" fontId="28" fillId="7" borderId="16" xfId="0" applyNumberFormat="1" applyFont="1" applyFill="1" applyBorder="1"/>
    <xf numFmtId="165" fontId="28" fillId="7" borderId="18" xfId="0" applyNumberFormat="1" applyFont="1" applyFill="1" applyBorder="1"/>
    <xf numFmtId="165" fontId="28" fillId="7" borderId="0" xfId="0" applyNumberFormat="1" applyFont="1" applyFill="1"/>
    <xf numFmtId="165" fontId="28" fillId="7" borderId="3" xfId="0" applyNumberFormat="1" applyFont="1" applyFill="1" applyBorder="1"/>
    <xf numFmtId="165" fontId="28" fillId="7" borderId="4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5" xfId="0" applyNumberFormat="1" applyFont="1" applyFill="1" applyBorder="1" applyAlignment="1">
      <alignment horizontal="center"/>
    </xf>
    <xf numFmtId="165" fontId="28" fillId="7" borderId="1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10" borderId="21" xfId="0" applyFont="1" applyFill="1" applyBorder="1"/>
    <xf numFmtId="0" fontId="30" fillId="8" borderId="0" xfId="0" applyFont="1" applyFill="1"/>
    <xf numFmtId="0" fontId="33" fillId="8" borderId="0" xfId="0" applyFont="1" applyFill="1"/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0" fillId="7" borderId="2" xfId="0" applyFill="1" applyBorder="1"/>
  </cellXfs>
  <cellStyles count="58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1F888A60-0F28-45A9-B107-B42F321B8C8D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E4C9FF"/>
      <color rgb="FFCC99FF"/>
      <color rgb="FFDFFED6"/>
      <color rgb="FFFF7171"/>
      <color rgb="FFCDFFE6"/>
      <color rgb="FF99FFCC"/>
      <color rgb="FFFFFFCC"/>
      <color rgb="FF93E3FF"/>
      <color rgb="FFD9F5FF"/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'Origen de Datos'!$BG$2</c:f>
              <c:strCache>
                <c:ptCount val="1"/>
                <c:pt idx="0">
                  <c:v>Perfil SRES to h2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chemeClr val="tx1"/>
              </a:solidFill>
            </a:ln>
            <a:effectLst/>
          </c:spPr>
          <c:val>
            <c:numRef>
              <c:f>'Origen de Datos'!$BG$3:$BG$170</c:f>
              <c:numCache>
                <c:formatCode>0.00</c:formatCode>
                <c:ptCount val="168"/>
                <c:pt idx="0">
                  <c:v>0.32071055214723926</c:v>
                </c:pt>
                <c:pt idx="1">
                  <c:v>0.34319990797546007</c:v>
                </c:pt>
                <c:pt idx="2">
                  <c:v>0.34905549079754605</c:v>
                </c:pt>
                <c:pt idx="3">
                  <c:v>0.35781622699386501</c:v>
                </c:pt>
                <c:pt idx="4">
                  <c:v>0.37511708588957055</c:v>
                </c:pt>
                <c:pt idx="5">
                  <c:v>0.37736613496932514</c:v>
                </c:pt>
                <c:pt idx="6">
                  <c:v>0.35287785276073619</c:v>
                </c:pt>
                <c:pt idx="7">
                  <c:v>0.28596889570552148</c:v>
                </c:pt>
                <c:pt idx="8">
                  <c:v>0.22869705521472394</c:v>
                </c:pt>
                <c:pt idx="9">
                  <c:v>0.33959389570552151</c:v>
                </c:pt>
                <c:pt idx="10">
                  <c:v>0.54153374233128837</c:v>
                </c:pt>
                <c:pt idx="11">
                  <c:v>0.6704150613496932</c:v>
                </c:pt>
                <c:pt idx="12">
                  <c:v>0.74630892638036805</c:v>
                </c:pt>
                <c:pt idx="13">
                  <c:v>0.76628361963190184</c:v>
                </c:pt>
                <c:pt idx="14">
                  <c:v>0.7329300613496933</c:v>
                </c:pt>
                <c:pt idx="15">
                  <c:v>0.6604142331288344</c:v>
                </c:pt>
                <c:pt idx="16">
                  <c:v>0.50775052147239264</c:v>
                </c:pt>
                <c:pt idx="17">
                  <c:v>0.26268420245398771</c:v>
                </c:pt>
                <c:pt idx="18">
                  <c:v>0.18530950920245398</c:v>
                </c:pt>
                <c:pt idx="19">
                  <c:v>0.1806019325153374</c:v>
                </c:pt>
                <c:pt idx="20">
                  <c:v>0.18237950920245399</c:v>
                </c:pt>
                <c:pt idx="21">
                  <c:v>0.18853625766871165</c:v>
                </c:pt>
                <c:pt idx="22">
                  <c:v>0.20157573619631902</c:v>
                </c:pt>
                <c:pt idx="23">
                  <c:v>0.21343297546012269</c:v>
                </c:pt>
                <c:pt idx="24">
                  <c:v>0.22299536809815951</c:v>
                </c:pt>
                <c:pt idx="25">
                  <c:v>0.21521095092024542</c:v>
                </c:pt>
                <c:pt idx="26">
                  <c:v>0.20422300613496933</c:v>
                </c:pt>
                <c:pt idx="27">
                  <c:v>0.19126638036809815</c:v>
                </c:pt>
                <c:pt idx="28">
                  <c:v>0.18167039877300614</c:v>
                </c:pt>
                <c:pt idx="29">
                  <c:v>0.17267907975460123</c:v>
                </c:pt>
                <c:pt idx="30">
                  <c:v>0.15594812883435583</c:v>
                </c:pt>
                <c:pt idx="31">
                  <c:v>0.13434815950920245</c:v>
                </c:pt>
                <c:pt idx="32">
                  <c:v>0.13685401840490796</c:v>
                </c:pt>
                <c:pt idx="33">
                  <c:v>0.24824355828220859</c:v>
                </c:pt>
                <c:pt idx="34">
                  <c:v>0.42392481595092024</c:v>
                </c:pt>
                <c:pt idx="35">
                  <c:v>0.53691552147239263</c:v>
                </c:pt>
                <c:pt idx="36">
                  <c:v>0.61057481595092034</c:v>
                </c:pt>
                <c:pt idx="37">
                  <c:v>0.63213205521472393</c:v>
                </c:pt>
                <c:pt idx="38">
                  <c:v>0.60374739263803678</c:v>
                </c:pt>
                <c:pt idx="39">
                  <c:v>0.52096570552147237</c:v>
                </c:pt>
                <c:pt idx="40">
                  <c:v>0.36255794478527603</c:v>
                </c:pt>
                <c:pt idx="41">
                  <c:v>0.15076297546012268</c:v>
                </c:pt>
                <c:pt idx="42">
                  <c:v>0.13476990797546012</c:v>
                </c:pt>
                <c:pt idx="43">
                  <c:v>0.16117996932515335</c:v>
                </c:pt>
                <c:pt idx="44">
                  <c:v>0.15225251533742332</c:v>
                </c:pt>
                <c:pt idx="45">
                  <c:v>0.13291803680981595</c:v>
                </c:pt>
                <c:pt idx="46">
                  <c:v>0.1251830981595092</c:v>
                </c:pt>
                <c:pt idx="47">
                  <c:v>0.12055567484662576</c:v>
                </c:pt>
                <c:pt idx="48">
                  <c:v>0.12559684049079753</c:v>
                </c:pt>
                <c:pt idx="49">
                  <c:v>0.1299641717791411</c:v>
                </c:pt>
                <c:pt idx="50">
                  <c:v>0.13230935582822084</c:v>
                </c:pt>
                <c:pt idx="51">
                  <c:v>0.12724423312883437</c:v>
                </c:pt>
                <c:pt idx="52">
                  <c:v>0.12209128834355829</c:v>
                </c:pt>
                <c:pt idx="53">
                  <c:v>0.1181201226993865</c:v>
                </c:pt>
                <c:pt idx="54">
                  <c:v>0.10913441717791411</c:v>
                </c:pt>
                <c:pt idx="55">
                  <c:v>9.3854631901840499E-2</c:v>
                </c:pt>
                <c:pt idx="56">
                  <c:v>9.5860337423312889E-2</c:v>
                </c:pt>
                <c:pt idx="57">
                  <c:v>0.21446009202453989</c:v>
                </c:pt>
                <c:pt idx="58">
                  <c:v>0.3699883742331288</c:v>
                </c:pt>
                <c:pt idx="59">
                  <c:v>0.4633111963190184</c:v>
                </c:pt>
                <c:pt idx="60">
                  <c:v>0.51487411042944786</c:v>
                </c:pt>
                <c:pt idx="61">
                  <c:v>0.5221051840490798</c:v>
                </c:pt>
                <c:pt idx="62">
                  <c:v>0.48891515337423314</c:v>
                </c:pt>
                <c:pt idx="63">
                  <c:v>0.41394242331288339</c:v>
                </c:pt>
                <c:pt idx="64">
                  <c:v>0.26862742331288347</c:v>
                </c:pt>
                <c:pt idx="65">
                  <c:v>8.2692269938650309E-2</c:v>
                </c:pt>
                <c:pt idx="66">
                  <c:v>3.7729202453987733E-2</c:v>
                </c:pt>
                <c:pt idx="67">
                  <c:v>3.8505582822085889E-2</c:v>
                </c:pt>
                <c:pt idx="68">
                  <c:v>2.5367607361963192E-2</c:v>
                </c:pt>
                <c:pt idx="69">
                  <c:v>2.038340490797546E-2</c:v>
                </c:pt>
                <c:pt idx="70">
                  <c:v>2.1822852760736196E-2</c:v>
                </c:pt>
                <c:pt idx="71">
                  <c:v>2.2658067484662578E-2</c:v>
                </c:pt>
                <c:pt idx="72">
                  <c:v>2.6573588957055215E-2</c:v>
                </c:pt>
                <c:pt idx="73">
                  <c:v>3.115920245398773E-2</c:v>
                </c:pt>
                <c:pt idx="74">
                  <c:v>3.8059233128834358E-2</c:v>
                </c:pt>
                <c:pt idx="75">
                  <c:v>4.7303466257668715E-2</c:v>
                </c:pt>
                <c:pt idx="76">
                  <c:v>5.9426687116564417E-2</c:v>
                </c:pt>
                <c:pt idx="77">
                  <c:v>6.9208098159509207E-2</c:v>
                </c:pt>
                <c:pt idx="78">
                  <c:v>7.7002914110429449E-2</c:v>
                </c:pt>
                <c:pt idx="79">
                  <c:v>8.1559233128834355E-2</c:v>
                </c:pt>
                <c:pt idx="80">
                  <c:v>9.5796932515337427E-2</c:v>
                </c:pt>
                <c:pt idx="81">
                  <c:v>0.19278641104294481</c:v>
                </c:pt>
                <c:pt idx="82">
                  <c:v>0.32909684049079757</c:v>
                </c:pt>
                <c:pt idx="83">
                  <c:v>0.43928300613496934</c:v>
                </c:pt>
                <c:pt idx="84">
                  <c:v>0.52280128834355832</c:v>
                </c:pt>
                <c:pt idx="85">
                  <c:v>0.56261809815950914</c:v>
                </c:pt>
                <c:pt idx="86">
                  <c:v>0.56248355828220864</c:v>
                </c:pt>
                <c:pt idx="87">
                  <c:v>0.53294987730061349</c:v>
                </c:pt>
                <c:pt idx="88">
                  <c:v>0.44948757668711659</c:v>
                </c:pt>
                <c:pt idx="89">
                  <c:v>0.29873024539877302</c:v>
                </c:pt>
                <c:pt idx="90">
                  <c:v>0.25960263803680983</c:v>
                </c:pt>
                <c:pt idx="91">
                  <c:v>0.2969311042944785</c:v>
                </c:pt>
                <c:pt idx="92">
                  <c:v>0.32056757668711661</c:v>
                </c:pt>
                <c:pt idx="93">
                  <c:v>0.33592055214723926</c:v>
                </c:pt>
                <c:pt idx="94">
                  <c:v>0.37238871165644172</c:v>
                </c:pt>
                <c:pt idx="95">
                  <c:v>0.41261466257668711</c:v>
                </c:pt>
                <c:pt idx="96">
                  <c:v>0.42781098159509207</c:v>
                </c:pt>
                <c:pt idx="97">
                  <c:v>0.39923941717791411</c:v>
                </c:pt>
                <c:pt idx="98">
                  <c:v>0.39014006134969326</c:v>
                </c:pt>
                <c:pt idx="99">
                  <c:v>0.41658469325153374</c:v>
                </c:pt>
                <c:pt idx="100">
                  <c:v>0.48357180981595094</c:v>
                </c:pt>
                <c:pt idx="101">
                  <c:v>0.54873726993865024</c:v>
                </c:pt>
                <c:pt idx="102">
                  <c:v>0.57998404907975454</c:v>
                </c:pt>
                <c:pt idx="103">
                  <c:v>0.59865831288343552</c:v>
                </c:pt>
                <c:pt idx="104">
                  <c:v>0.63605898773006142</c:v>
                </c:pt>
                <c:pt idx="105">
                  <c:v>0.74957457055214727</c:v>
                </c:pt>
                <c:pt idx="106">
                  <c:v>0.94068760736196322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0.77844328220858894</c:v>
                </c:pt>
                <c:pt idx="114">
                  <c:v>0.62246214723926374</c:v>
                </c:pt>
                <c:pt idx="115">
                  <c:v>0.5634793865030675</c:v>
                </c:pt>
                <c:pt idx="116">
                  <c:v>0.54779058282208593</c:v>
                </c:pt>
                <c:pt idx="117">
                  <c:v>0.54815570552147241</c:v>
                </c:pt>
                <c:pt idx="118">
                  <c:v>0.54708751533742328</c:v>
                </c:pt>
                <c:pt idx="119">
                  <c:v>0.55803773006134971</c:v>
                </c:pt>
                <c:pt idx="120">
                  <c:v>0.57468417177914111</c:v>
                </c:pt>
                <c:pt idx="121">
                  <c:v>0.57566282208588959</c:v>
                </c:pt>
                <c:pt idx="122">
                  <c:v>0.56800027607361969</c:v>
                </c:pt>
                <c:pt idx="123">
                  <c:v>0.56653484662576692</c:v>
                </c:pt>
                <c:pt idx="124">
                  <c:v>0.56457748466257662</c:v>
                </c:pt>
                <c:pt idx="125">
                  <c:v>0.55815214723926376</c:v>
                </c:pt>
                <c:pt idx="126">
                  <c:v>0.55105634969325157</c:v>
                </c:pt>
                <c:pt idx="127">
                  <c:v>0.53325941717791414</c:v>
                </c:pt>
                <c:pt idx="128">
                  <c:v>0.51420082822085889</c:v>
                </c:pt>
                <c:pt idx="129">
                  <c:v>0.64673769938650305</c:v>
                </c:pt>
                <c:pt idx="130">
                  <c:v>0.86266079754601221</c:v>
                </c:pt>
                <c:pt idx="131">
                  <c:v>0.99457042944785279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0.89839223926380363</c:v>
                </c:pt>
                <c:pt idx="136">
                  <c:v>0.73518171779141106</c:v>
                </c:pt>
                <c:pt idx="137">
                  <c:v>0.46669684049079752</c:v>
                </c:pt>
                <c:pt idx="138">
                  <c:v>0.40353435582822084</c:v>
                </c:pt>
                <c:pt idx="139">
                  <c:v>0.44803226993865031</c:v>
                </c:pt>
                <c:pt idx="140">
                  <c:v>0.48215604294478526</c:v>
                </c:pt>
                <c:pt idx="141">
                  <c:v>0.503792300613497</c:v>
                </c:pt>
                <c:pt idx="142">
                  <c:v>0.53441576687116565</c:v>
                </c:pt>
                <c:pt idx="143">
                  <c:v>0.56666432515337428</c:v>
                </c:pt>
                <c:pt idx="144">
                  <c:v>0.61029187116564421</c:v>
                </c:pt>
                <c:pt idx="145">
                  <c:v>0.65747273006134976</c:v>
                </c:pt>
                <c:pt idx="146">
                  <c:v>0.70442230061349698</c:v>
                </c:pt>
                <c:pt idx="147">
                  <c:v>0.75393840490797548</c:v>
                </c:pt>
                <c:pt idx="148">
                  <c:v>0.80298883435582824</c:v>
                </c:pt>
                <c:pt idx="149">
                  <c:v>0.82635806748466256</c:v>
                </c:pt>
                <c:pt idx="150">
                  <c:v>0.8125719631901841</c:v>
                </c:pt>
                <c:pt idx="151">
                  <c:v>0.78182352760736196</c:v>
                </c:pt>
                <c:pt idx="152">
                  <c:v>0.74721300613496933</c:v>
                </c:pt>
                <c:pt idx="153">
                  <c:v>0.74525730061349693</c:v>
                </c:pt>
                <c:pt idx="154">
                  <c:v>0.81252889570552145</c:v>
                </c:pt>
                <c:pt idx="155">
                  <c:v>0.9044041104294479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0.92770647239263804</c:v>
                </c:pt>
                <c:pt idx="162">
                  <c:v>0.83559714723926382</c:v>
                </c:pt>
                <c:pt idx="163">
                  <c:v>0.81263953987730053</c:v>
                </c:pt>
                <c:pt idx="164">
                  <c:v>0.81902653374233125</c:v>
                </c:pt>
                <c:pt idx="165">
                  <c:v>0.83561932515337423</c:v>
                </c:pt>
                <c:pt idx="166">
                  <c:v>0.8550395705521473</c:v>
                </c:pt>
                <c:pt idx="167">
                  <c:v>0.87762855828220854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0-45D6-B3CD-938C019C7571}"/>
            </c:ext>
          </c:extLst>
        </c:ser>
        <c:ser>
          <c:idx val="1"/>
          <c:order val="1"/>
          <c:tx>
            <c:strRef>
              <c:f>'Origen de Datos'!$BH$2</c:f>
              <c:strCache>
                <c:ptCount val="1"/>
                <c:pt idx="0">
                  <c:v>Perfil SRES emarket</c:v>
                </c:pt>
              </c:strCache>
            </c:strRef>
          </c:tx>
          <c:spPr>
            <a:solidFill>
              <a:schemeClr val="accent2"/>
            </a:solidFill>
            <a:ln w="9525">
              <a:solidFill>
                <a:schemeClr val="tx1"/>
              </a:solidFill>
            </a:ln>
            <a:effectLst/>
          </c:spPr>
          <c:val>
            <c:numRef>
              <c:f>'Origen de Datos'!$BH$3:$BH$170</c:f>
              <c:numCache>
                <c:formatCode>0.00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7.8644188582640689E-2</c:v>
                </c:pt>
                <c:pt idx="108">
                  <c:v>0.17664554017296988</c:v>
                </c:pt>
                <c:pt idx="109">
                  <c:v>0.22797255134780081</c:v>
                </c:pt>
                <c:pt idx="110">
                  <c:v>0.22962169681428896</c:v>
                </c:pt>
                <c:pt idx="111">
                  <c:v>0.15760114295699332</c:v>
                </c:pt>
                <c:pt idx="112">
                  <c:v>2.9488248322091133E-2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5.355752995814702E-2</c:v>
                </c:pt>
                <c:pt idx="133">
                  <c:v>5.554067823729042E-2</c:v>
                </c:pt>
                <c:pt idx="134">
                  <c:v>6.5910818196363756E-3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1.2696949026939174E-2</c:v>
                </c:pt>
                <c:pt idx="157">
                  <c:v>7.7996446285863469E-2</c:v>
                </c:pt>
                <c:pt idx="158">
                  <c:v>9.9448047983561966E-2</c:v>
                </c:pt>
                <c:pt idx="159">
                  <c:v>7.0319907957119648E-2</c:v>
                </c:pt>
                <c:pt idx="160">
                  <c:v>3.4320762701159586E-2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0-45D6-B3CD-938C019C7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2480"/>
        <c:axId val="9777280"/>
      </c:areaChart>
      <c:catAx>
        <c:axId val="97724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7280"/>
        <c:crosses val="autoZero"/>
        <c:auto val="1"/>
        <c:lblAlgn val="ctr"/>
        <c:lblOffset val="100"/>
        <c:noMultiLvlLbl val="0"/>
      </c:catAx>
      <c:valAx>
        <c:axId val="97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PT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'Origen de Datos'!$BM$2</c:f>
              <c:strCache>
                <c:ptCount val="1"/>
                <c:pt idx="0">
                  <c:v>Perfil SRES to h2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chemeClr val="tx1"/>
              </a:solidFill>
            </a:ln>
            <a:effectLst/>
          </c:spPr>
          <c:val>
            <c:numRef>
              <c:f>'Origen de Datos'!$BM$3:$BM$170</c:f>
              <c:numCache>
                <c:formatCode>0.00</c:formatCode>
                <c:ptCount val="168"/>
                <c:pt idx="0">
                  <c:v>0.10459029529603799</c:v>
                </c:pt>
                <c:pt idx="1">
                  <c:v>9.6099792254043623E-2</c:v>
                </c:pt>
                <c:pt idx="2">
                  <c:v>9.047121234604541E-2</c:v>
                </c:pt>
                <c:pt idx="3">
                  <c:v>8.5199584508087248E-2</c:v>
                </c:pt>
                <c:pt idx="4">
                  <c:v>8.1436637483306137E-2</c:v>
                </c:pt>
                <c:pt idx="5">
                  <c:v>7.9330835435524563E-2</c:v>
                </c:pt>
                <c:pt idx="6">
                  <c:v>7.6747291883068711E-2</c:v>
                </c:pt>
                <c:pt idx="7">
                  <c:v>7.7074862739278827E-2</c:v>
                </c:pt>
                <c:pt idx="8">
                  <c:v>7.7029603798783194E-2</c:v>
                </c:pt>
                <c:pt idx="9">
                  <c:v>0.12732067072265915</c:v>
                </c:pt>
                <c:pt idx="10">
                  <c:v>0.26103301676806645</c:v>
                </c:pt>
                <c:pt idx="11">
                  <c:v>0.39263199287728151</c:v>
                </c:pt>
                <c:pt idx="12">
                  <c:v>0.47529907998219323</c:v>
                </c:pt>
                <c:pt idx="13">
                  <c:v>0.50673623683039026</c:v>
                </c:pt>
                <c:pt idx="14">
                  <c:v>0.48316849680961571</c:v>
                </c:pt>
                <c:pt idx="15">
                  <c:v>0.40842951476480188</c:v>
                </c:pt>
                <c:pt idx="16">
                  <c:v>0.295080204778157</c:v>
                </c:pt>
                <c:pt idx="17">
                  <c:v>0.17503182964831579</c:v>
                </c:pt>
                <c:pt idx="18">
                  <c:v>0.10359764059949547</c:v>
                </c:pt>
                <c:pt idx="19">
                  <c:v>0.10872006232378691</c:v>
                </c:pt>
                <c:pt idx="20">
                  <c:v>0.11190488202997477</c:v>
                </c:pt>
                <c:pt idx="21">
                  <c:v>0.11391571449769995</c:v>
                </c:pt>
                <c:pt idx="22">
                  <c:v>0.10984827125686304</c:v>
                </c:pt>
                <c:pt idx="23">
                  <c:v>0.1043832170945244</c:v>
                </c:pt>
                <c:pt idx="24">
                  <c:v>9.7894791512093779E-2</c:v>
                </c:pt>
                <c:pt idx="25">
                  <c:v>9.2014468021961712E-2</c:v>
                </c:pt>
                <c:pt idx="26">
                  <c:v>8.523816589998516E-2</c:v>
                </c:pt>
                <c:pt idx="27">
                  <c:v>7.9252782311915723E-2</c:v>
                </c:pt>
                <c:pt idx="28">
                  <c:v>7.4230820596527677E-2</c:v>
                </c:pt>
                <c:pt idx="29">
                  <c:v>6.8519884255824309E-2</c:v>
                </c:pt>
                <c:pt idx="30">
                  <c:v>6.6121531384478419E-2</c:v>
                </c:pt>
                <c:pt idx="31">
                  <c:v>6.803472325270811E-2</c:v>
                </c:pt>
                <c:pt idx="32">
                  <c:v>7.0894346342187275E-2</c:v>
                </c:pt>
                <c:pt idx="33">
                  <c:v>0.12066100311618935</c:v>
                </c:pt>
                <c:pt idx="34">
                  <c:v>0.24950727110847307</c:v>
                </c:pt>
                <c:pt idx="35">
                  <c:v>0.37150868081317706</c:v>
                </c:pt>
                <c:pt idx="36">
                  <c:v>0.4513544294405698</c:v>
                </c:pt>
                <c:pt idx="37">
                  <c:v>0.47903791363703813</c:v>
                </c:pt>
                <c:pt idx="38">
                  <c:v>0.45412880249295146</c:v>
                </c:pt>
                <c:pt idx="39">
                  <c:v>0.3765163970915566</c:v>
                </c:pt>
                <c:pt idx="40">
                  <c:v>0.2724170500074195</c:v>
                </c:pt>
                <c:pt idx="41">
                  <c:v>0.16273964979967356</c:v>
                </c:pt>
                <c:pt idx="42">
                  <c:v>0.10060906662709601</c:v>
                </c:pt>
                <c:pt idx="43">
                  <c:v>0.11529017658406292</c:v>
                </c:pt>
                <c:pt idx="44">
                  <c:v>0.12076606321412672</c:v>
                </c:pt>
                <c:pt idx="45">
                  <c:v>0.1217659890191423</c:v>
                </c:pt>
                <c:pt idx="46">
                  <c:v>0.12298568036800712</c:v>
                </c:pt>
                <c:pt idx="47">
                  <c:v>0.11759103724588219</c:v>
                </c:pt>
                <c:pt idx="48">
                  <c:v>0.11309326309541474</c:v>
                </c:pt>
                <c:pt idx="49">
                  <c:v>0.11207256269476183</c:v>
                </c:pt>
                <c:pt idx="50">
                  <c:v>0.1160556462383143</c:v>
                </c:pt>
                <c:pt idx="51">
                  <c:v>0.11838655586882327</c:v>
                </c:pt>
                <c:pt idx="52">
                  <c:v>0.11942172429143789</c:v>
                </c:pt>
                <c:pt idx="53">
                  <c:v>0.12108406291734679</c:v>
                </c:pt>
                <c:pt idx="54">
                  <c:v>0.11921791066923876</c:v>
                </c:pt>
                <c:pt idx="55">
                  <c:v>0.11391845971212346</c:v>
                </c:pt>
                <c:pt idx="56">
                  <c:v>0.10583039026561805</c:v>
                </c:pt>
                <c:pt idx="57">
                  <c:v>0.13823415937082653</c:v>
                </c:pt>
                <c:pt idx="58">
                  <c:v>0.25002470692981155</c:v>
                </c:pt>
                <c:pt idx="59">
                  <c:v>0.3651470544591186</c:v>
                </c:pt>
                <c:pt idx="60">
                  <c:v>0.44424714349309985</c:v>
                </c:pt>
                <c:pt idx="61">
                  <c:v>0.47622310431814807</c:v>
                </c:pt>
                <c:pt idx="62">
                  <c:v>0.45731228668941976</c:v>
                </c:pt>
                <c:pt idx="63">
                  <c:v>0.39368808428550228</c:v>
                </c:pt>
                <c:pt idx="64">
                  <c:v>0.29610201810357617</c:v>
                </c:pt>
                <c:pt idx="65">
                  <c:v>0.18607812731859324</c:v>
                </c:pt>
                <c:pt idx="66">
                  <c:v>0.11459786318444873</c:v>
                </c:pt>
                <c:pt idx="67">
                  <c:v>0.12157656922392046</c:v>
                </c:pt>
                <c:pt idx="68">
                  <c:v>0.12203717168719394</c:v>
                </c:pt>
                <c:pt idx="69">
                  <c:v>0.11404659445021516</c:v>
                </c:pt>
                <c:pt idx="70">
                  <c:v>0.10923230449621606</c:v>
                </c:pt>
                <c:pt idx="71">
                  <c:v>0.10407686600385814</c:v>
                </c:pt>
                <c:pt idx="72">
                  <c:v>0.10053004896868971</c:v>
                </c:pt>
                <c:pt idx="73">
                  <c:v>9.4340109808576947E-2</c:v>
                </c:pt>
                <c:pt idx="74">
                  <c:v>9.3466018697136069E-2</c:v>
                </c:pt>
                <c:pt idx="75">
                  <c:v>9.4142157590146908E-2</c:v>
                </c:pt>
                <c:pt idx="76">
                  <c:v>9.7128060543107297E-2</c:v>
                </c:pt>
                <c:pt idx="77">
                  <c:v>0.10142728891526934</c:v>
                </c:pt>
                <c:pt idx="78">
                  <c:v>0.10650949695800564</c:v>
                </c:pt>
                <c:pt idx="79">
                  <c:v>0.10783350645496365</c:v>
                </c:pt>
                <c:pt idx="80">
                  <c:v>0.11039642380175101</c:v>
                </c:pt>
                <c:pt idx="81">
                  <c:v>0.13459140822080426</c:v>
                </c:pt>
                <c:pt idx="82">
                  <c:v>0.21116797744472474</c:v>
                </c:pt>
                <c:pt idx="83">
                  <c:v>0.29187542662116039</c:v>
                </c:pt>
                <c:pt idx="84">
                  <c:v>0.35871345897017359</c:v>
                </c:pt>
                <c:pt idx="85">
                  <c:v>0.40373549488054605</c:v>
                </c:pt>
                <c:pt idx="86">
                  <c:v>0.41695548300934854</c:v>
                </c:pt>
                <c:pt idx="87">
                  <c:v>0.37884426472770444</c:v>
                </c:pt>
                <c:pt idx="88">
                  <c:v>0.3169425730820597</c:v>
                </c:pt>
                <c:pt idx="89">
                  <c:v>0.2780603205223327</c:v>
                </c:pt>
                <c:pt idx="90">
                  <c:v>0.27129841222733342</c:v>
                </c:pt>
                <c:pt idx="91">
                  <c:v>0.28904429440569818</c:v>
                </c:pt>
                <c:pt idx="92">
                  <c:v>0.31937468467131624</c:v>
                </c:pt>
                <c:pt idx="93">
                  <c:v>0.36329314438343968</c:v>
                </c:pt>
                <c:pt idx="94">
                  <c:v>0.3864834545184746</c:v>
                </c:pt>
                <c:pt idx="95">
                  <c:v>0.39477333432259981</c:v>
                </c:pt>
                <c:pt idx="96">
                  <c:v>0.3972325270811693</c:v>
                </c:pt>
                <c:pt idx="97">
                  <c:v>0.40193975367265172</c:v>
                </c:pt>
                <c:pt idx="98">
                  <c:v>0.40435109066627095</c:v>
                </c:pt>
                <c:pt idx="99">
                  <c:v>0.39393188900430332</c:v>
                </c:pt>
                <c:pt idx="100">
                  <c:v>0.37934730672206557</c:v>
                </c:pt>
                <c:pt idx="101">
                  <c:v>0.37455349458376613</c:v>
                </c:pt>
                <c:pt idx="102">
                  <c:v>0.37719060691497253</c:v>
                </c:pt>
                <c:pt idx="103">
                  <c:v>0.36183306128505716</c:v>
                </c:pt>
                <c:pt idx="104">
                  <c:v>0.33695296037987832</c:v>
                </c:pt>
                <c:pt idx="105">
                  <c:v>0.35224417569372307</c:v>
                </c:pt>
                <c:pt idx="106">
                  <c:v>0.44075293070188454</c:v>
                </c:pt>
                <c:pt idx="107">
                  <c:v>0.53586919424246915</c:v>
                </c:pt>
                <c:pt idx="108">
                  <c:v>0.60035301973586586</c:v>
                </c:pt>
                <c:pt idx="109">
                  <c:v>0.62770448137705881</c:v>
                </c:pt>
                <c:pt idx="110">
                  <c:v>0.60356796260572787</c:v>
                </c:pt>
                <c:pt idx="111">
                  <c:v>0.53099295147648018</c:v>
                </c:pt>
                <c:pt idx="112">
                  <c:v>0.42847774150467427</c:v>
                </c:pt>
                <c:pt idx="113">
                  <c:v>0.32054518474551119</c:v>
                </c:pt>
                <c:pt idx="114">
                  <c:v>0.24629833803234902</c:v>
                </c:pt>
                <c:pt idx="115">
                  <c:v>0.22885969728446356</c:v>
                </c:pt>
                <c:pt idx="116">
                  <c:v>0.21291007567888409</c:v>
                </c:pt>
                <c:pt idx="117">
                  <c:v>0.19269105208487908</c:v>
                </c:pt>
                <c:pt idx="118">
                  <c:v>0.16659630508977594</c:v>
                </c:pt>
                <c:pt idx="119">
                  <c:v>0.14411262798634811</c:v>
                </c:pt>
                <c:pt idx="120">
                  <c:v>0.12256722065588366</c:v>
                </c:pt>
                <c:pt idx="121">
                  <c:v>0.10278824751446804</c:v>
                </c:pt>
                <c:pt idx="122">
                  <c:v>8.9796408962754121E-2</c:v>
                </c:pt>
                <c:pt idx="123">
                  <c:v>8.183714200920017E-2</c:v>
                </c:pt>
                <c:pt idx="124">
                  <c:v>7.9417050007419498E-2</c:v>
                </c:pt>
                <c:pt idx="125">
                  <c:v>8.3844264727704412E-2</c:v>
                </c:pt>
                <c:pt idx="126">
                  <c:v>8.4606692387594593E-2</c:v>
                </c:pt>
                <c:pt idx="127">
                  <c:v>8.2918162932185777E-2</c:v>
                </c:pt>
                <c:pt idx="128">
                  <c:v>8.1065365781273185E-2</c:v>
                </c:pt>
                <c:pt idx="129">
                  <c:v>0.12222392046297671</c:v>
                </c:pt>
                <c:pt idx="130">
                  <c:v>0.23378468615521589</c:v>
                </c:pt>
                <c:pt idx="131">
                  <c:v>0.3470699658703072</c:v>
                </c:pt>
                <c:pt idx="132">
                  <c:v>0.40883046446060245</c:v>
                </c:pt>
                <c:pt idx="133">
                  <c:v>0.42678683780976406</c:v>
                </c:pt>
                <c:pt idx="134">
                  <c:v>0.41466530642528565</c:v>
                </c:pt>
                <c:pt idx="135">
                  <c:v>0.40237639115595786</c:v>
                </c:pt>
                <c:pt idx="136">
                  <c:v>0.36447848345451844</c:v>
                </c:pt>
                <c:pt idx="137">
                  <c:v>0.31795993470841372</c:v>
                </c:pt>
                <c:pt idx="138">
                  <c:v>0.30839531087698469</c:v>
                </c:pt>
                <c:pt idx="139">
                  <c:v>0.33690651431963198</c:v>
                </c:pt>
                <c:pt idx="140">
                  <c:v>0.36460609882771927</c:v>
                </c:pt>
                <c:pt idx="141">
                  <c:v>0.38848805460750857</c:v>
                </c:pt>
                <c:pt idx="142">
                  <c:v>0.41134834545184745</c:v>
                </c:pt>
                <c:pt idx="143">
                  <c:v>0.43427696987683634</c:v>
                </c:pt>
                <c:pt idx="144">
                  <c:v>0.4540189939160113</c:v>
                </c:pt>
                <c:pt idx="145">
                  <c:v>0.46781762872829796</c:v>
                </c:pt>
                <c:pt idx="146">
                  <c:v>0.48282630954147504</c:v>
                </c:pt>
                <c:pt idx="147">
                  <c:v>0.48726613740911112</c:v>
                </c:pt>
                <c:pt idx="148">
                  <c:v>0.47855557204332988</c:v>
                </c:pt>
                <c:pt idx="149">
                  <c:v>0.45816938714942873</c:v>
                </c:pt>
                <c:pt idx="150">
                  <c:v>0.46185739723994657</c:v>
                </c:pt>
                <c:pt idx="151">
                  <c:v>0.44929818964238016</c:v>
                </c:pt>
                <c:pt idx="152">
                  <c:v>0.40280011871197502</c:v>
                </c:pt>
                <c:pt idx="153">
                  <c:v>0.36293686006825937</c:v>
                </c:pt>
                <c:pt idx="154">
                  <c:v>0.34637691052084879</c:v>
                </c:pt>
                <c:pt idx="155">
                  <c:v>0.34000779047336399</c:v>
                </c:pt>
                <c:pt idx="156">
                  <c:v>0.36941400801305835</c:v>
                </c:pt>
                <c:pt idx="157">
                  <c:v>0.40885079388633327</c:v>
                </c:pt>
                <c:pt idx="158">
                  <c:v>0.43360276005342041</c:v>
                </c:pt>
                <c:pt idx="159">
                  <c:v>0.40971501706484642</c:v>
                </c:pt>
                <c:pt idx="160">
                  <c:v>0.35576316960973436</c:v>
                </c:pt>
                <c:pt idx="161">
                  <c:v>0.29381918682297076</c:v>
                </c:pt>
                <c:pt idx="162">
                  <c:v>0.23269824899836769</c:v>
                </c:pt>
                <c:pt idx="163">
                  <c:v>0.22759600830983828</c:v>
                </c:pt>
                <c:pt idx="164">
                  <c:v>0.2398972399465796</c:v>
                </c:pt>
                <c:pt idx="165">
                  <c:v>0.26521219765543852</c:v>
                </c:pt>
                <c:pt idx="166">
                  <c:v>0.3005880694465054</c:v>
                </c:pt>
                <c:pt idx="167">
                  <c:v>0.34166486125537915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A4-447F-9EA2-1DEE03C612D5}"/>
            </c:ext>
          </c:extLst>
        </c:ser>
        <c:ser>
          <c:idx val="1"/>
          <c:order val="1"/>
          <c:tx>
            <c:strRef>
              <c:f>'Origen de Datos'!$BN$2</c:f>
              <c:strCache>
                <c:ptCount val="1"/>
                <c:pt idx="0">
                  <c:v>Perfil SRES emarket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val>
            <c:numRef>
              <c:f>'Origen de Datos'!$BN$3:$BN$170</c:f>
              <c:numCache>
                <c:formatCode>0.00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A4-447F-9EA2-1DEE03C61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2480"/>
        <c:axId val="9777280"/>
      </c:areaChart>
      <c:catAx>
        <c:axId val="97724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7280"/>
        <c:crosses val="autoZero"/>
        <c:auto val="1"/>
        <c:lblAlgn val="ctr"/>
        <c:lblOffset val="100"/>
        <c:noMultiLvlLbl val="0"/>
      </c:catAx>
      <c:valAx>
        <c:axId val="97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'Origen de Datos'!$BO$2</c:f>
              <c:strCache>
                <c:ptCount val="1"/>
                <c:pt idx="0">
                  <c:v>FR00-FRh2-P2G_emarket - generation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val>
            <c:numRef>
              <c:f>'Origen de Datos'!$BO$3:$BO$170</c:f>
              <c:numCache>
                <c:formatCode>0.00</c:formatCode>
                <c:ptCount val="168"/>
                <c:pt idx="0">
                  <c:v>7668</c:v>
                </c:pt>
                <c:pt idx="1">
                  <c:v>7668</c:v>
                </c:pt>
                <c:pt idx="2">
                  <c:v>7668</c:v>
                </c:pt>
                <c:pt idx="3">
                  <c:v>7668</c:v>
                </c:pt>
                <c:pt idx="4">
                  <c:v>7668</c:v>
                </c:pt>
                <c:pt idx="5">
                  <c:v>7668</c:v>
                </c:pt>
                <c:pt idx="6">
                  <c:v>7668</c:v>
                </c:pt>
                <c:pt idx="7">
                  <c:v>7668</c:v>
                </c:pt>
                <c:pt idx="8">
                  <c:v>7668</c:v>
                </c:pt>
                <c:pt idx="9">
                  <c:v>7668</c:v>
                </c:pt>
                <c:pt idx="10">
                  <c:v>7668</c:v>
                </c:pt>
                <c:pt idx="11">
                  <c:v>7668</c:v>
                </c:pt>
                <c:pt idx="12">
                  <c:v>7668</c:v>
                </c:pt>
                <c:pt idx="13">
                  <c:v>7668</c:v>
                </c:pt>
                <c:pt idx="14">
                  <c:v>7668</c:v>
                </c:pt>
                <c:pt idx="15">
                  <c:v>7668</c:v>
                </c:pt>
                <c:pt idx="16">
                  <c:v>7668</c:v>
                </c:pt>
                <c:pt idx="17">
                  <c:v>7668</c:v>
                </c:pt>
                <c:pt idx="18">
                  <c:v>7668</c:v>
                </c:pt>
                <c:pt idx="19">
                  <c:v>7668</c:v>
                </c:pt>
                <c:pt idx="20">
                  <c:v>7668</c:v>
                </c:pt>
                <c:pt idx="21">
                  <c:v>7668</c:v>
                </c:pt>
                <c:pt idx="22">
                  <c:v>7668</c:v>
                </c:pt>
                <c:pt idx="23">
                  <c:v>7668</c:v>
                </c:pt>
                <c:pt idx="24">
                  <c:v>7668</c:v>
                </c:pt>
                <c:pt idx="25">
                  <c:v>7668</c:v>
                </c:pt>
                <c:pt idx="26">
                  <c:v>7668</c:v>
                </c:pt>
                <c:pt idx="27">
                  <c:v>7668</c:v>
                </c:pt>
                <c:pt idx="28">
                  <c:v>7668</c:v>
                </c:pt>
                <c:pt idx="29">
                  <c:v>7668</c:v>
                </c:pt>
                <c:pt idx="30">
                  <c:v>7668</c:v>
                </c:pt>
                <c:pt idx="31">
                  <c:v>7668</c:v>
                </c:pt>
                <c:pt idx="32">
                  <c:v>7668</c:v>
                </c:pt>
                <c:pt idx="33">
                  <c:v>7668</c:v>
                </c:pt>
                <c:pt idx="34">
                  <c:v>7668</c:v>
                </c:pt>
                <c:pt idx="35">
                  <c:v>7668</c:v>
                </c:pt>
                <c:pt idx="36">
                  <c:v>7668</c:v>
                </c:pt>
                <c:pt idx="37">
                  <c:v>7668</c:v>
                </c:pt>
                <c:pt idx="38">
                  <c:v>7668</c:v>
                </c:pt>
                <c:pt idx="39">
                  <c:v>7668</c:v>
                </c:pt>
                <c:pt idx="40">
                  <c:v>7668</c:v>
                </c:pt>
                <c:pt idx="41">
                  <c:v>7668</c:v>
                </c:pt>
                <c:pt idx="42">
                  <c:v>7668</c:v>
                </c:pt>
                <c:pt idx="43">
                  <c:v>7668</c:v>
                </c:pt>
                <c:pt idx="44">
                  <c:v>7668</c:v>
                </c:pt>
                <c:pt idx="45">
                  <c:v>7668</c:v>
                </c:pt>
                <c:pt idx="46">
                  <c:v>7668</c:v>
                </c:pt>
                <c:pt idx="47">
                  <c:v>7668</c:v>
                </c:pt>
                <c:pt idx="48">
                  <c:v>7668</c:v>
                </c:pt>
                <c:pt idx="49">
                  <c:v>7668</c:v>
                </c:pt>
                <c:pt idx="50">
                  <c:v>7668</c:v>
                </c:pt>
                <c:pt idx="51">
                  <c:v>7668</c:v>
                </c:pt>
                <c:pt idx="52">
                  <c:v>7668</c:v>
                </c:pt>
                <c:pt idx="53">
                  <c:v>7668</c:v>
                </c:pt>
                <c:pt idx="54">
                  <c:v>7668</c:v>
                </c:pt>
                <c:pt idx="55">
                  <c:v>7668</c:v>
                </c:pt>
                <c:pt idx="56">
                  <c:v>7668</c:v>
                </c:pt>
                <c:pt idx="57">
                  <c:v>7668</c:v>
                </c:pt>
                <c:pt idx="58">
                  <c:v>7668</c:v>
                </c:pt>
                <c:pt idx="59">
                  <c:v>7668</c:v>
                </c:pt>
                <c:pt idx="60">
                  <c:v>7668</c:v>
                </c:pt>
                <c:pt idx="61">
                  <c:v>7668</c:v>
                </c:pt>
                <c:pt idx="62">
                  <c:v>7668</c:v>
                </c:pt>
                <c:pt idx="63">
                  <c:v>7668</c:v>
                </c:pt>
                <c:pt idx="64">
                  <c:v>7668</c:v>
                </c:pt>
                <c:pt idx="65">
                  <c:v>7668</c:v>
                </c:pt>
                <c:pt idx="66">
                  <c:v>7525.3788426200008</c:v>
                </c:pt>
                <c:pt idx="67">
                  <c:v>7668</c:v>
                </c:pt>
                <c:pt idx="68">
                  <c:v>7668</c:v>
                </c:pt>
                <c:pt idx="69">
                  <c:v>7668</c:v>
                </c:pt>
                <c:pt idx="70">
                  <c:v>7668</c:v>
                </c:pt>
                <c:pt idx="71">
                  <c:v>7668</c:v>
                </c:pt>
                <c:pt idx="72">
                  <c:v>7668</c:v>
                </c:pt>
                <c:pt idx="73">
                  <c:v>7668</c:v>
                </c:pt>
                <c:pt idx="74">
                  <c:v>7668</c:v>
                </c:pt>
                <c:pt idx="75">
                  <c:v>7668</c:v>
                </c:pt>
                <c:pt idx="76">
                  <c:v>7668</c:v>
                </c:pt>
                <c:pt idx="77">
                  <c:v>7668</c:v>
                </c:pt>
                <c:pt idx="78">
                  <c:v>7668</c:v>
                </c:pt>
                <c:pt idx="79">
                  <c:v>7668</c:v>
                </c:pt>
                <c:pt idx="80">
                  <c:v>7668</c:v>
                </c:pt>
                <c:pt idx="81">
                  <c:v>7668</c:v>
                </c:pt>
                <c:pt idx="82">
                  <c:v>7668</c:v>
                </c:pt>
                <c:pt idx="83">
                  <c:v>7668</c:v>
                </c:pt>
                <c:pt idx="84">
                  <c:v>7668</c:v>
                </c:pt>
                <c:pt idx="85">
                  <c:v>7668</c:v>
                </c:pt>
                <c:pt idx="86">
                  <c:v>7668</c:v>
                </c:pt>
                <c:pt idx="87">
                  <c:v>7668</c:v>
                </c:pt>
                <c:pt idx="88">
                  <c:v>7668</c:v>
                </c:pt>
                <c:pt idx="89">
                  <c:v>7668</c:v>
                </c:pt>
                <c:pt idx="90">
                  <c:v>7668</c:v>
                </c:pt>
                <c:pt idx="91">
                  <c:v>7668</c:v>
                </c:pt>
                <c:pt idx="92">
                  <c:v>7668</c:v>
                </c:pt>
                <c:pt idx="93">
                  <c:v>7668</c:v>
                </c:pt>
                <c:pt idx="94">
                  <c:v>7668</c:v>
                </c:pt>
                <c:pt idx="95">
                  <c:v>7668</c:v>
                </c:pt>
                <c:pt idx="96">
                  <c:v>7668</c:v>
                </c:pt>
                <c:pt idx="97">
                  <c:v>7668</c:v>
                </c:pt>
                <c:pt idx="98">
                  <c:v>7668</c:v>
                </c:pt>
                <c:pt idx="99">
                  <c:v>7668</c:v>
                </c:pt>
                <c:pt idx="100">
                  <c:v>7668</c:v>
                </c:pt>
                <c:pt idx="101">
                  <c:v>7668</c:v>
                </c:pt>
                <c:pt idx="102">
                  <c:v>7668</c:v>
                </c:pt>
                <c:pt idx="103">
                  <c:v>7668</c:v>
                </c:pt>
                <c:pt idx="104">
                  <c:v>7668</c:v>
                </c:pt>
                <c:pt idx="105">
                  <c:v>7668</c:v>
                </c:pt>
                <c:pt idx="106">
                  <c:v>7668</c:v>
                </c:pt>
                <c:pt idx="107">
                  <c:v>7668</c:v>
                </c:pt>
                <c:pt idx="108">
                  <c:v>7668</c:v>
                </c:pt>
                <c:pt idx="109">
                  <c:v>7668</c:v>
                </c:pt>
                <c:pt idx="110">
                  <c:v>7668</c:v>
                </c:pt>
                <c:pt idx="111">
                  <c:v>7668</c:v>
                </c:pt>
                <c:pt idx="112">
                  <c:v>7668</c:v>
                </c:pt>
                <c:pt idx="113">
                  <c:v>7668</c:v>
                </c:pt>
                <c:pt idx="114">
                  <c:v>7668</c:v>
                </c:pt>
                <c:pt idx="115">
                  <c:v>7668</c:v>
                </c:pt>
                <c:pt idx="116">
                  <c:v>7668</c:v>
                </c:pt>
                <c:pt idx="117">
                  <c:v>7668</c:v>
                </c:pt>
                <c:pt idx="118">
                  <c:v>7668</c:v>
                </c:pt>
                <c:pt idx="119">
                  <c:v>7668</c:v>
                </c:pt>
                <c:pt idx="120">
                  <c:v>7668</c:v>
                </c:pt>
                <c:pt idx="121">
                  <c:v>7668</c:v>
                </c:pt>
                <c:pt idx="122">
                  <c:v>7668</c:v>
                </c:pt>
                <c:pt idx="123">
                  <c:v>7668</c:v>
                </c:pt>
                <c:pt idx="124">
                  <c:v>7668</c:v>
                </c:pt>
                <c:pt idx="125">
                  <c:v>7668</c:v>
                </c:pt>
                <c:pt idx="126">
                  <c:v>7668</c:v>
                </c:pt>
                <c:pt idx="127">
                  <c:v>7668</c:v>
                </c:pt>
                <c:pt idx="128">
                  <c:v>7668</c:v>
                </c:pt>
                <c:pt idx="129">
                  <c:v>7668</c:v>
                </c:pt>
                <c:pt idx="130">
                  <c:v>7668</c:v>
                </c:pt>
                <c:pt idx="131">
                  <c:v>7668</c:v>
                </c:pt>
                <c:pt idx="132">
                  <c:v>7668</c:v>
                </c:pt>
                <c:pt idx="133">
                  <c:v>7668</c:v>
                </c:pt>
                <c:pt idx="134">
                  <c:v>7668</c:v>
                </c:pt>
                <c:pt idx="135">
                  <c:v>7668</c:v>
                </c:pt>
                <c:pt idx="136">
                  <c:v>7668</c:v>
                </c:pt>
                <c:pt idx="137">
                  <c:v>7668</c:v>
                </c:pt>
                <c:pt idx="138">
                  <c:v>7668</c:v>
                </c:pt>
                <c:pt idx="139">
                  <c:v>7668</c:v>
                </c:pt>
                <c:pt idx="140">
                  <c:v>7668</c:v>
                </c:pt>
                <c:pt idx="141">
                  <c:v>7668</c:v>
                </c:pt>
                <c:pt idx="142">
                  <c:v>7668</c:v>
                </c:pt>
                <c:pt idx="143">
                  <c:v>7668</c:v>
                </c:pt>
                <c:pt idx="144">
                  <c:v>7668</c:v>
                </c:pt>
                <c:pt idx="145">
                  <c:v>7668</c:v>
                </c:pt>
                <c:pt idx="146">
                  <c:v>7668</c:v>
                </c:pt>
                <c:pt idx="147">
                  <c:v>7668</c:v>
                </c:pt>
                <c:pt idx="148">
                  <c:v>7668</c:v>
                </c:pt>
                <c:pt idx="149">
                  <c:v>7668</c:v>
                </c:pt>
                <c:pt idx="150">
                  <c:v>7668</c:v>
                </c:pt>
                <c:pt idx="151">
                  <c:v>7668</c:v>
                </c:pt>
                <c:pt idx="152">
                  <c:v>7668</c:v>
                </c:pt>
                <c:pt idx="153">
                  <c:v>7668</c:v>
                </c:pt>
                <c:pt idx="154">
                  <c:v>7668</c:v>
                </c:pt>
                <c:pt idx="155">
                  <c:v>7668</c:v>
                </c:pt>
                <c:pt idx="156">
                  <c:v>7668</c:v>
                </c:pt>
                <c:pt idx="157">
                  <c:v>7668</c:v>
                </c:pt>
                <c:pt idx="158">
                  <c:v>7668</c:v>
                </c:pt>
                <c:pt idx="159">
                  <c:v>7668</c:v>
                </c:pt>
                <c:pt idx="160">
                  <c:v>7668</c:v>
                </c:pt>
                <c:pt idx="161">
                  <c:v>7668</c:v>
                </c:pt>
                <c:pt idx="162">
                  <c:v>7668</c:v>
                </c:pt>
                <c:pt idx="163">
                  <c:v>7668</c:v>
                </c:pt>
                <c:pt idx="164">
                  <c:v>7668</c:v>
                </c:pt>
                <c:pt idx="165" formatCode="General">
                  <c:v>7668</c:v>
                </c:pt>
                <c:pt idx="166" formatCode="General">
                  <c:v>7668</c:v>
                </c:pt>
                <c:pt idx="167" formatCode="General">
                  <c:v>7668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D-438F-93CA-8031F4651B95}"/>
            </c:ext>
          </c:extLst>
        </c:ser>
        <c:ser>
          <c:idx val="1"/>
          <c:order val="1"/>
          <c:tx>
            <c:strRef>
              <c:f>'Origen de Datos'!$BP$2</c:f>
              <c:strCache>
                <c:ptCount val="1"/>
                <c:pt idx="0">
                  <c:v>FR00-FRh2SW-P2G_emarket - generation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val>
            <c:numRef>
              <c:f>'Origen de Datos'!$BP$3:$BP$170</c:f>
              <c:numCache>
                <c:formatCode>0.00</c:formatCode>
                <c:ptCount val="168"/>
                <c:pt idx="0">
                  <c:v>648.91951976999997</c:v>
                </c:pt>
                <c:pt idx="1">
                  <c:v>648.91951976999997</c:v>
                </c:pt>
                <c:pt idx="2">
                  <c:v>648.91951976999997</c:v>
                </c:pt>
                <c:pt idx="3">
                  <c:v>648.91951976999997</c:v>
                </c:pt>
                <c:pt idx="4">
                  <c:v>649.37940168</c:v>
                </c:pt>
                <c:pt idx="5">
                  <c:v>650.29916550999997</c:v>
                </c:pt>
                <c:pt idx="6">
                  <c:v>650.75904741999989</c:v>
                </c:pt>
                <c:pt idx="7">
                  <c:v>651.21892933000004</c:v>
                </c:pt>
                <c:pt idx="8">
                  <c:v>651.21892933000004</c:v>
                </c:pt>
                <c:pt idx="9">
                  <c:v>651.21892933000004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356.94</c:v>
                </c:pt>
                <c:pt idx="17">
                  <c:v>651.21892933000004</c:v>
                </c:pt>
                <c:pt idx="18">
                  <c:v>650.75904741999989</c:v>
                </c:pt>
                <c:pt idx="19">
                  <c:v>650.29916550999997</c:v>
                </c:pt>
                <c:pt idx="20">
                  <c:v>649.83928358999992</c:v>
                </c:pt>
                <c:pt idx="21">
                  <c:v>649.37940168</c:v>
                </c:pt>
                <c:pt idx="22">
                  <c:v>648.91951976999997</c:v>
                </c:pt>
                <c:pt idx="23">
                  <c:v>648.91951976999997</c:v>
                </c:pt>
                <c:pt idx="24">
                  <c:v>648.91853372000003</c:v>
                </c:pt>
                <c:pt idx="25">
                  <c:v>648.91853372000003</c:v>
                </c:pt>
                <c:pt idx="26">
                  <c:v>648.91853372000003</c:v>
                </c:pt>
                <c:pt idx="27">
                  <c:v>648.91853372000003</c:v>
                </c:pt>
                <c:pt idx="28">
                  <c:v>649.37841563999996</c:v>
                </c:pt>
                <c:pt idx="29">
                  <c:v>650.29817945000002</c:v>
                </c:pt>
                <c:pt idx="30">
                  <c:v>650.75806136999995</c:v>
                </c:pt>
                <c:pt idx="31">
                  <c:v>651.2179432800001</c:v>
                </c:pt>
                <c:pt idx="32">
                  <c:v>651.2179432800001</c:v>
                </c:pt>
                <c:pt idx="33">
                  <c:v>651.2179432800001</c:v>
                </c:pt>
                <c:pt idx="34">
                  <c:v>651.2179432800001</c:v>
                </c:pt>
                <c:pt idx="35">
                  <c:v>650.75806136999995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651.2179432800001</c:v>
                </c:pt>
                <c:pt idx="41">
                  <c:v>651.2179432800001</c:v>
                </c:pt>
                <c:pt idx="42">
                  <c:v>650.75806136999995</c:v>
                </c:pt>
                <c:pt idx="43">
                  <c:v>650.29817945000002</c:v>
                </c:pt>
                <c:pt idx="44">
                  <c:v>649.83829754999999</c:v>
                </c:pt>
                <c:pt idx="45">
                  <c:v>649.37841563999996</c:v>
                </c:pt>
                <c:pt idx="46">
                  <c:v>648.91853372000003</c:v>
                </c:pt>
                <c:pt idx="47">
                  <c:v>648.91853372000003</c:v>
                </c:pt>
                <c:pt idx="48">
                  <c:v>648.91754766999998</c:v>
                </c:pt>
                <c:pt idx="49">
                  <c:v>648.91754766999998</c:v>
                </c:pt>
                <c:pt idx="50">
                  <c:v>648.91754766999998</c:v>
                </c:pt>
                <c:pt idx="51">
                  <c:v>648.91754766999998</c:v>
                </c:pt>
                <c:pt idx="52">
                  <c:v>649.3774295799999</c:v>
                </c:pt>
                <c:pt idx="53">
                  <c:v>650.29719340999998</c:v>
                </c:pt>
                <c:pt idx="54">
                  <c:v>924.97883567000008</c:v>
                </c:pt>
                <c:pt idx="55">
                  <c:v>651.21695723000005</c:v>
                </c:pt>
                <c:pt idx="56">
                  <c:v>651.21695723000005</c:v>
                </c:pt>
                <c:pt idx="57">
                  <c:v>651.21695723000005</c:v>
                </c:pt>
                <c:pt idx="58">
                  <c:v>651.21695723000005</c:v>
                </c:pt>
                <c:pt idx="59">
                  <c:v>485.25243639000001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651.21695723000005</c:v>
                </c:pt>
                <c:pt idx="64">
                  <c:v>651.21695723000005</c:v>
                </c:pt>
                <c:pt idx="65">
                  <c:v>651.21695723000005</c:v>
                </c:pt>
                <c:pt idx="66">
                  <c:v>0</c:v>
                </c:pt>
                <c:pt idx="67">
                  <c:v>66.009875670000014</c:v>
                </c:pt>
                <c:pt idx="68">
                  <c:v>649.83731149999994</c:v>
                </c:pt>
                <c:pt idx="69">
                  <c:v>649.3774295799999</c:v>
                </c:pt>
                <c:pt idx="70">
                  <c:v>648.91754766999998</c:v>
                </c:pt>
                <c:pt idx="71">
                  <c:v>648.91754766999998</c:v>
                </c:pt>
                <c:pt idx="72">
                  <c:v>648.91656161999992</c:v>
                </c:pt>
                <c:pt idx="73">
                  <c:v>648.91656161999992</c:v>
                </c:pt>
                <c:pt idx="74">
                  <c:v>648.91656161999992</c:v>
                </c:pt>
                <c:pt idx="75">
                  <c:v>648.91656161999992</c:v>
                </c:pt>
                <c:pt idx="76">
                  <c:v>649.37644352999996</c:v>
                </c:pt>
                <c:pt idx="77">
                  <c:v>650.29620735999993</c:v>
                </c:pt>
                <c:pt idx="78">
                  <c:v>650.75608927000007</c:v>
                </c:pt>
                <c:pt idx="79">
                  <c:v>651.21597118999989</c:v>
                </c:pt>
                <c:pt idx="80">
                  <c:v>651.21597118999989</c:v>
                </c:pt>
                <c:pt idx="81">
                  <c:v>651.21597118999989</c:v>
                </c:pt>
                <c:pt idx="82">
                  <c:v>651.21597118999989</c:v>
                </c:pt>
                <c:pt idx="83">
                  <c:v>650.75608927000007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651.21597118999989</c:v>
                </c:pt>
                <c:pt idx="89">
                  <c:v>456.11597117999997</c:v>
                </c:pt>
                <c:pt idx="90">
                  <c:v>650.75608927000007</c:v>
                </c:pt>
                <c:pt idx="91">
                  <c:v>650.29620735999993</c:v>
                </c:pt>
                <c:pt idx="92">
                  <c:v>649.83632544000011</c:v>
                </c:pt>
                <c:pt idx="93">
                  <c:v>649.37644352999996</c:v>
                </c:pt>
                <c:pt idx="94">
                  <c:v>648.91656161999992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 formatCode="General">
                  <c:v>0</c:v>
                </c:pt>
                <c:pt idx="166" formatCode="General">
                  <c:v>0</c:v>
                </c:pt>
                <c:pt idx="167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6D-438F-93CA-8031F4651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2480"/>
        <c:axId val="9777280"/>
      </c:areaChart>
      <c:catAx>
        <c:axId val="97724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7280"/>
        <c:crosses val="autoZero"/>
        <c:auto val="1"/>
        <c:lblAlgn val="ctr"/>
        <c:lblOffset val="100"/>
        <c:noMultiLvlLbl val="0"/>
      </c:catAx>
      <c:valAx>
        <c:axId val="97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772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Datos'!$EQ$3:$EQ$170</c:f>
              <c:numCache>
                <c:formatCode>General</c:formatCode>
                <c:ptCount val="168"/>
                <c:pt idx="0">
                  <c:v>0.81699999999999995</c:v>
                </c:pt>
                <c:pt idx="1">
                  <c:v>0.81699999999999995</c:v>
                </c:pt>
                <c:pt idx="2">
                  <c:v>0.81699999999999995</c:v>
                </c:pt>
                <c:pt idx="3">
                  <c:v>0.81699999999999995</c:v>
                </c:pt>
                <c:pt idx="4">
                  <c:v>0.81699999999999995</c:v>
                </c:pt>
                <c:pt idx="5">
                  <c:v>0.81699999999999995</c:v>
                </c:pt>
                <c:pt idx="6">
                  <c:v>0.81699999999999995</c:v>
                </c:pt>
                <c:pt idx="7">
                  <c:v>0.81699999999999995</c:v>
                </c:pt>
                <c:pt idx="8">
                  <c:v>0.81699999999999995</c:v>
                </c:pt>
                <c:pt idx="9">
                  <c:v>0.81699999999999995</c:v>
                </c:pt>
                <c:pt idx="10">
                  <c:v>0.77899999999999991</c:v>
                </c:pt>
                <c:pt idx="11">
                  <c:v>0.79799999999999993</c:v>
                </c:pt>
                <c:pt idx="12">
                  <c:v>0.79799999999999993</c:v>
                </c:pt>
                <c:pt idx="13">
                  <c:v>0.81699999999999995</c:v>
                </c:pt>
                <c:pt idx="14">
                  <c:v>0.81699999999999995</c:v>
                </c:pt>
                <c:pt idx="15">
                  <c:v>0.81699999999999995</c:v>
                </c:pt>
                <c:pt idx="16">
                  <c:v>0.81699999999999995</c:v>
                </c:pt>
                <c:pt idx="17">
                  <c:v>0.83599999999999997</c:v>
                </c:pt>
                <c:pt idx="18">
                  <c:v>0.85499999999999987</c:v>
                </c:pt>
                <c:pt idx="19">
                  <c:v>0.85499999999999987</c:v>
                </c:pt>
                <c:pt idx="20">
                  <c:v>0.87399999999999989</c:v>
                </c:pt>
                <c:pt idx="21">
                  <c:v>0.8929999999999999</c:v>
                </c:pt>
                <c:pt idx="22">
                  <c:v>0.8929999999999999</c:v>
                </c:pt>
                <c:pt idx="23">
                  <c:v>0.87399999999999989</c:v>
                </c:pt>
                <c:pt idx="24">
                  <c:v>0.85499999999999987</c:v>
                </c:pt>
                <c:pt idx="25">
                  <c:v>0.85499999999999987</c:v>
                </c:pt>
                <c:pt idx="26">
                  <c:v>0.85499999999999987</c:v>
                </c:pt>
                <c:pt idx="27">
                  <c:v>0.83599999999999997</c:v>
                </c:pt>
                <c:pt idx="28">
                  <c:v>0.83599999999999997</c:v>
                </c:pt>
                <c:pt idx="29">
                  <c:v>0.83599999999999997</c:v>
                </c:pt>
                <c:pt idx="30">
                  <c:v>0.83599999999999997</c:v>
                </c:pt>
                <c:pt idx="31">
                  <c:v>0.83599999999999997</c:v>
                </c:pt>
                <c:pt idx="32">
                  <c:v>0.83599999999999997</c:v>
                </c:pt>
                <c:pt idx="33">
                  <c:v>0.83599999999999997</c:v>
                </c:pt>
                <c:pt idx="34">
                  <c:v>0.87399999999999989</c:v>
                </c:pt>
                <c:pt idx="35">
                  <c:v>0.87399999999999989</c:v>
                </c:pt>
                <c:pt idx="36">
                  <c:v>0.85499999999999987</c:v>
                </c:pt>
                <c:pt idx="37">
                  <c:v>0.83599999999999997</c:v>
                </c:pt>
                <c:pt idx="38">
                  <c:v>0.83599999999999997</c:v>
                </c:pt>
                <c:pt idx="39">
                  <c:v>0.83599999999999997</c:v>
                </c:pt>
                <c:pt idx="40">
                  <c:v>0.83599999999999997</c:v>
                </c:pt>
                <c:pt idx="41">
                  <c:v>0.83599999999999997</c:v>
                </c:pt>
                <c:pt idx="42">
                  <c:v>0.85499999999999987</c:v>
                </c:pt>
                <c:pt idx="43">
                  <c:v>0.85499999999999987</c:v>
                </c:pt>
                <c:pt idx="44">
                  <c:v>0.85499999999999987</c:v>
                </c:pt>
                <c:pt idx="45">
                  <c:v>0.85499999999999987</c:v>
                </c:pt>
                <c:pt idx="46">
                  <c:v>0.85499999999999987</c:v>
                </c:pt>
                <c:pt idx="47">
                  <c:v>0.85499999999999987</c:v>
                </c:pt>
                <c:pt idx="48">
                  <c:v>0.87399999999999989</c:v>
                </c:pt>
                <c:pt idx="49">
                  <c:v>0.87399999999999989</c:v>
                </c:pt>
                <c:pt idx="50">
                  <c:v>0.87399999999999989</c:v>
                </c:pt>
                <c:pt idx="51">
                  <c:v>0.8929999999999999</c:v>
                </c:pt>
                <c:pt idx="52">
                  <c:v>0.8929999999999999</c:v>
                </c:pt>
                <c:pt idx="53">
                  <c:v>0.8929999999999999</c:v>
                </c:pt>
                <c:pt idx="54">
                  <c:v>0.87399999999999989</c:v>
                </c:pt>
                <c:pt idx="55">
                  <c:v>0.87399999999999989</c:v>
                </c:pt>
                <c:pt idx="56">
                  <c:v>0.87399999999999989</c:v>
                </c:pt>
                <c:pt idx="57">
                  <c:v>0.87399999999999989</c:v>
                </c:pt>
                <c:pt idx="58">
                  <c:v>0.85499999999999987</c:v>
                </c:pt>
                <c:pt idx="59">
                  <c:v>0.83599999999999997</c:v>
                </c:pt>
                <c:pt idx="60">
                  <c:v>0.85499999999999987</c:v>
                </c:pt>
                <c:pt idx="61">
                  <c:v>0.87399999999999989</c:v>
                </c:pt>
                <c:pt idx="62">
                  <c:v>0.87399999999999989</c:v>
                </c:pt>
                <c:pt idx="63">
                  <c:v>0.87399999999999989</c:v>
                </c:pt>
                <c:pt idx="64">
                  <c:v>0.87399999999999989</c:v>
                </c:pt>
                <c:pt idx="65">
                  <c:v>0.87399999999999989</c:v>
                </c:pt>
                <c:pt idx="66">
                  <c:v>0.87399999999999989</c:v>
                </c:pt>
                <c:pt idx="67">
                  <c:v>0.87399999999999989</c:v>
                </c:pt>
                <c:pt idx="68">
                  <c:v>0.87399999999999989</c:v>
                </c:pt>
                <c:pt idx="69">
                  <c:v>0.87399999999999989</c:v>
                </c:pt>
                <c:pt idx="70">
                  <c:v>0.85499999999999987</c:v>
                </c:pt>
                <c:pt idx="71">
                  <c:v>0.87399999999999989</c:v>
                </c:pt>
                <c:pt idx="72">
                  <c:v>0.83599999999999997</c:v>
                </c:pt>
                <c:pt idx="73">
                  <c:v>0.81699999999999995</c:v>
                </c:pt>
                <c:pt idx="74">
                  <c:v>0.81699999999999995</c:v>
                </c:pt>
                <c:pt idx="75">
                  <c:v>0.81699999999999995</c:v>
                </c:pt>
                <c:pt idx="76">
                  <c:v>0.79799999999999993</c:v>
                </c:pt>
                <c:pt idx="77">
                  <c:v>0.77899999999999991</c:v>
                </c:pt>
                <c:pt idx="78">
                  <c:v>0.79799999999999993</c:v>
                </c:pt>
                <c:pt idx="79">
                  <c:v>0.77899999999999991</c:v>
                </c:pt>
                <c:pt idx="80">
                  <c:v>0.77899999999999991</c:v>
                </c:pt>
                <c:pt idx="81">
                  <c:v>0.77899999999999991</c:v>
                </c:pt>
                <c:pt idx="82">
                  <c:v>0.79799999999999993</c:v>
                </c:pt>
                <c:pt idx="83">
                  <c:v>0.79799999999999993</c:v>
                </c:pt>
                <c:pt idx="84">
                  <c:v>0.77899999999999991</c:v>
                </c:pt>
                <c:pt idx="85">
                  <c:v>0.77899999999999991</c:v>
                </c:pt>
                <c:pt idx="86">
                  <c:v>0.77899999999999991</c:v>
                </c:pt>
                <c:pt idx="87">
                  <c:v>0.7599999999999999</c:v>
                </c:pt>
                <c:pt idx="88">
                  <c:v>0.7599999999999999</c:v>
                </c:pt>
                <c:pt idx="89">
                  <c:v>0.7599999999999999</c:v>
                </c:pt>
                <c:pt idx="90">
                  <c:v>0.7599999999999999</c:v>
                </c:pt>
                <c:pt idx="91">
                  <c:v>0.7599999999999999</c:v>
                </c:pt>
                <c:pt idx="92">
                  <c:v>0.7599999999999999</c:v>
                </c:pt>
                <c:pt idx="93">
                  <c:v>0.7599999999999999</c:v>
                </c:pt>
                <c:pt idx="94">
                  <c:v>0.77899999999999991</c:v>
                </c:pt>
                <c:pt idx="95">
                  <c:v>0.77899999999999991</c:v>
                </c:pt>
                <c:pt idx="96">
                  <c:v>0.81699999999999995</c:v>
                </c:pt>
                <c:pt idx="97">
                  <c:v>0.81699999999999995</c:v>
                </c:pt>
                <c:pt idx="98">
                  <c:v>0.81699999999999995</c:v>
                </c:pt>
                <c:pt idx="99">
                  <c:v>0.81699999999999995</c:v>
                </c:pt>
                <c:pt idx="100">
                  <c:v>0.83599999999999997</c:v>
                </c:pt>
                <c:pt idx="101">
                  <c:v>0.85499999999999987</c:v>
                </c:pt>
                <c:pt idx="102">
                  <c:v>0.85499999999999987</c:v>
                </c:pt>
                <c:pt idx="103">
                  <c:v>0.87399999999999989</c:v>
                </c:pt>
                <c:pt idx="104">
                  <c:v>0.87399999999999989</c:v>
                </c:pt>
                <c:pt idx="105">
                  <c:v>0.87399999999999989</c:v>
                </c:pt>
                <c:pt idx="106">
                  <c:v>0.87399999999999989</c:v>
                </c:pt>
                <c:pt idx="107">
                  <c:v>0.8929999999999999</c:v>
                </c:pt>
                <c:pt idx="108">
                  <c:v>0.91199999999999992</c:v>
                </c:pt>
                <c:pt idx="109">
                  <c:v>0.91199999999999992</c:v>
                </c:pt>
                <c:pt idx="110">
                  <c:v>0.8929999999999999</c:v>
                </c:pt>
                <c:pt idx="111">
                  <c:v>0.91199999999999992</c:v>
                </c:pt>
                <c:pt idx="112">
                  <c:v>0.91199999999999992</c:v>
                </c:pt>
                <c:pt idx="113">
                  <c:v>0.91199999999999992</c:v>
                </c:pt>
                <c:pt idx="114">
                  <c:v>0.91199999999999992</c:v>
                </c:pt>
                <c:pt idx="115">
                  <c:v>0.91199999999999992</c:v>
                </c:pt>
                <c:pt idx="116">
                  <c:v>0.91199999999999992</c:v>
                </c:pt>
                <c:pt idx="117">
                  <c:v>0.91199999999999992</c:v>
                </c:pt>
                <c:pt idx="118">
                  <c:v>0.91199999999999992</c:v>
                </c:pt>
                <c:pt idx="119">
                  <c:v>0.91199999999999992</c:v>
                </c:pt>
                <c:pt idx="120">
                  <c:v>0.91199999999999992</c:v>
                </c:pt>
                <c:pt idx="121">
                  <c:v>0.91199999999999992</c:v>
                </c:pt>
                <c:pt idx="122">
                  <c:v>0.91199999999999992</c:v>
                </c:pt>
                <c:pt idx="123">
                  <c:v>0.8929999999999999</c:v>
                </c:pt>
                <c:pt idx="124">
                  <c:v>0.8929999999999999</c:v>
                </c:pt>
                <c:pt idx="125">
                  <c:v>0.87399999999999989</c:v>
                </c:pt>
                <c:pt idx="126">
                  <c:v>0.87399999999999989</c:v>
                </c:pt>
                <c:pt idx="127">
                  <c:v>0.87399999999999989</c:v>
                </c:pt>
                <c:pt idx="128">
                  <c:v>0.87399999999999989</c:v>
                </c:pt>
                <c:pt idx="129">
                  <c:v>0.87399999999999989</c:v>
                </c:pt>
                <c:pt idx="130">
                  <c:v>0.87399999999999989</c:v>
                </c:pt>
                <c:pt idx="131">
                  <c:v>0.87399999999999989</c:v>
                </c:pt>
                <c:pt idx="132">
                  <c:v>0.87399999999999989</c:v>
                </c:pt>
                <c:pt idx="133">
                  <c:v>0.87399999999999989</c:v>
                </c:pt>
                <c:pt idx="134">
                  <c:v>0.8929999999999999</c:v>
                </c:pt>
                <c:pt idx="135">
                  <c:v>0.8929999999999999</c:v>
                </c:pt>
                <c:pt idx="136">
                  <c:v>0.8929999999999999</c:v>
                </c:pt>
                <c:pt idx="137">
                  <c:v>0.87399999999999989</c:v>
                </c:pt>
                <c:pt idx="138">
                  <c:v>0.87399999999999989</c:v>
                </c:pt>
                <c:pt idx="139">
                  <c:v>0.87399999999999989</c:v>
                </c:pt>
                <c:pt idx="140">
                  <c:v>0.87399999999999989</c:v>
                </c:pt>
                <c:pt idx="141">
                  <c:v>0.83599999999999997</c:v>
                </c:pt>
                <c:pt idx="142">
                  <c:v>0.83599999999999997</c:v>
                </c:pt>
                <c:pt idx="143">
                  <c:v>0.83599999999999997</c:v>
                </c:pt>
                <c:pt idx="144">
                  <c:v>0.83599999999999997</c:v>
                </c:pt>
                <c:pt idx="145">
                  <c:v>0.85499999999999987</c:v>
                </c:pt>
                <c:pt idx="146">
                  <c:v>0.85499999999999987</c:v>
                </c:pt>
                <c:pt idx="147">
                  <c:v>0.87399999999999989</c:v>
                </c:pt>
                <c:pt idx="148">
                  <c:v>0.87399999999999989</c:v>
                </c:pt>
                <c:pt idx="149">
                  <c:v>0.8929999999999999</c:v>
                </c:pt>
                <c:pt idx="150">
                  <c:v>0.8929999999999999</c:v>
                </c:pt>
                <c:pt idx="151">
                  <c:v>0.8929999999999999</c:v>
                </c:pt>
                <c:pt idx="152">
                  <c:v>0.87399999999999989</c:v>
                </c:pt>
                <c:pt idx="153">
                  <c:v>0.87399999999999989</c:v>
                </c:pt>
                <c:pt idx="154">
                  <c:v>0.85499999999999987</c:v>
                </c:pt>
                <c:pt idx="155">
                  <c:v>0.85499999999999987</c:v>
                </c:pt>
                <c:pt idx="156">
                  <c:v>0.85499999999999987</c:v>
                </c:pt>
                <c:pt idx="157">
                  <c:v>0.85499999999999987</c:v>
                </c:pt>
                <c:pt idx="158">
                  <c:v>0.85499999999999987</c:v>
                </c:pt>
                <c:pt idx="159">
                  <c:v>0.85499999999999987</c:v>
                </c:pt>
                <c:pt idx="160">
                  <c:v>0.85499999999999987</c:v>
                </c:pt>
                <c:pt idx="161">
                  <c:v>0.87399999999999989</c:v>
                </c:pt>
                <c:pt idx="162">
                  <c:v>0.83599999999999997</c:v>
                </c:pt>
                <c:pt idx="163">
                  <c:v>0.83599999999999997</c:v>
                </c:pt>
                <c:pt idx="164">
                  <c:v>0.81699999999999995</c:v>
                </c:pt>
                <c:pt idx="165">
                  <c:v>0.85499999999999987</c:v>
                </c:pt>
                <c:pt idx="166">
                  <c:v>0.85499999999999987</c:v>
                </c:pt>
                <c:pt idx="167">
                  <c:v>0.85499999999999987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AB-4976-B749-09038AFC2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149135"/>
        <c:axId val="422160175"/>
      </c:areaChart>
      <c:catAx>
        <c:axId val="422149135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2160175"/>
        <c:crosses val="autoZero"/>
        <c:auto val="1"/>
        <c:lblAlgn val="ctr"/>
        <c:lblOffset val="100"/>
        <c:noMultiLvlLbl val="0"/>
      </c:catAx>
      <c:valAx>
        <c:axId val="42216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214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590176</xdr:colOff>
      <xdr:row>14</xdr:row>
      <xdr:rowOff>25399</xdr:rowOff>
    </xdr:from>
    <xdr:to>
      <xdr:col>59</xdr:col>
      <xdr:colOff>1038412</xdr:colOff>
      <xdr:row>31</xdr:row>
      <xdr:rowOff>127000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725C720-5289-3F61-3EED-08995C1AD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1023470</xdr:colOff>
      <xdr:row>14</xdr:row>
      <xdr:rowOff>22412</xdr:rowOff>
    </xdr:from>
    <xdr:to>
      <xdr:col>65</xdr:col>
      <xdr:colOff>859117</xdr:colOff>
      <xdr:row>31</xdr:row>
      <xdr:rowOff>124013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371A10D-4692-4764-A4AB-35BA187FA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209176</xdr:colOff>
      <xdr:row>13</xdr:row>
      <xdr:rowOff>22412</xdr:rowOff>
    </xdr:from>
    <xdr:to>
      <xdr:col>67</xdr:col>
      <xdr:colOff>2502647</xdr:colOff>
      <xdr:row>31</xdr:row>
      <xdr:rowOff>119529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9BC8137-8EDE-436F-9DDE-85503AC3E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142</xdr:col>
      <xdr:colOff>649941</xdr:colOff>
      <xdr:row>12</xdr:row>
      <xdr:rowOff>111312</xdr:rowOff>
    </xdr:from>
    <xdr:to>
      <xdr:col>146</xdr:col>
      <xdr:colOff>635000</xdr:colOff>
      <xdr:row>27</xdr:row>
      <xdr:rowOff>53041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14AB04-813C-0454-9742-A1659923E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65</v>
      </c>
    </row>
    <row r="4" spans="1:3" x14ac:dyDescent="0.35">
      <c r="B4" s="2" t="s">
        <v>92</v>
      </c>
      <c r="C4" s="3" t="s">
        <v>69</v>
      </c>
    </row>
    <row r="5" spans="1:3" x14ac:dyDescent="0.35">
      <c r="B5" s="2" t="s">
        <v>13</v>
      </c>
      <c r="C5" s="3" t="s">
        <v>66</v>
      </c>
    </row>
    <row r="6" spans="1:3" x14ac:dyDescent="0.35">
      <c r="B6" s="2" t="s">
        <v>14</v>
      </c>
      <c r="C6" s="3" t="s">
        <v>66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69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8"/>
  <sheetViews>
    <sheetView workbookViewId="0">
      <selection activeCell="A19" sqref="A1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150</v>
      </c>
      <c r="B6" s="5" t="s">
        <v>6</v>
      </c>
    </row>
    <row r="7" spans="1:2" x14ac:dyDescent="0.35">
      <c r="A7" s="5" t="s">
        <v>152</v>
      </c>
      <c r="B7" s="5" t="s">
        <v>6</v>
      </c>
    </row>
    <row r="8" spans="1:2" x14ac:dyDescent="0.35">
      <c r="A8" s="5" t="s">
        <v>151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78</v>
      </c>
      <c r="B12" s="5" t="s">
        <v>6</v>
      </c>
    </row>
    <row r="13" spans="1:2" x14ac:dyDescent="0.35">
      <c r="A13" s="5" t="s">
        <v>88</v>
      </c>
      <c r="B13" s="5" t="s">
        <v>6</v>
      </c>
    </row>
    <row r="14" spans="1:2" x14ac:dyDescent="0.35">
      <c r="A14" s="5" t="s">
        <v>126</v>
      </c>
      <c r="B14" s="5" t="s">
        <v>6</v>
      </c>
    </row>
    <row r="15" spans="1:2" x14ac:dyDescent="0.35">
      <c r="A15" s="5" t="s">
        <v>127</v>
      </c>
      <c r="B15" s="5" t="s">
        <v>6</v>
      </c>
    </row>
    <row r="16" spans="1:2" x14ac:dyDescent="0.35">
      <c r="A16" s="5" t="s">
        <v>163</v>
      </c>
      <c r="B16" s="5" t="s">
        <v>6</v>
      </c>
    </row>
    <row r="17" spans="1:2" x14ac:dyDescent="0.35">
      <c r="A17" s="5" t="s">
        <v>164</v>
      </c>
      <c r="B17" s="5" t="s">
        <v>6</v>
      </c>
    </row>
    <row r="18" spans="1:2" x14ac:dyDescent="0.35">
      <c r="A18" s="5" t="s">
        <v>251</v>
      </c>
      <c r="B18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22"/>
  <sheetViews>
    <sheetView workbookViewId="0">
      <selection activeCell="A15" sqref="A15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5" x14ac:dyDescent="0.35">
      <c r="A1" s="18" t="s">
        <v>5</v>
      </c>
      <c r="B1" s="18" t="s">
        <v>0</v>
      </c>
      <c r="C1" s="18" t="s">
        <v>1</v>
      </c>
      <c r="D1" s="18" t="s">
        <v>83</v>
      </c>
      <c r="E1" s="18" t="s">
        <v>84</v>
      </c>
    </row>
    <row r="2" spans="1:5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5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5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5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5" x14ac:dyDescent="0.35">
      <c r="A6" s="19" t="s">
        <v>95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5" x14ac:dyDescent="0.35">
      <c r="A7" s="19" t="s">
        <v>96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5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5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5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5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5" x14ac:dyDescent="0.35">
      <c r="A12" s="20" t="s">
        <v>97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5" x14ac:dyDescent="0.35">
      <c r="A13" s="20" t="s">
        <v>98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5" x14ac:dyDescent="0.35">
      <c r="A14" s="13" t="s">
        <v>85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5" x14ac:dyDescent="0.35">
      <c r="A15" s="169" t="s">
        <v>311</v>
      </c>
      <c r="B15" s="5" t="s">
        <v>2</v>
      </c>
      <c r="C15" s="5" t="s">
        <v>6</v>
      </c>
      <c r="D15" s="5">
        <v>-9.1393000000000004</v>
      </c>
      <c r="E15" s="5">
        <v>38.722299999999997</v>
      </c>
    </row>
    <row r="16" spans="1:5" x14ac:dyDescent="0.35">
      <c r="A16" s="13"/>
    </row>
    <row r="17" spans="1:8" x14ac:dyDescent="0.35">
      <c r="A17" s="13" t="s">
        <v>86</v>
      </c>
      <c r="B17" s="5" t="s">
        <v>4</v>
      </c>
      <c r="C17" s="5" t="s">
        <v>6</v>
      </c>
      <c r="D17" s="5">
        <v>4.3521999999999998</v>
      </c>
      <c r="E17" s="5">
        <v>48.8566</v>
      </c>
    </row>
    <row r="18" spans="1:8" x14ac:dyDescent="0.35">
      <c r="A18" s="13" t="s">
        <v>103</v>
      </c>
      <c r="B18" s="5" t="s">
        <v>4</v>
      </c>
      <c r="C18" s="5" t="s">
        <v>6</v>
      </c>
      <c r="D18" s="5">
        <v>2.8521999999999998</v>
      </c>
      <c r="E18" s="5">
        <v>43.8566</v>
      </c>
      <c r="H18" s="5" t="s">
        <v>107</v>
      </c>
    </row>
    <row r="19" spans="1:8" x14ac:dyDescent="0.35">
      <c r="A19" s="13" t="s">
        <v>104</v>
      </c>
      <c r="B19" s="5" t="s">
        <v>4</v>
      </c>
      <c r="C19" s="5" t="s">
        <v>6</v>
      </c>
      <c r="D19" s="5">
        <v>-1.3522000000000001</v>
      </c>
      <c r="E19" s="5">
        <v>45.8566</v>
      </c>
    </row>
    <row r="20" spans="1:8" x14ac:dyDescent="0.35">
      <c r="A20" s="21" t="s">
        <v>99</v>
      </c>
      <c r="B20" s="5" t="s">
        <v>4</v>
      </c>
      <c r="C20" s="5" t="s">
        <v>6</v>
      </c>
      <c r="D20" s="5">
        <v>-6.84</v>
      </c>
      <c r="E20" s="5">
        <v>34.020000000000003</v>
      </c>
    </row>
    <row r="21" spans="1:8" x14ac:dyDescent="0.35">
      <c r="A21" s="27" t="s">
        <v>252</v>
      </c>
      <c r="B21" s="5" t="s">
        <v>7</v>
      </c>
      <c r="C21" s="5" t="s">
        <v>6</v>
      </c>
      <c r="D21" s="5">
        <f>4+2.3522</f>
        <v>6.3521999999999998</v>
      </c>
      <c r="E21" s="5">
        <v>48.8566</v>
      </c>
    </row>
    <row r="22" spans="1:8" x14ac:dyDescent="0.35">
      <c r="A22" s="27" t="s">
        <v>253</v>
      </c>
      <c r="B22" s="5" t="s">
        <v>4</v>
      </c>
      <c r="C22" s="5" t="s">
        <v>6</v>
      </c>
      <c r="D22" s="5">
        <f>4+2.3522</f>
        <v>6.3521999999999998</v>
      </c>
      <c r="E22" s="5">
        <v>46.8566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4"/>
  <sheetViews>
    <sheetView workbookViewId="0">
      <selection activeCell="J9" sqref="J9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0.90625" style="39"/>
    <col min="4" max="4" width="13.08984375" style="39" bestFit="1" customWidth="1"/>
    <col min="5" max="5" width="15.7265625" style="5" bestFit="1" customWidth="1"/>
    <col min="6" max="6" width="10.90625" style="39"/>
    <col min="7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97" t="s">
        <v>12</v>
      </c>
      <c r="D1" s="97" t="s">
        <v>14</v>
      </c>
      <c r="E1" s="97" t="s">
        <v>0</v>
      </c>
      <c r="F1" s="97" t="s">
        <v>1</v>
      </c>
    </row>
    <row r="2" spans="1:6" x14ac:dyDescent="0.35">
      <c r="A2" s="6" t="s">
        <v>134</v>
      </c>
      <c r="B2" s="5" t="s">
        <v>30</v>
      </c>
      <c r="C2" s="39">
        <v>83000</v>
      </c>
      <c r="D2" s="39">
        <v>0</v>
      </c>
      <c r="E2" s="5" t="s">
        <v>150</v>
      </c>
      <c r="F2" s="39" t="s">
        <v>6</v>
      </c>
    </row>
    <row r="3" spans="1:6" x14ac:dyDescent="0.35">
      <c r="A3" s="6" t="s">
        <v>135</v>
      </c>
      <c r="B3" s="5" t="s">
        <v>30</v>
      </c>
      <c r="C3" s="39">
        <v>4805</v>
      </c>
      <c r="D3" s="39">
        <v>0</v>
      </c>
      <c r="E3" s="5" t="s">
        <v>152</v>
      </c>
      <c r="F3" s="39" t="s">
        <v>6</v>
      </c>
    </row>
    <row r="4" spans="1:6" x14ac:dyDescent="0.35">
      <c r="A4" s="6" t="s">
        <v>136</v>
      </c>
      <c r="B4" s="5" t="s">
        <v>30</v>
      </c>
      <c r="C4" s="39">
        <v>30000</v>
      </c>
      <c r="D4" s="39">
        <v>0</v>
      </c>
      <c r="E4" s="5" t="s">
        <v>151</v>
      </c>
      <c r="F4" s="39" t="s">
        <v>6</v>
      </c>
    </row>
    <row r="5" spans="1:6" x14ac:dyDescent="0.35">
      <c r="A5" s="6" t="s">
        <v>46</v>
      </c>
      <c r="B5" s="5" t="s">
        <v>30</v>
      </c>
      <c r="C5" s="39">
        <v>91799.794460000019</v>
      </c>
      <c r="D5" s="39">
        <v>0</v>
      </c>
      <c r="E5" s="5" t="s">
        <v>9</v>
      </c>
      <c r="F5" s="39" t="s">
        <v>6</v>
      </c>
    </row>
    <row r="6" spans="1:6" x14ac:dyDescent="0.35">
      <c r="A6" s="6" t="s">
        <v>47</v>
      </c>
      <c r="B6" s="5" t="s">
        <v>30</v>
      </c>
      <c r="C6" s="39">
        <f>2462.66</f>
        <v>2462.66</v>
      </c>
      <c r="D6" s="39">
        <v>6</v>
      </c>
      <c r="E6" s="5" t="s">
        <v>11</v>
      </c>
      <c r="F6" s="39" t="s">
        <v>6</v>
      </c>
    </row>
    <row r="7" spans="1:6" x14ac:dyDescent="0.35">
      <c r="A7" s="6" t="s">
        <v>48</v>
      </c>
      <c r="B7" s="5" t="s">
        <v>32</v>
      </c>
      <c r="C7" s="39">
        <f>1*10^14</f>
        <v>100000000000000</v>
      </c>
      <c r="D7" s="39">
        <v>0</v>
      </c>
      <c r="E7" s="5" t="s">
        <v>3</v>
      </c>
      <c r="F7" s="39" t="s">
        <v>6</v>
      </c>
    </row>
    <row r="8" spans="1:6" x14ac:dyDescent="0.35">
      <c r="A8" s="6" t="s">
        <v>49</v>
      </c>
      <c r="B8" s="5" t="s">
        <v>30</v>
      </c>
      <c r="C8" s="39">
        <v>3117.91912</v>
      </c>
      <c r="D8" s="39">
        <v>0</v>
      </c>
      <c r="E8" s="5" t="s">
        <v>8</v>
      </c>
      <c r="F8" s="39" t="s">
        <v>6</v>
      </c>
    </row>
    <row r="9" spans="1:6" x14ac:dyDescent="0.35">
      <c r="A9" s="5" t="s">
        <v>75</v>
      </c>
      <c r="B9" s="5" t="s">
        <v>95</v>
      </c>
      <c r="C9" s="39">
        <v>32600</v>
      </c>
      <c r="D9" s="39">
        <v>0</v>
      </c>
      <c r="E9" s="5" t="s">
        <v>127</v>
      </c>
      <c r="F9" s="39" t="s">
        <v>6</v>
      </c>
    </row>
    <row r="10" spans="1:6" x14ac:dyDescent="0.35">
      <c r="A10" s="7" t="s">
        <v>74</v>
      </c>
      <c r="B10" s="7" t="s">
        <v>96</v>
      </c>
      <c r="C10" s="95">
        <f>(37999*2)-C9</f>
        <v>43398</v>
      </c>
      <c r="D10" s="95">
        <v>0</v>
      </c>
      <c r="E10" s="7" t="s">
        <v>126</v>
      </c>
      <c r="F10" s="95" t="s">
        <v>6</v>
      </c>
    </row>
    <row r="11" spans="1:6" x14ac:dyDescent="0.35">
      <c r="A11" s="8" t="s">
        <v>137</v>
      </c>
      <c r="B11" s="5" t="s">
        <v>34</v>
      </c>
      <c r="C11" s="39">
        <v>14378.2</v>
      </c>
      <c r="D11" s="39">
        <v>0</v>
      </c>
      <c r="E11" s="5" t="s">
        <v>150</v>
      </c>
      <c r="F11" s="39" t="s">
        <v>6</v>
      </c>
    </row>
    <row r="12" spans="1:6" x14ac:dyDescent="0.35">
      <c r="A12" s="8" t="s">
        <v>138</v>
      </c>
      <c r="B12" s="5" t="s">
        <v>34</v>
      </c>
      <c r="C12" s="39">
        <v>9659.9</v>
      </c>
      <c r="D12" s="39">
        <v>0</v>
      </c>
      <c r="E12" s="5" t="s">
        <v>151</v>
      </c>
      <c r="F12" s="39" t="s">
        <v>6</v>
      </c>
    </row>
    <row r="13" spans="1:6" x14ac:dyDescent="0.35">
      <c r="A13" s="8" t="s">
        <v>161</v>
      </c>
      <c r="B13" s="5" t="s">
        <v>34</v>
      </c>
      <c r="C13" s="65">
        <v>11643.6</v>
      </c>
      <c r="D13" s="39">
        <v>0</v>
      </c>
      <c r="E13" s="5" t="s">
        <v>163</v>
      </c>
      <c r="F13" s="39" t="s">
        <v>6</v>
      </c>
    </row>
    <row r="14" spans="1:6" x14ac:dyDescent="0.35">
      <c r="A14" s="8" t="s">
        <v>162</v>
      </c>
      <c r="B14" s="5" t="s">
        <v>34</v>
      </c>
      <c r="C14" s="65">
        <v>646</v>
      </c>
      <c r="D14" s="39">
        <v>0</v>
      </c>
      <c r="E14" s="5" t="s">
        <v>164</v>
      </c>
      <c r="F14" s="39" t="s">
        <v>6</v>
      </c>
    </row>
    <row r="15" spans="1:6" x14ac:dyDescent="0.35">
      <c r="A15" s="8" t="s">
        <v>50</v>
      </c>
      <c r="B15" s="5" t="s">
        <v>34</v>
      </c>
      <c r="C15" s="39">
        <v>1607</v>
      </c>
      <c r="D15" s="98">
        <v>6</v>
      </c>
      <c r="E15" s="5" t="s">
        <v>11</v>
      </c>
      <c r="F15" s="39" t="s">
        <v>6</v>
      </c>
    </row>
    <row r="16" spans="1:6" x14ac:dyDescent="0.35">
      <c r="A16" s="8" t="s">
        <v>51</v>
      </c>
      <c r="B16" s="5" t="s">
        <v>36</v>
      </c>
      <c r="C16" s="39">
        <f>1*10^14</f>
        <v>100000000000000</v>
      </c>
      <c r="D16" s="39">
        <v>0</v>
      </c>
      <c r="E16" s="5" t="s">
        <v>3</v>
      </c>
      <c r="F16" s="39" t="s">
        <v>6</v>
      </c>
    </row>
    <row r="17" spans="1:6" x14ac:dyDescent="0.35">
      <c r="A17" s="8" t="s">
        <v>52</v>
      </c>
      <c r="B17" s="5" t="s">
        <v>34</v>
      </c>
      <c r="C17" s="39">
        <v>508.3</v>
      </c>
      <c r="D17" s="39">
        <v>0</v>
      </c>
      <c r="E17" s="5" t="s">
        <v>8</v>
      </c>
      <c r="F17" s="39" t="s">
        <v>6</v>
      </c>
    </row>
    <row r="18" spans="1:6" x14ac:dyDescent="0.35">
      <c r="A18" s="5" t="s">
        <v>77</v>
      </c>
      <c r="B18" s="5" t="s">
        <v>97</v>
      </c>
      <c r="C18" s="39">
        <v>13478</v>
      </c>
      <c r="D18" s="39">
        <v>0</v>
      </c>
      <c r="E18" s="5" t="s">
        <v>127</v>
      </c>
      <c r="F18" s="39" t="s">
        <v>6</v>
      </c>
    </row>
    <row r="19" spans="1:6" x14ac:dyDescent="0.35">
      <c r="A19" s="7" t="s">
        <v>76</v>
      </c>
      <c r="B19" s="7" t="s">
        <v>98</v>
      </c>
      <c r="C19" s="95">
        <f>22506.9-C18</f>
        <v>9028.9000000000015</v>
      </c>
      <c r="D19" s="95">
        <v>0</v>
      </c>
      <c r="E19" s="7" t="s">
        <v>126</v>
      </c>
      <c r="F19" s="95" t="s">
        <v>6</v>
      </c>
    </row>
    <row r="20" spans="1:6" x14ac:dyDescent="0.35">
      <c r="A20" s="9" t="s">
        <v>79</v>
      </c>
      <c r="B20" s="5" t="s">
        <v>30</v>
      </c>
      <c r="C20" s="39">
        <v>10000000</v>
      </c>
      <c r="D20" s="39">
        <v>10000</v>
      </c>
      <c r="E20" s="5" t="s">
        <v>78</v>
      </c>
      <c r="F20" s="39" t="s">
        <v>6</v>
      </c>
    </row>
    <row r="21" spans="1:6" x14ac:dyDescent="0.35">
      <c r="A21" s="9" t="s">
        <v>80</v>
      </c>
      <c r="B21" s="5" t="s">
        <v>34</v>
      </c>
      <c r="C21" s="39">
        <v>10000000</v>
      </c>
      <c r="D21" s="39">
        <v>10000</v>
      </c>
      <c r="E21" s="5" t="s">
        <v>78</v>
      </c>
      <c r="F21" s="39" t="s">
        <v>6</v>
      </c>
    </row>
    <row r="22" spans="1:6" x14ac:dyDescent="0.35">
      <c r="A22" s="9" t="s">
        <v>94</v>
      </c>
      <c r="B22" s="5" t="s">
        <v>85</v>
      </c>
      <c r="C22" s="39">
        <v>10000000</v>
      </c>
      <c r="D22" s="39">
        <v>10000</v>
      </c>
      <c r="E22" s="5" t="s">
        <v>78</v>
      </c>
      <c r="F22" s="39" t="s">
        <v>6</v>
      </c>
    </row>
    <row r="23" spans="1:6" x14ac:dyDescent="0.35">
      <c r="A23" s="9" t="s">
        <v>81</v>
      </c>
      <c r="B23" s="5" t="s">
        <v>33</v>
      </c>
      <c r="C23" s="39">
        <v>10000000</v>
      </c>
      <c r="D23" s="39">
        <v>3000</v>
      </c>
      <c r="E23" s="5" t="s">
        <v>78</v>
      </c>
      <c r="F23" s="39" t="s">
        <v>6</v>
      </c>
    </row>
    <row r="24" spans="1:6" x14ac:dyDescent="0.35">
      <c r="A24" s="9" t="s">
        <v>82</v>
      </c>
      <c r="B24" s="5" t="s">
        <v>37</v>
      </c>
      <c r="C24" s="39">
        <v>10000000</v>
      </c>
      <c r="D24" s="39">
        <v>2500</v>
      </c>
      <c r="E24" s="5" t="s">
        <v>78</v>
      </c>
      <c r="F24" s="39" t="s">
        <v>6</v>
      </c>
    </row>
    <row r="25" spans="1:6" x14ac:dyDescent="0.35">
      <c r="A25" s="9" t="s">
        <v>93</v>
      </c>
      <c r="B25" s="5" t="s">
        <v>86</v>
      </c>
      <c r="C25" s="39">
        <v>10000000</v>
      </c>
      <c r="D25" s="39">
        <v>2500</v>
      </c>
      <c r="E25" s="5" t="s">
        <v>78</v>
      </c>
      <c r="F25" s="39" t="s">
        <v>6</v>
      </c>
    </row>
    <row r="26" spans="1:6" x14ac:dyDescent="0.35">
      <c r="A26" s="9" t="s">
        <v>105</v>
      </c>
      <c r="B26" s="5" t="s">
        <v>103</v>
      </c>
      <c r="C26" s="39">
        <v>10000000</v>
      </c>
      <c r="D26" s="39">
        <v>2500</v>
      </c>
      <c r="E26" s="5" t="s">
        <v>78</v>
      </c>
      <c r="F26" s="39" t="s">
        <v>6</v>
      </c>
    </row>
    <row r="27" spans="1:6" x14ac:dyDescent="0.35">
      <c r="A27" s="10" t="s">
        <v>106</v>
      </c>
      <c r="B27" s="7" t="s">
        <v>104</v>
      </c>
      <c r="C27" s="95">
        <v>10000000</v>
      </c>
      <c r="D27" s="95">
        <v>2500</v>
      </c>
      <c r="E27" s="7" t="s">
        <v>78</v>
      </c>
      <c r="F27" s="95" t="s">
        <v>6</v>
      </c>
    </row>
    <row r="28" spans="1:6" x14ac:dyDescent="0.35">
      <c r="A28" s="11" t="s">
        <v>118</v>
      </c>
      <c r="B28" s="12" t="s">
        <v>85</v>
      </c>
      <c r="C28" s="96">
        <v>5000</v>
      </c>
      <c r="D28" s="96">
        <v>0</v>
      </c>
      <c r="E28" s="12" t="s">
        <v>7</v>
      </c>
      <c r="F28" s="96" t="s">
        <v>6</v>
      </c>
    </row>
    <row r="29" spans="1:6" x14ac:dyDescent="0.35">
      <c r="A29" s="13" t="s">
        <v>119</v>
      </c>
      <c r="B29" s="5" t="s">
        <v>104</v>
      </c>
      <c r="C29" s="39">
        <v>1553.672292</v>
      </c>
      <c r="D29" s="39">
        <v>0</v>
      </c>
      <c r="E29" s="5" t="s">
        <v>4</v>
      </c>
      <c r="F29" s="39" t="s">
        <v>6</v>
      </c>
    </row>
    <row r="30" spans="1:6" x14ac:dyDescent="0.35">
      <c r="A30" s="14" t="s">
        <v>120</v>
      </c>
      <c r="B30" s="7" t="s">
        <v>86</v>
      </c>
      <c r="C30" s="95">
        <v>6779.6610170000004</v>
      </c>
      <c r="D30" s="95">
        <v>0</v>
      </c>
      <c r="E30" s="7" t="s">
        <v>4</v>
      </c>
      <c r="F30" s="95" t="s">
        <v>6</v>
      </c>
    </row>
    <row r="31" spans="1:6" x14ac:dyDescent="0.35">
      <c r="A31" s="15" t="s">
        <v>100</v>
      </c>
      <c r="B31" s="12" t="s">
        <v>99</v>
      </c>
      <c r="C31" s="96">
        <v>1517.8</v>
      </c>
      <c r="D31" s="96">
        <v>0</v>
      </c>
      <c r="E31" s="12" t="s">
        <v>4</v>
      </c>
      <c r="F31" s="96" t="s">
        <v>6</v>
      </c>
    </row>
    <row r="32" spans="1:6" x14ac:dyDescent="0.35">
      <c r="A32" s="16" t="s">
        <v>101</v>
      </c>
      <c r="B32" s="7" t="s">
        <v>99</v>
      </c>
      <c r="C32" s="95">
        <v>1422.3673200000001</v>
      </c>
      <c r="D32" s="95">
        <f>73.7</f>
        <v>73.7</v>
      </c>
      <c r="E32" s="7" t="s">
        <v>4</v>
      </c>
      <c r="F32" s="95" t="s">
        <v>6</v>
      </c>
    </row>
    <row r="33" spans="1:6" x14ac:dyDescent="0.35">
      <c r="A33" s="11" t="s">
        <v>113</v>
      </c>
      <c r="B33" s="12" t="s">
        <v>103</v>
      </c>
      <c r="C33" s="96">
        <v>1241</v>
      </c>
      <c r="D33" s="96">
        <v>0</v>
      </c>
      <c r="E33" s="12" t="s">
        <v>4</v>
      </c>
      <c r="F33" s="96" t="s">
        <v>6</v>
      </c>
    </row>
    <row r="34" spans="1:6" x14ac:dyDescent="0.35">
      <c r="A34" s="14" t="s">
        <v>114</v>
      </c>
      <c r="B34" s="7" t="s">
        <v>104</v>
      </c>
      <c r="C34" s="95">
        <v>331</v>
      </c>
      <c r="D34" s="95">
        <v>0</v>
      </c>
      <c r="E34" s="7" t="s">
        <v>4</v>
      </c>
      <c r="F34" s="95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30"/>
  <sheetViews>
    <sheetView zoomScaleNormal="100" workbookViewId="0">
      <selection activeCell="H31" sqref="H31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2" t="s">
        <v>5</v>
      </c>
      <c r="B1" s="22" t="s">
        <v>67</v>
      </c>
      <c r="C1" s="22" t="s">
        <v>68</v>
      </c>
      <c r="D1" s="22" t="s">
        <v>12</v>
      </c>
      <c r="E1" s="22" t="s">
        <v>156</v>
      </c>
      <c r="F1" s="22" t="s">
        <v>16</v>
      </c>
      <c r="G1" s="22" t="s">
        <v>14</v>
      </c>
      <c r="H1" s="22" t="s">
        <v>18</v>
      </c>
      <c r="I1" s="22" t="s">
        <v>19</v>
      </c>
      <c r="J1" s="22" t="s">
        <v>0</v>
      </c>
      <c r="K1" s="22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3">
        <v>6195.8</v>
      </c>
      <c r="E2" s="23"/>
      <c r="F2" s="5">
        <v>0.57999999999999996</v>
      </c>
      <c r="G2" s="24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3">
        <f>25140.2664733333</f>
        <v>25140.2664733333</v>
      </c>
      <c r="E3" s="23"/>
      <c r="F3" s="5">
        <v>0.85</v>
      </c>
      <c r="G3" s="5">
        <v>0</v>
      </c>
      <c r="J3" s="5" t="s">
        <v>8</v>
      </c>
      <c r="K3" s="5" t="s">
        <v>6</v>
      </c>
    </row>
    <row r="4" spans="1:11" x14ac:dyDescent="0.35">
      <c r="A4" s="6" t="s">
        <v>40</v>
      </c>
      <c r="B4" s="5" t="s">
        <v>30</v>
      </c>
      <c r="C4" s="5" t="s">
        <v>31</v>
      </c>
      <c r="D4" s="23">
        <f>13320.7506329652</f>
        <v>13320.750632965201</v>
      </c>
      <c r="E4" s="23"/>
      <c r="F4" s="5">
        <v>0.75</v>
      </c>
      <c r="G4" s="5">
        <v>0</v>
      </c>
      <c r="J4" s="5" t="s">
        <v>7</v>
      </c>
      <c r="K4" s="5" t="s">
        <v>6</v>
      </c>
    </row>
    <row r="5" spans="1:11" x14ac:dyDescent="0.35">
      <c r="A5" s="6" t="s">
        <v>41</v>
      </c>
      <c r="B5" s="5" t="s">
        <v>30</v>
      </c>
      <c r="C5" s="5" t="s">
        <v>33</v>
      </c>
      <c r="D5" s="23">
        <v>15500</v>
      </c>
      <c r="E5" s="23"/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74</v>
      </c>
      <c r="B6" s="5" t="s">
        <v>96</v>
      </c>
      <c r="C6" s="5" t="s">
        <v>33</v>
      </c>
      <c r="D6" s="23">
        <v>32600</v>
      </c>
      <c r="E6" s="23"/>
      <c r="F6" s="5">
        <v>0.7</v>
      </c>
      <c r="G6" s="5">
        <v>0</v>
      </c>
      <c r="J6" s="5" t="s">
        <v>4</v>
      </c>
      <c r="K6" s="5" t="s">
        <v>6</v>
      </c>
    </row>
    <row r="7" spans="1:11" x14ac:dyDescent="0.35">
      <c r="A7" s="5" t="s">
        <v>75</v>
      </c>
      <c r="B7" s="5" t="s">
        <v>95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3">
        <v>1357</v>
      </c>
      <c r="E8" s="23"/>
      <c r="F8" s="5">
        <v>0.57999999999999996</v>
      </c>
      <c r="G8" s="24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3">
        <v>3135</v>
      </c>
      <c r="E9" s="23"/>
      <c r="F9" s="5">
        <v>0.85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3">
        <v>3837</v>
      </c>
      <c r="E10" s="23"/>
      <c r="F10" s="5">
        <v>0.75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3">
        <v>0</v>
      </c>
      <c r="E11" s="23"/>
      <c r="F11" s="23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76</v>
      </c>
      <c r="B12" s="5" t="s">
        <v>98</v>
      </c>
      <c r="C12" s="5" t="s">
        <v>37</v>
      </c>
      <c r="D12" s="23">
        <v>13478</v>
      </c>
      <c r="E12" s="23"/>
      <c r="F12" s="23">
        <v>0.7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77</v>
      </c>
      <c r="B13" s="5" t="s">
        <v>97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5" t="s">
        <v>70</v>
      </c>
      <c r="B14" s="5" t="s">
        <v>30</v>
      </c>
      <c r="C14" s="5" t="s">
        <v>34</v>
      </c>
      <c r="D14" s="23">
        <v>4200</v>
      </c>
      <c r="E14" s="23"/>
      <c r="F14" s="26">
        <v>1</v>
      </c>
      <c r="G14" s="5">
        <v>0.1</v>
      </c>
      <c r="J14" s="5" t="s">
        <v>7</v>
      </c>
      <c r="K14" s="5" t="s">
        <v>6</v>
      </c>
    </row>
    <row r="15" spans="1:11" x14ac:dyDescent="0.35">
      <c r="A15" s="151" t="s">
        <v>71</v>
      </c>
      <c r="B15" s="5" t="s">
        <v>33</v>
      </c>
      <c r="C15" s="5" t="s">
        <v>37</v>
      </c>
      <c r="D15" s="23">
        <v>2860.169492</v>
      </c>
      <c r="E15" s="23"/>
      <c r="F15" s="26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5" t="s">
        <v>72</v>
      </c>
      <c r="B16" s="5" t="s">
        <v>34</v>
      </c>
      <c r="C16" s="5" t="s">
        <v>30</v>
      </c>
      <c r="D16" s="23">
        <v>3500</v>
      </c>
      <c r="E16" s="23"/>
      <c r="F16" s="26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151" t="s">
        <v>73</v>
      </c>
      <c r="B17" s="5" t="s">
        <v>37</v>
      </c>
      <c r="C17" s="5" t="s">
        <v>33</v>
      </c>
      <c r="D17" s="23">
        <v>2860.169492</v>
      </c>
      <c r="E17" s="23"/>
      <c r="F17" s="26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5" t="s">
        <v>87</v>
      </c>
      <c r="B18" s="5" t="s">
        <v>30</v>
      </c>
      <c r="C18" s="5" t="s">
        <v>85</v>
      </c>
      <c r="D18" s="23">
        <v>5001</v>
      </c>
      <c r="E18" s="23"/>
      <c r="F18" s="26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5" t="s">
        <v>91</v>
      </c>
      <c r="B19" s="5" t="s">
        <v>85</v>
      </c>
      <c r="C19" s="5" t="s">
        <v>30</v>
      </c>
      <c r="D19" s="23">
        <v>5001</v>
      </c>
      <c r="E19" s="23"/>
      <c r="F19" s="26">
        <v>1</v>
      </c>
      <c r="G19" s="5">
        <v>0.1</v>
      </c>
      <c r="J19" s="5" t="s">
        <v>7</v>
      </c>
      <c r="K19" s="5" t="s">
        <v>6</v>
      </c>
    </row>
    <row r="20" spans="1:11" x14ac:dyDescent="0.35">
      <c r="A20" s="151" t="s">
        <v>109</v>
      </c>
      <c r="B20" s="5" t="s">
        <v>33</v>
      </c>
      <c r="C20" s="5" t="s">
        <v>104</v>
      </c>
      <c r="D20" s="23">
        <v>5014.1242920000004</v>
      </c>
      <c r="E20" s="23"/>
      <c r="F20" s="26">
        <v>1</v>
      </c>
      <c r="G20" s="5">
        <v>0.1</v>
      </c>
      <c r="H20" s="28"/>
      <c r="I20" s="28"/>
      <c r="J20" s="5" t="s">
        <v>4</v>
      </c>
      <c r="K20" s="5" t="s">
        <v>6</v>
      </c>
    </row>
    <row r="21" spans="1:11" x14ac:dyDescent="0.35">
      <c r="A21" s="151" t="s">
        <v>108</v>
      </c>
      <c r="B21" s="5" t="s">
        <v>33</v>
      </c>
      <c r="C21" s="5" t="s">
        <v>103</v>
      </c>
      <c r="D21" s="23">
        <v>7627.1186459999999</v>
      </c>
      <c r="E21" s="23"/>
      <c r="F21" s="26">
        <v>1</v>
      </c>
      <c r="G21" s="5">
        <v>0.1</v>
      </c>
      <c r="H21" s="28"/>
      <c r="I21" s="28"/>
      <c r="J21" s="5" t="s">
        <v>4</v>
      </c>
      <c r="K21" s="5" t="s">
        <v>6</v>
      </c>
    </row>
    <row r="22" spans="1:11" x14ac:dyDescent="0.35">
      <c r="A22" s="151" t="s">
        <v>116</v>
      </c>
      <c r="B22" s="5" t="s">
        <v>103</v>
      </c>
      <c r="C22" s="5" t="s">
        <v>33</v>
      </c>
      <c r="D22" s="23">
        <v>7627.1186459999999</v>
      </c>
      <c r="E22" s="23"/>
      <c r="F22" s="26">
        <v>1</v>
      </c>
      <c r="G22" s="5">
        <v>0.1</v>
      </c>
      <c r="H22" s="28"/>
      <c r="I22" s="28"/>
      <c r="J22" s="5" t="s">
        <v>4</v>
      </c>
      <c r="K22" s="5" t="s">
        <v>6</v>
      </c>
    </row>
    <row r="23" spans="1:11" x14ac:dyDescent="0.35">
      <c r="A23" s="151" t="s">
        <v>110</v>
      </c>
      <c r="B23" s="5" t="s">
        <v>104</v>
      </c>
      <c r="C23" s="5" t="s">
        <v>103</v>
      </c>
      <c r="D23" s="23">
        <v>1553.672292</v>
      </c>
      <c r="E23" s="23"/>
      <c r="F23" s="26">
        <v>1</v>
      </c>
      <c r="G23" s="5">
        <v>0.1</v>
      </c>
      <c r="H23" s="28"/>
      <c r="I23" s="28"/>
      <c r="J23" s="5" t="s">
        <v>4</v>
      </c>
      <c r="K23" s="5" t="s">
        <v>6</v>
      </c>
    </row>
    <row r="24" spans="1:11" x14ac:dyDescent="0.35">
      <c r="A24" s="151" t="s">
        <v>111</v>
      </c>
      <c r="B24" s="5" t="s">
        <v>103</v>
      </c>
      <c r="C24" s="5" t="s">
        <v>86</v>
      </c>
      <c r="D24" s="23">
        <v>6780.6610170000004</v>
      </c>
      <c r="E24" s="23"/>
      <c r="F24" s="26">
        <v>1</v>
      </c>
      <c r="G24" s="5">
        <v>0.1</v>
      </c>
      <c r="H24" s="28"/>
      <c r="I24" s="28"/>
      <c r="J24" s="5" t="s">
        <v>4</v>
      </c>
      <c r="K24" s="5" t="s">
        <v>6</v>
      </c>
    </row>
    <row r="25" spans="1:11" x14ac:dyDescent="0.35">
      <c r="A25" s="151" t="s">
        <v>112</v>
      </c>
      <c r="B25" s="5" t="s">
        <v>86</v>
      </c>
      <c r="C25" s="5" t="s">
        <v>103</v>
      </c>
      <c r="D25" s="23">
        <v>6780.6610170000004</v>
      </c>
      <c r="E25" s="23"/>
      <c r="F25" s="26">
        <v>1</v>
      </c>
      <c r="G25" s="5">
        <v>0.1</v>
      </c>
      <c r="H25" s="28"/>
      <c r="I25" s="28"/>
      <c r="J25" s="5" t="s">
        <v>4</v>
      </c>
      <c r="K25" s="5" t="s">
        <v>6</v>
      </c>
    </row>
    <row r="26" spans="1:11" x14ac:dyDescent="0.35">
      <c r="A26" s="29" t="s">
        <v>102</v>
      </c>
      <c r="B26" s="5" t="s">
        <v>99</v>
      </c>
      <c r="C26" s="5" t="s">
        <v>33</v>
      </c>
      <c r="D26" s="23">
        <v>3742.94</v>
      </c>
      <c r="E26" s="23">
        <v>0.4</v>
      </c>
      <c r="F26" s="26">
        <v>1</v>
      </c>
      <c r="G26" s="26">
        <v>0</v>
      </c>
      <c r="J26" s="5" t="s">
        <v>4</v>
      </c>
      <c r="K26" s="5" t="s">
        <v>6</v>
      </c>
    </row>
    <row r="27" spans="1:11" x14ac:dyDescent="0.35">
      <c r="A27" s="27" t="s">
        <v>287</v>
      </c>
      <c r="B27" s="5" t="s">
        <v>85</v>
      </c>
      <c r="C27" s="5" t="s">
        <v>252</v>
      </c>
    </row>
    <row r="28" spans="1:11" x14ac:dyDescent="0.35">
      <c r="A28" s="27" t="s">
        <v>286</v>
      </c>
      <c r="B28" s="5" t="s">
        <v>252</v>
      </c>
      <c r="C28" s="5" t="s">
        <v>85</v>
      </c>
    </row>
    <row r="29" spans="1:11" x14ac:dyDescent="0.35">
      <c r="A29" s="27" t="s">
        <v>288</v>
      </c>
      <c r="B29" s="5" t="s">
        <v>86</v>
      </c>
      <c r="C29" s="5" t="s">
        <v>253</v>
      </c>
    </row>
    <row r="30" spans="1:11" x14ac:dyDescent="0.35">
      <c r="A30" s="27" t="s">
        <v>289</v>
      </c>
      <c r="B30" s="5" t="s">
        <v>253</v>
      </c>
      <c r="C30" s="5" t="s">
        <v>86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J5" sqref="J5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148" t="s">
        <v>5</v>
      </c>
      <c r="B1" s="149" t="s">
        <v>15</v>
      </c>
      <c r="C1" s="149" t="s">
        <v>0</v>
      </c>
      <c r="D1" s="149" t="s">
        <v>1</v>
      </c>
    </row>
    <row r="2" spans="1:4" x14ac:dyDescent="0.35">
      <c r="A2" s="6" t="s">
        <v>58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59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60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61</v>
      </c>
      <c r="B5" s="5" t="s">
        <v>37</v>
      </c>
      <c r="C5" s="5" t="s">
        <v>4</v>
      </c>
      <c r="D5" s="5" t="s">
        <v>6</v>
      </c>
    </row>
    <row r="6" spans="1:4" x14ac:dyDescent="0.35">
      <c r="A6" s="146" t="s">
        <v>89</v>
      </c>
      <c r="B6" s="5" t="s">
        <v>85</v>
      </c>
      <c r="C6" s="5" t="s">
        <v>7</v>
      </c>
      <c r="D6" s="5" t="s">
        <v>6</v>
      </c>
    </row>
    <row r="7" spans="1:4" x14ac:dyDescent="0.35">
      <c r="A7" s="146" t="s">
        <v>90</v>
      </c>
      <c r="B7" s="5" t="s">
        <v>86</v>
      </c>
      <c r="C7" s="5" t="s">
        <v>4</v>
      </c>
      <c r="D7" s="5" t="s">
        <v>6</v>
      </c>
    </row>
    <row r="8" spans="1:4" x14ac:dyDescent="0.35">
      <c r="A8" s="146" t="s">
        <v>283</v>
      </c>
      <c r="B8" s="5" t="s">
        <v>103</v>
      </c>
      <c r="C8" s="5" t="s">
        <v>4</v>
      </c>
      <c r="D8" s="5" t="s">
        <v>6</v>
      </c>
    </row>
    <row r="9" spans="1:4" x14ac:dyDescent="0.35">
      <c r="A9" s="146" t="s">
        <v>284</v>
      </c>
      <c r="B9" s="5" t="s">
        <v>104</v>
      </c>
      <c r="C9" s="5" t="s">
        <v>4</v>
      </c>
      <c r="D9" s="5" t="s">
        <v>6</v>
      </c>
    </row>
    <row r="10" spans="1:4" x14ac:dyDescent="0.35">
      <c r="A10" s="147" t="s">
        <v>260</v>
      </c>
      <c r="B10" s="5" t="s">
        <v>253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L18" sqref="L18"/>
    </sheetView>
  </sheetViews>
  <sheetFormatPr baseColWidth="10" defaultRowHeight="14.5" x14ac:dyDescent="0.35"/>
  <cols>
    <col min="1" max="1" width="5.7265625" style="38" bestFit="1" customWidth="1"/>
    <col min="2" max="2" width="20.26953125" style="39" bestFit="1" customWidth="1"/>
    <col min="3" max="3" width="20.26953125" style="40" bestFit="1" customWidth="1"/>
    <col min="4" max="4" width="18.81640625" style="39" customWidth="1"/>
    <col min="5" max="16384" width="10.90625" style="5"/>
  </cols>
  <sheetData>
    <row r="1" spans="1:4" s="34" customFormat="1" x14ac:dyDescent="0.35">
      <c r="A1" s="30" t="s">
        <v>128</v>
      </c>
      <c r="B1" s="31" t="s">
        <v>63</v>
      </c>
      <c r="C1" s="32" t="s">
        <v>64</v>
      </c>
      <c r="D1" s="33" t="s">
        <v>115</v>
      </c>
    </row>
    <row r="2" spans="1:4" x14ac:dyDescent="0.35">
      <c r="A2" s="35">
        <f>0</f>
        <v>0</v>
      </c>
      <c r="B2" s="36">
        <v>0.25493919022938366</v>
      </c>
      <c r="C2" s="37">
        <v>0.72203423175290182</v>
      </c>
      <c r="D2" s="37">
        <v>0.50275862068965516</v>
      </c>
    </row>
    <row r="3" spans="1:4" x14ac:dyDescent="0.35">
      <c r="A3" s="35">
        <f>A2+1</f>
        <v>1</v>
      </c>
      <c r="B3" s="36">
        <v>0.25493919022938366</v>
      </c>
      <c r="C3" s="37">
        <v>0.72203423175290182</v>
      </c>
      <c r="D3" s="37">
        <v>0.50275862068965516</v>
      </c>
    </row>
    <row r="4" spans="1:4" x14ac:dyDescent="0.35">
      <c r="A4" s="35">
        <f t="shared" ref="A4:A67" si="0">A3+1</f>
        <v>2</v>
      </c>
      <c r="B4" s="36">
        <v>0.25493919022938366</v>
      </c>
      <c r="C4" s="37">
        <v>0.72203423175290182</v>
      </c>
      <c r="D4" s="37">
        <v>0.50275862068965516</v>
      </c>
    </row>
    <row r="5" spans="1:4" x14ac:dyDescent="0.35">
      <c r="A5" s="35">
        <f t="shared" si="0"/>
        <v>3</v>
      </c>
      <c r="B5" s="36">
        <v>0.25493919022938366</v>
      </c>
      <c r="C5" s="37">
        <v>0.72203423175290182</v>
      </c>
      <c r="D5" s="37">
        <v>0.50275862068965516</v>
      </c>
    </row>
    <row r="6" spans="1:4" x14ac:dyDescent="0.35">
      <c r="A6" s="35">
        <f t="shared" si="0"/>
        <v>4</v>
      </c>
      <c r="B6" s="36">
        <v>0.25493919022938366</v>
      </c>
      <c r="C6" s="37">
        <v>0.72203423175290182</v>
      </c>
      <c r="D6" s="37">
        <v>0.50275862068965516</v>
      </c>
    </row>
    <row r="7" spans="1:4" x14ac:dyDescent="0.35">
      <c r="A7" s="35">
        <f t="shared" si="0"/>
        <v>5</v>
      </c>
      <c r="B7" s="36">
        <v>0.25493919022938366</v>
      </c>
      <c r="C7" s="37">
        <v>0.72203423175290182</v>
      </c>
      <c r="D7" s="37">
        <v>0.50275862068965516</v>
      </c>
    </row>
    <row r="8" spans="1:4" x14ac:dyDescent="0.35">
      <c r="A8" s="35">
        <f t="shared" si="0"/>
        <v>6</v>
      </c>
      <c r="B8" s="36">
        <v>0.25493919022938366</v>
      </c>
      <c r="C8" s="37">
        <v>0.72203423175290182</v>
      </c>
      <c r="D8" s="37">
        <v>0.50275862068965516</v>
      </c>
    </row>
    <row r="9" spans="1:4" x14ac:dyDescent="0.35">
      <c r="A9" s="35">
        <f t="shared" si="0"/>
        <v>7</v>
      </c>
      <c r="B9" s="36">
        <v>0.25493919022938366</v>
      </c>
      <c r="C9" s="37">
        <v>0.72203423175290182</v>
      </c>
      <c r="D9" s="37">
        <v>0.50275862068965516</v>
      </c>
    </row>
    <row r="10" spans="1:4" x14ac:dyDescent="0.35">
      <c r="A10" s="35">
        <f t="shared" si="0"/>
        <v>8</v>
      </c>
      <c r="B10" s="36">
        <v>0.25493919022938366</v>
      </c>
      <c r="C10" s="37">
        <v>0.72203423175290182</v>
      </c>
      <c r="D10" s="37">
        <v>0.50275862068965516</v>
      </c>
    </row>
    <row r="11" spans="1:4" x14ac:dyDescent="0.35">
      <c r="A11" s="35">
        <f t="shared" si="0"/>
        <v>9</v>
      </c>
      <c r="B11" s="36">
        <v>0.25493919022938366</v>
      </c>
      <c r="C11" s="37">
        <v>0.72203423175290182</v>
      </c>
      <c r="D11" s="37">
        <v>0.50275862068965516</v>
      </c>
    </row>
    <row r="12" spans="1:4" x14ac:dyDescent="0.35">
      <c r="A12" s="35">
        <f t="shared" si="0"/>
        <v>10</v>
      </c>
      <c r="B12" s="36">
        <v>0.25493919022938366</v>
      </c>
      <c r="C12" s="37">
        <v>0.72203423175290182</v>
      </c>
      <c r="D12" s="37">
        <v>0.50275862068965516</v>
      </c>
    </row>
    <row r="13" spans="1:4" x14ac:dyDescent="0.35">
      <c r="A13" s="35">
        <f t="shared" si="0"/>
        <v>11</v>
      </c>
      <c r="B13" s="36">
        <v>0.25493919022938366</v>
      </c>
      <c r="C13" s="37">
        <v>0.72203423175290182</v>
      </c>
      <c r="D13" s="37">
        <v>0.50275862068965516</v>
      </c>
    </row>
    <row r="14" spans="1:4" x14ac:dyDescent="0.35">
      <c r="A14" s="35">
        <f t="shared" si="0"/>
        <v>12</v>
      </c>
      <c r="B14" s="36">
        <v>0.25493919022938366</v>
      </c>
      <c r="C14" s="37">
        <v>0.72203423175290182</v>
      </c>
      <c r="D14" s="37">
        <v>0.50275862068965516</v>
      </c>
    </row>
    <row r="15" spans="1:4" x14ac:dyDescent="0.35">
      <c r="A15" s="35">
        <f t="shared" si="0"/>
        <v>13</v>
      </c>
      <c r="B15" s="36">
        <v>0.25493919022938366</v>
      </c>
      <c r="C15" s="37">
        <v>0.72203423175290182</v>
      </c>
      <c r="D15" s="37">
        <v>0.50275862068965516</v>
      </c>
    </row>
    <row r="16" spans="1:4" x14ac:dyDescent="0.35">
      <c r="A16" s="35">
        <f t="shared" si="0"/>
        <v>14</v>
      </c>
      <c r="B16" s="36">
        <v>0.25493919022938366</v>
      </c>
      <c r="C16" s="37">
        <v>0.72203423175290182</v>
      </c>
      <c r="D16" s="37">
        <v>0.50275862068965516</v>
      </c>
    </row>
    <row r="17" spans="1:4" x14ac:dyDescent="0.35">
      <c r="A17" s="35">
        <f t="shared" si="0"/>
        <v>15</v>
      </c>
      <c r="B17" s="36">
        <v>0.25493919022938366</v>
      </c>
      <c r="C17" s="37">
        <v>0.72203423175290182</v>
      </c>
      <c r="D17" s="37">
        <v>0.50275862068965516</v>
      </c>
    </row>
    <row r="18" spans="1:4" x14ac:dyDescent="0.35">
      <c r="A18" s="35">
        <f t="shared" si="0"/>
        <v>16</v>
      </c>
      <c r="B18" s="36">
        <v>0.25493919022938366</v>
      </c>
      <c r="C18" s="37">
        <v>0.72203423175290182</v>
      </c>
      <c r="D18" s="37">
        <v>0.50275862068965516</v>
      </c>
    </row>
    <row r="19" spans="1:4" x14ac:dyDescent="0.35">
      <c r="A19" s="35">
        <f t="shared" si="0"/>
        <v>17</v>
      </c>
      <c r="B19" s="36">
        <v>0.25493919022938366</v>
      </c>
      <c r="C19" s="37">
        <v>0.72203423175290182</v>
      </c>
      <c r="D19" s="37">
        <v>0.50275862068965516</v>
      </c>
    </row>
    <row r="20" spans="1:4" x14ac:dyDescent="0.35">
      <c r="A20" s="35">
        <f t="shared" si="0"/>
        <v>18</v>
      </c>
      <c r="B20" s="36">
        <v>0.25493919022938366</v>
      </c>
      <c r="C20" s="37">
        <v>0.72203423175290182</v>
      </c>
      <c r="D20" s="37">
        <v>0.50275862068965516</v>
      </c>
    </row>
    <row r="21" spans="1:4" x14ac:dyDescent="0.35">
      <c r="A21" s="35">
        <f t="shared" si="0"/>
        <v>19</v>
      </c>
      <c r="B21" s="36">
        <v>0.25493919022938366</v>
      </c>
      <c r="C21" s="37">
        <v>0.72203423175290182</v>
      </c>
      <c r="D21" s="37">
        <v>0.50275862068965516</v>
      </c>
    </row>
    <row r="22" spans="1:4" x14ac:dyDescent="0.35">
      <c r="A22" s="35">
        <f t="shared" si="0"/>
        <v>20</v>
      </c>
      <c r="B22" s="36">
        <v>0.25493919022938366</v>
      </c>
      <c r="C22" s="37">
        <v>0.72203423175290182</v>
      </c>
      <c r="D22" s="37">
        <v>0.50275862068965516</v>
      </c>
    </row>
    <row r="23" spans="1:4" x14ac:dyDescent="0.35">
      <c r="A23" s="35">
        <f t="shared" si="0"/>
        <v>21</v>
      </c>
      <c r="B23" s="36">
        <v>0.25493919022938366</v>
      </c>
      <c r="C23" s="37">
        <v>0.72203423175290182</v>
      </c>
      <c r="D23" s="37">
        <v>0.50275862068965516</v>
      </c>
    </row>
    <row r="24" spans="1:4" x14ac:dyDescent="0.35">
      <c r="A24" s="35">
        <f t="shared" si="0"/>
        <v>22</v>
      </c>
      <c r="B24" s="36">
        <v>0.25493919022938366</v>
      </c>
      <c r="C24" s="37">
        <v>0.72203423175290182</v>
      </c>
      <c r="D24" s="37">
        <v>0.50275862068965516</v>
      </c>
    </row>
    <row r="25" spans="1:4" x14ac:dyDescent="0.35">
      <c r="A25" s="35">
        <f t="shared" si="0"/>
        <v>23</v>
      </c>
      <c r="B25" s="36">
        <v>0.25493919022938366</v>
      </c>
      <c r="C25" s="37">
        <v>0.72203423175290182</v>
      </c>
      <c r="D25" s="37">
        <v>0.50275862068965516</v>
      </c>
    </row>
    <row r="26" spans="1:4" x14ac:dyDescent="0.35">
      <c r="A26" s="35">
        <f t="shared" si="0"/>
        <v>24</v>
      </c>
      <c r="B26" s="36">
        <v>0.25493919022938366</v>
      </c>
      <c r="C26" s="37">
        <v>0.72203423175290182</v>
      </c>
      <c r="D26" s="37">
        <v>0.50275862068965516</v>
      </c>
    </row>
    <row r="27" spans="1:4" x14ac:dyDescent="0.35">
      <c r="A27" s="35">
        <f t="shared" si="0"/>
        <v>25</v>
      </c>
      <c r="B27" s="36">
        <v>0.25493919022938366</v>
      </c>
      <c r="C27" s="37">
        <v>0.72203423175290182</v>
      </c>
      <c r="D27" s="37">
        <v>0.50275862068965516</v>
      </c>
    </row>
    <row r="28" spans="1:4" x14ac:dyDescent="0.35">
      <c r="A28" s="35">
        <f t="shared" si="0"/>
        <v>26</v>
      </c>
      <c r="B28" s="36">
        <v>0.25493919022938366</v>
      </c>
      <c r="C28" s="37">
        <v>0.72203423175290182</v>
      </c>
      <c r="D28" s="37">
        <v>0.50275862068965516</v>
      </c>
    </row>
    <row r="29" spans="1:4" x14ac:dyDescent="0.35">
      <c r="A29" s="35">
        <f t="shared" si="0"/>
        <v>27</v>
      </c>
      <c r="B29" s="36">
        <v>0.25493919022938366</v>
      </c>
      <c r="C29" s="37">
        <v>0.72203423175290182</v>
      </c>
      <c r="D29" s="37">
        <v>0.50275862068965516</v>
      </c>
    </row>
    <row r="30" spans="1:4" x14ac:dyDescent="0.35">
      <c r="A30" s="35">
        <f t="shared" si="0"/>
        <v>28</v>
      </c>
      <c r="B30" s="36">
        <v>0.25493919022938366</v>
      </c>
      <c r="C30" s="37">
        <v>0.72203423175290182</v>
      </c>
      <c r="D30" s="37">
        <v>0.50275862068965516</v>
      </c>
    </row>
    <row r="31" spans="1:4" x14ac:dyDescent="0.35">
      <c r="A31" s="35">
        <f t="shared" si="0"/>
        <v>29</v>
      </c>
      <c r="B31" s="36">
        <v>0.25493919022938366</v>
      </c>
      <c r="C31" s="37">
        <v>0.72203423175290182</v>
      </c>
      <c r="D31" s="37">
        <v>0.50275862068965516</v>
      </c>
    </row>
    <row r="32" spans="1:4" x14ac:dyDescent="0.35">
      <c r="A32" s="35">
        <f t="shared" si="0"/>
        <v>30</v>
      </c>
      <c r="B32" s="36">
        <v>0.25493919022938366</v>
      </c>
      <c r="C32" s="37">
        <v>0.72203423175290182</v>
      </c>
      <c r="D32" s="37">
        <v>0.50275862068965516</v>
      </c>
    </row>
    <row r="33" spans="1:4" x14ac:dyDescent="0.35">
      <c r="A33" s="35">
        <f t="shared" si="0"/>
        <v>31</v>
      </c>
      <c r="B33" s="36">
        <v>0.25493919022938366</v>
      </c>
      <c r="C33" s="37">
        <v>0.72203423175290182</v>
      </c>
      <c r="D33" s="37">
        <v>0.50275862068965516</v>
      </c>
    </row>
    <row r="34" spans="1:4" x14ac:dyDescent="0.35">
      <c r="A34" s="35">
        <f t="shared" si="0"/>
        <v>32</v>
      </c>
      <c r="B34" s="36">
        <v>0.25493919022938366</v>
      </c>
      <c r="C34" s="37">
        <v>0.72203423175290182</v>
      </c>
      <c r="D34" s="37">
        <v>0.50275862068965516</v>
      </c>
    </row>
    <row r="35" spans="1:4" x14ac:dyDescent="0.35">
      <c r="A35" s="35">
        <f t="shared" si="0"/>
        <v>33</v>
      </c>
      <c r="B35" s="36">
        <v>0.25493919022938366</v>
      </c>
      <c r="C35" s="37">
        <v>0.72203423175290182</v>
      </c>
      <c r="D35" s="37">
        <v>0.50275862068965516</v>
      </c>
    </row>
    <row r="36" spans="1:4" x14ac:dyDescent="0.35">
      <c r="A36" s="35">
        <f t="shared" si="0"/>
        <v>34</v>
      </c>
      <c r="B36" s="36">
        <v>0.25493919022938366</v>
      </c>
      <c r="C36" s="37">
        <v>0.72203423175290182</v>
      </c>
      <c r="D36" s="37">
        <v>0.50275862068965516</v>
      </c>
    </row>
    <row r="37" spans="1:4" x14ac:dyDescent="0.35">
      <c r="A37" s="35">
        <f t="shared" si="0"/>
        <v>35</v>
      </c>
      <c r="B37" s="36">
        <v>0.25493919022938366</v>
      </c>
      <c r="C37" s="37">
        <v>0.72203423175290182</v>
      </c>
      <c r="D37" s="37">
        <v>0.50275862068965516</v>
      </c>
    </row>
    <row r="38" spans="1:4" x14ac:dyDescent="0.35">
      <c r="A38" s="35">
        <f t="shared" si="0"/>
        <v>36</v>
      </c>
      <c r="B38" s="36">
        <v>0.25493919022938366</v>
      </c>
      <c r="C38" s="37">
        <v>0.72203423175290182</v>
      </c>
      <c r="D38" s="37">
        <v>0.50275862068965516</v>
      </c>
    </row>
    <row r="39" spans="1:4" x14ac:dyDescent="0.35">
      <c r="A39" s="35">
        <f t="shared" si="0"/>
        <v>37</v>
      </c>
      <c r="B39" s="36">
        <v>0.25493919022938366</v>
      </c>
      <c r="C39" s="37">
        <v>0.72203423175290182</v>
      </c>
      <c r="D39" s="37">
        <v>0.50275862068965516</v>
      </c>
    </row>
    <row r="40" spans="1:4" x14ac:dyDescent="0.35">
      <c r="A40" s="35">
        <f t="shared" si="0"/>
        <v>38</v>
      </c>
      <c r="B40" s="36">
        <v>0.25493919022938366</v>
      </c>
      <c r="C40" s="37">
        <v>0.72203423175290182</v>
      </c>
      <c r="D40" s="37">
        <v>0.50275862068965516</v>
      </c>
    </row>
    <row r="41" spans="1:4" x14ac:dyDescent="0.35">
      <c r="A41" s="35">
        <f t="shared" si="0"/>
        <v>39</v>
      </c>
      <c r="B41" s="36">
        <v>0.25493919022938366</v>
      </c>
      <c r="C41" s="37">
        <v>0.72203423175290182</v>
      </c>
      <c r="D41" s="37">
        <v>0.50275862068965516</v>
      </c>
    </row>
    <row r="42" spans="1:4" x14ac:dyDescent="0.35">
      <c r="A42" s="35">
        <f t="shared" si="0"/>
        <v>40</v>
      </c>
      <c r="B42" s="36">
        <v>0.25493919022938366</v>
      </c>
      <c r="C42" s="37">
        <v>0.72203423175290182</v>
      </c>
      <c r="D42" s="37">
        <v>0.50275862068965516</v>
      </c>
    </row>
    <row r="43" spans="1:4" x14ac:dyDescent="0.35">
      <c r="A43" s="35">
        <f t="shared" si="0"/>
        <v>41</v>
      </c>
      <c r="B43" s="36">
        <v>0.25493919022938366</v>
      </c>
      <c r="C43" s="37">
        <v>0.72203423175290182</v>
      </c>
      <c r="D43" s="37">
        <v>0.50275862068965516</v>
      </c>
    </row>
    <row r="44" spans="1:4" x14ac:dyDescent="0.35">
      <c r="A44" s="35">
        <f t="shared" si="0"/>
        <v>42</v>
      </c>
      <c r="B44" s="36">
        <v>0.25493919022938366</v>
      </c>
      <c r="C44" s="37">
        <v>0.72203423175290182</v>
      </c>
      <c r="D44" s="37">
        <v>0.50275862068965516</v>
      </c>
    </row>
    <row r="45" spans="1:4" x14ac:dyDescent="0.35">
      <c r="A45" s="35">
        <f t="shared" si="0"/>
        <v>43</v>
      </c>
      <c r="B45" s="36">
        <v>0.25493919022938366</v>
      </c>
      <c r="C45" s="37">
        <v>0.72203423175290182</v>
      </c>
      <c r="D45" s="37">
        <v>0.50275862068965516</v>
      </c>
    </row>
    <row r="46" spans="1:4" x14ac:dyDescent="0.35">
      <c r="A46" s="35">
        <f t="shared" si="0"/>
        <v>44</v>
      </c>
      <c r="B46" s="36">
        <v>0.25493919022938366</v>
      </c>
      <c r="C46" s="37">
        <v>0.72203423175290182</v>
      </c>
      <c r="D46" s="37">
        <v>0.50275862068965516</v>
      </c>
    </row>
    <row r="47" spans="1:4" x14ac:dyDescent="0.35">
      <c r="A47" s="35">
        <f t="shared" si="0"/>
        <v>45</v>
      </c>
      <c r="B47" s="36">
        <v>0.25493919022938366</v>
      </c>
      <c r="C47" s="37">
        <v>0.72203423175290182</v>
      </c>
      <c r="D47" s="37">
        <v>0.50275862068965516</v>
      </c>
    </row>
    <row r="48" spans="1:4" x14ac:dyDescent="0.35">
      <c r="A48" s="35">
        <f t="shared" si="0"/>
        <v>46</v>
      </c>
      <c r="B48" s="36">
        <v>0.25493919022938366</v>
      </c>
      <c r="C48" s="37">
        <v>0.72203423175290182</v>
      </c>
      <c r="D48" s="37">
        <v>0.50275862068965516</v>
      </c>
    </row>
    <row r="49" spans="1:4" x14ac:dyDescent="0.35">
      <c r="A49" s="35">
        <f t="shared" si="0"/>
        <v>47</v>
      </c>
      <c r="B49" s="36">
        <v>0.25493919022938366</v>
      </c>
      <c r="C49" s="37">
        <v>0.72203423175290182</v>
      </c>
      <c r="D49" s="37">
        <v>0.50275862068965516</v>
      </c>
    </row>
    <row r="50" spans="1:4" x14ac:dyDescent="0.35">
      <c r="A50" s="35">
        <f t="shared" si="0"/>
        <v>48</v>
      </c>
      <c r="B50" s="36">
        <v>0.25493919022938366</v>
      </c>
      <c r="C50" s="37">
        <v>0.72203423175290182</v>
      </c>
      <c r="D50" s="37">
        <v>0.50275862068965516</v>
      </c>
    </row>
    <row r="51" spans="1:4" x14ac:dyDescent="0.35">
      <c r="A51" s="35">
        <f t="shared" si="0"/>
        <v>49</v>
      </c>
      <c r="B51" s="36">
        <v>0.25493919022938366</v>
      </c>
      <c r="C51" s="37">
        <v>0.72203423175290182</v>
      </c>
      <c r="D51" s="37">
        <v>0.50275862068965516</v>
      </c>
    </row>
    <row r="52" spans="1:4" x14ac:dyDescent="0.35">
      <c r="A52" s="35">
        <f t="shared" si="0"/>
        <v>50</v>
      </c>
      <c r="B52" s="36">
        <v>0.25493919022938366</v>
      </c>
      <c r="C52" s="37">
        <v>0.72203423175290182</v>
      </c>
      <c r="D52" s="37">
        <v>0.50275862068965516</v>
      </c>
    </row>
    <row r="53" spans="1:4" x14ac:dyDescent="0.35">
      <c r="A53" s="35">
        <f t="shared" si="0"/>
        <v>51</v>
      </c>
      <c r="B53" s="36">
        <v>0.25493919022938366</v>
      </c>
      <c r="C53" s="37">
        <v>0.72203423175290182</v>
      </c>
      <c r="D53" s="37">
        <v>0.50275862068965516</v>
      </c>
    </row>
    <row r="54" spans="1:4" x14ac:dyDescent="0.35">
      <c r="A54" s="35">
        <f t="shared" si="0"/>
        <v>52</v>
      </c>
      <c r="B54" s="36">
        <v>0.25493919022938366</v>
      </c>
      <c r="C54" s="37">
        <v>0.72203423175290182</v>
      </c>
      <c r="D54" s="37">
        <v>0.50275862068965516</v>
      </c>
    </row>
    <row r="55" spans="1:4" x14ac:dyDescent="0.35">
      <c r="A55" s="35">
        <f t="shared" si="0"/>
        <v>53</v>
      </c>
      <c r="B55" s="36">
        <v>0.25493919022938366</v>
      </c>
      <c r="C55" s="37">
        <v>0.72203423175290182</v>
      </c>
      <c r="D55" s="37">
        <v>0.50275862068965516</v>
      </c>
    </row>
    <row r="56" spans="1:4" x14ac:dyDescent="0.35">
      <c r="A56" s="35">
        <f t="shared" si="0"/>
        <v>54</v>
      </c>
      <c r="B56" s="36">
        <v>0.25493919022938366</v>
      </c>
      <c r="C56" s="37">
        <v>0.72203423175290182</v>
      </c>
      <c r="D56" s="37">
        <v>0.50275862068965516</v>
      </c>
    </row>
    <row r="57" spans="1:4" x14ac:dyDescent="0.35">
      <c r="A57" s="35">
        <f t="shared" si="0"/>
        <v>55</v>
      </c>
      <c r="B57" s="36">
        <v>0.25493919022938366</v>
      </c>
      <c r="C57" s="37">
        <v>0.72203423175290182</v>
      </c>
      <c r="D57" s="37">
        <v>0.50275862068965516</v>
      </c>
    </row>
    <row r="58" spans="1:4" x14ac:dyDescent="0.35">
      <c r="A58" s="35">
        <f t="shared" si="0"/>
        <v>56</v>
      </c>
      <c r="B58" s="36">
        <v>0.25493919022938366</v>
      </c>
      <c r="C58" s="37">
        <v>0.72203423175290182</v>
      </c>
      <c r="D58" s="37">
        <v>0.50275862068965516</v>
      </c>
    </row>
    <row r="59" spans="1:4" x14ac:dyDescent="0.35">
      <c r="A59" s="35">
        <f t="shared" si="0"/>
        <v>57</v>
      </c>
      <c r="B59" s="36">
        <v>0.25493919022938366</v>
      </c>
      <c r="C59" s="37">
        <v>0.72203423175290182</v>
      </c>
      <c r="D59" s="37">
        <v>0.50275862068965516</v>
      </c>
    </row>
    <row r="60" spans="1:4" x14ac:dyDescent="0.35">
      <c r="A60" s="35">
        <f t="shared" si="0"/>
        <v>58</v>
      </c>
      <c r="B60" s="36">
        <v>0.25493919022938366</v>
      </c>
      <c r="C60" s="37">
        <v>0.72203423175290182</v>
      </c>
      <c r="D60" s="37">
        <v>0.50275862068965516</v>
      </c>
    </row>
    <row r="61" spans="1:4" x14ac:dyDescent="0.35">
      <c r="A61" s="35">
        <f t="shared" si="0"/>
        <v>59</v>
      </c>
      <c r="B61" s="36">
        <v>0.25493919022938366</v>
      </c>
      <c r="C61" s="37">
        <v>0.72203423175290182</v>
      </c>
      <c r="D61" s="37">
        <v>0.50275862068965516</v>
      </c>
    </row>
    <row r="62" spans="1:4" x14ac:dyDescent="0.35">
      <c r="A62" s="35">
        <f t="shared" si="0"/>
        <v>60</v>
      </c>
      <c r="B62" s="36">
        <v>0.25493919022938366</v>
      </c>
      <c r="C62" s="37">
        <v>0.72203423175290182</v>
      </c>
      <c r="D62" s="37">
        <v>0.50275862068965516</v>
      </c>
    </row>
    <row r="63" spans="1:4" x14ac:dyDescent="0.35">
      <c r="A63" s="35">
        <f t="shared" si="0"/>
        <v>61</v>
      </c>
      <c r="B63" s="36">
        <v>0.25493919022938366</v>
      </c>
      <c r="C63" s="37">
        <v>0.72203423175290182</v>
      </c>
      <c r="D63" s="37">
        <v>0.50275862068965516</v>
      </c>
    </row>
    <row r="64" spans="1:4" x14ac:dyDescent="0.35">
      <c r="A64" s="35">
        <f t="shared" si="0"/>
        <v>62</v>
      </c>
      <c r="B64" s="36">
        <v>0.25493919022938366</v>
      </c>
      <c r="C64" s="37">
        <v>0.72203423175290182</v>
      </c>
      <c r="D64" s="37">
        <v>0.50275862068965516</v>
      </c>
    </row>
    <row r="65" spans="1:4" x14ac:dyDescent="0.35">
      <c r="A65" s="35">
        <f t="shared" si="0"/>
        <v>63</v>
      </c>
      <c r="B65" s="36">
        <v>0.25493919022938366</v>
      </c>
      <c r="C65" s="37">
        <v>0.72203423175290182</v>
      </c>
      <c r="D65" s="37">
        <v>0.50275862068965516</v>
      </c>
    </row>
    <row r="66" spans="1:4" x14ac:dyDescent="0.35">
      <c r="A66" s="35">
        <f t="shared" si="0"/>
        <v>64</v>
      </c>
      <c r="B66" s="36">
        <v>0.25493919022938366</v>
      </c>
      <c r="C66" s="37">
        <v>0.72203423175290182</v>
      </c>
      <c r="D66" s="37">
        <v>0.50275862068965516</v>
      </c>
    </row>
    <row r="67" spans="1:4" x14ac:dyDescent="0.35">
      <c r="A67" s="35">
        <f t="shared" si="0"/>
        <v>65</v>
      </c>
      <c r="B67" s="36">
        <v>0.25493919022938366</v>
      </c>
      <c r="C67" s="37">
        <v>0.72203423175290182</v>
      </c>
      <c r="D67" s="37">
        <v>0.50275862068965516</v>
      </c>
    </row>
    <row r="68" spans="1:4" x14ac:dyDescent="0.35">
      <c r="A68" s="35">
        <f t="shared" ref="A68:A131" si="1">A67+1</f>
        <v>66</v>
      </c>
      <c r="B68" s="36">
        <v>0.25493919022938366</v>
      </c>
      <c r="C68" s="37">
        <v>0.72203423175290182</v>
      </c>
      <c r="D68" s="37">
        <v>0.50275862068965516</v>
      </c>
    </row>
    <row r="69" spans="1:4" x14ac:dyDescent="0.35">
      <c r="A69" s="35">
        <f t="shared" si="1"/>
        <v>67</v>
      </c>
      <c r="B69" s="36">
        <v>0.25493919022938366</v>
      </c>
      <c r="C69" s="37">
        <v>0.72203423175290182</v>
      </c>
      <c r="D69" s="37">
        <v>0.50275862068965516</v>
      </c>
    </row>
    <row r="70" spans="1:4" x14ac:dyDescent="0.35">
      <c r="A70" s="35">
        <f t="shared" si="1"/>
        <v>68</v>
      </c>
      <c r="B70" s="36">
        <v>0.25493919022938366</v>
      </c>
      <c r="C70" s="37">
        <v>0.72203423175290182</v>
      </c>
      <c r="D70" s="37">
        <v>0.50275862068965516</v>
      </c>
    </row>
    <row r="71" spans="1:4" x14ac:dyDescent="0.35">
      <c r="A71" s="35">
        <f t="shared" si="1"/>
        <v>69</v>
      </c>
      <c r="B71" s="36">
        <v>0.25493919022938366</v>
      </c>
      <c r="C71" s="37">
        <v>0.72203423175290182</v>
      </c>
      <c r="D71" s="37">
        <v>0.50275862068965516</v>
      </c>
    </row>
    <row r="72" spans="1:4" x14ac:dyDescent="0.35">
      <c r="A72" s="35">
        <f t="shared" si="1"/>
        <v>70</v>
      </c>
      <c r="B72" s="36">
        <v>0.25493919022938366</v>
      </c>
      <c r="C72" s="37">
        <v>0.72203423175290182</v>
      </c>
      <c r="D72" s="37">
        <v>0.50275862068965516</v>
      </c>
    </row>
    <row r="73" spans="1:4" x14ac:dyDescent="0.35">
      <c r="A73" s="35">
        <f t="shared" si="1"/>
        <v>71</v>
      </c>
      <c r="B73" s="36">
        <v>0.25493919022938366</v>
      </c>
      <c r="C73" s="37">
        <v>0.72203423175290182</v>
      </c>
      <c r="D73" s="37">
        <v>0.50275862068965516</v>
      </c>
    </row>
    <row r="74" spans="1:4" x14ac:dyDescent="0.35">
      <c r="A74" s="35">
        <f t="shared" si="1"/>
        <v>72</v>
      </c>
      <c r="B74" s="36">
        <v>0.25493919022938366</v>
      </c>
      <c r="C74" s="37">
        <v>0.72203423175290182</v>
      </c>
      <c r="D74" s="37">
        <v>0.50275862068965516</v>
      </c>
    </row>
    <row r="75" spans="1:4" x14ac:dyDescent="0.35">
      <c r="A75" s="35">
        <f t="shared" si="1"/>
        <v>73</v>
      </c>
      <c r="B75" s="36">
        <v>0.25493919022938366</v>
      </c>
      <c r="C75" s="37">
        <v>0.72203423175290182</v>
      </c>
      <c r="D75" s="37">
        <v>0.50275862068965516</v>
      </c>
    </row>
    <row r="76" spans="1:4" x14ac:dyDescent="0.35">
      <c r="A76" s="35">
        <f t="shared" si="1"/>
        <v>74</v>
      </c>
      <c r="B76" s="36">
        <v>0.25493919022938366</v>
      </c>
      <c r="C76" s="37">
        <v>0.72203423175290182</v>
      </c>
      <c r="D76" s="37">
        <v>0.50275862068965516</v>
      </c>
    </row>
    <row r="77" spans="1:4" x14ac:dyDescent="0.35">
      <c r="A77" s="35">
        <f t="shared" si="1"/>
        <v>75</v>
      </c>
      <c r="B77" s="36">
        <v>0.25493919022938366</v>
      </c>
      <c r="C77" s="37">
        <v>0.72203423175290182</v>
      </c>
      <c r="D77" s="37">
        <v>0.50275862068965516</v>
      </c>
    </row>
    <row r="78" spans="1:4" x14ac:dyDescent="0.35">
      <c r="A78" s="35">
        <f t="shared" si="1"/>
        <v>76</v>
      </c>
      <c r="B78" s="36">
        <v>0.25493919022938366</v>
      </c>
      <c r="C78" s="37">
        <v>0.72203423175290182</v>
      </c>
      <c r="D78" s="37">
        <v>0.50275862068965516</v>
      </c>
    </row>
    <row r="79" spans="1:4" x14ac:dyDescent="0.35">
      <c r="A79" s="35">
        <f t="shared" si="1"/>
        <v>77</v>
      </c>
      <c r="B79" s="36">
        <v>0.25493919022938366</v>
      </c>
      <c r="C79" s="37">
        <v>0.72203423175290182</v>
      </c>
      <c r="D79" s="37">
        <v>0.50275862068965516</v>
      </c>
    </row>
    <row r="80" spans="1:4" x14ac:dyDescent="0.35">
      <c r="A80" s="35">
        <f t="shared" si="1"/>
        <v>78</v>
      </c>
      <c r="B80" s="36">
        <v>0.25493919022938366</v>
      </c>
      <c r="C80" s="37">
        <v>0.72203423175290182</v>
      </c>
      <c r="D80" s="37">
        <v>0.50275862068965516</v>
      </c>
    </row>
    <row r="81" spans="1:4" x14ac:dyDescent="0.35">
      <c r="A81" s="35">
        <f t="shared" si="1"/>
        <v>79</v>
      </c>
      <c r="B81" s="36">
        <v>0.25493919022938366</v>
      </c>
      <c r="C81" s="37">
        <v>0.72203423175290182</v>
      </c>
      <c r="D81" s="37">
        <v>0.50275862068965516</v>
      </c>
    </row>
    <row r="82" spans="1:4" x14ac:dyDescent="0.35">
      <c r="A82" s="35">
        <f t="shared" si="1"/>
        <v>80</v>
      </c>
      <c r="B82" s="36">
        <v>0.25493919022938366</v>
      </c>
      <c r="C82" s="37">
        <v>0.72203423175290182</v>
      </c>
      <c r="D82" s="37">
        <v>0.50275862068965516</v>
      </c>
    </row>
    <row r="83" spans="1:4" x14ac:dyDescent="0.35">
      <c r="A83" s="35">
        <f t="shared" si="1"/>
        <v>81</v>
      </c>
      <c r="B83" s="36">
        <v>0.25493919022938366</v>
      </c>
      <c r="C83" s="37">
        <v>0.72203423175290182</v>
      </c>
      <c r="D83" s="37">
        <v>0.50275862068965516</v>
      </c>
    </row>
    <row r="84" spans="1:4" x14ac:dyDescent="0.35">
      <c r="A84" s="35">
        <f t="shared" si="1"/>
        <v>82</v>
      </c>
      <c r="B84" s="36">
        <v>0.25493919022938366</v>
      </c>
      <c r="C84" s="37">
        <v>0.72203423175290182</v>
      </c>
      <c r="D84" s="37">
        <v>0.50275862068965516</v>
      </c>
    </row>
    <row r="85" spans="1:4" x14ac:dyDescent="0.35">
      <c r="A85" s="35">
        <f t="shared" si="1"/>
        <v>83</v>
      </c>
      <c r="B85" s="36">
        <v>0.25493919022938366</v>
      </c>
      <c r="C85" s="37">
        <v>0.72203423175290182</v>
      </c>
      <c r="D85" s="37">
        <v>0.50275862068965516</v>
      </c>
    </row>
    <row r="86" spans="1:4" x14ac:dyDescent="0.35">
      <c r="A86" s="35">
        <f t="shared" si="1"/>
        <v>84</v>
      </c>
      <c r="B86" s="36">
        <v>0.25493919022938366</v>
      </c>
      <c r="C86" s="37">
        <v>0.72203423175290182</v>
      </c>
      <c r="D86" s="37">
        <v>0.50275862068965516</v>
      </c>
    </row>
    <row r="87" spans="1:4" x14ac:dyDescent="0.35">
      <c r="A87" s="35">
        <f t="shared" si="1"/>
        <v>85</v>
      </c>
      <c r="B87" s="36">
        <v>0.25493919022938366</v>
      </c>
      <c r="C87" s="37">
        <v>0.72203423175290182</v>
      </c>
      <c r="D87" s="37">
        <v>0.50275862068965516</v>
      </c>
    </row>
    <row r="88" spans="1:4" x14ac:dyDescent="0.35">
      <c r="A88" s="35">
        <f t="shared" si="1"/>
        <v>86</v>
      </c>
      <c r="B88" s="36">
        <v>0.25493919022938366</v>
      </c>
      <c r="C88" s="37">
        <v>0.72203423175290182</v>
      </c>
      <c r="D88" s="37">
        <v>0.50275862068965516</v>
      </c>
    </row>
    <row r="89" spans="1:4" x14ac:dyDescent="0.35">
      <c r="A89" s="35">
        <f t="shared" si="1"/>
        <v>87</v>
      </c>
      <c r="B89" s="36">
        <v>0.25493919022938366</v>
      </c>
      <c r="C89" s="37">
        <v>0.72203423175290182</v>
      </c>
      <c r="D89" s="37">
        <v>0.50275862068965516</v>
      </c>
    </row>
    <row r="90" spans="1:4" x14ac:dyDescent="0.35">
      <c r="A90" s="35">
        <f t="shared" si="1"/>
        <v>88</v>
      </c>
      <c r="B90" s="36">
        <v>0.25493919022938366</v>
      </c>
      <c r="C90" s="37">
        <v>0.72203423175290182</v>
      </c>
      <c r="D90" s="37">
        <v>0.50275862068965516</v>
      </c>
    </row>
    <row r="91" spans="1:4" x14ac:dyDescent="0.35">
      <c r="A91" s="35">
        <f t="shared" si="1"/>
        <v>89</v>
      </c>
      <c r="B91" s="36">
        <v>0.25493919022938366</v>
      </c>
      <c r="C91" s="37">
        <v>0.72203423175290182</v>
      </c>
      <c r="D91" s="37">
        <v>0.50275862068965516</v>
      </c>
    </row>
    <row r="92" spans="1:4" x14ac:dyDescent="0.35">
      <c r="A92" s="35">
        <f t="shared" si="1"/>
        <v>90</v>
      </c>
      <c r="B92" s="36">
        <v>0.25493919022938366</v>
      </c>
      <c r="C92" s="37">
        <v>0.72203423175290182</v>
      </c>
      <c r="D92" s="37">
        <v>0.50275862068965516</v>
      </c>
    </row>
    <row r="93" spans="1:4" x14ac:dyDescent="0.35">
      <c r="A93" s="35">
        <f t="shared" si="1"/>
        <v>91</v>
      </c>
      <c r="B93" s="36">
        <v>0.25493919022938366</v>
      </c>
      <c r="C93" s="37">
        <v>0.72203423175290182</v>
      </c>
      <c r="D93" s="37">
        <v>0.50275862068965516</v>
      </c>
    </row>
    <row r="94" spans="1:4" x14ac:dyDescent="0.35">
      <c r="A94" s="35">
        <f t="shared" si="1"/>
        <v>92</v>
      </c>
      <c r="B94" s="36">
        <v>0.25493919022938366</v>
      </c>
      <c r="C94" s="37">
        <v>0.72203423175290182</v>
      </c>
      <c r="D94" s="37">
        <v>0.50275862068965516</v>
      </c>
    </row>
    <row r="95" spans="1:4" x14ac:dyDescent="0.35">
      <c r="A95" s="35">
        <f t="shared" si="1"/>
        <v>93</v>
      </c>
      <c r="B95" s="36">
        <v>0.25493919022938366</v>
      </c>
      <c r="C95" s="37">
        <v>0.72203423175290182</v>
      </c>
      <c r="D95" s="37">
        <v>0.50275862068965516</v>
      </c>
    </row>
    <row r="96" spans="1:4" x14ac:dyDescent="0.35">
      <c r="A96" s="35">
        <f t="shared" si="1"/>
        <v>94</v>
      </c>
      <c r="B96" s="36">
        <v>0.25493919022938366</v>
      </c>
      <c r="C96" s="37">
        <v>0.72203423175290182</v>
      </c>
      <c r="D96" s="37">
        <v>0.50275862068965516</v>
      </c>
    </row>
    <row r="97" spans="1:4" x14ac:dyDescent="0.35">
      <c r="A97" s="35">
        <f t="shared" si="1"/>
        <v>95</v>
      </c>
      <c r="B97" s="36">
        <v>0.25493919022938366</v>
      </c>
      <c r="C97" s="37">
        <v>0.72203423175290182</v>
      </c>
      <c r="D97" s="37">
        <v>0.50275862068965516</v>
      </c>
    </row>
    <row r="98" spans="1:4" x14ac:dyDescent="0.35">
      <c r="A98" s="35">
        <f t="shared" si="1"/>
        <v>96</v>
      </c>
      <c r="B98" s="36">
        <v>0.25493919022938366</v>
      </c>
      <c r="C98" s="37">
        <v>0.72203423175290182</v>
      </c>
      <c r="D98" s="37">
        <v>0.50275862068965516</v>
      </c>
    </row>
    <row r="99" spans="1:4" x14ac:dyDescent="0.35">
      <c r="A99" s="35">
        <f t="shared" si="1"/>
        <v>97</v>
      </c>
      <c r="B99" s="36">
        <v>0.25493919022938366</v>
      </c>
      <c r="C99" s="37">
        <v>0.72203423175290182</v>
      </c>
      <c r="D99" s="37">
        <v>0.50275862068965516</v>
      </c>
    </row>
    <row r="100" spans="1:4" x14ac:dyDescent="0.35">
      <c r="A100" s="35">
        <f t="shared" si="1"/>
        <v>98</v>
      </c>
      <c r="B100" s="36">
        <v>0.25493919022938366</v>
      </c>
      <c r="C100" s="37">
        <v>0.72203423175290182</v>
      </c>
      <c r="D100" s="37">
        <v>0.50275862068965516</v>
      </c>
    </row>
    <row r="101" spans="1:4" x14ac:dyDescent="0.35">
      <c r="A101" s="35">
        <f t="shared" si="1"/>
        <v>99</v>
      </c>
      <c r="B101" s="36">
        <v>0.25493919022938366</v>
      </c>
      <c r="C101" s="37">
        <v>0.72203423175290182</v>
      </c>
      <c r="D101" s="37">
        <v>0.50275862068965516</v>
      </c>
    </row>
    <row r="102" spans="1:4" x14ac:dyDescent="0.35">
      <c r="A102" s="35">
        <f t="shared" si="1"/>
        <v>100</v>
      </c>
      <c r="B102" s="36">
        <v>0.25493919022938366</v>
      </c>
      <c r="C102" s="37">
        <v>0.72203423175290182</v>
      </c>
      <c r="D102" s="37">
        <v>0.50275862068965516</v>
      </c>
    </row>
    <row r="103" spans="1:4" x14ac:dyDescent="0.35">
      <c r="A103" s="35">
        <f t="shared" si="1"/>
        <v>101</v>
      </c>
      <c r="B103" s="36">
        <v>0.25493919022938366</v>
      </c>
      <c r="C103" s="37">
        <v>0.72203423175290182</v>
      </c>
      <c r="D103" s="37">
        <v>0.50275862068965516</v>
      </c>
    </row>
    <row r="104" spans="1:4" x14ac:dyDescent="0.35">
      <c r="A104" s="35">
        <f t="shared" si="1"/>
        <v>102</v>
      </c>
      <c r="B104" s="36">
        <v>0.25493919022938366</v>
      </c>
      <c r="C104" s="37">
        <v>0.72203423175290182</v>
      </c>
      <c r="D104" s="37">
        <v>0.50275862068965516</v>
      </c>
    </row>
    <row r="105" spans="1:4" x14ac:dyDescent="0.35">
      <c r="A105" s="35">
        <f t="shared" si="1"/>
        <v>103</v>
      </c>
      <c r="B105" s="36">
        <v>0.25493919022938366</v>
      </c>
      <c r="C105" s="37">
        <v>0.72203423175290182</v>
      </c>
      <c r="D105" s="37">
        <v>0.50275862068965516</v>
      </c>
    </row>
    <row r="106" spans="1:4" x14ac:dyDescent="0.35">
      <c r="A106" s="35">
        <f t="shared" si="1"/>
        <v>104</v>
      </c>
      <c r="B106" s="36">
        <v>0.25493919022938366</v>
      </c>
      <c r="C106" s="37">
        <v>0.72203423175290182</v>
      </c>
      <c r="D106" s="37">
        <v>0.50275862068965516</v>
      </c>
    </row>
    <row r="107" spans="1:4" x14ac:dyDescent="0.35">
      <c r="A107" s="35">
        <f t="shared" si="1"/>
        <v>105</v>
      </c>
      <c r="B107" s="36">
        <v>0.25493919022938366</v>
      </c>
      <c r="C107" s="37">
        <v>0.72203423175290182</v>
      </c>
      <c r="D107" s="37">
        <v>0.50275862068965516</v>
      </c>
    </row>
    <row r="108" spans="1:4" x14ac:dyDescent="0.35">
      <c r="A108" s="35">
        <f t="shared" si="1"/>
        <v>106</v>
      </c>
      <c r="B108" s="36">
        <v>0.25493919022938366</v>
      </c>
      <c r="C108" s="37">
        <v>0.72203423175290182</v>
      </c>
      <c r="D108" s="37">
        <v>0.50275862068965516</v>
      </c>
    </row>
    <row r="109" spans="1:4" x14ac:dyDescent="0.35">
      <c r="A109" s="35">
        <f t="shared" si="1"/>
        <v>107</v>
      </c>
      <c r="B109" s="36">
        <v>0.25493919022938366</v>
      </c>
      <c r="C109" s="37">
        <v>0.72203423175290182</v>
      </c>
      <c r="D109" s="37">
        <v>0.50275862068965516</v>
      </c>
    </row>
    <row r="110" spans="1:4" x14ac:dyDescent="0.35">
      <c r="A110" s="35">
        <f t="shared" si="1"/>
        <v>108</v>
      </c>
      <c r="B110" s="36">
        <v>0</v>
      </c>
      <c r="C110" s="37">
        <v>0.72203423175290182</v>
      </c>
      <c r="D110" s="37">
        <v>0.50275862068965516</v>
      </c>
    </row>
    <row r="111" spans="1:4" x14ac:dyDescent="0.35">
      <c r="A111" s="35">
        <f t="shared" si="1"/>
        <v>109</v>
      </c>
      <c r="B111" s="36">
        <v>0.25493919022938366</v>
      </c>
      <c r="C111" s="37">
        <v>0.72203423175290182</v>
      </c>
      <c r="D111" s="37">
        <v>0.50275862068965516</v>
      </c>
    </row>
    <row r="112" spans="1:4" x14ac:dyDescent="0.35">
      <c r="A112" s="35">
        <f t="shared" si="1"/>
        <v>110</v>
      </c>
      <c r="B112" s="36">
        <v>0</v>
      </c>
      <c r="C112" s="37">
        <v>0.72203423175290182</v>
      </c>
      <c r="D112" s="37">
        <v>0.50275862068965516</v>
      </c>
    </row>
    <row r="113" spans="1:4" x14ac:dyDescent="0.35">
      <c r="A113" s="35">
        <f t="shared" si="1"/>
        <v>111</v>
      </c>
      <c r="B113" s="36">
        <v>0</v>
      </c>
      <c r="C113" s="37">
        <v>0.72203423175290182</v>
      </c>
      <c r="D113" s="37">
        <v>0.50275862068965516</v>
      </c>
    </row>
    <row r="114" spans="1:4" x14ac:dyDescent="0.35">
      <c r="A114" s="35">
        <f t="shared" si="1"/>
        <v>112</v>
      </c>
      <c r="B114" s="36">
        <v>0.25493919022938366</v>
      </c>
      <c r="C114" s="37">
        <v>0.72203423175290182</v>
      </c>
      <c r="D114" s="37">
        <v>0.50275862068965516</v>
      </c>
    </row>
    <row r="115" spans="1:4" x14ac:dyDescent="0.35">
      <c r="A115" s="35">
        <f t="shared" si="1"/>
        <v>113</v>
      </c>
      <c r="B115" s="36">
        <v>0.25493919022938366</v>
      </c>
      <c r="C115" s="37">
        <v>0.72203423175290182</v>
      </c>
      <c r="D115" s="37">
        <v>0.50275862068965516</v>
      </c>
    </row>
    <row r="116" spans="1:4" x14ac:dyDescent="0.35">
      <c r="A116" s="35">
        <f t="shared" si="1"/>
        <v>114</v>
      </c>
      <c r="B116" s="36">
        <v>0.25493919022938366</v>
      </c>
      <c r="C116" s="37">
        <v>0.72203423175290182</v>
      </c>
      <c r="D116" s="37">
        <v>0.50275862068965516</v>
      </c>
    </row>
    <row r="117" spans="1:4" x14ac:dyDescent="0.35">
      <c r="A117" s="35">
        <f t="shared" si="1"/>
        <v>115</v>
      </c>
      <c r="B117" s="36">
        <v>0.25493919022938366</v>
      </c>
      <c r="C117" s="37">
        <v>0.72203423175290182</v>
      </c>
      <c r="D117" s="37">
        <v>0.50275862068965516</v>
      </c>
    </row>
    <row r="118" spans="1:4" x14ac:dyDescent="0.35">
      <c r="A118" s="35">
        <f t="shared" si="1"/>
        <v>116</v>
      </c>
      <c r="B118" s="36">
        <v>0.25493919022938366</v>
      </c>
      <c r="C118" s="37">
        <v>0.72203423175290182</v>
      </c>
      <c r="D118" s="37">
        <v>0.50275862068965516</v>
      </c>
    </row>
    <row r="119" spans="1:4" x14ac:dyDescent="0.35">
      <c r="A119" s="35">
        <f t="shared" si="1"/>
        <v>117</v>
      </c>
      <c r="B119" s="36">
        <v>0.25493919022938366</v>
      </c>
      <c r="C119" s="37">
        <v>0.72203423175290182</v>
      </c>
      <c r="D119" s="37">
        <v>0.50275862068965516</v>
      </c>
    </row>
    <row r="120" spans="1:4" x14ac:dyDescent="0.35">
      <c r="A120" s="35">
        <f t="shared" si="1"/>
        <v>118</v>
      </c>
      <c r="B120" s="36">
        <v>0.25493919022938366</v>
      </c>
      <c r="C120" s="37">
        <v>0.72203423175290182</v>
      </c>
      <c r="D120" s="37">
        <v>0.50275862068965516</v>
      </c>
    </row>
    <row r="121" spans="1:4" x14ac:dyDescent="0.35">
      <c r="A121" s="35">
        <f t="shared" si="1"/>
        <v>119</v>
      </c>
      <c r="B121" s="36">
        <v>0.25493919022938366</v>
      </c>
      <c r="C121" s="37">
        <v>0.72203423175290182</v>
      </c>
      <c r="D121" s="37">
        <v>0.50275862068965516</v>
      </c>
    </row>
    <row r="122" spans="1:4" x14ac:dyDescent="0.35">
      <c r="A122" s="35">
        <f t="shared" si="1"/>
        <v>120</v>
      </c>
      <c r="B122" s="36">
        <v>0.25493919022938366</v>
      </c>
      <c r="C122" s="37">
        <v>0.72203423175290182</v>
      </c>
      <c r="D122" s="37">
        <v>0.50275862068965516</v>
      </c>
    </row>
    <row r="123" spans="1:4" x14ac:dyDescent="0.35">
      <c r="A123" s="35">
        <f t="shared" si="1"/>
        <v>121</v>
      </c>
      <c r="B123" s="36">
        <v>0.25493919022938366</v>
      </c>
      <c r="C123" s="37">
        <v>0.72203423175290182</v>
      </c>
      <c r="D123" s="37">
        <v>0.50275862068965516</v>
      </c>
    </row>
    <row r="124" spans="1:4" x14ac:dyDescent="0.35">
      <c r="A124" s="35">
        <f t="shared" si="1"/>
        <v>122</v>
      </c>
      <c r="B124" s="36">
        <v>0.25493919022938366</v>
      </c>
      <c r="C124" s="37">
        <v>0.72203423175290182</v>
      </c>
      <c r="D124" s="37">
        <v>0.50275862068965516</v>
      </c>
    </row>
    <row r="125" spans="1:4" x14ac:dyDescent="0.35">
      <c r="A125" s="35">
        <f t="shared" si="1"/>
        <v>123</v>
      </c>
      <c r="B125" s="36">
        <v>0.25493919022938366</v>
      </c>
      <c r="C125" s="37">
        <v>0.72203423175290182</v>
      </c>
      <c r="D125" s="37">
        <v>0.50275862068965516</v>
      </c>
    </row>
    <row r="126" spans="1:4" x14ac:dyDescent="0.35">
      <c r="A126" s="35">
        <f t="shared" si="1"/>
        <v>124</v>
      </c>
      <c r="B126" s="36">
        <v>0.25493919022938366</v>
      </c>
      <c r="C126" s="37">
        <v>0.72203423175290182</v>
      </c>
      <c r="D126" s="37">
        <v>0.50275862068965516</v>
      </c>
    </row>
    <row r="127" spans="1:4" x14ac:dyDescent="0.35">
      <c r="A127" s="35">
        <f t="shared" si="1"/>
        <v>125</v>
      </c>
      <c r="B127" s="36">
        <v>0.25493919022938366</v>
      </c>
      <c r="C127" s="37">
        <v>0.72203423175290182</v>
      </c>
      <c r="D127" s="37">
        <v>0.50275862068965516</v>
      </c>
    </row>
    <row r="128" spans="1:4" x14ac:dyDescent="0.35">
      <c r="A128" s="35">
        <f t="shared" si="1"/>
        <v>126</v>
      </c>
      <c r="B128" s="36">
        <v>0.25493919022938366</v>
      </c>
      <c r="C128" s="37">
        <v>0.72203423175290182</v>
      </c>
      <c r="D128" s="37">
        <v>0.50275862068965516</v>
      </c>
    </row>
    <row r="129" spans="1:4" x14ac:dyDescent="0.35">
      <c r="A129" s="35">
        <f t="shared" si="1"/>
        <v>127</v>
      </c>
      <c r="B129" s="36">
        <v>0.25493919022938366</v>
      </c>
      <c r="C129" s="37">
        <v>0.72203423175290182</v>
      </c>
      <c r="D129" s="37">
        <v>0.50275862068965516</v>
      </c>
    </row>
    <row r="130" spans="1:4" x14ac:dyDescent="0.35">
      <c r="A130" s="35">
        <f t="shared" si="1"/>
        <v>128</v>
      </c>
      <c r="B130" s="36">
        <v>0.25493919022938366</v>
      </c>
      <c r="C130" s="37">
        <v>0.72203423175290182</v>
      </c>
      <c r="D130" s="37">
        <v>0.50275862068965516</v>
      </c>
    </row>
    <row r="131" spans="1:4" x14ac:dyDescent="0.35">
      <c r="A131" s="35">
        <f t="shared" si="1"/>
        <v>129</v>
      </c>
      <c r="B131" s="36">
        <v>0.25493919022938366</v>
      </c>
      <c r="C131" s="37">
        <v>0.72203423175290182</v>
      </c>
      <c r="D131" s="37">
        <v>0.50275862068965516</v>
      </c>
    </row>
    <row r="132" spans="1:4" x14ac:dyDescent="0.35">
      <c r="A132" s="35">
        <f t="shared" ref="A132:A169" si="2">A131+1</f>
        <v>130</v>
      </c>
      <c r="B132" s="36">
        <v>0.25493919022938366</v>
      </c>
      <c r="C132" s="37">
        <v>0.72203423175290182</v>
      </c>
      <c r="D132" s="37">
        <v>0.50275862068965516</v>
      </c>
    </row>
    <row r="133" spans="1:4" x14ac:dyDescent="0.35">
      <c r="A133" s="35">
        <f t="shared" si="2"/>
        <v>131</v>
      </c>
      <c r="B133" s="36">
        <v>0.25493919022938366</v>
      </c>
      <c r="C133" s="37">
        <v>0.72203423175290182</v>
      </c>
      <c r="D133" s="37">
        <v>0.50275862068965516</v>
      </c>
    </row>
    <row r="134" spans="1:4" x14ac:dyDescent="0.35">
      <c r="A134" s="35">
        <f t="shared" si="2"/>
        <v>132</v>
      </c>
      <c r="B134" s="36">
        <v>0.25493919022938366</v>
      </c>
      <c r="C134" s="37">
        <v>0.72203423175290182</v>
      </c>
      <c r="D134" s="37">
        <v>0.50275862068965516</v>
      </c>
    </row>
    <row r="135" spans="1:4" x14ac:dyDescent="0.35">
      <c r="A135" s="35">
        <f t="shared" si="2"/>
        <v>133</v>
      </c>
      <c r="B135" s="36">
        <v>0.25493919022938366</v>
      </c>
      <c r="C135" s="37">
        <v>0.72203423175290182</v>
      </c>
      <c r="D135" s="37">
        <v>0.50275862068965516</v>
      </c>
    </row>
    <row r="136" spans="1:4" x14ac:dyDescent="0.35">
      <c r="A136" s="35">
        <f t="shared" si="2"/>
        <v>134</v>
      </c>
      <c r="B136" s="36">
        <v>0.25493919022938366</v>
      </c>
      <c r="C136" s="37">
        <v>0.72203423175290182</v>
      </c>
      <c r="D136" s="37">
        <v>0.50275862068965516</v>
      </c>
    </row>
    <row r="137" spans="1:4" x14ac:dyDescent="0.35">
      <c r="A137" s="35">
        <f t="shared" si="2"/>
        <v>135</v>
      </c>
      <c r="B137" s="36">
        <v>0.25493919022938366</v>
      </c>
      <c r="C137" s="37">
        <v>0.72203423175290182</v>
      </c>
      <c r="D137" s="37">
        <v>0.50275862068965516</v>
      </c>
    </row>
    <row r="138" spans="1:4" x14ac:dyDescent="0.35">
      <c r="A138" s="35">
        <f t="shared" si="2"/>
        <v>136</v>
      </c>
      <c r="B138" s="36">
        <v>0.25493919022938366</v>
      </c>
      <c r="C138" s="37">
        <v>0.72203423175290182</v>
      </c>
      <c r="D138" s="37">
        <v>0.50275862068965516</v>
      </c>
    </row>
    <row r="139" spans="1:4" x14ac:dyDescent="0.35">
      <c r="A139" s="35">
        <f t="shared" si="2"/>
        <v>137</v>
      </c>
      <c r="B139" s="36">
        <v>0.25493919022938366</v>
      </c>
      <c r="C139" s="37">
        <v>0.72203423175290182</v>
      </c>
      <c r="D139" s="37">
        <v>0.50275862068965516</v>
      </c>
    </row>
    <row r="140" spans="1:4" x14ac:dyDescent="0.35">
      <c r="A140" s="35">
        <f t="shared" si="2"/>
        <v>138</v>
      </c>
      <c r="B140" s="36">
        <v>0.25493919022938366</v>
      </c>
      <c r="C140" s="37">
        <v>0.72203423175290182</v>
      </c>
      <c r="D140" s="37">
        <v>0.50275862068965516</v>
      </c>
    </row>
    <row r="141" spans="1:4" x14ac:dyDescent="0.35">
      <c r="A141" s="35">
        <f t="shared" si="2"/>
        <v>139</v>
      </c>
      <c r="B141" s="36">
        <v>0.25493919022938366</v>
      </c>
      <c r="C141" s="37">
        <v>0.72203423175290182</v>
      </c>
      <c r="D141" s="37">
        <v>0.50275862068965516</v>
      </c>
    </row>
    <row r="142" spans="1:4" x14ac:dyDescent="0.35">
      <c r="A142" s="35">
        <f t="shared" si="2"/>
        <v>140</v>
      </c>
      <c r="B142" s="36">
        <v>0.25493919022938366</v>
      </c>
      <c r="C142" s="37">
        <v>0.72203423175290182</v>
      </c>
      <c r="D142" s="37">
        <v>0.50275862068965516</v>
      </c>
    </row>
    <row r="143" spans="1:4" x14ac:dyDescent="0.35">
      <c r="A143" s="35">
        <f t="shared" si="2"/>
        <v>141</v>
      </c>
      <c r="B143" s="36">
        <v>0.25493919022938366</v>
      </c>
      <c r="C143" s="37">
        <v>0.72203423175290182</v>
      </c>
      <c r="D143" s="37">
        <v>0.50275862068965516</v>
      </c>
    </row>
    <row r="144" spans="1:4" x14ac:dyDescent="0.35">
      <c r="A144" s="35">
        <f t="shared" si="2"/>
        <v>142</v>
      </c>
      <c r="B144" s="36">
        <v>0.25493919022938366</v>
      </c>
      <c r="C144" s="37">
        <v>0.72203423175290182</v>
      </c>
      <c r="D144" s="37">
        <v>0.50275862068965516</v>
      </c>
    </row>
    <row r="145" spans="1:4" x14ac:dyDescent="0.35">
      <c r="A145" s="35">
        <f t="shared" si="2"/>
        <v>143</v>
      </c>
      <c r="B145" s="36">
        <v>0.25493919022938366</v>
      </c>
      <c r="C145" s="37">
        <v>0.72203423175290182</v>
      </c>
      <c r="D145" s="37">
        <v>0.50275862068965516</v>
      </c>
    </row>
    <row r="146" spans="1:4" x14ac:dyDescent="0.35">
      <c r="A146" s="35">
        <f t="shared" si="2"/>
        <v>144</v>
      </c>
      <c r="B146" s="36">
        <v>0.25493919022938366</v>
      </c>
      <c r="C146" s="37">
        <v>0.72203423175290182</v>
      </c>
      <c r="D146" s="37">
        <v>0.50275862068965516</v>
      </c>
    </row>
    <row r="147" spans="1:4" x14ac:dyDescent="0.35">
      <c r="A147" s="35">
        <f t="shared" si="2"/>
        <v>145</v>
      </c>
      <c r="B147" s="36">
        <v>0.25493919022938366</v>
      </c>
      <c r="C147" s="37">
        <v>0.72203423175290182</v>
      </c>
      <c r="D147" s="37">
        <v>0.50275862068965516</v>
      </c>
    </row>
    <row r="148" spans="1:4" x14ac:dyDescent="0.35">
      <c r="A148" s="35">
        <f t="shared" si="2"/>
        <v>146</v>
      </c>
      <c r="B148" s="36">
        <v>0.25493919022938366</v>
      </c>
      <c r="C148" s="37">
        <v>0.72203423175290182</v>
      </c>
      <c r="D148" s="37">
        <v>0.50275862068965516</v>
      </c>
    </row>
    <row r="149" spans="1:4" x14ac:dyDescent="0.35">
      <c r="A149" s="35">
        <f t="shared" si="2"/>
        <v>147</v>
      </c>
      <c r="B149" s="36">
        <v>0.25493919022938366</v>
      </c>
      <c r="C149" s="37">
        <v>0.72203423175290182</v>
      </c>
      <c r="D149" s="37">
        <v>0.50275862068965516</v>
      </c>
    </row>
    <row r="150" spans="1:4" x14ac:dyDescent="0.35">
      <c r="A150" s="35">
        <f t="shared" si="2"/>
        <v>148</v>
      </c>
      <c r="B150" s="36">
        <v>0.25493919022938366</v>
      </c>
      <c r="C150" s="37">
        <v>0.72203423175290182</v>
      </c>
      <c r="D150" s="37">
        <v>0.50275862068965516</v>
      </c>
    </row>
    <row r="151" spans="1:4" x14ac:dyDescent="0.35">
      <c r="A151" s="35">
        <f t="shared" si="2"/>
        <v>149</v>
      </c>
      <c r="B151" s="36">
        <v>0.25493919022938366</v>
      </c>
      <c r="C151" s="37">
        <v>0.72203423175290182</v>
      </c>
      <c r="D151" s="37">
        <v>0.50275862068965516</v>
      </c>
    </row>
    <row r="152" spans="1:4" x14ac:dyDescent="0.35">
      <c r="A152" s="35">
        <f t="shared" si="2"/>
        <v>150</v>
      </c>
      <c r="B152" s="36">
        <v>0.25493919022938366</v>
      </c>
      <c r="C152" s="37">
        <v>0.72203423175290182</v>
      </c>
      <c r="D152" s="37">
        <v>0.50275862068965516</v>
      </c>
    </row>
    <row r="153" spans="1:4" x14ac:dyDescent="0.35">
      <c r="A153" s="35">
        <f t="shared" si="2"/>
        <v>151</v>
      </c>
      <c r="B153" s="36">
        <v>0.25493919022938366</v>
      </c>
      <c r="C153" s="37">
        <v>0.72203423175290182</v>
      </c>
      <c r="D153" s="37">
        <v>0.50275862068965516</v>
      </c>
    </row>
    <row r="154" spans="1:4" x14ac:dyDescent="0.35">
      <c r="A154" s="35">
        <f t="shared" si="2"/>
        <v>152</v>
      </c>
      <c r="B154" s="36">
        <v>0.25493919022938366</v>
      </c>
      <c r="C154" s="37">
        <v>0.72203423175290182</v>
      </c>
      <c r="D154" s="37">
        <v>0.50275862068965516</v>
      </c>
    </row>
    <row r="155" spans="1:4" x14ac:dyDescent="0.35">
      <c r="A155" s="35">
        <f t="shared" si="2"/>
        <v>153</v>
      </c>
      <c r="B155" s="36">
        <v>0.25493919022938366</v>
      </c>
      <c r="C155" s="37">
        <v>0.72203423175290182</v>
      </c>
      <c r="D155" s="37">
        <v>0.50275862068965516</v>
      </c>
    </row>
    <row r="156" spans="1:4" x14ac:dyDescent="0.35">
      <c r="A156" s="35">
        <f t="shared" si="2"/>
        <v>154</v>
      </c>
      <c r="B156" s="36">
        <v>0.25493919022938366</v>
      </c>
      <c r="C156" s="37">
        <v>0.72203423175290182</v>
      </c>
      <c r="D156" s="37">
        <v>0.50275862068965516</v>
      </c>
    </row>
    <row r="157" spans="1:4" x14ac:dyDescent="0.35">
      <c r="A157" s="35">
        <f t="shared" si="2"/>
        <v>155</v>
      </c>
      <c r="B157" s="36">
        <v>0.25493919022938366</v>
      </c>
      <c r="C157" s="37">
        <v>0.72203423175290182</v>
      </c>
      <c r="D157" s="37">
        <v>0.50275862068965516</v>
      </c>
    </row>
    <row r="158" spans="1:4" x14ac:dyDescent="0.35">
      <c r="A158" s="35">
        <f t="shared" si="2"/>
        <v>156</v>
      </c>
      <c r="B158" s="36">
        <v>0.25493919022938366</v>
      </c>
      <c r="C158" s="37">
        <v>0.72203423175290182</v>
      </c>
      <c r="D158" s="37">
        <v>0.50275862068965516</v>
      </c>
    </row>
    <row r="159" spans="1:4" x14ac:dyDescent="0.35">
      <c r="A159" s="35">
        <f t="shared" si="2"/>
        <v>157</v>
      </c>
      <c r="B159" s="36">
        <v>0.25493919022938366</v>
      </c>
      <c r="C159" s="37">
        <v>0.72203423175290182</v>
      </c>
      <c r="D159" s="37">
        <v>0.50275862068965516</v>
      </c>
    </row>
    <row r="160" spans="1:4" x14ac:dyDescent="0.35">
      <c r="A160" s="35">
        <f t="shared" si="2"/>
        <v>158</v>
      </c>
      <c r="B160" s="36">
        <v>0.25493919022938366</v>
      </c>
      <c r="C160" s="37">
        <v>0.72203423175290182</v>
      </c>
      <c r="D160" s="37">
        <v>0.50275862068965516</v>
      </c>
    </row>
    <row r="161" spans="1:4" x14ac:dyDescent="0.35">
      <c r="A161" s="35">
        <f t="shared" si="2"/>
        <v>159</v>
      </c>
      <c r="B161" s="36">
        <v>0</v>
      </c>
      <c r="C161" s="37">
        <v>0.72203423175290182</v>
      </c>
      <c r="D161" s="37">
        <v>0.50275862068965516</v>
      </c>
    </row>
    <row r="162" spans="1:4" x14ac:dyDescent="0.35">
      <c r="A162" s="35">
        <f t="shared" si="2"/>
        <v>160</v>
      </c>
      <c r="B162" s="36">
        <v>0</v>
      </c>
      <c r="C162" s="37">
        <v>0.72203423175290182</v>
      </c>
      <c r="D162" s="37">
        <v>0.50275862068965516</v>
      </c>
    </row>
    <row r="163" spans="1:4" x14ac:dyDescent="0.35">
      <c r="A163" s="35">
        <f t="shared" si="2"/>
        <v>161</v>
      </c>
      <c r="B163" s="36">
        <v>0.25493919022938366</v>
      </c>
      <c r="C163" s="37">
        <v>0.72203423175290182</v>
      </c>
      <c r="D163" s="37">
        <v>0.50275862068965516</v>
      </c>
    </row>
    <row r="164" spans="1:4" x14ac:dyDescent="0.35">
      <c r="A164" s="35">
        <f t="shared" si="2"/>
        <v>162</v>
      </c>
      <c r="B164" s="36">
        <v>0.25493919022938366</v>
      </c>
      <c r="C164" s="37">
        <v>0.72203423175290182</v>
      </c>
      <c r="D164" s="37">
        <v>0.50275862068965516</v>
      </c>
    </row>
    <row r="165" spans="1:4" x14ac:dyDescent="0.35">
      <c r="A165" s="35">
        <f t="shared" si="2"/>
        <v>163</v>
      </c>
      <c r="B165" s="36">
        <v>0.25493919022938366</v>
      </c>
      <c r="C165" s="37">
        <v>0.72203423175290182</v>
      </c>
      <c r="D165" s="37">
        <v>0.50275862068965516</v>
      </c>
    </row>
    <row r="166" spans="1:4" x14ac:dyDescent="0.35">
      <c r="A166" s="35">
        <f t="shared" si="2"/>
        <v>164</v>
      </c>
      <c r="B166" s="36">
        <v>0.25493919022938366</v>
      </c>
      <c r="C166" s="37">
        <v>0.72203423175290182</v>
      </c>
      <c r="D166" s="37">
        <v>0.50275862068965516</v>
      </c>
    </row>
    <row r="167" spans="1:4" x14ac:dyDescent="0.35">
      <c r="A167" s="35">
        <f t="shared" si="2"/>
        <v>165</v>
      </c>
      <c r="B167" s="36">
        <v>0.25493919022938366</v>
      </c>
      <c r="C167" s="37">
        <v>0.72203423175290182</v>
      </c>
      <c r="D167" s="37">
        <v>0.50275862068965516</v>
      </c>
    </row>
    <row r="168" spans="1:4" x14ac:dyDescent="0.35">
      <c r="A168" s="35">
        <f t="shared" si="2"/>
        <v>166</v>
      </c>
      <c r="B168" s="36">
        <v>0.25493919022938366</v>
      </c>
      <c r="C168" s="37">
        <v>0.72203423175290182</v>
      </c>
      <c r="D168" s="37">
        <v>0.50275862068965516</v>
      </c>
    </row>
    <row r="169" spans="1:4" x14ac:dyDescent="0.35">
      <c r="A169" s="35">
        <f t="shared" si="2"/>
        <v>167</v>
      </c>
      <c r="B169" s="36">
        <v>0.25493919022938366</v>
      </c>
      <c r="C169" s="37">
        <v>0.72203423175290182</v>
      </c>
      <c r="D169" s="37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4"/>
  <sheetViews>
    <sheetView workbookViewId="0">
      <selection activeCell="E9" sqref="E9"/>
    </sheetView>
  </sheetViews>
  <sheetFormatPr baseColWidth="10" defaultRowHeight="14.5" x14ac:dyDescent="0.35"/>
  <cols>
    <col min="1" max="1" width="17.453125" style="41" customWidth="1"/>
    <col min="2" max="3" width="12.81640625" style="41" bestFit="1" customWidth="1"/>
    <col min="4" max="6" width="10.90625" style="41"/>
    <col min="7" max="7" width="20" style="41" bestFit="1" customWidth="1"/>
    <col min="8" max="8" width="10.90625" style="41"/>
    <col min="9" max="9" width="12.6328125" style="41" customWidth="1"/>
    <col min="10" max="16384" width="10.90625" style="41"/>
  </cols>
  <sheetData>
    <row r="1" spans="1:11" x14ac:dyDescent="0.35">
      <c r="A1" s="18" t="s">
        <v>5</v>
      </c>
      <c r="B1" s="18" t="s">
        <v>15</v>
      </c>
      <c r="C1" s="18" t="s">
        <v>24</v>
      </c>
      <c r="D1" s="18" t="s">
        <v>25</v>
      </c>
      <c r="E1" s="18" t="s">
        <v>26</v>
      </c>
      <c r="F1" s="18" t="s">
        <v>27</v>
      </c>
      <c r="G1" s="18" t="s">
        <v>23</v>
      </c>
      <c r="H1" s="18" t="s">
        <v>13</v>
      </c>
      <c r="I1" s="18" t="s">
        <v>14</v>
      </c>
      <c r="J1" s="18" t="s">
        <v>0</v>
      </c>
      <c r="K1" s="18" t="s">
        <v>1</v>
      </c>
    </row>
    <row r="2" spans="1:11" x14ac:dyDescent="0.35">
      <c r="A2" s="42" t="s">
        <v>56</v>
      </c>
      <c r="B2" s="41" t="s">
        <v>31</v>
      </c>
      <c r="C2" s="23">
        <f>20414989.14</f>
        <v>20414989.140000001</v>
      </c>
      <c r="D2" s="5">
        <f>C2*F2</f>
        <v>18373490.226</v>
      </c>
      <c r="E2" s="41">
        <v>0.2</v>
      </c>
      <c r="F2" s="41">
        <v>0.9</v>
      </c>
      <c r="G2" s="41" t="s">
        <v>6</v>
      </c>
      <c r="I2" s="41">
        <v>1</v>
      </c>
      <c r="J2" s="41" t="s">
        <v>8</v>
      </c>
      <c r="K2" s="41" t="s">
        <v>6</v>
      </c>
    </row>
    <row r="3" spans="1:11" x14ac:dyDescent="0.35">
      <c r="A3" s="43" t="s">
        <v>57</v>
      </c>
      <c r="B3" s="41" t="s">
        <v>35</v>
      </c>
      <c r="C3" s="23">
        <f>3307600</f>
        <v>3307600</v>
      </c>
      <c r="D3" s="5">
        <f t="shared" ref="D3" si="0">C3*F3</f>
        <v>2976840</v>
      </c>
      <c r="E3" s="41">
        <v>0.2</v>
      </c>
      <c r="F3" s="41">
        <v>0.9</v>
      </c>
      <c r="G3" s="41" t="s">
        <v>6</v>
      </c>
      <c r="I3" s="41">
        <v>1</v>
      </c>
      <c r="J3" s="41" t="s">
        <v>8</v>
      </c>
      <c r="K3" s="41" t="s">
        <v>6</v>
      </c>
    </row>
    <row r="4" spans="1:11" x14ac:dyDescent="0.35">
      <c r="A4" s="168" t="s">
        <v>310</v>
      </c>
      <c r="B4" s="41" t="s">
        <v>311</v>
      </c>
      <c r="C4" s="23">
        <v>10124040</v>
      </c>
      <c r="D4" s="5">
        <v>9111636</v>
      </c>
      <c r="E4" s="41">
        <v>0.2</v>
      </c>
      <c r="F4" s="41">
        <v>0.9</v>
      </c>
      <c r="G4" s="41" t="s">
        <v>6</v>
      </c>
      <c r="I4" s="41">
        <v>1</v>
      </c>
      <c r="J4" s="41" t="s">
        <v>8</v>
      </c>
      <c r="K4" s="4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7"/>
  <sheetViews>
    <sheetView workbookViewId="0">
      <selection activeCell="E29" sqref="E29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2" t="s">
        <v>5</v>
      </c>
      <c r="B1" s="22" t="s">
        <v>15</v>
      </c>
      <c r="C1" s="22" t="s">
        <v>12</v>
      </c>
      <c r="D1" s="22" t="s">
        <v>20</v>
      </c>
      <c r="E1" s="22" t="s">
        <v>21</v>
      </c>
      <c r="F1" s="22" t="s">
        <v>22</v>
      </c>
      <c r="G1" s="22" t="s">
        <v>13</v>
      </c>
      <c r="H1" s="22" t="s">
        <v>23</v>
      </c>
      <c r="I1" s="22" t="s">
        <v>14</v>
      </c>
      <c r="J1" s="22" t="s">
        <v>0</v>
      </c>
      <c r="K1" s="22" t="s">
        <v>1</v>
      </c>
    </row>
    <row r="2" spans="1:11" x14ac:dyDescent="0.35">
      <c r="A2" s="6" t="s">
        <v>53</v>
      </c>
      <c r="B2" s="5" t="s">
        <v>30</v>
      </c>
      <c r="C2" s="44">
        <f>57427.04</f>
        <v>57427.040000000001</v>
      </c>
      <c r="D2" s="45">
        <v>4</v>
      </c>
      <c r="E2" s="44">
        <v>0.89658206299999998</v>
      </c>
      <c r="F2" s="44">
        <v>0.89658206299999998</v>
      </c>
      <c r="G2" s="45"/>
      <c r="H2" s="5" t="s">
        <v>29</v>
      </c>
      <c r="I2" s="5">
        <v>0.1</v>
      </c>
      <c r="J2" s="5" t="s">
        <v>7</v>
      </c>
      <c r="K2" s="5" t="s">
        <v>6</v>
      </c>
    </row>
    <row r="3" spans="1:11" x14ac:dyDescent="0.35">
      <c r="A3" s="6" t="s">
        <v>54</v>
      </c>
      <c r="B3" s="5" t="s">
        <v>33</v>
      </c>
      <c r="C3" s="44">
        <v>1528</v>
      </c>
      <c r="D3" s="45">
        <v>1000</v>
      </c>
      <c r="E3" s="45">
        <v>0.99</v>
      </c>
      <c r="F3" s="45">
        <v>0.99</v>
      </c>
      <c r="G3" s="45"/>
      <c r="H3" s="5" t="s">
        <v>29</v>
      </c>
      <c r="I3" s="5">
        <v>2</v>
      </c>
      <c r="J3" s="5" t="s">
        <v>4</v>
      </c>
      <c r="K3" s="5" t="s">
        <v>6</v>
      </c>
    </row>
    <row r="4" spans="1:11" x14ac:dyDescent="0.35">
      <c r="A4" s="8" t="s">
        <v>55</v>
      </c>
      <c r="B4" s="5" t="s">
        <v>34</v>
      </c>
      <c r="C4" s="44">
        <v>12000</v>
      </c>
      <c r="D4" s="45">
        <v>4</v>
      </c>
      <c r="E4" s="44">
        <v>0.92</v>
      </c>
      <c r="F4" s="44">
        <v>0.92</v>
      </c>
      <c r="G4" s="45"/>
      <c r="H4" s="5" t="s">
        <v>29</v>
      </c>
      <c r="I4" s="5">
        <v>0.1</v>
      </c>
      <c r="J4" s="5" t="s">
        <v>7</v>
      </c>
      <c r="K4" s="5" t="s">
        <v>6</v>
      </c>
    </row>
    <row r="5" spans="1:11" x14ac:dyDescent="0.35">
      <c r="A5" s="13" t="s">
        <v>285</v>
      </c>
      <c r="B5" s="5" t="s">
        <v>85</v>
      </c>
      <c r="J5" s="5" t="s">
        <v>7</v>
      </c>
      <c r="K5" s="5" t="s">
        <v>6</v>
      </c>
    </row>
    <row r="6" spans="1:11" x14ac:dyDescent="0.35">
      <c r="A6" s="13" t="s">
        <v>113</v>
      </c>
      <c r="B6" s="5" t="s">
        <v>103</v>
      </c>
      <c r="C6" s="5">
        <v>595</v>
      </c>
      <c r="D6" s="5">
        <v>1000</v>
      </c>
      <c r="E6" s="5">
        <v>0.99</v>
      </c>
      <c r="F6" s="5">
        <v>0.99</v>
      </c>
      <c r="H6" s="5" t="s">
        <v>29</v>
      </c>
      <c r="I6" s="5">
        <v>2</v>
      </c>
      <c r="J6" s="5" t="s">
        <v>4</v>
      </c>
      <c r="K6" s="5" t="s">
        <v>6</v>
      </c>
    </row>
    <row r="7" spans="1:11" x14ac:dyDescent="0.35">
      <c r="A7" s="13" t="s">
        <v>114</v>
      </c>
      <c r="B7" s="5" t="s">
        <v>104</v>
      </c>
      <c r="C7" s="5">
        <v>531</v>
      </c>
      <c r="D7" s="5">
        <v>1000</v>
      </c>
      <c r="E7" s="5">
        <v>0.99</v>
      </c>
      <c r="F7" s="5">
        <v>0.99</v>
      </c>
      <c r="H7" s="5" t="s">
        <v>29</v>
      </c>
      <c r="I7" s="5">
        <v>2</v>
      </c>
      <c r="J7" s="5" t="s">
        <v>4</v>
      </c>
      <c r="K7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J169"/>
  <sheetViews>
    <sheetView zoomScale="90" workbookViewId="0">
      <selection activeCell="K1" sqref="K1"/>
    </sheetView>
  </sheetViews>
  <sheetFormatPr baseColWidth="10" defaultRowHeight="14.5" x14ac:dyDescent="0.35"/>
  <cols>
    <col min="1" max="6" width="22" style="39" customWidth="1"/>
    <col min="7" max="7" width="14.6328125" style="39" bestFit="1" customWidth="1"/>
    <col min="8" max="8" width="16.54296875" style="39" bestFit="1" customWidth="1"/>
    <col min="9" max="9" width="27.6328125" style="39" customWidth="1"/>
    <col min="10" max="10" width="34.54296875" style="39" bestFit="1" customWidth="1"/>
    <col min="11" max="16384" width="10.90625" style="39"/>
  </cols>
  <sheetData>
    <row r="1" spans="1:10" s="49" customFormat="1" x14ac:dyDescent="0.35">
      <c r="A1" s="46" t="s">
        <v>58</v>
      </c>
      <c r="B1" s="46" t="s">
        <v>59</v>
      </c>
      <c r="C1" s="47" t="s">
        <v>60</v>
      </c>
      <c r="D1" s="47" t="s">
        <v>61</v>
      </c>
      <c r="E1" s="48" t="s">
        <v>89</v>
      </c>
      <c r="F1" s="48" t="s">
        <v>90</v>
      </c>
      <c r="G1" s="48" t="s">
        <v>283</v>
      </c>
      <c r="H1" s="48" t="s">
        <v>284</v>
      </c>
      <c r="I1" s="145" t="s">
        <v>260</v>
      </c>
      <c r="J1" s="145" t="s">
        <v>308</v>
      </c>
    </row>
    <row r="2" spans="1:10" x14ac:dyDescent="0.35">
      <c r="A2" s="50">
        <v>32911.019103127597</v>
      </c>
      <c r="B2" s="50">
        <v>11212.953843074542</v>
      </c>
      <c r="C2" s="51">
        <v>7726.7179999999998</v>
      </c>
      <c r="D2" s="51">
        <v>1194.729528534212</v>
      </c>
      <c r="E2" s="51">
        <v>58355.411</v>
      </c>
      <c r="F2" s="51">
        <v>3361.1356219955778</v>
      </c>
      <c r="G2" s="39">
        <v>161.08222777030991</v>
      </c>
      <c r="H2" s="39">
        <v>161.08222777030991</v>
      </c>
      <c r="I2" s="51">
        <v>23777.933186640003</v>
      </c>
      <c r="J2" s="39">
        <v>10964.025395000001</v>
      </c>
    </row>
    <row r="3" spans="1:10" x14ac:dyDescent="0.35">
      <c r="A3" s="50">
        <v>30988.230898273097</v>
      </c>
      <c r="B3" s="50">
        <v>11237.89484307454</v>
      </c>
      <c r="C3" s="51">
        <v>7402.4830000000002</v>
      </c>
      <c r="D3" s="51">
        <v>1194.729528534212</v>
      </c>
      <c r="E3" s="51">
        <v>57495.411</v>
      </c>
      <c r="F3" s="51">
        <v>3361.1356219955778</v>
      </c>
      <c r="G3" s="39">
        <v>161.08222777030991</v>
      </c>
      <c r="H3" s="39">
        <v>161.08222777030991</v>
      </c>
      <c r="I3" s="51">
        <v>20042.921540130003</v>
      </c>
      <c r="J3" s="39">
        <v>10964.025395000001</v>
      </c>
    </row>
    <row r="4" spans="1:10" x14ac:dyDescent="0.35">
      <c r="A4" s="50">
        <v>30345.305006623901</v>
      </c>
      <c r="B4" s="50">
        <v>11297.43884307454</v>
      </c>
      <c r="C4" s="51">
        <v>7034.8829999999998</v>
      </c>
      <c r="D4" s="51">
        <v>1194.729528534212</v>
      </c>
      <c r="E4" s="51">
        <v>55891.411</v>
      </c>
      <c r="F4" s="51">
        <v>3361.1356219955778</v>
      </c>
      <c r="G4" s="39">
        <v>161.08222777030991</v>
      </c>
      <c r="H4" s="39">
        <v>161.08222777030991</v>
      </c>
      <c r="I4" s="51">
        <v>19564.410418569998</v>
      </c>
      <c r="J4" s="39">
        <v>10964.025395000001</v>
      </c>
    </row>
    <row r="5" spans="1:10" x14ac:dyDescent="0.35">
      <c r="A5" s="50">
        <v>30591.998801773803</v>
      </c>
      <c r="B5" s="50">
        <v>11385.97484307454</v>
      </c>
      <c r="C5" s="51">
        <v>6846.2240000000002</v>
      </c>
      <c r="D5" s="51">
        <v>1194.729528534212</v>
      </c>
      <c r="E5" s="51">
        <v>54101.411</v>
      </c>
      <c r="F5" s="51">
        <v>3361.1356219955778</v>
      </c>
      <c r="G5" s="39">
        <v>161.08222777030991</v>
      </c>
      <c r="H5" s="39">
        <v>161.08222777030991</v>
      </c>
      <c r="I5" s="51">
        <v>22620.643314000001</v>
      </c>
      <c r="J5" s="39">
        <v>10964.025395000001</v>
      </c>
    </row>
    <row r="6" spans="1:10" x14ac:dyDescent="0.35">
      <c r="A6" s="50">
        <v>31116.765151087402</v>
      </c>
      <c r="B6" s="50">
        <v>11562.538843924889</v>
      </c>
      <c r="C6" s="51">
        <v>6811.5410000000002</v>
      </c>
      <c r="D6" s="51">
        <v>1194.729528534212</v>
      </c>
      <c r="E6" s="51">
        <v>53627.411</v>
      </c>
      <c r="F6" s="51">
        <v>3361.1356220008211</v>
      </c>
      <c r="G6" s="39">
        <v>161.54210968282339</v>
      </c>
      <c r="H6" s="39">
        <v>161.54210968282339</v>
      </c>
      <c r="I6" s="51">
        <v>21760.32154845</v>
      </c>
      <c r="J6" s="39">
        <v>10964.025395000001</v>
      </c>
    </row>
    <row r="7" spans="1:10" x14ac:dyDescent="0.35">
      <c r="A7" s="50">
        <v>32319.050645239902</v>
      </c>
      <c r="B7" s="50">
        <v>11770.9218456256</v>
      </c>
      <c r="C7" s="51">
        <v>6946.607</v>
      </c>
      <c r="D7" s="51">
        <v>1292.686005011112</v>
      </c>
      <c r="E7" s="51">
        <v>54218.411</v>
      </c>
      <c r="F7" s="51">
        <v>3361.1356220013063</v>
      </c>
      <c r="G7" s="39">
        <v>162.46187350785041</v>
      </c>
      <c r="H7" s="39">
        <v>162.46187350785041</v>
      </c>
      <c r="I7" s="51">
        <v>26051.796405789999</v>
      </c>
      <c r="J7" s="39">
        <v>10964.025395000001</v>
      </c>
    </row>
    <row r="8" spans="1:10" x14ac:dyDescent="0.35">
      <c r="A8" s="50">
        <v>34850.3316195078</v>
      </c>
      <c r="B8" s="50">
        <v>11851.085846475949</v>
      </c>
      <c r="C8" s="51">
        <v>7154.4179999999997</v>
      </c>
      <c r="D8" s="51">
        <v>1390.642481488012</v>
      </c>
      <c r="E8" s="51">
        <v>54593.411</v>
      </c>
      <c r="F8" s="51">
        <v>3361.1356219965487</v>
      </c>
      <c r="G8" s="39">
        <v>162.92175542036381</v>
      </c>
      <c r="H8" s="39">
        <v>162.92175542036381</v>
      </c>
      <c r="I8" s="51">
        <v>20675.799101110002</v>
      </c>
      <c r="J8" s="39">
        <v>10964.025395000001</v>
      </c>
    </row>
    <row r="9" spans="1:10" x14ac:dyDescent="0.35">
      <c r="A9" s="50">
        <v>37040.1158050702</v>
      </c>
      <c r="B9" s="50">
        <v>11859.201847326309</v>
      </c>
      <c r="C9" s="51">
        <v>7300.0959999999995</v>
      </c>
      <c r="D9" s="51">
        <v>1483.443353939811</v>
      </c>
      <c r="E9" s="51">
        <v>54673.411</v>
      </c>
      <c r="F9" s="51">
        <v>3361.1356220017919</v>
      </c>
      <c r="G9" s="39">
        <v>163.38163733287729</v>
      </c>
      <c r="H9" s="39">
        <v>163.38163733287729</v>
      </c>
      <c r="I9" s="51">
        <v>21077.669021139998</v>
      </c>
      <c r="J9" s="39">
        <v>10964.025395000001</v>
      </c>
    </row>
    <row r="10" spans="1:10" x14ac:dyDescent="0.35">
      <c r="A10" s="50">
        <v>37898.696307296799</v>
      </c>
      <c r="B10" s="50">
        <v>11782.882847326309</v>
      </c>
      <c r="C10" s="51">
        <v>7380.4189999999999</v>
      </c>
      <c r="D10" s="51">
        <v>1581.399830416711</v>
      </c>
      <c r="E10" s="51">
        <v>55142.411</v>
      </c>
      <c r="F10" s="51">
        <v>3361.1356220017919</v>
      </c>
      <c r="G10" s="39">
        <v>163.38163733287729</v>
      </c>
      <c r="H10" s="39">
        <v>163.38163733287729</v>
      </c>
      <c r="I10" s="51">
        <v>21831.92561097</v>
      </c>
      <c r="J10" s="39">
        <v>10964.025395000001</v>
      </c>
    </row>
    <row r="11" spans="1:10" x14ac:dyDescent="0.35">
      <c r="A11" s="50">
        <v>37747.324487763202</v>
      </c>
      <c r="B11" s="50">
        <v>11704.488847326309</v>
      </c>
      <c r="C11" s="51">
        <v>8177.7539999999999</v>
      </c>
      <c r="D11" s="51">
        <v>1581.399830416711</v>
      </c>
      <c r="E11" s="51">
        <v>55994.411</v>
      </c>
      <c r="F11" s="51">
        <v>3361.1356220017919</v>
      </c>
      <c r="G11" s="39">
        <v>163.38163733287729</v>
      </c>
      <c r="H11" s="39">
        <v>163.38163733287729</v>
      </c>
      <c r="I11" s="51">
        <v>20076.92056735</v>
      </c>
      <c r="J11" s="39">
        <v>10964.025395000001</v>
      </c>
    </row>
    <row r="12" spans="1:10" x14ac:dyDescent="0.35">
      <c r="A12" s="50">
        <v>37661.726308162397</v>
      </c>
      <c r="B12" s="50">
        <v>11632.67884732631</v>
      </c>
      <c r="C12" s="51">
        <v>9857.1650000000009</v>
      </c>
      <c r="D12" s="51">
        <v>1632.955870667711</v>
      </c>
      <c r="E12" s="51">
        <v>57282.411</v>
      </c>
      <c r="F12" s="51">
        <v>3361.1356220017919</v>
      </c>
      <c r="G12" s="39">
        <v>163.38163733287729</v>
      </c>
      <c r="H12" s="39">
        <v>163.38163733287729</v>
      </c>
      <c r="I12" s="51">
        <v>18621.117689799998</v>
      </c>
      <c r="J12" s="39">
        <v>10964.025395000001</v>
      </c>
    </row>
    <row r="13" spans="1:10" x14ac:dyDescent="0.35">
      <c r="A13" s="50">
        <v>38939.169598093205</v>
      </c>
      <c r="B13" s="50">
        <v>11563.852846475949</v>
      </c>
      <c r="C13" s="51">
        <v>11506.75</v>
      </c>
      <c r="D13" s="51">
        <v>1632.955870667711</v>
      </c>
      <c r="E13" s="51">
        <v>59578.411</v>
      </c>
      <c r="F13" s="51">
        <v>3361.1356219965487</v>
      </c>
      <c r="G13" s="39">
        <v>162.92175542036381</v>
      </c>
      <c r="H13" s="39">
        <v>162.92175542036381</v>
      </c>
      <c r="I13" s="51">
        <v>18658.259705410001</v>
      </c>
      <c r="J13" s="39">
        <v>10964.025395000001</v>
      </c>
    </row>
    <row r="14" spans="1:10" x14ac:dyDescent="0.35">
      <c r="A14" s="50">
        <v>40046.053441157004</v>
      </c>
      <c r="B14" s="50">
        <v>11523.7218456256</v>
      </c>
      <c r="C14" s="51">
        <v>12788.484</v>
      </c>
      <c r="D14" s="51">
        <v>1581.399830416711</v>
      </c>
      <c r="E14" s="51">
        <v>61264.411</v>
      </c>
      <c r="F14" s="51">
        <v>3361.1356220013063</v>
      </c>
      <c r="G14" s="39">
        <v>162.46187350785041</v>
      </c>
      <c r="H14" s="39">
        <v>162.46187350785041</v>
      </c>
      <c r="I14" s="51">
        <v>20903.291680180002</v>
      </c>
      <c r="J14" s="39">
        <v>10964.025395000001</v>
      </c>
    </row>
    <row r="15" spans="1:10" x14ac:dyDescent="0.35">
      <c r="A15" s="50">
        <v>40098.240044530496</v>
      </c>
      <c r="B15" s="50">
        <v>11507.0978456256</v>
      </c>
      <c r="C15" s="51">
        <v>12777.052</v>
      </c>
      <c r="D15" s="51">
        <v>1607.177850542211</v>
      </c>
      <c r="E15" s="51">
        <v>58840.411</v>
      </c>
      <c r="F15" s="51">
        <v>3361.1356220013063</v>
      </c>
      <c r="G15" s="39">
        <v>162.46187350785041</v>
      </c>
      <c r="H15" s="39">
        <v>162.46187350785041</v>
      </c>
      <c r="I15" s="51">
        <v>23343.233170209998</v>
      </c>
      <c r="J15" s="39">
        <v>10964.025395000001</v>
      </c>
    </row>
    <row r="16" spans="1:10" x14ac:dyDescent="0.35">
      <c r="A16" s="50">
        <v>38747.748240773304</v>
      </c>
      <c r="B16" s="50">
        <v>11521.567846475949</v>
      </c>
      <c r="C16" s="51">
        <v>12124.716</v>
      </c>
      <c r="D16" s="51">
        <v>1581.399830416711</v>
      </c>
      <c r="E16" s="51">
        <v>57565.411</v>
      </c>
      <c r="F16" s="51">
        <v>3361.1356219965487</v>
      </c>
      <c r="G16" s="39">
        <v>162.92175542036381</v>
      </c>
      <c r="H16" s="39">
        <v>162.92175542036381</v>
      </c>
      <c r="I16" s="51">
        <v>25448.3032766</v>
      </c>
      <c r="J16" s="39">
        <v>10964.025395000001</v>
      </c>
    </row>
    <row r="17" spans="1:10" x14ac:dyDescent="0.35">
      <c r="A17" s="50">
        <v>38199.702478643594</v>
      </c>
      <c r="B17" s="50">
        <v>11544.35184732631</v>
      </c>
      <c r="C17" s="51">
        <v>11305.368</v>
      </c>
      <c r="D17" s="51">
        <v>1581.399830416711</v>
      </c>
      <c r="E17" s="51">
        <v>57556.411</v>
      </c>
      <c r="F17" s="51">
        <v>3361.1356220017919</v>
      </c>
      <c r="G17" s="39">
        <v>163.38163733287729</v>
      </c>
      <c r="H17" s="39">
        <v>163.38163733287729</v>
      </c>
      <c r="I17" s="51">
        <v>26904.905973829998</v>
      </c>
      <c r="J17" s="39">
        <v>10964.025395000001</v>
      </c>
    </row>
    <row r="18" spans="1:10" x14ac:dyDescent="0.35">
      <c r="A18" s="50">
        <v>39003.839510183301</v>
      </c>
      <c r="B18" s="50">
        <v>11540.355847326309</v>
      </c>
      <c r="C18" s="51">
        <v>10324.808000000001</v>
      </c>
      <c r="D18" s="51">
        <v>1581.399830416711</v>
      </c>
      <c r="E18" s="51">
        <v>58618.411</v>
      </c>
      <c r="F18" s="51">
        <v>3361.1356220017919</v>
      </c>
      <c r="G18" s="39">
        <v>163.38163733287729</v>
      </c>
      <c r="H18" s="39">
        <v>163.38163733287729</v>
      </c>
      <c r="I18" s="51">
        <v>22471.31335765</v>
      </c>
      <c r="J18" s="39">
        <v>10964.025395000001</v>
      </c>
    </row>
    <row r="19" spans="1:10" x14ac:dyDescent="0.35">
      <c r="A19" s="50">
        <v>41613.797990207604</v>
      </c>
      <c r="B19" s="50">
        <v>11518.883847326309</v>
      </c>
      <c r="C19" s="51">
        <v>9622.509</v>
      </c>
      <c r="D19" s="51">
        <v>1581.399830416711</v>
      </c>
      <c r="E19" s="51">
        <v>61413.411</v>
      </c>
      <c r="F19" s="51">
        <v>2940.8694719917921</v>
      </c>
      <c r="G19" s="39">
        <v>163.38163733287729</v>
      </c>
      <c r="H19" s="39">
        <v>163.38163733287729</v>
      </c>
      <c r="I19" s="51">
        <v>23800.086604960001</v>
      </c>
      <c r="J19" s="39">
        <v>10339.391545009999</v>
      </c>
    </row>
    <row r="20" spans="1:10" x14ac:dyDescent="0.35">
      <c r="A20" s="50">
        <v>43540.9288511989</v>
      </c>
      <c r="B20" s="50">
        <v>11492.628846475949</v>
      </c>
      <c r="C20" s="51">
        <v>9376.7790000000005</v>
      </c>
      <c r="D20" s="51">
        <v>1581.399830416711</v>
      </c>
      <c r="E20" s="51">
        <v>62542.411</v>
      </c>
      <c r="F20" s="51">
        <v>2932.5915975665489</v>
      </c>
      <c r="G20" s="39">
        <v>162.92175542036381</v>
      </c>
      <c r="H20" s="39">
        <v>162.92175542036381</v>
      </c>
      <c r="I20" s="51">
        <v>23801.393685589999</v>
      </c>
      <c r="J20" s="39">
        <v>9303.2293013500002</v>
      </c>
    </row>
    <row r="21" spans="1:10" x14ac:dyDescent="0.35">
      <c r="A21" s="50">
        <v>44132.717156399696</v>
      </c>
      <c r="B21" s="50">
        <v>11465.1978456256</v>
      </c>
      <c r="C21" s="51">
        <v>9472</v>
      </c>
      <c r="D21" s="51">
        <v>1426.7317096637109</v>
      </c>
      <c r="E21" s="51">
        <v>62229.411</v>
      </c>
      <c r="F21" s="51">
        <v>2924.3137231413061</v>
      </c>
      <c r="G21" s="39">
        <v>162.46187350785041</v>
      </c>
      <c r="H21" s="39">
        <v>162.46187350785041</v>
      </c>
      <c r="I21" s="51">
        <v>32049.002083470001</v>
      </c>
      <c r="J21" s="39">
        <v>8267.0670576800003</v>
      </c>
    </row>
    <row r="22" spans="1:10" x14ac:dyDescent="0.35">
      <c r="A22" s="50">
        <v>43517.198599688098</v>
      </c>
      <c r="B22" s="50">
        <v>11395.07684477524</v>
      </c>
      <c r="C22" s="51">
        <v>9191.0499999999993</v>
      </c>
      <c r="D22" s="51">
        <v>1323.6196291617121</v>
      </c>
      <c r="E22" s="51">
        <v>60473.411</v>
      </c>
      <c r="F22" s="51">
        <v>2916.0358487160638</v>
      </c>
      <c r="G22" s="39">
        <v>162.0019915953369</v>
      </c>
      <c r="H22" s="39">
        <v>162.0019915953369</v>
      </c>
      <c r="I22" s="51">
        <v>21185.191724490003</v>
      </c>
      <c r="J22" s="39">
        <v>7230.9048140200002</v>
      </c>
    </row>
    <row r="23" spans="1:10" x14ac:dyDescent="0.35">
      <c r="A23" s="50">
        <v>41892.938376900798</v>
      </c>
      <c r="B23" s="50">
        <v>11261.56884392489</v>
      </c>
      <c r="C23" s="51">
        <v>8729.9030000000002</v>
      </c>
      <c r="D23" s="51">
        <v>1246.285568785212</v>
      </c>
      <c r="E23" s="51">
        <v>58793.411</v>
      </c>
      <c r="F23" s="51">
        <v>2907.757974290821</v>
      </c>
      <c r="G23" s="39">
        <v>161.54210968282339</v>
      </c>
      <c r="H23" s="39">
        <v>161.54210968282339</v>
      </c>
      <c r="I23" s="51">
        <v>19217.148541629998</v>
      </c>
      <c r="J23" s="39">
        <v>6194.7425703600002</v>
      </c>
    </row>
    <row r="24" spans="1:10" x14ac:dyDescent="0.35">
      <c r="A24" s="50">
        <v>39546.982764920605</v>
      </c>
      <c r="B24" s="50">
        <v>11170.283843074541</v>
      </c>
      <c r="C24" s="51">
        <v>8735.6959999999999</v>
      </c>
      <c r="D24" s="51">
        <v>1194.729528534212</v>
      </c>
      <c r="E24" s="51">
        <v>66325.410999999993</v>
      </c>
      <c r="F24" s="51">
        <v>2899.4800998655778</v>
      </c>
      <c r="G24" s="39">
        <v>161.08222777030991</v>
      </c>
      <c r="H24" s="39">
        <v>161.08222777030991</v>
      </c>
      <c r="I24" s="51">
        <v>15031.37620977</v>
      </c>
      <c r="J24" s="39">
        <v>7058.1326950500006</v>
      </c>
    </row>
    <row r="25" spans="1:10" x14ac:dyDescent="0.35">
      <c r="A25" s="50">
        <v>36664.348799937201</v>
      </c>
      <c r="B25" s="50">
        <v>11139.582843074541</v>
      </c>
      <c r="C25" s="51">
        <v>8425.4889999999996</v>
      </c>
      <c r="D25" s="51">
        <v>1194.729528534212</v>
      </c>
      <c r="E25" s="51">
        <v>63852.411</v>
      </c>
      <c r="F25" s="51">
        <v>2899.4800998655778</v>
      </c>
      <c r="G25" s="39">
        <v>161.08222777030991</v>
      </c>
      <c r="H25" s="39">
        <v>161.08222777030991</v>
      </c>
      <c r="I25" s="51">
        <v>15343.56195757</v>
      </c>
      <c r="J25" s="39">
        <v>8103.0326950500003</v>
      </c>
    </row>
    <row r="26" spans="1:10" x14ac:dyDescent="0.35">
      <c r="A26" s="50">
        <v>35045.750124495506</v>
      </c>
      <c r="B26" s="50">
        <v>11176.475843074541</v>
      </c>
      <c r="C26" s="51">
        <v>8278.491</v>
      </c>
      <c r="D26" s="51">
        <v>1184.791349728639</v>
      </c>
      <c r="E26" s="51">
        <v>57661.411</v>
      </c>
      <c r="F26" s="51">
        <v>2899.4623509651742</v>
      </c>
      <c r="G26" s="39">
        <v>161.08124172028741</v>
      </c>
      <c r="H26" s="39">
        <v>161.08124172028741</v>
      </c>
      <c r="I26" s="51">
        <v>14950.69935228</v>
      </c>
      <c r="J26" s="39">
        <v>9147.9514299900002</v>
      </c>
    </row>
    <row r="27" spans="1:10" x14ac:dyDescent="0.35">
      <c r="A27" s="50">
        <v>32910.782615180702</v>
      </c>
      <c r="B27" s="50">
        <v>11198.75984307454</v>
      </c>
      <c r="C27" s="51">
        <v>7875.8549999999996</v>
      </c>
      <c r="D27" s="51">
        <v>1184.791349728639</v>
      </c>
      <c r="E27" s="51">
        <v>57298.411</v>
      </c>
      <c r="F27" s="51">
        <v>2899.4623509651742</v>
      </c>
      <c r="G27" s="39">
        <v>161.08124172028741</v>
      </c>
      <c r="H27" s="39">
        <v>161.08124172028741</v>
      </c>
      <c r="I27" s="51">
        <v>15155.129944279999</v>
      </c>
      <c r="J27" s="39">
        <v>10192.85142999</v>
      </c>
    </row>
    <row r="28" spans="1:10" x14ac:dyDescent="0.35">
      <c r="A28" s="50">
        <v>32425.467286781404</v>
      </c>
      <c r="B28" s="50">
        <v>11239.915843074541</v>
      </c>
      <c r="C28" s="51">
        <v>7514.9930000000004</v>
      </c>
      <c r="D28" s="51">
        <v>1184.791349728639</v>
      </c>
      <c r="E28" s="51">
        <v>55162.411</v>
      </c>
      <c r="F28" s="51">
        <v>2899.4623509651742</v>
      </c>
      <c r="G28" s="39">
        <v>161.08124172028741</v>
      </c>
      <c r="H28" s="39">
        <v>161.08124172028741</v>
      </c>
      <c r="I28" s="51">
        <v>14381.02872627</v>
      </c>
      <c r="J28" s="39">
        <v>10393.11132254</v>
      </c>
    </row>
    <row r="29" spans="1:10" x14ac:dyDescent="0.35">
      <c r="A29" s="50">
        <v>32913.384081179196</v>
      </c>
      <c r="B29" s="50">
        <v>11320.505843074541</v>
      </c>
      <c r="C29" s="51">
        <v>7359.5990000000002</v>
      </c>
      <c r="D29" s="51">
        <v>1184.791349728639</v>
      </c>
      <c r="E29" s="51">
        <v>53026.411</v>
      </c>
      <c r="F29" s="51">
        <v>2899.4623509651742</v>
      </c>
      <c r="G29" s="39">
        <v>161.08124172028741</v>
      </c>
      <c r="H29" s="39">
        <v>161.08124172028741</v>
      </c>
      <c r="I29" s="51">
        <v>14356.566063980001</v>
      </c>
      <c r="J29" s="39">
        <v>9348.2113225400008</v>
      </c>
    </row>
    <row r="30" spans="1:10" x14ac:dyDescent="0.35">
      <c r="A30" s="50">
        <v>34009.391971575998</v>
      </c>
      <c r="B30" s="50">
        <v>11482.841843924891</v>
      </c>
      <c r="C30" s="51">
        <v>7340.9269999999997</v>
      </c>
      <c r="D30" s="51">
        <v>1184.791349728639</v>
      </c>
      <c r="E30" s="51">
        <v>52682.411</v>
      </c>
      <c r="F30" s="51">
        <v>2907.740225390417</v>
      </c>
      <c r="G30" s="39">
        <v>161.54112363280089</v>
      </c>
      <c r="H30" s="39">
        <v>161.54112363280089</v>
      </c>
      <c r="I30" s="51">
        <v>18231.92164085</v>
      </c>
      <c r="J30" s="39">
        <v>8294.5735661899998</v>
      </c>
    </row>
    <row r="31" spans="1:10" x14ac:dyDescent="0.35">
      <c r="A31" s="50">
        <v>36439.029353336395</v>
      </c>
      <c r="B31" s="50">
        <v>11740.360845625601</v>
      </c>
      <c r="C31" s="51">
        <v>7482.491</v>
      </c>
      <c r="D31" s="51">
        <v>1282.747826205539</v>
      </c>
      <c r="E31" s="51">
        <v>54718.411</v>
      </c>
      <c r="F31" s="51">
        <v>2924.2959742409021</v>
      </c>
      <c r="G31" s="39">
        <v>162.46088745782791</v>
      </c>
      <c r="H31" s="39">
        <v>162.46088745782791</v>
      </c>
      <c r="I31" s="51">
        <v>15731.939181600001</v>
      </c>
      <c r="J31" s="39">
        <v>7232.19805352</v>
      </c>
    </row>
    <row r="32" spans="1:10" x14ac:dyDescent="0.35">
      <c r="A32" s="50">
        <v>40363.699617091799</v>
      </c>
      <c r="B32" s="50">
        <v>11825.102846475949</v>
      </c>
      <c r="C32" s="51">
        <v>7854.13</v>
      </c>
      <c r="D32" s="51">
        <v>1380.7043026824381</v>
      </c>
      <c r="E32" s="51">
        <v>57834.411</v>
      </c>
      <c r="F32" s="51">
        <v>2932.5738486661439</v>
      </c>
      <c r="G32" s="39">
        <v>162.92076937034139</v>
      </c>
      <c r="H32" s="39">
        <v>162.92076937034139</v>
      </c>
      <c r="I32" s="51">
        <v>13934.636031030001</v>
      </c>
      <c r="J32" s="39">
        <v>7213.4470502499998</v>
      </c>
    </row>
    <row r="33" spans="1:10" x14ac:dyDescent="0.35">
      <c r="A33" s="50">
        <v>43603.792451699795</v>
      </c>
      <c r="B33" s="50">
        <v>11831.15184732631</v>
      </c>
      <c r="C33" s="51">
        <v>8412.1229999999996</v>
      </c>
      <c r="D33" s="51">
        <v>1473.505175134238</v>
      </c>
      <c r="E33" s="51">
        <v>59307.411</v>
      </c>
      <c r="F33" s="51">
        <v>2940.8517230913872</v>
      </c>
      <c r="G33" s="39">
        <v>163.38065128285481</v>
      </c>
      <c r="H33" s="39">
        <v>163.38065128285481</v>
      </c>
      <c r="I33" s="51">
        <v>13371.879267480001</v>
      </c>
      <c r="J33" s="39">
        <v>8249.6092939099999</v>
      </c>
    </row>
    <row r="34" spans="1:10" x14ac:dyDescent="0.35">
      <c r="A34" s="50">
        <v>45294.823053044805</v>
      </c>
      <c r="B34" s="50">
        <v>11752.283847326309</v>
      </c>
      <c r="C34" s="51">
        <v>8948.1659999999993</v>
      </c>
      <c r="D34" s="51">
        <v>1571.461651611138</v>
      </c>
      <c r="E34" s="51">
        <v>60132.411</v>
      </c>
      <c r="F34" s="51">
        <v>2940.8517230913872</v>
      </c>
      <c r="G34" s="39">
        <v>163.38065128285481</v>
      </c>
      <c r="H34" s="39">
        <v>163.38065128285481</v>
      </c>
      <c r="I34" s="51">
        <v>15641.24939642</v>
      </c>
      <c r="J34" s="39">
        <v>9294.5092939099995</v>
      </c>
    </row>
    <row r="35" spans="1:10" x14ac:dyDescent="0.35">
      <c r="A35" s="50">
        <v>45035.756119306403</v>
      </c>
      <c r="B35" s="50">
        <v>11682.031847326309</v>
      </c>
      <c r="C35" s="51">
        <v>9701.9639999999999</v>
      </c>
      <c r="D35" s="51">
        <v>1571.461651611138</v>
      </c>
      <c r="E35" s="51">
        <v>61453.411</v>
      </c>
      <c r="F35" s="51">
        <v>2940.8517230913872</v>
      </c>
      <c r="G35" s="39">
        <v>163.38065128285481</v>
      </c>
      <c r="H35" s="39">
        <v>163.38065128285481</v>
      </c>
      <c r="I35" s="51">
        <v>15828.861214209999</v>
      </c>
      <c r="J35" s="39">
        <v>10339.409293910001</v>
      </c>
    </row>
    <row r="36" spans="1:10" x14ac:dyDescent="0.35">
      <c r="A36" s="50">
        <v>44455.879181435805</v>
      </c>
      <c r="B36" s="50">
        <v>11611.36884732631</v>
      </c>
      <c r="C36" s="51">
        <v>11043.945</v>
      </c>
      <c r="D36" s="51">
        <v>1623.017691862138</v>
      </c>
      <c r="E36" s="51">
        <v>62316.411</v>
      </c>
      <c r="F36" s="51">
        <v>3361.1356220013872</v>
      </c>
      <c r="G36" s="39">
        <v>163.38065128285481</v>
      </c>
      <c r="H36" s="39">
        <v>163.38065128285481</v>
      </c>
      <c r="I36" s="51">
        <v>13469.440863219999</v>
      </c>
      <c r="J36" s="39">
        <v>10964.025395000001</v>
      </c>
    </row>
    <row r="37" spans="1:10" x14ac:dyDescent="0.35">
      <c r="A37" s="50">
        <v>45180.593116383207</v>
      </c>
      <c r="B37" s="50">
        <v>11540.619846475949</v>
      </c>
      <c r="C37" s="51">
        <v>12487.821</v>
      </c>
      <c r="D37" s="51">
        <v>1623.017691862138</v>
      </c>
      <c r="E37" s="51">
        <v>64711.411</v>
      </c>
      <c r="F37" s="51">
        <v>3361.135621996144</v>
      </c>
      <c r="G37" s="39">
        <v>162.92076937034139</v>
      </c>
      <c r="H37" s="39">
        <v>162.92076937034139</v>
      </c>
      <c r="I37" s="51">
        <v>14322.315179970001</v>
      </c>
      <c r="J37" s="39">
        <v>10964.025395000001</v>
      </c>
    </row>
    <row r="38" spans="1:10" x14ac:dyDescent="0.35">
      <c r="A38" s="50">
        <v>45596.680656873497</v>
      </c>
      <c r="B38" s="50">
        <v>11491.0968456256</v>
      </c>
      <c r="C38" s="51">
        <v>13561.127</v>
      </c>
      <c r="D38" s="51">
        <v>1571.461651611138</v>
      </c>
      <c r="E38" s="51">
        <v>65725.410999999993</v>
      </c>
      <c r="F38" s="51">
        <v>3361.135622000902</v>
      </c>
      <c r="G38" s="39">
        <v>162.46088745782791</v>
      </c>
      <c r="H38" s="39">
        <v>162.46088745782791</v>
      </c>
      <c r="I38" s="51">
        <v>14752.1362993</v>
      </c>
      <c r="J38" s="39">
        <v>10964.025395000001</v>
      </c>
    </row>
    <row r="39" spans="1:10" x14ac:dyDescent="0.35">
      <c r="A39" s="50">
        <v>45164.496410551998</v>
      </c>
      <c r="B39" s="50">
        <v>11476.0878456256</v>
      </c>
      <c r="C39" s="51">
        <v>13657.120999999999</v>
      </c>
      <c r="D39" s="51">
        <v>1597.239671736638</v>
      </c>
      <c r="E39" s="51">
        <v>63928.411</v>
      </c>
      <c r="F39" s="51">
        <v>3361.135622000902</v>
      </c>
      <c r="G39" s="39">
        <v>162.46088745782791</v>
      </c>
      <c r="H39" s="39">
        <v>162.46088745782791</v>
      </c>
      <c r="I39" s="51">
        <v>16990.571066429999</v>
      </c>
      <c r="J39" s="39">
        <v>10964.025395000001</v>
      </c>
    </row>
    <row r="40" spans="1:10" x14ac:dyDescent="0.35">
      <c r="A40" s="50">
        <v>43842.582949462398</v>
      </c>
      <c r="B40" s="50">
        <v>11486.95284647595</v>
      </c>
      <c r="C40" s="51">
        <v>13323.157999999999</v>
      </c>
      <c r="D40" s="51">
        <v>1571.461651611138</v>
      </c>
      <c r="E40" s="51">
        <v>63674.411</v>
      </c>
      <c r="F40" s="51">
        <v>3361.135621996144</v>
      </c>
      <c r="G40" s="39">
        <v>162.92076937034139</v>
      </c>
      <c r="H40" s="39">
        <v>162.92076937034139</v>
      </c>
      <c r="I40" s="51">
        <v>16504.00884916</v>
      </c>
      <c r="J40" s="39">
        <v>10964.025395000001</v>
      </c>
    </row>
    <row r="41" spans="1:10" x14ac:dyDescent="0.35">
      <c r="A41" s="50">
        <v>43604.648916479404</v>
      </c>
      <c r="B41" s="50">
        <v>11506.897847326309</v>
      </c>
      <c r="C41" s="51">
        <v>12518.2</v>
      </c>
      <c r="D41" s="51">
        <v>1571.461651611138</v>
      </c>
      <c r="E41" s="51">
        <v>64987.411</v>
      </c>
      <c r="F41" s="51">
        <v>2940.8517230913872</v>
      </c>
      <c r="G41" s="39">
        <v>163.38065128285481</v>
      </c>
      <c r="H41" s="39">
        <v>163.38065128285481</v>
      </c>
      <c r="I41" s="51">
        <v>16534.859515669999</v>
      </c>
      <c r="J41" s="39">
        <v>10594.921789</v>
      </c>
    </row>
    <row r="42" spans="1:10" x14ac:dyDescent="0.35">
      <c r="A42" s="50">
        <v>44314.724697515805</v>
      </c>
      <c r="B42" s="50">
        <v>11502.42984732631</v>
      </c>
      <c r="C42" s="51">
        <v>11559.325999999999</v>
      </c>
      <c r="D42" s="51">
        <v>1571.461651611138</v>
      </c>
      <c r="E42" s="51">
        <v>67882.410999999993</v>
      </c>
      <c r="F42" s="51">
        <v>2940.8517230913872</v>
      </c>
      <c r="G42" s="39">
        <v>163.38065128285481</v>
      </c>
      <c r="H42" s="39">
        <v>163.38065128285481</v>
      </c>
      <c r="I42" s="51">
        <v>16460.54459292</v>
      </c>
      <c r="J42" s="39">
        <v>9550.0217890000004</v>
      </c>
    </row>
    <row r="43" spans="1:10" x14ac:dyDescent="0.35">
      <c r="A43" s="50">
        <v>46586.029904179697</v>
      </c>
      <c r="B43" s="50">
        <v>11495.623847326309</v>
      </c>
      <c r="C43" s="51">
        <v>10723.933999999999</v>
      </c>
      <c r="D43" s="51">
        <v>1571.461651611138</v>
      </c>
      <c r="E43" s="51">
        <v>72537.410999999993</v>
      </c>
      <c r="F43" s="51">
        <v>2940.8517230913872</v>
      </c>
      <c r="G43" s="39">
        <v>163.38065128285481</v>
      </c>
      <c r="H43" s="39">
        <v>163.38065128285481</v>
      </c>
      <c r="I43" s="51">
        <v>13320.433131420001</v>
      </c>
      <c r="J43" s="39">
        <v>8505.1217890000007</v>
      </c>
    </row>
    <row r="44" spans="1:10" x14ac:dyDescent="0.35">
      <c r="A44" s="50">
        <v>48064.8152584872</v>
      </c>
      <c r="B44" s="50">
        <v>11471.914846475949</v>
      </c>
      <c r="C44" s="51">
        <v>10372.995999999999</v>
      </c>
      <c r="D44" s="51">
        <v>1571.461651611138</v>
      </c>
      <c r="E44" s="51">
        <v>74292.410999999993</v>
      </c>
      <c r="F44" s="51">
        <v>2932.5738486661439</v>
      </c>
      <c r="G44" s="39">
        <v>162.92076937034139</v>
      </c>
      <c r="H44" s="39">
        <v>162.92076937034139</v>
      </c>
      <c r="I44" s="51">
        <v>17656.60879771</v>
      </c>
      <c r="J44" s="39">
        <v>7468.9595453400007</v>
      </c>
    </row>
    <row r="45" spans="1:10" x14ac:dyDescent="0.35">
      <c r="A45" s="50">
        <v>47890.049058696</v>
      </c>
      <c r="B45" s="50">
        <v>11435.9038456256</v>
      </c>
      <c r="C45" s="51">
        <v>10446.505999999999</v>
      </c>
      <c r="D45" s="51">
        <v>1416.7935308581391</v>
      </c>
      <c r="E45" s="51">
        <v>72492.410999999993</v>
      </c>
      <c r="F45" s="51">
        <v>2924.2959742409021</v>
      </c>
      <c r="G45" s="39">
        <v>162.46088745782791</v>
      </c>
      <c r="H45" s="39">
        <v>162.46088745782791</v>
      </c>
      <c r="I45" s="51">
        <v>18525.396569190001</v>
      </c>
      <c r="J45" s="39">
        <v>6432.7973016699998</v>
      </c>
    </row>
    <row r="46" spans="1:10" x14ac:dyDescent="0.35">
      <c r="A46" s="50">
        <v>46281.858055306497</v>
      </c>
      <c r="B46" s="50">
        <v>11374.25484477524</v>
      </c>
      <c r="C46" s="51">
        <v>10079.548000000001</v>
      </c>
      <c r="D46" s="51">
        <v>1313.6814503561391</v>
      </c>
      <c r="E46" s="51">
        <v>68507.410999999993</v>
      </c>
      <c r="F46" s="51">
        <v>2916.0180998156602</v>
      </c>
      <c r="G46" s="39">
        <v>162.0010055453144</v>
      </c>
      <c r="H46" s="39">
        <v>162.0010055453144</v>
      </c>
      <c r="I46" s="51">
        <v>22033.315834740002</v>
      </c>
      <c r="J46" s="39">
        <v>5396.6350580100006</v>
      </c>
    </row>
    <row r="47" spans="1:10" x14ac:dyDescent="0.35">
      <c r="A47" s="50">
        <v>43637.817466834793</v>
      </c>
      <c r="B47" s="50">
        <v>11246.05384392489</v>
      </c>
      <c r="C47" s="51">
        <v>9557.1360000000004</v>
      </c>
      <c r="D47" s="51">
        <v>1236.347389979639</v>
      </c>
      <c r="E47" s="51">
        <v>65543.410999999993</v>
      </c>
      <c r="F47" s="51">
        <v>2907.740225390417</v>
      </c>
      <c r="G47" s="39">
        <v>161.54112363280089</v>
      </c>
      <c r="H47" s="39">
        <v>161.54112363280089</v>
      </c>
      <c r="I47" s="51">
        <v>24654.859300429998</v>
      </c>
      <c r="J47" s="39">
        <v>5060.4697055799998</v>
      </c>
    </row>
    <row r="48" spans="1:10" x14ac:dyDescent="0.35">
      <c r="A48" s="50">
        <v>41050.757782050299</v>
      </c>
      <c r="B48" s="50">
        <v>11149.299843074541</v>
      </c>
      <c r="C48" s="51">
        <v>9466.4089999999997</v>
      </c>
      <c r="D48" s="51">
        <v>1184.791349728639</v>
      </c>
      <c r="E48" s="51">
        <v>65420.411</v>
      </c>
      <c r="F48" s="51">
        <v>2899.4623509651742</v>
      </c>
      <c r="G48" s="39">
        <v>161.08124172028741</v>
      </c>
      <c r="H48" s="39">
        <v>161.08124172028741</v>
      </c>
      <c r="I48" s="51">
        <v>24516.701702279999</v>
      </c>
      <c r="J48" s="39">
        <v>4969.1123030199997</v>
      </c>
    </row>
    <row r="49" spans="1:10" x14ac:dyDescent="0.35">
      <c r="A49" s="50">
        <v>38276.703006099408</v>
      </c>
      <c r="B49" s="50">
        <v>11102.336843074541</v>
      </c>
      <c r="C49" s="51">
        <v>9021.4459999999999</v>
      </c>
      <c r="D49" s="51">
        <v>1184.791349728639</v>
      </c>
      <c r="E49" s="51">
        <v>63087.411</v>
      </c>
      <c r="F49" s="51">
        <v>2899.4623509651742</v>
      </c>
      <c r="G49" s="39">
        <v>161.08124172028741</v>
      </c>
      <c r="H49" s="39">
        <v>161.08124172028741</v>
      </c>
      <c r="I49" s="51">
        <v>29202.952738119999</v>
      </c>
      <c r="J49" s="39">
        <v>4810.3825730200006</v>
      </c>
    </row>
    <row r="50" spans="1:10" x14ac:dyDescent="0.35">
      <c r="A50" s="50">
        <v>35218.335644386701</v>
      </c>
      <c r="B50" s="50">
        <v>11094.424843074541</v>
      </c>
      <c r="C50" s="51">
        <v>8308.8960000000006</v>
      </c>
      <c r="D50" s="51">
        <v>1235.3721215036271</v>
      </c>
      <c r="E50" s="51">
        <v>60504.411</v>
      </c>
      <c r="F50" s="51">
        <v>2899.4446020647688</v>
      </c>
      <c r="G50" s="39">
        <v>161.08025567026499</v>
      </c>
      <c r="H50" s="39">
        <v>161.08025567026499</v>
      </c>
      <c r="I50" s="51">
        <v>32673.955005749998</v>
      </c>
      <c r="J50" s="39">
        <v>4820.9258349600004</v>
      </c>
    </row>
    <row r="51" spans="1:10" x14ac:dyDescent="0.35">
      <c r="A51" s="50">
        <v>33086.922009037102</v>
      </c>
      <c r="B51" s="50">
        <v>11118.505843074541</v>
      </c>
      <c r="C51" s="51">
        <v>7904.4809999999998</v>
      </c>
      <c r="D51" s="51">
        <v>1235.3721215036271</v>
      </c>
      <c r="E51" s="51">
        <v>58237.411</v>
      </c>
      <c r="F51" s="51">
        <v>2899.4446020647688</v>
      </c>
      <c r="G51" s="39">
        <v>161.08025567026499</v>
      </c>
      <c r="H51" s="39">
        <v>161.08025567026499</v>
      </c>
      <c r="I51" s="51">
        <v>33152.5006192</v>
      </c>
      <c r="J51" s="39">
        <v>4912.24461496</v>
      </c>
    </row>
    <row r="52" spans="1:10" x14ac:dyDescent="0.35">
      <c r="A52" s="50">
        <v>32603.461922166898</v>
      </c>
      <c r="B52" s="50">
        <v>11171.613843074541</v>
      </c>
      <c r="C52" s="51">
        <v>7541.9350000000004</v>
      </c>
      <c r="D52" s="51">
        <v>1235.3721215036271</v>
      </c>
      <c r="E52" s="51">
        <v>55243.411</v>
      </c>
      <c r="F52" s="51">
        <v>2899.4446020647688</v>
      </c>
      <c r="G52" s="39">
        <v>161.08025567026499</v>
      </c>
      <c r="H52" s="39">
        <v>161.08025567026499</v>
      </c>
      <c r="I52" s="51">
        <v>32956.042452790003</v>
      </c>
      <c r="J52" s="39">
        <v>5004.6418849600004</v>
      </c>
    </row>
    <row r="53" spans="1:10" x14ac:dyDescent="0.35">
      <c r="A53" s="50">
        <v>33092.030657602001</v>
      </c>
      <c r="B53" s="50">
        <v>11258.523843074541</v>
      </c>
      <c r="C53" s="51">
        <v>7383.3540000000003</v>
      </c>
      <c r="D53" s="51">
        <v>1235.3721215036271</v>
      </c>
      <c r="E53" s="51">
        <v>53623.411</v>
      </c>
      <c r="F53" s="51">
        <v>2899.4446020647688</v>
      </c>
      <c r="G53" s="39">
        <v>161.08025567026499</v>
      </c>
      <c r="H53" s="39">
        <v>161.08025567026499</v>
      </c>
      <c r="I53" s="51">
        <v>35660.625330729999</v>
      </c>
      <c r="J53" s="39">
        <v>4909.7099149599999</v>
      </c>
    </row>
    <row r="54" spans="1:10" x14ac:dyDescent="0.35">
      <c r="A54" s="50">
        <v>34154.408109179596</v>
      </c>
      <c r="B54" s="50">
        <v>11425.94284392489</v>
      </c>
      <c r="C54" s="51">
        <v>7362.8010000000004</v>
      </c>
      <c r="D54" s="51">
        <v>1235.3721215036271</v>
      </c>
      <c r="E54" s="51">
        <v>54461.411</v>
      </c>
      <c r="F54" s="51">
        <v>2907.722476490012</v>
      </c>
      <c r="G54" s="39">
        <v>161.54013758277841</v>
      </c>
      <c r="H54" s="39">
        <v>161.54013758277841</v>
      </c>
      <c r="I54" s="51">
        <v>32790.721386279998</v>
      </c>
      <c r="J54" s="39">
        <v>4775.8980177699996</v>
      </c>
    </row>
    <row r="55" spans="1:10" x14ac:dyDescent="0.35">
      <c r="A55" s="50">
        <v>36572.414910203101</v>
      </c>
      <c r="B55" s="50">
        <v>11631.5548456256</v>
      </c>
      <c r="C55" s="51">
        <v>7505.5879999999997</v>
      </c>
      <c r="D55" s="51">
        <v>1333.3285979805271</v>
      </c>
      <c r="E55" s="51">
        <v>56588.411</v>
      </c>
      <c r="F55" s="51">
        <v>2924.2782253404971</v>
      </c>
      <c r="G55" s="39">
        <v>162.4599014078054</v>
      </c>
      <c r="H55" s="39">
        <v>162.4599014078054</v>
      </c>
      <c r="I55" s="51">
        <v>24924.05192863</v>
      </c>
      <c r="J55" s="39">
        <v>4553.0369769099998</v>
      </c>
    </row>
    <row r="56" spans="1:10" x14ac:dyDescent="0.35">
      <c r="A56" s="50">
        <v>40471.237217737304</v>
      </c>
      <c r="B56" s="50">
        <v>11664.860846475949</v>
      </c>
      <c r="C56" s="51">
        <v>7883.3639999999996</v>
      </c>
      <c r="D56" s="51">
        <v>1431.2850744574271</v>
      </c>
      <c r="E56" s="51">
        <v>60481.411</v>
      </c>
      <c r="F56" s="51">
        <v>2932.5560997657399</v>
      </c>
      <c r="G56" s="39">
        <v>162.91978332031891</v>
      </c>
      <c r="H56" s="39">
        <v>162.91978332031891</v>
      </c>
      <c r="I56" s="51">
        <v>18944.87464382</v>
      </c>
      <c r="J56" s="39">
        <v>5130.7767334700002</v>
      </c>
    </row>
    <row r="57" spans="1:10" x14ac:dyDescent="0.35">
      <c r="A57" s="50">
        <v>43711.586716894395</v>
      </c>
      <c r="B57" s="50">
        <v>11661.33984732631</v>
      </c>
      <c r="C57" s="51">
        <v>8443.4159999999993</v>
      </c>
      <c r="D57" s="51">
        <v>1524.0859469092261</v>
      </c>
      <c r="E57" s="51">
        <v>63239.411</v>
      </c>
      <c r="F57" s="51">
        <v>2940.8339741909822</v>
      </c>
      <c r="G57" s="39">
        <v>163.37966523283239</v>
      </c>
      <c r="H57" s="39">
        <v>163.37966523283239</v>
      </c>
      <c r="I57" s="51">
        <v>19420.77507096</v>
      </c>
      <c r="J57" s="39">
        <v>6166.9389771300002</v>
      </c>
    </row>
    <row r="58" spans="1:10" x14ac:dyDescent="0.35">
      <c r="A58" s="50">
        <v>45489.8588115905</v>
      </c>
      <c r="B58" s="50">
        <v>11584.570847326309</v>
      </c>
      <c r="C58" s="51">
        <v>8981.4220000000005</v>
      </c>
      <c r="D58" s="51">
        <v>1622.0424233861261</v>
      </c>
      <c r="E58" s="51">
        <v>64586.411</v>
      </c>
      <c r="F58" s="51">
        <v>2940.8339741909822</v>
      </c>
      <c r="G58" s="39">
        <v>163.37966523283239</v>
      </c>
      <c r="H58" s="39">
        <v>163.37966523283239</v>
      </c>
      <c r="I58" s="51">
        <v>16976.094098130001</v>
      </c>
      <c r="J58" s="39">
        <v>7211.8389771299999</v>
      </c>
    </row>
    <row r="59" spans="1:10" x14ac:dyDescent="0.35">
      <c r="A59" s="50">
        <v>45423.637184334701</v>
      </c>
      <c r="B59" s="50">
        <v>11518.92184732631</v>
      </c>
      <c r="C59" s="51">
        <v>9643.5229999999992</v>
      </c>
      <c r="D59" s="51">
        <v>1622.0424233861261</v>
      </c>
      <c r="E59" s="51">
        <v>65518.411</v>
      </c>
      <c r="F59" s="51">
        <v>2940.8339741909822</v>
      </c>
      <c r="G59" s="39">
        <v>163.37966523283239</v>
      </c>
      <c r="H59" s="39">
        <v>163.37966523283239</v>
      </c>
      <c r="I59" s="51">
        <v>16388.401582630002</v>
      </c>
      <c r="J59" s="39">
        <v>8256.7389771300004</v>
      </c>
    </row>
    <row r="60" spans="1:10" x14ac:dyDescent="0.35">
      <c r="A60" s="50">
        <v>44872.472159672201</v>
      </c>
      <c r="B60" s="50">
        <v>11488.373847326309</v>
      </c>
      <c r="C60" s="51">
        <v>10830.951999999999</v>
      </c>
      <c r="D60" s="51">
        <v>1673.5984636371261</v>
      </c>
      <c r="E60" s="51">
        <v>65351.411</v>
      </c>
      <c r="F60" s="51">
        <v>2940.8339741909822</v>
      </c>
      <c r="G60" s="39">
        <v>163.37966523283239</v>
      </c>
      <c r="H60" s="39">
        <v>163.37966523283239</v>
      </c>
      <c r="I60" s="51">
        <v>17816.068881029998</v>
      </c>
      <c r="J60" s="39">
        <v>9301.6389771300001</v>
      </c>
    </row>
    <row r="61" spans="1:10" x14ac:dyDescent="0.35">
      <c r="A61" s="50">
        <v>45293.430147676001</v>
      </c>
      <c r="B61" s="50">
        <v>11409.21184647595</v>
      </c>
      <c r="C61" s="51">
        <v>12183.69</v>
      </c>
      <c r="D61" s="51">
        <v>1673.5984636371261</v>
      </c>
      <c r="E61" s="51">
        <v>66651.410999999993</v>
      </c>
      <c r="F61" s="51">
        <v>2932.5560997657399</v>
      </c>
      <c r="G61" s="39">
        <v>162.91978332031891</v>
      </c>
      <c r="H61" s="39">
        <v>162.91978332031891</v>
      </c>
      <c r="I61" s="51">
        <v>19373.210220649999</v>
      </c>
      <c r="J61" s="39">
        <v>10355.27673347</v>
      </c>
    </row>
    <row r="62" spans="1:10" x14ac:dyDescent="0.35">
      <c r="A62" s="50">
        <v>45577.647560226898</v>
      </c>
      <c r="B62" s="50">
        <v>11309.9908456256</v>
      </c>
      <c r="C62" s="51">
        <v>13204.603999999999</v>
      </c>
      <c r="D62" s="51">
        <v>1622.0424233861261</v>
      </c>
      <c r="E62" s="51">
        <v>67093.410999999993</v>
      </c>
      <c r="F62" s="51">
        <v>3361.1356220004973</v>
      </c>
      <c r="G62" s="39">
        <v>162.4599014078054</v>
      </c>
      <c r="H62" s="39">
        <v>162.4599014078054</v>
      </c>
      <c r="I62" s="51">
        <v>19703.53795378</v>
      </c>
      <c r="J62" s="39">
        <v>10964.025395000001</v>
      </c>
    </row>
    <row r="63" spans="1:10" x14ac:dyDescent="0.35">
      <c r="A63" s="50">
        <v>45000.710130619598</v>
      </c>
      <c r="B63" s="50">
        <v>11286.0088456256</v>
      </c>
      <c r="C63" s="51">
        <v>13282.134</v>
      </c>
      <c r="D63" s="51">
        <v>1647.8204435116261</v>
      </c>
      <c r="E63" s="51">
        <v>65083.411</v>
      </c>
      <c r="F63" s="51">
        <v>3361.1356220004973</v>
      </c>
      <c r="G63" s="39">
        <v>162.4599014078054</v>
      </c>
      <c r="H63" s="39">
        <v>162.4599014078054</v>
      </c>
      <c r="I63" s="51">
        <v>20324.992121570001</v>
      </c>
      <c r="J63" s="39">
        <v>10964.025395000001</v>
      </c>
    </row>
    <row r="64" spans="1:10" x14ac:dyDescent="0.35">
      <c r="A64" s="50">
        <v>43807.586077198896</v>
      </c>
      <c r="B64" s="50">
        <v>11310.565846475949</v>
      </c>
      <c r="C64" s="51">
        <v>12964.388000000001</v>
      </c>
      <c r="D64" s="51">
        <v>1622.0424233861261</v>
      </c>
      <c r="E64" s="51">
        <v>65344.411</v>
      </c>
      <c r="F64" s="51">
        <v>2932.5560997657399</v>
      </c>
      <c r="G64" s="39">
        <v>162.91978332031891</v>
      </c>
      <c r="H64" s="39">
        <v>162.91978332031891</v>
      </c>
      <c r="I64" s="51">
        <v>18750.783657669999</v>
      </c>
      <c r="J64" s="39">
        <v>10706.275109599999</v>
      </c>
    </row>
    <row r="65" spans="1:10" x14ac:dyDescent="0.35">
      <c r="A65" s="50">
        <v>43556.44407647651</v>
      </c>
      <c r="B65" s="50">
        <v>11348.90584732631</v>
      </c>
      <c r="C65" s="51">
        <v>12244.002</v>
      </c>
      <c r="D65" s="51">
        <v>1622.0424233861261</v>
      </c>
      <c r="E65" s="51">
        <v>67706.410999999993</v>
      </c>
      <c r="F65" s="51">
        <v>2940.8339741909822</v>
      </c>
      <c r="G65" s="39">
        <v>163.37966523283239</v>
      </c>
      <c r="H65" s="39">
        <v>163.37966523283239</v>
      </c>
      <c r="I65" s="51">
        <v>16652.37521975</v>
      </c>
      <c r="J65" s="39">
        <v>9652.637353260001</v>
      </c>
    </row>
    <row r="66" spans="1:10" x14ac:dyDescent="0.35">
      <c r="A66" s="50">
        <v>44242.893890238891</v>
      </c>
      <c r="B66" s="50">
        <v>11375.133847326309</v>
      </c>
      <c r="C66" s="51">
        <v>11416.52</v>
      </c>
      <c r="D66" s="51">
        <v>1622.0424233861261</v>
      </c>
      <c r="E66" s="51">
        <v>71284.410999999993</v>
      </c>
      <c r="F66" s="51">
        <v>2940.8339741909822</v>
      </c>
      <c r="G66" s="39">
        <v>163.37966523283239</v>
      </c>
      <c r="H66" s="39">
        <v>163.37966523283239</v>
      </c>
      <c r="I66" s="51">
        <v>16300.147006340001</v>
      </c>
      <c r="J66" s="39">
        <v>8607.7373532599995</v>
      </c>
    </row>
    <row r="67" spans="1:10" x14ac:dyDescent="0.35">
      <c r="A67" s="50">
        <v>46442.700678123998</v>
      </c>
      <c r="B67" s="50">
        <v>11391.147847326309</v>
      </c>
      <c r="C67" s="51">
        <v>10732.584999999999</v>
      </c>
      <c r="D67" s="51">
        <v>1622.0424233861261</v>
      </c>
      <c r="E67" s="51">
        <v>76388.410999999993</v>
      </c>
      <c r="F67" s="51">
        <v>2940.8339741909822</v>
      </c>
      <c r="G67" s="39">
        <v>163.37966523283239</v>
      </c>
      <c r="H67" s="39">
        <v>163.37966523283239</v>
      </c>
      <c r="I67" s="51">
        <v>19556.948609470001</v>
      </c>
      <c r="J67" s="39">
        <v>7562.8373532599999</v>
      </c>
    </row>
    <row r="68" spans="1:10" x14ac:dyDescent="0.35">
      <c r="A68" s="50">
        <v>47738.065034984596</v>
      </c>
      <c r="B68" s="50">
        <v>11350.057846475949</v>
      </c>
      <c r="C68" s="51">
        <v>10391.522000000001</v>
      </c>
      <c r="D68" s="51">
        <v>1622.0424233861261</v>
      </c>
      <c r="E68" s="51">
        <v>79263.410999999993</v>
      </c>
      <c r="F68" s="51">
        <v>2932.5560997657399</v>
      </c>
      <c r="G68" s="39">
        <v>162.91978332031891</v>
      </c>
      <c r="H68" s="39">
        <v>162.91978332031891</v>
      </c>
      <c r="I68" s="51">
        <v>17945.149609979999</v>
      </c>
      <c r="J68" s="39">
        <v>6217.1424106699997</v>
      </c>
    </row>
    <row r="69" spans="1:10" x14ac:dyDescent="0.35">
      <c r="A69" s="50">
        <v>47486.944909418395</v>
      </c>
      <c r="B69" s="50">
        <v>11325.7248456256</v>
      </c>
      <c r="C69" s="51">
        <v>10445.103999999999</v>
      </c>
      <c r="D69" s="51">
        <v>1467.3743026331269</v>
      </c>
      <c r="E69" s="51">
        <v>77743.410999999993</v>
      </c>
      <c r="F69" s="51">
        <v>2924.2782253404971</v>
      </c>
      <c r="G69" s="39">
        <v>162.4599014078054</v>
      </c>
      <c r="H69" s="39">
        <v>162.4599014078054</v>
      </c>
      <c r="I69" s="51">
        <v>17691.776488809999</v>
      </c>
      <c r="J69" s="39">
        <v>5077.8624106699999</v>
      </c>
    </row>
    <row r="70" spans="1:10" x14ac:dyDescent="0.35">
      <c r="A70" s="50">
        <v>45900.648822250194</v>
      </c>
      <c r="B70" s="50">
        <v>11297.72184477524</v>
      </c>
      <c r="C70" s="51">
        <v>10074.316999999999</v>
      </c>
      <c r="D70" s="51">
        <v>1364.2622221311269</v>
      </c>
      <c r="E70" s="51">
        <v>73445.410999999993</v>
      </c>
      <c r="F70" s="51">
        <v>2916.0003509152548</v>
      </c>
      <c r="G70" s="39">
        <v>162.00001949529189</v>
      </c>
      <c r="H70" s="39">
        <v>162.00001949529189</v>
      </c>
      <c r="I70" s="51">
        <v>17872.390176740002</v>
      </c>
      <c r="J70" s="39">
        <v>4454.3506222800006</v>
      </c>
    </row>
    <row r="71" spans="1:10" x14ac:dyDescent="0.35">
      <c r="A71" s="50">
        <v>43281.401513190496</v>
      </c>
      <c r="B71" s="50">
        <v>11203.599843924891</v>
      </c>
      <c r="C71" s="51">
        <v>9552.4509999999991</v>
      </c>
      <c r="D71" s="51">
        <v>1286.9281617546269</v>
      </c>
      <c r="E71" s="51">
        <v>70211.410999999993</v>
      </c>
      <c r="F71" s="51">
        <v>2907.722476490012</v>
      </c>
      <c r="G71" s="39">
        <v>161.54013758277841</v>
      </c>
      <c r="H71" s="39">
        <v>161.54013758277841</v>
      </c>
      <c r="I71" s="51">
        <v>20173.932046679998</v>
      </c>
      <c r="J71" s="39">
        <v>3418.1883786200001</v>
      </c>
    </row>
    <row r="72" spans="1:10" x14ac:dyDescent="0.35">
      <c r="A72" s="50">
        <v>40716.3758409191</v>
      </c>
      <c r="B72" s="50">
        <v>11104.93084307454</v>
      </c>
      <c r="C72" s="51">
        <v>9466.8449999999993</v>
      </c>
      <c r="D72" s="51">
        <v>1235.3721215036271</v>
      </c>
      <c r="E72" s="51">
        <v>69871.410999999993</v>
      </c>
      <c r="F72" s="51">
        <v>2899.4446020647688</v>
      </c>
      <c r="G72" s="39">
        <v>161.08025567026499</v>
      </c>
      <c r="H72" s="39">
        <v>161.08025567026499</v>
      </c>
      <c r="I72" s="51">
        <v>19392.03136343</v>
      </c>
      <c r="J72" s="39">
        <v>2382.0261349499997</v>
      </c>
    </row>
    <row r="73" spans="1:10" x14ac:dyDescent="0.35">
      <c r="A73" s="50">
        <v>38006.866480253098</v>
      </c>
      <c r="B73" s="50">
        <v>11083.462843074542</v>
      </c>
      <c r="C73" s="51">
        <v>9017.3680000000004</v>
      </c>
      <c r="D73" s="51">
        <v>1235.3721215036271</v>
      </c>
      <c r="E73" s="51">
        <v>67917.410999999993</v>
      </c>
      <c r="F73" s="51">
        <v>2899.4446020647688</v>
      </c>
      <c r="G73" s="39">
        <v>161.08025567026499</v>
      </c>
      <c r="H73" s="39">
        <v>161.08025567026499</v>
      </c>
      <c r="I73" s="51">
        <v>22094.353001719999</v>
      </c>
      <c r="J73" s="39">
        <v>2663.6821139799999</v>
      </c>
    </row>
    <row r="74" spans="1:10" x14ac:dyDescent="0.35">
      <c r="A74" s="50">
        <v>35130.2908011982</v>
      </c>
      <c r="B74" s="50">
        <v>11152.745843074541</v>
      </c>
      <c r="C74" s="51">
        <v>8306.5280000000002</v>
      </c>
      <c r="D74" s="51">
        <v>1169.3240409390189</v>
      </c>
      <c r="E74" s="51">
        <v>63666.411</v>
      </c>
      <c r="F74" s="51">
        <v>2899.4268531643638</v>
      </c>
      <c r="G74" s="39">
        <v>161.07926962024251</v>
      </c>
      <c r="H74" s="39">
        <v>161.07926962024251</v>
      </c>
      <c r="I74" s="51">
        <v>24103.10151181</v>
      </c>
      <c r="J74" s="39">
        <v>2786.4367494899998</v>
      </c>
    </row>
    <row r="75" spans="1:10" x14ac:dyDescent="0.35">
      <c r="A75" s="50">
        <v>33045.406689432602</v>
      </c>
      <c r="B75" s="50">
        <v>11118.06484307454</v>
      </c>
      <c r="C75" s="51">
        <v>7898.0619999999999</v>
      </c>
      <c r="D75" s="51">
        <v>1169.3240409390189</v>
      </c>
      <c r="E75" s="51">
        <v>61806.411</v>
      </c>
      <c r="F75" s="51">
        <v>2899.4268531643638</v>
      </c>
      <c r="G75" s="39">
        <v>161.07926962024251</v>
      </c>
      <c r="H75" s="39">
        <v>161.07926962024251</v>
      </c>
      <c r="I75" s="51">
        <v>24454.140885389999</v>
      </c>
      <c r="J75" s="39">
        <v>2833.34147949</v>
      </c>
    </row>
    <row r="76" spans="1:10" x14ac:dyDescent="0.35">
      <c r="A76" s="50">
        <v>32618.5771400052</v>
      </c>
      <c r="B76" s="50">
        <v>11214.095843074541</v>
      </c>
      <c r="C76" s="51">
        <v>7535.4129999999996</v>
      </c>
      <c r="D76" s="51">
        <v>1169.3240409390189</v>
      </c>
      <c r="E76" s="51">
        <v>59232.411</v>
      </c>
      <c r="F76" s="51">
        <v>2899.4268531643638</v>
      </c>
      <c r="G76" s="39">
        <v>161.07926962024251</v>
      </c>
      <c r="H76" s="39">
        <v>161.07926962024251</v>
      </c>
      <c r="I76" s="51">
        <v>23848.65293918</v>
      </c>
      <c r="J76" s="39">
        <v>2984.6850794900001</v>
      </c>
    </row>
    <row r="77" spans="1:10" x14ac:dyDescent="0.35">
      <c r="A77" s="50">
        <v>33144.3552025873</v>
      </c>
      <c r="B77" s="50">
        <v>11380.80484307454</v>
      </c>
      <c r="C77" s="51">
        <v>7377.8919999999998</v>
      </c>
      <c r="D77" s="51">
        <v>1169.3240409390189</v>
      </c>
      <c r="E77" s="51">
        <v>57614.411</v>
      </c>
      <c r="F77" s="51">
        <v>2899.4268531643638</v>
      </c>
      <c r="G77" s="39">
        <v>161.07926962024251</v>
      </c>
      <c r="H77" s="39">
        <v>161.07926962024251</v>
      </c>
      <c r="I77" s="51">
        <v>21259.491024399998</v>
      </c>
      <c r="J77" s="39">
        <v>3205.1223294900001</v>
      </c>
    </row>
    <row r="78" spans="1:10" x14ac:dyDescent="0.35">
      <c r="A78" s="50">
        <v>34189.549619876299</v>
      </c>
      <c r="B78" s="50">
        <v>11586.698843924891</v>
      </c>
      <c r="C78" s="51">
        <v>7355.5519999999997</v>
      </c>
      <c r="D78" s="51">
        <v>1169.3240409390189</v>
      </c>
      <c r="E78" s="51">
        <v>58076.411</v>
      </c>
      <c r="F78" s="51">
        <v>2907.704727589607</v>
      </c>
      <c r="G78" s="39">
        <v>161.53915153275599</v>
      </c>
      <c r="H78" s="39">
        <v>161.53915153275599</v>
      </c>
      <c r="I78" s="51">
        <v>19838.081036379997</v>
      </c>
      <c r="J78" s="39">
        <v>3489.8518823100003</v>
      </c>
    </row>
    <row r="79" spans="1:10" x14ac:dyDescent="0.35">
      <c r="A79" s="50">
        <v>36539.893162757995</v>
      </c>
      <c r="B79" s="50">
        <v>11456.6538456256</v>
      </c>
      <c r="C79" s="51">
        <v>7492.3559999999998</v>
      </c>
      <c r="D79" s="51">
        <v>1267.2805174159189</v>
      </c>
      <c r="E79" s="51">
        <v>60524.411</v>
      </c>
      <c r="F79" s="51">
        <v>2924.2604764400921</v>
      </c>
      <c r="G79" s="39">
        <v>162.4589153577829</v>
      </c>
      <c r="H79" s="39">
        <v>162.4589153577829</v>
      </c>
      <c r="I79" s="51">
        <v>17085.200362989999</v>
      </c>
      <c r="J79" s="39">
        <v>4339.48323807</v>
      </c>
    </row>
    <row r="80" spans="1:10" x14ac:dyDescent="0.35">
      <c r="A80" s="50">
        <v>40388.584116292397</v>
      </c>
      <c r="B80" s="50">
        <v>11472.28484647595</v>
      </c>
      <c r="C80" s="51">
        <v>7856.6260000000002</v>
      </c>
      <c r="D80" s="51">
        <v>1365.2369938928191</v>
      </c>
      <c r="E80" s="51">
        <v>64647.411</v>
      </c>
      <c r="F80" s="51">
        <v>2932.5383508653349</v>
      </c>
      <c r="G80" s="39">
        <v>162.91879727029641</v>
      </c>
      <c r="H80" s="39">
        <v>162.91879727029641</v>
      </c>
      <c r="I80" s="51">
        <v>17984.025579680001</v>
      </c>
      <c r="J80" s="39">
        <v>5375.64548173</v>
      </c>
    </row>
    <row r="81" spans="1:10" x14ac:dyDescent="0.35">
      <c r="A81" s="50">
        <v>43625.466265597599</v>
      </c>
      <c r="B81" s="50">
        <v>11446.917847326309</v>
      </c>
      <c r="C81" s="51">
        <v>8405.4380000000001</v>
      </c>
      <c r="D81" s="51">
        <v>1458.037866344619</v>
      </c>
      <c r="E81" s="51">
        <v>67323.410999999993</v>
      </c>
      <c r="F81" s="51">
        <v>2940.8162252905781</v>
      </c>
      <c r="G81" s="39">
        <v>163.37867918280989</v>
      </c>
      <c r="H81" s="39">
        <v>163.37867918280989</v>
      </c>
      <c r="I81" s="51">
        <v>19139.61585853</v>
      </c>
      <c r="J81" s="39">
        <v>6411.8077253900001</v>
      </c>
    </row>
    <row r="82" spans="1:10" x14ac:dyDescent="0.35">
      <c r="A82" s="50">
        <v>45513.097036948297</v>
      </c>
      <c r="B82" s="50">
        <v>11404.470847326309</v>
      </c>
      <c r="C82" s="51">
        <v>8931.36</v>
      </c>
      <c r="D82" s="51">
        <v>1555.9943428215181</v>
      </c>
      <c r="E82" s="51">
        <v>68379.410999999993</v>
      </c>
      <c r="F82" s="51">
        <v>2940.8162252905781</v>
      </c>
      <c r="G82" s="39">
        <v>163.37867918280989</v>
      </c>
      <c r="H82" s="39">
        <v>163.37867918280989</v>
      </c>
      <c r="I82" s="51">
        <v>19023.190930379998</v>
      </c>
      <c r="J82" s="39">
        <v>7456.7077253899997</v>
      </c>
    </row>
    <row r="83" spans="1:10" x14ac:dyDescent="0.35">
      <c r="A83" s="50">
        <v>45564.634827089794</v>
      </c>
      <c r="B83" s="50">
        <v>11354.809847326309</v>
      </c>
      <c r="C83" s="51">
        <v>9390.7790000000005</v>
      </c>
      <c r="D83" s="51">
        <v>1555.9943428215181</v>
      </c>
      <c r="E83" s="51">
        <v>68997.410999999993</v>
      </c>
      <c r="F83" s="51">
        <v>2940.8162252905781</v>
      </c>
      <c r="G83" s="39">
        <v>163.37867918280989</v>
      </c>
      <c r="H83" s="39">
        <v>163.37867918280989</v>
      </c>
      <c r="I83" s="51">
        <v>18243.08190393</v>
      </c>
      <c r="J83" s="39">
        <v>8501.6077253900003</v>
      </c>
    </row>
    <row r="84" spans="1:10" x14ac:dyDescent="0.35">
      <c r="A84" s="50">
        <v>44853.169542299205</v>
      </c>
      <c r="B84" s="50">
        <v>11339.49284732631</v>
      </c>
      <c r="C84" s="51">
        <v>10080.695</v>
      </c>
      <c r="D84" s="51">
        <v>1607.5503830725179</v>
      </c>
      <c r="E84" s="51">
        <v>68147.410999999993</v>
      </c>
      <c r="F84" s="51">
        <v>2940.8162252905781</v>
      </c>
      <c r="G84" s="39">
        <v>163.37867918280989</v>
      </c>
      <c r="H84" s="39">
        <v>163.37867918280989</v>
      </c>
      <c r="I84" s="51">
        <v>15873.57847264</v>
      </c>
      <c r="J84" s="39">
        <v>9546.5077253899999</v>
      </c>
    </row>
    <row r="85" spans="1:10" x14ac:dyDescent="0.35">
      <c r="A85" s="50">
        <v>45793.904947428397</v>
      </c>
      <c r="B85" s="50">
        <v>11281.856846475948</v>
      </c>
      <c r="C85" s="51">
        <v>11007.325999999999</v>
      </c>
      <c r="D85" s="51">
        <v>1607.5503830725179</v>
      </c>
      <c r="E85" s="51">
        <v>68897.410999999993</v>
      </c>
      <c r="F85" s="51">
        <v>2932.5383508653349</v>
      </c>
      <c r="G85" s="39">
        <v>162.91879727029641</v>
      </c>
      <c r="H85" s="39">
        <v>162.91879727029641</v>
      </c>
      <c r="I85" s="51">
        <v>14759.148832160001</v>
      </c>
      <c r="J85" s="39">
        <v>10600.14548173</v>
      </c>
    </row>
    <row r="86" spans="1:10" x14ac:dyDescent="0.35">
      <c r="A86" s="50">
        <v>46420.389292898799</v>
      </c>
      <c r="B86" s="50">
        <v>11235.5008456256</v>
      </c>
      <c r="C86" s="51">
        <v>11847.392</v>
      </c>
      <c r="D86" s="51">
        <v>1555.9943428215181</v>
      </c>
      <c r="E86" s="51">
        <v>69146.410999999993</v>
      </c>
      <c r="F86" s="51">
        <v>3361.1356220000921</v>
      </c>
      <c r="G86" s="39">
        <v>162.4589153577829</v>
      </c>
      <c r="H86" s="39">
        <v>162.4589153577829</v>
      </c>
      <c r="I86" s="51">
        <v>16302.54868835</v>
      </c>
      <c r="J86" s="39">
        <v>10964.025395000001</v>
      </c>
    </row>
    <row r="87" spans="1:10" x14ac:dyDescent="0.35">
      <c r="A87" s="50">
        <v>46037.226906647404</v>
      </c>
      <c r="B87" s="50">
        <v>11257.809845625599</v>
      </c>
      <c r="C87" s="51">
        <v>11933.457</v>
      </c>
      <c r="D87" s="51">
        <v>1581.7723629470181</v>
      </c>
      <c r="E87" s="51">
        <v>66838.410999999993</v>
      </c>
      <c r="F87" s="51">
        <v>3361.1356220000921</v>
      </c>
      <c r="G87" s="39">
        <v>162.4589153577829</v>
      </c>
      <c r="H87" s="39">
        <v>162.4589153577829</v>
      </c>
      <c r="I87" s="51">
        <v>18878.3341387</v>
      </c>
      <c r="J87" s="39">
        <v>10964.025395000001</v>
      </c>
    </row>
    <row r="88" spans="1:10" x14ac:dyDescent="0.35">
      <c r="A88" s="50">
        <v>44723.559893087804</v>
      </c>
      <c r="B88" s="50">
        <v>11261.59684647595</v>
      </c>
      <c r="C88" s="51">
        <v>11761.205</v>
      </c>
      <c r="D88" s="51">
        <v>1555.9943428215181</v>
      </c>
      <c r="E88" s="51">
        <v>66723.410999999993</v>
      </c>
      <c r="F88" s="51">
        <v>3361.135621995335</v>
      </c>
      <c r="G88" s="39">
        <v>162.91879727029641</v>
      </c>
      <c r="H88" s="39">
        <v>162.91879727029641</v>
      </c>
      <c r="I88" s="51">
        <v>18529.12693378</v>
      </c>
      <c r="J88" s="39">
        <v>10964.025395000001</v>
      </c>
    </row>
    <row r="89" spans="1:10" x14ac:dyDescent="0.35">
      <c r="A89" s="50">
        <v>44337.211434651101</v>
      </c>
      <c r="B89" s="50">
        <v>11303.55384732631</v>
      </c>
      <c r="C89" s="51">
        <v>11129.707</v>
      </c>
      <c r="D89" s="51">
        <v>1555.9943428215181</v>
      </c>
      <c r="E89" s="51">
        <v>68658.410999999993</v>
      </c>
      <c r="F89" s="51">
        <v>3361.1356220005782</v>
      </c>
      <c r="G89" s="39">
        <v>163.37867918280989</v>
      </c>
      <c r="H89" s="39">
        <v>163.37867918280989</v>
      </c>
      <c r="I89" s="51">
        <v>16609.313554529999</v>
      </c>
      <c r="J89" s="39">
        <v>10964.025395000001</v>
      </c>
    </row>
    <row r="90" spans="1:10" x14ac:dyDescent="0.35">
      <c r="A90" s="50">
        <v>45119.370741262806</v>
      </c>
      <c r="B90" s="50">
        <v>11341.256847326309</v>
      </c>
      <c r="C90" s="51">
        <v>10524.421</v>
      </c>
      <c r="D90" s="51">
        <v>1555.9943428215181</v>
      </c>
      <c r="E90" s="51">
        <v>72492.410999999993</v>
      </c>
      <c r="F90" s="51">
        <v>3361.1356220005782</v>
      </c>
      <c r="G90" s="39">
        <v>163.37867918280989</v>
      </c>
      <c r="H90" s="39">
        <v>163.37867918280989</v>
      </c>
      <c r="I90" s="51">
        <v>11980.712947529999</v>
      </c>
      <c r="J90" s="39">
        <v>10964.025395000001</v>
      </c>
    </row>
    <row r="91" spans="1:10" x14ac:dyDescent="0.35">
      <c r="A91" s="50">
        <v>47386.461511037101</v>
      </c>
      <c r="B91" s="50">
        <v>11350.933847326309</v>
      </c>
      <c r="C91" s="51">
        <v>10307.888000000001</v>
      </c>
      <c r="D91" s="51">
        <v>1555.9943428215181</v>
      </c>
      <c r="E91" s="51">
        <v>76483.410999999993</v>
      </c>
      <c r="F91" s="51">
        <v>3361.1356220005782</v>
      </c>
      <c r="G91" s="39">
        <v>163.37867918280989</v>
      </c>
      <c r="H91" s="39">
        <v>163.37867918280989</v>
      </c>
      <c r="I91" s="51">
        <v>13901.23659787</v>
      </c>
      <c r="J91" s="39">
        <v>10964.025395000001</v>
      </c>
    </row>
    <row r="92" spans="1:10" x14ac:dyDescent="0.35">
      <c r="A92" s="50">
        <v>48723.091280999099</v>
      </c>
      <c r="B92" s="50">
        <v>11334.549846475949</v>
      </c>
      <c r="C92" s="51">
        <v>10366.234</v>
      </c>
      <c r="D92" s="51">
        <v>1555.9943428215181</v>
      </c>
      <c r="E92" s="51">
        <v>78863.410999999993</v>
      </c>
      <c r="F92" s="51">
        <v>3361.135621995335</v>
      </c>
      <c r="G92" s="39">
        <v>162.91879727029641</v>
      </c>
      <c r="H92" s="39">
        <v>162.91879727029641</v>
      </c>
      <c r="I92" s="51">
        <v>14171.10221402</v>
      </c>
      <c r="J92" s="39">
        <v>10964.025395000001</v>
      </c>
    </row>
    <row r="93" spans="1:10" x14ac:dyDescent="0.35">
      <c r="A93" s="50">
        <v>48421.086735093893</v>
      </c>
      <c r="B93" s="50">
        <v>11338.9308456256</v>
      </c>
      <c r="C93" s="51">
        <v>10407.528</v>
      </c>
      <c r="D93" s="51">
        <v>1401.326222068519</v>
      </c>
      <c r="E93" s="51">
        <v>77146.410999999993</v>
      </c>
      <c r="F93" s="51">
        <v>3361.1356220000921</v>
      </c>
      <c r="G93" s="39">
        <v>162.4589153577829</v>
      </c>
      <c r="H93" s="39">
        <v>162.4589153577829</v>
      </c>
      <c r="I93" s="51">
        <v>14334.555066729999</v>
      </c>
      <c r="J93" s="39">
        <v>10964.025395000001</v>
      </c>
    </row>
    <row r="94" spans="1:10" x14ac:dyDescent="0.35">
      <c r="A94" s="50">
        <v>46764.9643314969</v>
      </c>
      <c r="B94" s="50">
        <v>11292.94584477524</v>
      </c>
      <c r="C94" s="51">
        <v>10046.245000000001</v>
      </c>
      <c r="D94" s="51">
        <v>1298.2141415665189</v>
      </c>
      <c r="E94" s="51">
        <v>73047.410999999993</v>
      </c>
      <c r="F94" s="51">
        <v>3361.1356220048497</v>
      </c>
      <c r="G94" s="39">
        <v>161.99903344526939</v>
      </c>
      <c r="H94" s="39">
        <v>161.99903344526939</v>
      </c>
      <c r="I94" s="51">
        <v>16550.359853900001</v>
      </c>
      <c r="J94" s="39">
        <v>10964.025395000001</v>
      </c>
    </row>
    <row r="95" spans="1:10" x14ac:dyDescent="0.35">
      <c r="A95" s="50">
        <v>44114.386554124496</v>
      </c>
      <c r="B95" s="50">
        <v>11211.796843924891</v>
      </c>
      <c r="C95" s="51">
        <v>9538.8009999999995</v>
      </c>
      <c r="D95" s="51">
        <v>1220.8800811900189</v>
      </c>
      <c r="E95" s="51">
        <v>70039.410999999993</v>
      </c>
      <c r="F95" s="51">
        <v>3361.1356219996069</v>
      </c>
      <c r="G95" s="39">
        <v>161.53915153275599</v>
      </c>
      <c r="H95" s="39">
        <v>161.53915153275599</v>
      </c>
      <c r="I95" s="51">
        <v>14340.115434400001</v>
      </c>
      <c r="J95" s="39">
        <v>10964.025395000001</v>
      </c>
    </row>
    <row r="96" spans="1:10" x14ac:dyDescent="0.35">
      <c r="A96" s="50">
        <v>41490.261552224503</v>
      </c>
      <c r="B96" s="50">
        <v>11116.00984307454</v>
      </c>
      <c r="C96" s="51">
        <v>9461.5969999999998</v>
      </c>
      <c r="D96" s="51">
        <v>1169.3240409390189</v>
      </c>
      <c r="E96" s="51">
        <v>69018.410999999993</v>
      </c>
      <c r="F96" s="51">
        <v>3361.135622004364</v>
      </c>
      <c r="G96" s="39">
        <v>161.07926962024251</v>
      </c>
      <c r="H96" s="39">
        <v>161.07926962024251</v>
      </c>
      <c r="I96" s="51">
        <v>15263.5113698</v>
      </c>
      <c r="J96" s="39">
        <v>10964.025395000001</v>
      </c>
    </row>
    <row r="97" spans="1:10" x14ac:dyDescent="0.35">
      <c r="A97" s="50">
        <v>38691.772013154303</v>
      </c>
      <c r="B97" s="50">
        <v>11080.602843074541</v>
      </c>
      <c r="C97" s="51">
        <v>9024.4539999999997</v>
      </c>
      <c r="D97" s="51">
        <v>1169.3240409390189</v>
      </c>
      <c r="E97" s="51">
        <v>67232.410999999993</v>
      </c>
      <c r="F97" s="51">
        <v>3361.135622004364</v>
      </c>
      <c r="G97" s="39">
        <v>161.07926962024251</v>
      </c>
      <c r="H97" s="39">
        <v>161.07926962024251</v>
      </c>
      <c r="I97" s="51">
        <v>15695.047986719999</v>
      </c>
      <c r="J97" s="39">
        <v>10964.025395000001</v>
      </c>
    </row>
    <row r="98" spans="1:10" x14ac:dyDescent="0.35">
      <c r="A98" s="50">
        <v>35697.335983620804</v>
      </c>
      <c r="B98" s="50">
        <v>11120.850843074541</v>
      </c>
      <c r="C98" s="51">
        <v>8311.9560000000001</v>
      </c>
      <c r="D98" s="51">
        <v>1260.738922991665</v>
      </c>
      <c r="E98" s="51">
        <v>64525.411</v>
      </c>
      <c r="F98" s="51">
        <v>3361.1356220039602</v>
      </c>
      <c r="G98" s="39">
        <v>161.07828357022001</v>
      </c>
      <c r="H98" s="39">
        <v>161.07828357022001</v>
      </c>
      <c r="I98" s="51">
        <v>15527.594008440001</v>
      </c>
      <c r="J98" s="39">
        <v>10964.025395000001</v>
      </c>
    </row>
    <row r="99" spans="1:10" x14ac:dyDescent="0.35">
      <c r="A99" s="50">
        <v>33443.419420272097</v>
      </c>
      <c r="B99" s="50">
        <v>11146.66284307454</v>
      </c>
      <c r="C99" s="51">
        <v>7901.4470000000001</v>
      </c>
      <c r="D99" s="51">
        <v>1260.738922991665</v>
      </c>
      <c r="E99" s="51">
        <v>62635.411</v>
      </c>
      <c r="F99" s="51">
        <v>3361.1356220039602</v>
      </c>
      <c r="G99" s="39">
        <v>161.07828357022001</v>
      </c>
      <c r="H99" s="39">
        <v>161.07828357022001</v>
      </c>
      <c r="I99" s="51">
        <v>15950.20904718</v>
      </c>
      <c r="J99" s="39">
        <v>10964.025395000001</v>
      </c>
    </row>
    <row r="100" spans="1:10" x14ac:dyDescent="0.35">
      <c r="A100" s="50">
        <v>32918.370374758197</v>
      </c>
      <c r="B100" s="50">
        <v>11210.691843074541</v>
      </c>
      <c r="C100" s="51">
        <v>7535.9009999999998</v>
      </c>
      <c r="D100" s="51">
        <v>1260.738922991665</v>
      </c>
      <c r="E100" s="51">
        <v>60072.411</v>
      </c>
      <c r="F100" s="51">
        <v>3361.1356220039602</v>
      </c>
      <c r="G100" s="39">
        <v>161.07828357022001</v>
      </c>
      <c r="H100" s="39">
        <v>161.07828357022001</v>
      </c>
      <c r="I100" s="51">
        <v>15353.071331409999</v>
      </c>
      <c r="J100" s="39">
        <v>10964.025395000001</v>
      </c>
    </row>
    <row r="101" spans="1:10" x14ac:dyDescent="0.35">
      <c r="A101" s="50">
        <v>33416.450589002998</v>
      </c>
      <c r="B101" s="50">
        <v>11301.03584307454</v>
      </c>
      <c r="C101" s="51">
        <v>7375.9170000000004</v>
      </c>
      <c r="D101" s="51">
        <v>1260.738922991665</v>
      </c>
      <c r="E101" s="51">
        <v>58605.411</v>
      </c>
      <c r="F101" s="51">
        <v>3361.1356220039602</v>
      </c>
      <c r="G101" s="39">
        <v>161.07828357022001</v>
      </c>
      <c r="H101" s="39">
        <v>161.07828357022001</v>
      </c>
      <c r="I101" s="51">
        <v>14974.281993050001</v>
      </c>
      <c r="J101" s="39">
        <v>10964.025395000001</v>
      </c>
    </row>
    <row r="102" spans="1:10" x14ac:dyDescent="0.35">
      <c r="A102" s="50">
        <v>34484.311764963</v>
      </c>
      <c r="B102" s="50">
        <v>11446.316843924889</v>
      </c>
      <c r="C102" s="51">
        <v>7356.6719999999996</v>
      </c>
      <c r="D102" s="51">
        <v>1260.738922991665</v>
      </c>
      <c r="E102" s="51">
        <v>59199.411</v>
      </c>
      <c r="F102" s="51">
        <v>3361.1356219992031</v>
      </c>
      <c r="G102" s="39">
        <v>161.53816548273349</v>
      </c>
      <c r="H102" s="39">
        <v>161.53816548273349</v>
      </c>
      <c r="I102" s="51">
        <v>17128.174998689999</v>
      </c>
      <c r="J102" s="39">
        <v>10964.025395000001</v>
      </c>
    </row>
    <row r="103" spans="1:10" x14ac:dyDescent="0.35">
      <c r="A103" s="50">
        <v>36838.489177028394</v>
      </c>
      <c r="B103" s="50">
        <v>11635.576845625599</v>
      </c>
      <c r="C103" s="51">
        <v>7499.22</v>
      </c>
      <c r="D103" s="51">
        <v>1358.695399468565</v>
      </c>
      <c r="E103" s="51">
        <v>61970.411</v>
      </c>
      <c r="F103" s="51">
        <v>3361.1356219996878</v>
      </c>
      <c r="G103" s="39">
        <v>162.45792930776039</v>
      </c>
      <c r="H103" s="39">
        <v>162.45792930776039</v>
      </c>
      <c r="I103" s="51">
        <v>17408.776982479998</v>
      </c>
      <c r="J103" s="39">
        <v>10964.025395000001</v>
      </c>
    </row>
    <row r="104" spans="1:10" x14ac:dyDescent="0.35">
      <c r="A104" s="50">
        <v>40685.044522048302</v>
      </c>
      <c r="B104" s="50">
        <v>11704.744846475949</v>
      </c>
      <c r="C104" s="51">
        <v>7871.585</v>
      </c>
      <c r="D104" s="51">
        <v>1456.651875945465</v>
      </c>
      <c r="E104" s="51">
        <v>65894.410999999993</v>
      </c>
      <c r="F104" s="51">
        <v>3361.1356220049302</v>
      </c>
      <c r="G104" s="39">
        <v>162.9178112202739</v>
      </c>
      <c r="H104" s="39">
        <v>162.9178112202739</v>
      </c>
      <c r="I104" s="51">
        <v>12543.70104392</v>
      </c>
      <c r="J104" s="39">
        <v>10964.025395000001</v>
      </c>
    </row>
    <row r="105" spans="1:10" x14ac:dyDescent="0.35">
      <c r="A105" s="50">
        <v>43875.097553467793</v>
      </c>
      <c r="B105" s="50">
        <v>11695.29784732631</v>
      </c>
      <c r="C105" s="51">
        <v>8419.3709999999992</v>
      </c>
      <c r="D105" s="51">
        <v>1549.452748397264</v>
      </c>
      <c r="E105" s="51">
        <v>68865.410999999993</v>
      </c>
      <c r="F105" s="51">
        <v>3361.135622000173</v>
      </c>
      <c r="G105" s="39">
        <v>163.37769313278741</v>
      </c>
      <c r="H105" s="39">
        <v>163.37769313278741</v>
      </c>
      <c r="I105" s="51">
        <v>13253.46751567</v>
      </c>
      <c r="J105" s="39">
        <v>10964.025395000001</v>
      </c>
    </row>
    <row r="106" spans="1:10" x14ac:dyDescent="0.35">
      <c r="A106" s="50">
        <v>45538.096604294791</v>
      </c>
      <c r="B106" s="50">
        <v>11630.29884732631</v>
      </c>
      <c r="C106" s="51">
        <v>8942.4040000000005</v>
      </c>
      <c r="D106" s="51">
        <v>1647.409224874164</v>
      </c>
      <c r="E106" s="51">
        <v>69875.410999999993</v>
      </c>
      <c r="F106" s="51">
        <v>3361.135622000173</v>
      </c>
      <c r="G106" s="39">
        <v>163.37769313278741</v>
      </c>
      <c r="H106" s="39">
        <v>163.37769313278741</v>
      </c>
      <c r="I106" s="51">
        <v>14963.048830600001</v>
      </c>
      <c r="J106" s="39">
        <v>10964.025395000001</v>
      </c>
    </row>
    <row r="107" spans="1:10" x14ac:dyDescent="0.35">
      <c r="A107" s="50">
        <v>45364.170304206898</v>
      </c>
      <c r="B107" s="50">
        <v>11563.319847326309</v>
      </c>
      <c r="C107" s="51">
        <v>9550.4279999999999</v>
      </c>
      <c r="D107" s="51">
        <v>1647.409224874164</v>
      </c>
      <c r="E107" s="51">
        <v>70556.410999999993</v>
      </c>
      <c r="F107" s="51">
        <v>3361.135622000173</v>
      </c>
      <c r="G107" s="39">
        <v>163.37769313278741</v>
      </c>
      <c r="H107" s="39">
        <v>163.37769313278741</v>
      </c>
      <c r="I107" s="51">
        <v>23637.93523789</v>
      </c>
      <c r="J107" s="39">
        <v>10964.025395000001</v>
      </c>
    </row>
    <row r="108" spans="1:10" x14ac:dyDescent="0.35">
      <c r="A108" s="50">
        <v>44918.025227377206</v>
      </c>
      <c r="B108" s="50">
        <v>11487.43784732631</v>
      </c>
      <c r="C108" s="51">
        <v>10680.032999999999</v>
      </c>
      <c r="D108" s="51">
        <v>1698.965265125164</v>
      </c>
      <c r="E108" s="51">
        <v>69997.410999999993</v>
      </c>
      <c r="F108" s="51">
        <v>3361.135622000173</v>
      </c>
      <c r="G108" s="39">
        <v>163.37769313278741</v>
      </c>
      <c r="H108" s="39">
        <v>163.37769313278741</v>
      </c>
      <c r="I108" s="51">
        <v>22771.062651330001</v>
      </c>
      <c r="J108" s="39">
        <v>10964.025395000001</v>
      </c>
    </row>
    <row r="109" spans="1:10" x14ac:dyDescent="0.35">
      <c r="A109" s="50">
        <v>46068.963565969294</v>
      </c>
      <c r="B109" s="50">
        <v>11431.017846475948</v>
      </c>
      <c r="C109" s="51">
        <v>12047.626</v>
      </c>
      <c r="D109" s="51">
        <v>1698.965265125164</v>
      </c>
      <c r="E109" s="51">
        <v>71361.410999999993</v>
      </c>
      <c r="F109" s="51">
        <v>3361.1356220049302</v>
      </c>
      <c r="G109" s="39">
        <v>162.9178112202739</v>
      </c>
      <c r="H109" s="39">
        <v>162.9178112202739</v>
      </c>
      <c r="I109" s="51">
        <v>24889.15617686</v>
      </c>
      <c r="J109" s="39">
        <v>10964.025395000001</v>
      </c>
    </row>
    <row r="110" spans="1:10" x14ac:dyDescent="0.35">
      <c r="A110" s="50">
        <v>46884.936466111496</v>
      </c>
      <c r="B110" s="50">
        <v>11384.2038456256</v>
      </c>
      <c r="C110" s="51">
        <v>13127.918</v>
      </c>
      <c r="D110" s="51">
        <v>1647.409224874164</v>
      </c>
      <c r="E110" s="51">
        <v>71785.410999999993</v>
      </c>
      <c r="F110" s="51">
        <v>3361.1356219996878</v>
      </c>
      <c r="G110" s="39">
        <v>162.45792930776039</v>
      </c>
      <c r="H110" s="39">
        <v>162.45792930776039</v>
      </c>
      <c r="I110" s="51">
        <v>24837.88351562</v>
      </c>
      <c r="J110" s="39">
        <v>10964.025395000001</v>
      </c>
    </row>
    <row r="111" spans="1:10" x14ac:dyDescent="0.35">
      <c r="A111" s="50">
        <v>46595.594814868295</v>
      </c>
      <c r="B111" s="50">
        <v>11367.7848456256</v>
      </c>
      <c r="C111" s="51">
        <v>13274.036</v>
      </c>
      <c r="D111" s="51">
        <v>1673.187244999664</v>
      </c>
      <c r="E111" s="51">
        <v>69735.410999999993</v>
      </c>
      <c r="F111" s="51">
        <v>3361.1356219996878</v>
      </c>
      <c r="G111" s="39">
        <v>162.45792930776039</v>
      </c>
      <c r="H111" s="39">
        <v>162.45792930776039</v>
      </c>
      <c r="I111" s="51">
        <v>24325.911481110001</v>
      </c>
      <c r="J111" s="39">
        <v>10964.025395000001</v>
      </c>
    </row>
    <row r="112" spans="1:10" x14ac:dyDescent="0.35">
      <c r="A112" s="50">
        <v>45166.320824155802</v>
      </c>
      <c r="B112" s="50">
        <v>11381.70484647595</v>
      </c>
      <c r="C112" s="51">
        <v>13002.319</v>
      </c>
      <c r="D112" s="51">
        <v>1647.409224874164</v>
      </c>
      <c r="E112" s="51">
        <v>69560.410999999993</v>
      </c>
      <c r="F112" s="51">
        <v>3361.1356220049302</v>
      </c>
      <c r="G112" s="39">
        <v>162.9178112202739</v>
      </c>
      <c r="H112" s="39">
        <v>162.9178112202739</v>
      </c>
      <c r="I112" s="51">
        <v>19734.444732280001</v>
      </c>
      <c r="J112" s="39">
        <v>10964.025395000001</v>
      </c>
    </row>
    <row r="113" spans="1:10" x14ac:dyDescent="0.35">
      <c r="A113" s="50">
        <v>44747.134522842593</v>
      </c>
      <c r="B113" s="50">
        <v>11408.560847326309</v>
      </c>
      <c r="C113" s="51">
        <v>12251.795</v>
      </c>
      <c r="D113" s="51">
        <v>1647.409224874164</v>
      </c>
      <c r="E113" s="51">
        <v>71073.410999999993</v>
      </c>
      <c r="F113" s="51">
        <v>3361.135622000173</v>
      </c>
      <c r="G113" s="39">
        <v>163.37769313278741</v>
      </c>
      <c r="H113" s="39">
        <v>163.37769313278741</v>
      </c>
      <c r="I113" s="51">
        <v>17035.807885369999</v>
      </c>
      <c r="J113" s="39">
        <v>10964.025395000001</v>
      </c>
    </row>
    <row r="114" spans="1:10" x14ac:dyDescent="0.35">
      <c r="A114" s="50">
        <v>45481.0811449955</v>
      </c>
      <c r="B114" s="50">
        <v>11418.085847326309</v>
      </c>
      <c r="C114" s="51">
        <v>11383.609</v>
      </c>
      <c r="D114" s="51">
        <v>1647.409224874164</v>
      </c>
      <c r="E114" s="51">
        <v>74269.410999999993</v>
      </c>
      <c r="F114" s="51">
        <v>3361.135622000173</v>
      </c>
      <c r="G114" s="39">
        <v>163.37769313278741</v>
      </c>
      <c r="H114" s="39">
        <v>163.37769313278741</v>
      </c>
      <c r="I114" s="51">
        <v>13511.96404155</v>
      </c>
      <c r="J114" s="39">
        <v>10964.025395000001</v>
      </c>
    </row>
    <row r="115" spans="1:10" x14ac:dyDescent="0.35">
      <c r="A115" s="50">
        <v>47807.582531102002</v>
      </c>
      <c r="B115" s="50">
        <v>11430.344847326309</v>
      </c>
      <c r="C115" s="51">
        <v>10698.816999999999</v>
      </c>
      <c r="D115" s="51">
        <v>1647.409224874164</v>
      </c>
      <c r="E115" s="51">
        <v>79526.410999999993</v>
      </c>
      <c r="F115" s="51">
        <v>3361.135622000173</v>
      </c>
      <c r="G115" s="39">
        <v>163.37769313278741</v>
      </c>
      <c r="H115" s="39">
        <v>163.37769313278741</v>
      </c>
      <c r="I115" s="51">
        <v>16009.949312229999</v>
      </c>
      <c r="J115" s="39">
        <v>10964.025395000001</v>
      </c>
    </row>
    <row r="116" spans="1:10" x14ac:dyDescent="0.35">
      <c r="A116" s="50">
        <v>49029.388693360401</v>
      </c>
      <c r="B116" s="50">
        <v>11411.629846475949</v>
      </c>
      <c r="C116" s="51">
        <v>10403.48</v>
      </c>
      <c r="D116" s="51">
        <v>1647.409224874164</v>
      </c>
      <c r="E116" s="51">
        <v>81083.410999999993</v>
      </c>
      <c r="F116" s="51">
        <v>3361.1356220049302</v>
      </c>
      <c r="G116" s="39">
        <v>162.9178112202739</v>
      </c>
      <c r="H116" s="39">
        <v>162.9178112202739</v>
      </c>
      <c r="I116" s="51">
        <v>16198.61048397</v>
      </c>
      <c r="J116" s="39">
        <v>10964.025395000001</v>
      </c>
    </row>
    <row r="117" spans="1:10" x14ac:dyDescent="0.35">
      <c r="A117" s="50">
        <v>48345.838182151601</v>
      </c>
      <c r="B117" s="50">
        <v>11376.9658456256</v>
      </c>
      <c r="C117" s="51">
        <v>10403.647000000001</v>
      </c>
      <c r="D117" s="51">
        <v>1492.7411041211651</v>
      </c>
      <c r="E117" s="51">
        <v>79563.410999999993</v>
      </c>
      <c r="F117" s="51">
        <v>3361.1356219996878</v>
      </c>
      <c r="G117" s="39">
        <v>162.45792930776039</v>
      </c>
      <c r="H117" s="39">
        <v>162.45792930776039</v>
      </c>
      <c r="I117" s="51">
        <v>16245.33301574</v>
      </c>
      <c r="J117" s="39">
        <v>10964.025395000001</v>
      </c>
    </row>
    <row r="118" spans="1:10" x14ac:dyDescent="0.35">
      <c r="A118" s="50">
        <v>46514.491437809003</v>
      </c>
      <c r="B118" s="50">
        <v>11317.651844775239</v>
      </c>
      <c r="C118" s="51">
        <v>10024.235000000001</v>
      </c>
      <c r="D118" s="51">
        <v>1389.6290236191651</v>
      </c>
      <c r="E118" s="51">
        <v>75401.410999999993</v>
      </c>
      <c r="F118" s="51">
        <v>3361.1356220044449</v>
      </c>
      <c r="G118" s="39">
        <v>161.99804739524691</v>
      </c>
      <c r="H118" s="39">
        <v>161.99804739524691</v>
      </c>
      <c r="I118" s="51">
        <v>16316.92975979</v>
      </c>
      <c r="J118" s="39">
        <v>10964.025395000001</v>
      </c>
    </row>
    <row r="119" spans="1:10" x14ac:dyDescent="0.35">
      <c r="A119" s="50">
        <v>44030.099618832697</v>
      </c>
      <c r="B119" s="50">
        <v>11195.15884392489</v>
      </c>
      <c r="C119" s="51">
        <v>9508.4040000000005</v>
      </c>
      <c r="D119" s="51">
        <v>1312.2949632426651</v>
      </c>
      <c r="E119" s="51">
        <v>72366.410999999993</v>
      </c>
      <c r="F119" s="51">
        <v>3361.1356219992031</v>
      </c>
      <c r="G119" s="39">
        <v>161.53816548273349</v>
      </c>
      <c r="H119" s="39">
        <v>161.53816548273349</v>
      </c>
      <c r="I119" s="51">
        <v>16260.675734840001</v>
      </c>
      <c r="J119" s="39">
        <v>10964.025395000001</v>
      </c>
    </row>
    <row r="120" spans="1:10" x14ac:dyDescent="0.35">
      <c r="A120" s="50">
        <v>41707.184347134593</v>
      </c>
      <c r="B120" s="50">
        <v>11095.649843074541</v>
      </c>
      <c r="C120" s="51">
        <v>9459.2720000000008</v>
      </c>
      <c r="D120" s="51">
        <v>1260.738922991665</v>
      </c>
      <c r="E120" s="51">
        <v>69221.410999999993</v>
      </c>
      <c r="F120" s="51">
        <v>3361.1356220039602</v>
      </c>
      <c r="G120" s="39">
        <v>161.07828357022001</v>
      </c>
      <c r="H120" s="39">
        <v>161.07828357022001</v>
      </c>
      <c r="I120" s="51">
        <v>17311.10865459</v>
      </c>
      <c r="J120" s="39">
        <v>10964.025395000001</v>
      </c>
    </row>
    <row r="121" spans="1:10" x14ac:dyDescent="0.35">
      <c r="A121" s="50">
        <v>39025.486424749804</v>
      </c>
      <c r="B121" s="50">
        <v>11108.14484307454</v>
      </c>
      <c r="C121" s="51">
        <v>9036.2420000000002</v>
      </c>
      <c r="D121" s="51">
        <v>1260.738922991665</v>
      </c>
      <c r="E121" s="51">
        <v>68610.410999999993</v>
      </c>
      <c r="F121" s="51">
        <v>3361.1356220039602</v>
      </c>
      <c r="G121" s="39">
        <v>161.07828357022001</v>
      </c>
      <c r="H121" s="39">
        <v>161.07828357022001</v>
      </c>
      <c r="I121" s="51">
        <v>17791.642140329997</v>
      </c>
      <c r="J121" s="39">
        <v>10964.025395000001</v>
      </c>
    </row>
    <row r="122" spans="1:10" x14ac:dyDescent="0.35">
      <c r="A122" s="50">
        <v>35663.648624314199</v>
      </c>
      <c r="B122" s="50">
        <v>11142.000577696801</v>
      </c>
      <c r="C122" s="51">
        <v>8261.5229999999992</v>
      </c>
      <c r="D122" s="51">
        <v>1601.956469328378</v>
      </c>
      <c r="E122" s="51">
        <v>63862.411</v>
      </c>
      <c r="F122" s="51">
        <v>3361.135621997681</v>
      </c>
      <c r="G122" s="39">
        <v>160.99467372931559</v>
      </c>
      <c r="H122" s="39">
        <v>160.99467372931559</v>
      </c>
      <c r="I122" s="51">
        <v>21705.270911269999</v>
      </c>
      <c r="J122" s="39">
        <v>10964.025395000001</v>
      </c>
    </row>
    <row r="123" spans="1:10" x14ac:dyDescent="0.35">
      <c r="A123" s="50">
        <v>33236.965069379497</v>
      </c>
      <c r="B123" s="50">
        <v>11166.8445776968</v>
      </c>
      <c r="C123" s="51">
        <v>7829.38</v>
      </c>
      <c r="D123" s="51">
        <v>1601.956469328378</v>
      </c>
      <c r="E123" s="51">
        <v>61484.411</v>
      </c>
      <c r="F123" s="51">
        <v>3361.135621997681</v>
      </c>
      <c r="G123" s="39">
        <v>160.99467372931559</v>
      </c>
      <c r="H123" s="39">
        <v>160.99467372931559</v>
      </c>
      <c r="I123" s="51">
        <v>22548.906436060002</v>
      </c>
      <c r="J123" s="39">
        <v>10964.025395000001</v>
      </c>
    </row>
    <row r="124" spans="1:10" x14ac:dyDescent="0.35">
      <c r="A124" s="50">
        <v>32282.155756503398</v>
      </c>
      <c r="B124" s="50">
        <v>11224.241577696801</v>
      </c>
      <c r="C124" s="51">
        <v>7422.616</v>
      </c>
      <c r="D124" s="51">
        <v>1601.956469328378</v>
      </c>
      <c r="E124" s="51">
        <v>59731.411</v>
      </c>
      <c r="F124" s="51">
        <v>3361.135621997681</v>
      </c>
      <c r="G124" s="39">
        <v>160.99467372931559</v>
      </c>
      <c r="H124" s="39">
        <v>160.99467372931559</v>
      </c>
      <c r="I124" s="51">
        <v>22062.671658990002</v>
      </c>
      <c r="J124" s="39">
        <v>10964.025395000001</v>
      </c>
    </row>
    <row r="125" spans="1:10" x14ac:dyDescent="0.35">
      <c r="A125" s="50">
        <v>32119.809874632498</v>
      </c>
      <c r="B125" s="50">
        <v>11314.339577696801</v>
      </c>
      <c r="C125" s="51">
        <v>7222.8249999999998</v>
      </c>
      <c r="D125" s="51">
        <v>1601.956469328378</v>
      </c>
      <c r="E125" s="51">
        <v>58102.411</v>
      </c>
      <c r="F125" s="51">
        <v>3361.135621997681</v>
      </c>
      <c r="G125" s="39">
        <v>160.99467372931559</v>
      </c>
      <c r="H125" s="39">
        <v>160.99467372931559</v>
      </c>
      <c r="I125" s="51">
        <v>22153.28613946</v>
      </c>
      <c r="J125" s="39">
        <v>10964.025395000001</v>
      </c>
    </row>
    <row r="126" spans="1:10" x14ac:dyDescent="0.35">
      <c r="A126" s="50">
        <v>31453.491455266703</v>
      </c>
      <c r="B126" s="50">
        <v>11488.740845252949</v>
      </c>
      <c r="C126" s="51">
        <v>7161.9179999999997</v>
      </c>
      <c r="D126" s="51">
        <v>1601.956469328378</v>
      </c>
      <c r="E126" s="51">
        <v>58377.411</v>
      </c>
      <c r="F126" s="51">
        <v>3361.1356220029538</v>
      </c>
      <c r="G126" s="39">
        <v>161.92240764571969</v>
      </c>
      <c r="H126" s="39">
        <v>161.92240764571969</v>
      </c>
      <c r="I126" s="51">
        <v>23720.404967360002</v>
      </c>
      <c r="J126" s="39">
        <v>10964.025395000001</v>
      </c>
    </row>
    <row r="127" spans="1:10" x14ac:dyDescent="0.35">
      <c r="A127" s="50">
        <v>30671.187033242102</v>
      </c>
      <c r="B127" s="50">
        <v>11690.8611128091</v>
      </c>
      <c r="C127" s="51">
        <v>7218.1629999999996</v>
      </c>
      <c r="D127" s="51">
        <v>1601.956469328378</v>
      </c>
      <c r="E127" s="51">
        <v>59598.411</v>
      </c>
      <c r="F127" s="51">
        <v>3361.1356219982272</v>
      </c>
      <c r="G127" s="39">
        <v>162.8501415621237</v>
      </c>
      <c r="H127" s="39">
        <v>162.8501415621237</v>
      </c>
      <c r="I127" s="51">
        <v>19141.281988639999</v>
      </c>
      <c r="J127" s="39">
        <v>10964.025395000001</v>
      </c>
    </row>
    <row r="128" spans="1:10" x14ac:dyDescent="0.35">
      <c r="A128" s="50">
        <v>31395.219458024698</v>
      </c>
      <c r="B128" s="50">
        <v>11767.551246587171</v>
      </c>
      <c r="C128" s="51">
        <v>7347.2060000000001</v>
      </c>
      <c r="D128" s="51">
        <v>1601.956469328378</v>
      </c>
      <c r="E128" s="51">
        <v>61082.411</v>
      </c>
      <c r="F128" s="51">
        <v>3361.1356219958639</v>
      </c>
      <c r="G128" s="39">
        <v>163.31400852032581</v>
      </c>
      <c r="H128" s="39">
        <v>163.31400852032581</v>
      </c>
      <c r="I128" s="51">
        <v>19282.152091969998</v>
      </c>
      <c r="J128" s="39">
        <v>10964.025395000001</v>
      </c>
    </row>
    <row r="129" spans="1:10" x14ac:dyDescent="0.35">
      <c r="A129" s="50">
        <v>33051.7617639452</v>
      </c>
      <c r="B129" s="50">
        <v>11748.696112809101</v>
      </c>
      <c r="C129" s="51">
        <v>7433.34</v>
      </c>
      <c r="D129" s="51">
        <v>1601.956469328378</v>
      </c>
      <c r="E129" s="51">
        <v>62574.411</v>
      </c>
      <c r="F129" s="51">
        <v>3361.1356219982272</v>
      </c>
      <c r="G129" s="39">
        <v>162.8501415621237</v>
      </c>
      <c r="H129" s="39">
        <v>162.8501415621237</v>
      </c>
      <c r="I129" s="51">
        <v>24941.106359630001</v>
      </c>
      <c r="J129" s="39">
        <v>10964.025395000001</v>
      </c>
    </row>
    <row r="130" spans="1:10" x14ac:dyDescent="0.35">
      <c r="A130" s="50">
        <v>34851.119747540099</v>
      </c>
      <c r="B130" s="50">
        <v>11668.573112809099</v>
      </c>
      <c r="C130" s="51">
        <v>7561.3940000000002</v>
      </c>
      <c r="D130" s="51">
        <v>1601.956469328378</v>
      </c>
      <c r="E130" s="51">
        <v>64423.411</v>
      </c>
      <c r="F130" s="51">
        <v>3361.1356219982272</v>
      </c>
      <c r="G130" s="39">
        <v>162.8501415621237</v>
      </c>
      <c r="H130" s="39">
        <v>162.8501415621237</v>
      </c>
      <c r="I130" s="51">
        <v>20489.664095389999</v>
      </c>
      <c r="J130" s="39">
        <v>10964.025395000001</v>
      </c>
    </row>
    <row r="131" spans="1:10" x14ac:dyDescent="0.35">
      <c r="A131" s="50">
        <v>35635.733646089</v>
      </c>
      <c r="B131" s="50">
        <v>11590.9591128091</v>
      </c>
      <c r="C131" s="51">
        <v>8265.2219999999998</v>
      </c>
      <c r="D131" s="51">
        <v>1601.956469328378</v>
      </c>
      <c r="E131" s="51">
        <v>65895.410999999993</v>
      </c>
      <c r="F131" s="51">
        <v>3361.1356219982272</v>
      </c>
      <c r="G131" s="39">
        <v>162.8501415621237</v>
      </c>
      <c r="H131" s="39">
        <v>162.8501415621237</v>
      </c>
      <c r="I131" s="51">
        <v>19089.156926570002</v>
      </c>
      <c r="J131" s="39">
        <v>10964.025395000001</v>
      </c>
    </row>
    <row r="132" spans="1:10" x14ac:dyDescent="0.35">
      <c r="A132" s="50">
        <v>35548.859793676602</v>
      </c>
      <c r="B132" s="50">
        <v>11523.1481128091</v>
      </c>
      <c r="C132" s="51">
        <v>9558.5589999999993</v>
      </c>
      <c r="D132" s="51">
        <v>1785.6763065217999</v>
      </c>
      <c r="E132" s="51">
        <v>65768.410999999993</v>
      </c>
      <c r="F132" s="51">
        <v>3361.1356219982272</v>
      </c>
      <c r="G132" s="39">
        <v>162.8501415621237</v>
      </c>
      <c r="H132" s="39">
        <v>162.8501415621237</v>
      </c>
      <c r="I132" s="51">
        <v>17671.800555909998</v>
      </c>
      <c r="J132" s="39">
        <v>10964.025395000001</v>
      </c>
    </row>
    <row r="133" spans="1:10" x14ac:dyDescent="0.35">
      <c r="A133" s="50">
        <v>36891.880923306097</v>
      </c>
      <c r="B133" s="50">
        <v>11488.80524658717</v>
      </c>
      <c r="C133" s="51">
        <v>10938.232</v>
      </c>
      <c r="D133" s="51">
        <v>1785.6763065217999</v>
      </c>
      <c r="E133" s="51">
        <v>66747.410999999993</v>
      </c>
      <c r="F133" s="51">
        <v>3361.1356219958639</v>
      </c>
      <c r="G133" s="39">
        <v>163.31400852032581</v>
      </c>
      <c r="H133" s="39">
        <v>163.31400852032581</v>
      </c>
      <c r="I133" s="51">
        <v>13045.64515321</v>
      </c>
      <c r="J133" s="39">
        <v>10964.025395000001</v>
      </c>
    </row>
    <row r="134" spans="1:10" x14ac:dyDescent="0.35">
      <c r="A134" s="50">
        <v>38079.210126764796</v>
      </c>
      <c r="B134" s="50">
        <v>11449.0251128091</v>
      </c>
      <c r="C134" s="51">
        <v>11874.005999999999</v>
      </c>
      <c r="D134" s="51">
        <v>1785.6763065217999</v>
      </c>
      <c r="E134" s="51">
        <v>67903.410999999993</v>
      </c>
      <c r="F134" s="51">
        <v>3361.1356219982272</v>
      </c>
      <c r="G134" s="39">
        <v>162.8501415621237</v>
      </c>
      <c r="H134" s="39">
        <v>162.8501415621237</v>
      </c>
      <c r="I134" s="51">
        <v>13752.74704923</v>
      </c>
      <c r="J134" s="39">
        <v>10964.025395000001</v>
      </c>
    </row>
    <row r="135" spans="1:10" x14ac:dyDescent="0.35">
      <c r="A135" s="50">
        <v>38087.676994633897</v>
      </c>
      <c r="B135" s="50">
        <v>11432.401112809101</v>
      </c>
      <c r="C135" s="51">
        <v>11630.675999999999</v>
      </c>
      <c r="D135" s="51">
        <v>1785.6763065217999</v>
      </c>
      <c r="E135" s="51">
        <v>65366.411</v>
      </c>
      <c r="F135" s="51">
        <v>3361.1356219982272</v>
      </c>
      <c r="G135" s="39">
        <v>162.8501415621237</v>
      </c>
      <c r="H135" s="39">
        <v>162.8501415621237</v>
      </c>
      <c r="I135" s="51">
        <v>16268.784471749999</v>
      </c>
      <c r="J135" s="39">
        <v>10964.025395000001</v>
      </c>
    </row>
    <row r="136" spans="1:10" x14ac:dyDescent="0.35">
      <c r="A136" s="50">
        <v>36383.748736758098</v>
      </c>
      <c r="B136" s="50">
        <v>11443.203246587171</v>
      </c>
      <c r="C136" s="51">
        <v>10915.235000000001</v>
      </c>
      <c r="D136" s="51">
        <v>1785.6763065217999</v>
      </c>
      <c r="E136" s="51">
        <v>64492.411</v>
      </c>
      <c r="F136" s="51">
        <v>3361.1356219958639</v>
      </c>
      <c r="G136" s="39">
        <v>163.31400852032581</v>
      </c>
      <c r="H136" s="39">
        <v>163.31400852032581</v>
      </c>
      <c r="I136" s="51">
        <v>18832.064148580001</v>
      </c>
      <c r="J136" s="39">
        <v>10964.025395000001</v>
      </c>
    </row>
    <row r="137" spans="1:10" x14ac:dyDescent="0.35">
      <c r="A137" s="50">
        <v>35544.2173127809</v>
      </c>
      <c r="B137" s="50">
        <v>11431.6021128091</v>
      </c>
      <c r="C137" s="51">
        <v>10276.374</v>
      </c>
      <c r="D137" s="51">
        <v>1601.956469328378</v>
      </c>
      <c r="E137" s="51">
        <v>65115.411</v>
      </c>
      <c r="F137" s="51">
        <v>3361.1356219982272</v>
      </c>
      <c r="G137" s="39">
        <v>162.8501415621237</v>
      </c>
      <c r="H137" s="39">
        <v>162.8501415621237</v>
      </c>
      <c r="I137" s="51">
        <v>16267.291210720001</v>
      </c>
      <c r="J137" s="39">
        <v>10964.025395000001</v>
      </c>
    </row>
    <row r="138" spans="1:10" x14ac:dyDescent="0.35">
      <c r="A138" s="50">
        <v>35914.476757259799</v>
      </c>
      <c r="B138" s="50">
        <v>11431.8981128091</v>
      </c>
      <c r="C138" s="51">
        <v>9646.6149999999998</v>
      </c>
      <c r="D138" s="51">
        <v>1601.956469328378</v>
      </c>
      <c r="E138" s="51">
        <v>67016.410999999993</v>
      </c>
      <c r="F138" s="51">
        <v>3361.1356219982272</v>
      </c>
      <c r="G138" s="39">
        <v>162.8501415621237</v>
      </c>
      <c r="H138" s="39">
        <v>162.8501415621237</v>
      </c>
      <c r="I138" s="51">
        <v>13610.4132445</v>
      </c>
      <c r="J138" s="39">
        <v>10964.025395000001</v>
      </c>
    </row>
    <row r="139" spans="1:10" x14ac:dyDescent="0.35">
      <c r="A139" s="50">
        <v>38649.070257309402</v>
      </c>
      <c r="B139" s="50">
        <v>11414.3281128091</v>
      </c>
      <c r="C139" s="51">
        <v>9515.6929999999993</v>
      </c>
      <c r="D139" s="51">
        <v>1601.956469328378</v>
      </c>
      <c r="E139" s="51">
        <v>70224.410999999993</v>
      </c>
      <c r="F139" s="51">
        <v>3361.1356219982272</v>
      </c>
      <c r="G139" s="39">
        <v>162.8501415621237</v>
      </c>
      <c r="H139" s="39">
        <v>162.8501415621237</v>
      </c>
      <c r="I139" s="51">
        <v>15872.68849699</v>
      </c>
      <c r="J139" s="39">
        <v>10964.025395000001</v>
      </c>
    </row>
    <row r="140" spans="1:10" x14ac:dyDescent="0.35">
      <c r="A140" s="50">
        <v>40715.917796502901</v>
      </c>
      <c r="B140" s="50">
        <v>11426.36124658717</v>
      </c>
      <c r="C140" s="51">
        <v>9696.7070000000003</v>
      </c>
      <c r="D140" s="51">
        <v>1601.956469328378</v>
      </c>
      <c r="E140" s="51">
        <v>71333.410999999993</v>
      </c>
      <c r="F140" s="51">
        <v>3361.1356219958639</v>
      </c>
      <c r="G140" s="39">
        <v>163.31400852032581</v>
      </c>
      <c r="H140" s="39">
        <v>163.31400852032581</v>
      </c>
      <c r="I140" s="51">
        <v>15898.609467730001</v>
      </c>
      <c r="J140" s="39">
        <v>10964.025395000001</v>
      </c>
    </row>
    <row r="141" spans="1:10" x14ac:dyDescent="0.35">
      <c r="A141" s="50">
        <v>41482.616883792296</v>
      </c>
      <c r="B141" s="50">
        <v>11400.3541128091</v>
      </c>
      <c r="C141" s="51">
        <v>9717.3829999999998</v>
      </c>
      <c r="D141" s="51">
        <v>1601.956469328378</v>
      </c>
      <c r="E141" s="51">
        <v>70366.410999999993</v>
      </c>
      <c r="F141" s="51">
        <v>3361.1356219982272</v>
      </c>
      <c r="G141" s="39">
        <v>162.8501415621237</v>
      </c>
      <c r="H141" s="39">
        <v>162.8501415621237</v>
      </c>
      <c r="I141" s="51">
        <v>15830.870615059999</v>
      </c>
      <c r="J141" s="39">
        <v>10964.025395000001</v>
      </c>
    </row>
    <row r="142" spans="1:10" x14ac:dyDescent="0.35">
      <c r="A142" s="50">
        <v>41442.561293027</v>
      </c>
      <c r="B142" s="50">
        <v>11336.925979031019</v>
      </c>
      <c r="C142" s="51">
        <v>9348.4760000000006</v>
      </c>
      <c r="D142" s="51">
        <v>1601.956469328378</v>
      </c>
      <c r="E142" s="51">
        <v>67407.410999999993</v>
      </c>
      <c r="F142" s="51">
        <v>3361.135622000591</v>
      </c>
      <c r="G142" s="39">
        <v>162.38627460392169</v>
      </c>
      <c r="H142" s="39">
        <v>162.38627460392169</v>
      </c>
      <c r="I142" s="51">
        <v>18402.720106020002</v>
      </c>
      <c r="J142" s="39">
        <v>10964.025395000001</v>
      </c>
    </row>
    <row r="143" spans="1:10" x14ac:dyDescent="0.35">
      <c r="A143" s="50">
        <v>40506.732638902693</v>
      </c>
      <c r="B143" s="50">
        <v>11209.036845252949</v>
      </c>
      <c r="C143" s="51">
        <v>8831.4169999999995</v>
      </c>
      <c r="D143" s="51">
        <v>1601.956469328378</v>
      </c>
      <c r="E143" s="51">
        <v>64893.411</v>
      </c>
      <c r="F143" s="51">
        <v>3361.1356220029538</v>
      </c>
      <c r="G143" s="39">
        <v>161.92240764571969</v>
      </c>
      <c r="H143" s="39">
        <v>161.92240764571969</v>
      </c>
      <c r="I143" s="51">
        <v>22709.409051629998</v>
      </c>
      <c r="J143" s="39">
        <v>10964.025395000001</v>
      </c>
    </row>
    <row r="144" spans="1:10" x14ac:dyDescent="0.35">
      <c r="A144" s="50">
        <v>38720.864740736099</v>
      </c>
      <c r="B144" s="50">
        <v>11103.330577696801</v>
      </c>
      <c r="C144" s="51">
        <v>8846.4850000000006</v>
      </c>
      <c r="D144" s="51">
        <v>1601.956469328378</v>
      </c>
      <c r="E144" s="51">
        <v>64313.411</v>
      </c>
      <c r="F144" s="51">
        <v>3361.135621997681</v>
      </c>
      <c r="G144" s="39">
        <v>160.99467372931559</v>
      </c>
      <c r="H144" s="39">
        <v>160.99467372931559</v>
      </c>
      <c r="I144" s="51">
        <v>18815.46466904</v>
      </c>
      <c r="J144" s="39">
        <v>10964.025395000001</v>
      </c>
    </row>
    <row r="145" spans="1:10" x14ac:dyDescent="0.35">
      <c r="A145" s="50">
        <v>35881.724335525003</v>
      </c>
      <c r="B145" s="50">
        <v>11121.367577696801</v>
      </c>
      <c r="C145" s="51">
        <v>8546.5609999999997</v>
      </c>
      <c r="D145" s="51">
        <v>1601.956469328378</v>
      </c>
      <c r="E145" s="51">
        <v>64023.411</v>
      </c>
      <c r="F145" s="51">
        <v>3361.135621997681</v>
      </c>
      <c r="G145" s="39">
        <v>160.99467372931559</v>
      </c>
      <c r="H145" s="39">
        <v>160.99467372931559</v>
      </c>
      <c r="I145" s="51">
        <v>16864.71611505</v>
      </c>
      <c r="J145" s="39">
        <v>10964.025395000001</v>
      </c>
    </row>
    <row r="146" spans="1:10" x14ac:dyDescent="0.35">
      <c r="A146" s="50">
        <v>33908.780394854402</v>
      </c>
      <c r="B146" s="50">
        <v>11158.082577696799</v>
      </c>
      <c r="C146" s="51">
        <v>7957.4250000000002</v>
      </c>
      <c r="D146" s="51">
        <v>1455.3989030504879</v>
      </c>
      <c r="E146" s="51">
        <v>63186.411</v>
      </c>
      <c r="F146" s="51">
        <v>3361.1356219972758</v>
      </c>
      <c r="G146" s="39">
        <v>160.9936876792932</v>
      </c>
      <c r="H146" s="39">
        <v>160.9936876792932</v>
      </c>
      <c r="I146" s="51">
        <v>19124.132617020001</v>
      </c>
      <c r="J146" s="39">
        <v>10964.025395000001</v>
      </c>
    </row>
    <row r="147" spans="1:10" x14ac:dyDescent="0.35">
      <c r="A147" s="50">
        <v>31694.692776352298</v>
      </c>
      <c r="B147" s="50">
        <v>11183.8985776968</v>
      </c>
      <c r="C147" s="51">
        <v>7541.326</v>
      </c>
      <c r="D147" s="51">
        <v>1455.3989030504879</v>
      </c>
      <c r="E147" s="51">
        <v>61673.411</v>
      </c>
      <c r="F147" s="51">
        <v>3361.1356219972758</v>
      </c>
      <c r="G147" s="39">
        <v>160.9936876792932</v>
      </c>
      <c r="H147" s="39">
        <v>160.9936876792932</v>
      </c>
      <c r="I147" s="51">
        <v>20998.29453191</v>
      </c>
      <c r="J147" s="39">
        <v>10964.025395000001</v>
      </c>
    </row>
    <row r="148" spans="1:10" x14ac:dyDescent="0.35">
      <c r="A148" s="50">
        <v>31042.177286499198</v>
      </c>
      <c r="B148" s="50">
        <v>11242.4665776968</v>
      </c>
      <c r="C148" s="51">
        <v>7143.91</v>
      </c>
      <c r="D148" s="51">
        <v>1455.3989030504879</v>
      </c>
      <c r="E148" s="51">
        <v>59796.411</v>
      </c>
      <c r="F148" s="51">
        <v>3361.1356219972758</v>
      </c>
      <c r="G148" s="39">
        <v>160.9936876792932</v>
      </c>
      <c r="H148" s="39">
        <v>160.9936876792932</v>
      </c>
      <c r="I148" s="51">
        <v>26824.958574470002</v>
      </c>
      <c r="J148" s="39">
        <v>10964.025395000001</v>
      </c>
    </row>
    <row r="149" spans="1:10" x14ac:dyDescent="0.35">
      <c r="A149" s="50">
        <v>31256.872673485897</v>
      </c>
      <c r="B149" s="50">
        <v>11331.8775776968</v>
      </c>
      <c r="C149" s="51">
        <v>6954.5510000000004</v>
      </c>
      <c r="D149" s="51">
        <v>1455.3989030504879</v>
      </c>
      <c r="E149" s="51">
        <v>57979.411</v>
      </c>
      <c r="F149" s="51">
        <v>3361.1356219972758</v>
      </c>
      <c r="G149" s="39">
        <v>160.9936876792932</v>
      </c>
      <c r="H149" s="39">
        <v>160.9936876792932</v>
      </c>
      <c r="I149" s="51">
        <v>42533.08338787</v>
      </c>
      <c r="J149" s="39">
        <v>10964.025395000001</v>
      </c>
    </row>
    <row r="150" spans="1:10" x14ac:dyDescent="0.35">
      <c r="A150" s="50">
        <v>31389.716083097101</v>
      </c>
      <c r="B150" s="50">
        <v>11509.87084525295</v>
      </c>
      <c r="C150" s="51">
        <v>6894.78</v>
      </c>
      <c r="D150" s="51">
        <v>1455.3989030504879</v>
      </c>
      <c r="E150" s="51">
        <v>57552.411</v>
      </c>
      <c r="F150" s="51">
        <v>3361.1356220025491</v>
      </c>
      <c r="G150" s="39">
        <v>161.92142159569721</v>
      </c>
      <c r="H150" s="39">
        <v>161.92142159569721</v>
      </c>
      <c r="I150" s="51">
        <v>33049.700170209995</v>
      </c>
      <c r="J150" s="39">
        <v>10964.025395000001</v>
      </c>
    </row>
    <row r="151" spans="1:10" x14ac:dyDescent="0.35">
      <c r="A151" s="50">
        <v>31768.584404416502</v>
      </c>
      <c r="B151" s="50">
        <v>11715.2101128091</v>
      </c>
      <c r="C151" s="51">
        <v>6929.8019999999997</v>
      </c>
      <c r="D151" s="51">
        <v>1455.3989030504879</v>
      </c>
      <c r="E151" s="51">
        <v>58003.411</v>
      </c>
      <c r="F151" s="51">
        <v>3361.135621997822</v>
      </c>
      <c r="G151" s="39">
        <v>162.84915551210119</v>
      </c>
      <c r="H151" s="39">
        <v>162.84915551210119</v>
      </c>
      <c r="I151" s="51">
        <v>27939.642297869999</v>
      </c>
      <c r="J151" s="39">
        <v>10964.025395000001</v>
      </c>
    </row>
    <row r="152" spans="1:10" x14ac:dyDescent="0.35">
      <c r="A152" s="50">
        <v>33420.225353930196</v>
      </c>
      <c r="B152" s="50">
        <v>11791.90324658717</v>
      </c>
      <c r="C152" s="51">
        <v>6996.299</v>
      </c>
      <c r="D152" s="51">
        <v>1455.3989030504879</v>
      </c>
      <c r="E152" s="51">
        <v>57928.411</v>
      </c>
      <c r="F152" s="51">
        <v>3361.1356219954587</v>
      </c>
      <c r="G152" s="39">
        <v>163.31302247030331</v>
      </c>
      <c r="H152" s="39">
        <v>163.31302247030331</v>
      </c>
      <c r="I152" s="51">
        <v>28662.85301649</v>
      </c>
      <c r="J152" s="39">
        <v>10964.025395000001</v>
      </c>
    </row>
    <row r="153" spans="1:10" x14ac:dyDescent="0.35">
      <c r="A153" s="50">
        <v>35483.987815946399</v>
      </c>
      <c r="B153" s="50">
        <v>11771.9791128091</v>
      </c>
      <c r="C153" s="51">
        <v>6963.8149999999996</v>
      </c>
      <c r="D153" s="51">
        <v>1455.3989030504879</v>
      </c>
      <c r="E153" s="51">
        <v>57829.411</v>
      </c>
      <c r="F153" s="51">
        <v>3361.135621997822</v>
      </c>
      <c r="G153" s="39">
        <v>162.84915551210119</v>
      </c>
      <c r="H153" s="39">
        <v>162.84915551210119</v>
      </c>
      <c r="I153" s="51">
        <v>23034.629253560001</v>
      </c>
      <c r="J153" s="39">
        <v>10964.025395000001</v>
      </c>
    </row>
    <row r="154" spans="1:10" x14ac:dyDescent="0.35">
      <c r="A154" s="50">
        <v>37641.2711847143</v>
      </c>
      <c r="B154" s="50">
        <v>11691.4701128091</v>
      </c>
      <c r="C154" s="51">
        <v>7009.6719999999996</v>
      </c>
      <c r="D154" s="51">
        <v>1455.3989030504879</v>
      </c>
      <c r="E154" s="51">
        <v>58636.411</v>
      </c>
      <c r="F154" s="51">
        <v>3361.135621997822</v>
      </c>
      <c r="G154" s="39">
        <v>162.84915551210119</v>
      </c>
      <c r="H154" s="39">
        <v>162.84915551210119</v>
      </c>
      <c r="I154" s="51">
        <v>24685.097486499999</v>
      </c>
      <c r="J154" s="39">
        <v>10964.025395000001</v>
      </c>
    </row>
    <row r="155" spans="1:10" x14ac:dyDescent="0.35">
      <c r="A155" s="50">
        <v>38508.404562187403</v>
      </c>
      <c r="B155" s="50">
        <v>11614.3461128091</v>
      </c>
      <c r="C155" s="51">
        <v>7404.299</v>
      </c>
      <c r="D155" s="51">
        <v>1455.3989030504879</v>
      </c>
      <c r="E155" s="51">
        <v>60069.411</v>
      </c>
      <c r="F155" s="51">
        <v>3361.135621997822</v>
      </c>
      <c r="G155" s="39">
        <v>162.84915551210119</v>
      </c>
      <c r="H155" s="39">
        <v>162.84915551210119</v>
      </c>
      <c r="I155" s="51">
        <v>24866.173239299998</v>
      </c>
      <c r="J155" s="39">
        <v>10964.025395000001</v>
      </c>
    </row>
    <row r="156" spans="1:10" x14ac:dyDescent="0.35">
      <c r="A156" s="50">
        <v>38805.926239255299</v>
      </c>
      <c r="B156" s="50">
        <v>11544.777112809101</v>
      </c>
      <c r="C156" s="51">
        <v>7957.683</v>
      </c>
      <c r="D156" s="51">
        <v>1639.11874024391</v>
      </c>
      <c r="E156" s="51">
        <v>61419.411</v>
      </c>
      <c r="F156" s="51">
        <v>3361.135621997822</v>
      </c>
      <c r="G156" s="39">
        <v>162.84915551210119</v>
      </c>
      <c r="H156" s="39">
        <v>162.84915551210119</v>
      </c>
      <c r="I156" s="51">
        <v>25374.164371880001</v>
      </c>
      <c r="J156" s="39">
        <v>10964.025395000001</v>
      </c>
    </row>
    <row r="157" spans="1:10" x14ac:dyDescent="0.35">
      <c r="A157" s="50">
        <v>40216.266001726406</v>
      </c>
      <c r="B157" s="50">
        <v>11511.312246587171</v>
      </c>
      <c r="C157" s="51">
        <v>8638.7980000000007</v>
      </c>
      <c r="D157" s="51">
        <v>1639.11874024391</v>
      </c>
      <c r="E157" s="51">
        <v>63871.411</v>
      </c>
      <c r="F157" s="51">
        <v>3361.1356219954587</v>
      </c>
      <c r="G157" s="39">
        <v>163.31302247030331</v>
      </c>
      <c r="H157" s="39">
        <v>163.31302247030331</v>
      </c>
      <c r="I157" s="51">
        <v>25077.227723399999</v>
      </c>
      <c r="J157" s="39">
        <v>10964.025395000001</v>
      </c>
    </row>
    <row r="158" spans="1:10" x14ac:dyDescent="0.35">
      <c r="A158" s="50">
        <v>41396.563700904699</v>
      </c>
      <c r="B158" s="50">
        <v>11470.1731128091</v>
      </c>
      <c r="C158" s="51">
        <v>9593.99</v>
      </c>
      <c r="D158" s="51">
        <v>1639.11874024391</v>
      </c>
      <c r="E158" s="51">
        <v>65415.411</v>
      </c>
      <c r="F158" s="51">
        <v>3361.135621997822</v>
      </c>
      <c r="G158" s="39">
        <v>162.84915551210119</v>
      </c>
      <c r="H158" s="39">
        <v>162.84915551210119</v>
      </c>
      <c r="I158" s="51">
        <v>27778.240979189999</v>
      </c>
      <c r="J158" s="39">
        <v>10964.025395000001</v>
      </c>
    </row>
    <row r="159" spans="1:10" x14ac:dyDescent="0.35">
      <c r="A159" s="50">
        <v>41534.483924279302</v>
      </c>
      <c r="B159" s="50">
        <v>11453.163112809099</v>
      </c>
      <c r="C159" s="51">
        <v>9738.6779999999999</v>
      </c>
      <c r="D159" s="51">
        <v>1639.11874024391</v>
      </c>
      <c r="E159" s="51">
        <v>63043.411</v>
      </c>
      <c r="F159" s="51">
        <v>3361.135621997822</v>
      </c>
      <c r="G159" s="39">
        <v>162.84915551210119</v>
      </c>
      <c r="H159" s="39">
        <v>162.84915551210119</v>
      </c>
      <c r="I159" s="51">
        <v>30409.267542329999</v>
      </c>
      <c r="J159" s="39">
        <v>10964.025395000001</v>
      </c>
    </row>
    <row r="160" spans="1:10" x14ac:dyDescent="0.35">
      <c r="A160" s="50">
        <v>40019.642147786901</v>
      </c>
      <c r="B160" s="50">
        <v>11464.738246587171</v>
      </c>
      <c r="C160" s="51">
        <v>9656.4390000000003</v>
      </c>
      <c r="D160" s="51">
        <v>1639.11874024391</v>
      </c>
      <c r="E160" s="51">
        <v>61835.411</v>
      </c>
      <c r="F160" s="51">
        <v>3361.1356219954587</v>
      </c>
      <c r="G160" s="39">
        <v>163.31302247030331</v>
      </c>
      <c r="H160" s="39">
        <v>163.31302247030331</v>
      </c>
      <c r="I160" s="51">
        <v>30795.573710199998</v>
      </c>
      <c r="J160" s="39">
        <v>10964.025395000001</v>
      </c>
    </row>
    <row r="161" spans="1:10" x14ac:dyDescent="0.35">
      <c r="A161" s="50">
        <v>39152.207357996202</v>
      </c>
      <c r="B161" s="50">
        <v>11454.8091128091</v>
      </c>
      <c r="C161" s="51">
        <v>9420.32</v>
      </c>
      <c r="D161" s="51">
        <v>1455.3989030504879</v>
      </c>
      <c r="E161" s="51">
        <v>62210.411</v>
      </c>
      <c r="F161" s="51">
        <v>3361.135621997822</v>
      </c>
      <c r="G161" s="39">
        <v>162.84915551210119</v>
      </c>
      <c r="H161" s="39">
        <v>162.84915551210119</v>
      </c>
      <c r="I161" s="51">
        <v>30149.110382980001</v>
      </c>
      <c r="J161" s="39">
        <v>10964.025395000001</v>
      </c>
    </row>
    <row r="162" spans="1:10" x14ac:dyDescent="0.35">
      <c r="A162" s="50">
        <v>39213.359205794193</v>
      </c>
      <c r="B162" s="50">
        <v>11452.955112809101</v>
      </c>
      <c r="C162" s="51">
        <v>9212.3780000000006</v>
      </c>
      <c r="D162" s="51">
        <v>1455.3989030504879</v>
      </c>
      <c r="E162" s="51">
        <v>63736.411</v>
      </c>
      <c r="F162" s="51">
        <v>3361.135621997822</v>
      </c>
      <c r="G162" s="39">
        <v>162.84915551210119</v>
      </c>
      <c r="H162" s="39">
        <v>162.84915551210119</v>
      </c>
      <c r="I162" s="51">
        <v>25661.456659570002</v>
      </c>
      <c r="J162" s="39">
        <v>10964.025395000001</v>
      </c>
    </row>
    <row r="163" spans="1:10" x14ac:dyDescent="0.35">
      <c r="A163" s="50">
        <v>41225.578881151399</v>
      </c>
      <c r="B163" s="50">
        <v>11435.285112809101</v>
      </c>
      <c r="C163" s="51">
        <v>9355.2849999999999</v>
      </c>
      <c r="D163" s="51">
        <v>1455.3989030504879</v>
      </c>
      <c r="E163" s="51">
        <v>67336.410999999993</v>
      </c>
      <c r="F163" s="51">
        <v>3361.135621997822</v>
      </c>
      <c r="G163" s="39">
        <v>162.84915551210119</v>
      </c>
      <c r="H163" s="39">
        <v>162.84915551210119</v>
      </c>
      <c r="I163" s="51">
        <v>24446.347404259999</v>
      </c>
      <c r="J163" s="39">
        <v>10964.025395000001</v>
      </c>
    </row>
    <row r="164" spans="1:10" x14ac:dyDescent="0.35">
      <c r="A164" s="50">
        <v>42380.897272228096</v>
      </c>
      <c r="B164" s="50">
        <v>11445.85024658717</v>
      </c>
      <c r="C164" s="51">
        <v>9407.5650000000005</v>
      </c>
      <c r="D164" s="51">
        <v>1455.3989030504879</v>
      </c>
      <c r="E164" s="51">
        <v>68434.410999999993</v>
      </c>
      <c r="F164" s="51">
        <v>3361.1356219954587</v>
      </c>
      <c r="G164" s="39">
        <v>163.31302247030331</v>
      </c>
      <c r="H164" s="39">
        <v>163.31302247030331</v>
      </c>
      <c r="I164" s="51">
        <v>20828.858893619999</v>
      </c>
      <c r="J164" s="39">
        <v>10964.025395000001</v>
      </c>
    </row>
    <row r="165" spans="1:10" x14ac:dyDescent="0.35">
      <c r="A165" s="50">
        <v>42796.530983051001</v>
      </c>
      <c r="B165" s="50">
        <v>11419.1641128091</v>
      </c>
      <c r="C165" s="51">
        <v>9485.7279999999992</v>
      </c>
      <c r="D165" s="51">
        <v>1455.3989030504879</v>
      </c>
      <c r="E165" s="51">
        <v>68058.410999999993</v>
      </c>
      <c r="F165" s="51">
        <v>3361.135621997822</v>
      </c>
      <c r="G165" s="39">
        <v>162.84915551210119</v>
      </c>
      <c r="H165" s="39">
        <v>162.84915551210119</v>
      </c>
      <c r="I165" s="51">
        <v>30489.059856439999</v>
      </c>
      <c r="J165" s="39">
        <v>10964.025395000001</v>
      </c>
    </row>
    <row r="166" spans="1:10" x14ac:dyDescent="0.35">
      <c r="A166" s="50">
        <v>42432.0150898625</v>
      </c>
      <c r="B166" s="50">
        <v>11354.66297903102</v>
      </c>
      <c r="C166" s="51">
        <v>9216.625</v>
      </c>
      <c r="D166" s="51">
        <v>1455.3989030504879</v>
      </c>
      <c r="E166" s="51">
        <v>66329.410999999993</v>
      </c>
      <c r="F166" s="51">
        <v>3361.1356220001862</v>
      </c>
      <c r="G166" s="39">
        <v>162.38528855389919</v>
      </c>
      <c r="H166" s="39">
        <v>162.38528855389919</v>
      </c>
      <c r="I166" s="51">
        <v>22852.89102128</v>
      </c>
      <c r="J166" s="39">
        <v>10964.025395000001</v>
      </c>
    </row>
    <row r="167" spans="1:10" x14ac:dyDescent="0.35">
      <c r="A167" s="50">
        <v>41053.3749189644</v>
      </c>
      <c r="B167" s="50">
        <v>11225.117845252949</v>
      </c>
      <c r="C167" s="51">
        <v>8756.384</v>
      </c>
      <c r="D167" s="51">
        <v>1455.3989030504879</v>
      </c>
      <c r="E167" s="51">
        <v>64465.411</v>
      </c>
      <c r="F167" s="51">
        <v>3361.1356220025491</v>
      </c>
      <c r="G167" s="39">
        <v>161.92142159569721</v>
      </c>
      <c r="H167" s="39">
        <v>161.92142159569721</v>
      </c>
      <c r="I167" s="51">
        <v>42149.787803940002</v>
      </c>
      <c r="J167" s="39">
        <v>10964.025395000001</v>
      </c>
    </row>
    <row r="168" spans="1:10" x14ac:dyDescent="0.35">
      <c r="A168" s="50">
        <v>39084.849830337698</v>
      </c>
      <c r="B168" s="50">
        <v>11118.8245776968</v>
      </c>
      <c r="C168" s="51">
        <v>8761.81</v>
      </c>
      <c r="D168" s="51">
        <v>1455.3989030504879</v>
      </c>
      <c r="E168" s="51">
        <v>71073.410999999993</v>
      </c>
      <c r="F168" s="51">
        <v>3361.1356219972758</v>
      </c>
      <c r="G168" s="39">
        <v>160.9936876792932</v>
      </c>
      <c r="H168" s="39">
        <v>160.9936876792932</v>
      </c>
      <c r="I168" s="51">
        <v>21135.940186889999</v>
      </c>
      <c r="J168" s="39">
        <v>10964.025395000001</v>
      </c>
    </row>
    <row r="169" spans="1:10" x14ac:dyDescent="0.35">
      <c r="A169" s="50">
        <v>36402.547624517101</v>
      </c>
      <c r="B169" s="50">
        <v>11136.7915776968</v>
      </c>
      <c r="C169" s="51">
        <v>8468.3739999999998</v>
      </c>
      <c r="D169" s="51">
        <v>1455.3989030504879</v>
      </c>
      <c r="E169" s="51">
        <v>68256.410999999993</v>
      </c>
      <c r="F169" s="51">
        <v>3361.1356219972758</v>
      </c>
      <c r="G169" s="39">
        <v>160.9936876792932</v>
      </c>
      <c r="H169" s="39">
        <v>160.9936876792932</v>
      </c>
      <c r="I169" s="51">
        <v>19024.764416599999</v>
      </c>
      <c r="J169" s="39">
        <v>10964.025395000001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Z338"/>
  <sheetViews>
    <sheetView topLeftCell="H1" zoomScale="88" zoomScaleNormal="85" workbookViewId="0">
      <selection activeCell="G6" sqref="G6"/>
    </sheetView>
  </sheetViews>
  <sheetFormatPr baseColWidth="10" defaultRowHeight="14.5" x14ac:dyDescent="0.35"/>
  <cols>
    <col min="1" max="2" width="20.26953125" style="39" customWidth="1"/>
    <col min="3" max="3" width="22.81640625" style="39" bestFit="1" customWidth="1"/>
    <col min="4" max="5" width="20.36328125" style="39" bestFit="1" customWidth="1"/>
    <col min="6" max="6" width="21.26953125" style="39" bestFit="1" customWidth="1"/>
    <col min="7" max="7" width="20.36328125" style="39" bestFit="1" customWidth="1"/>
    <col min="8" max="8" width="23" style="39" bestFit="1" customWidth="1"/>
    <col min="9" max="10" width="20.36328125" style="39" bestFit="1" customWidth="1"/>
    <col min="11" max="11" width="20.453125" style="39" customWidth="1"/>
    <col min="12" max="13" width="21.1796875" style="39" bestFit="1" customWidth="1"/>
    <col min="14" max="14" width="27.1796875" style="39" customWidth="1"/>
    <col min="15" max="15" width="23.6328125" style="39" bestFit="1" customWidth="1"/>
    <col min="16" max="16" width="23.08984375" style="39" bestFit="1" customWidth="1"/>
    <col min="17" max="17" width="17.81640625" style="39" bestFit="1" customWidth="1"/>
    <col min="18" max="18" width="22.1796875" style="39" bestFit="1" customWidth="1"/>
    <col min="19" max="19" width="22.7265625" style="39" bestFit="1" customWidth="1"/>
    <col min="20" max="20" width="22.90625" style="39" bestFit="1" customWidth="1"/>
    <col min="21" max="21" width="18" style="39" bestFit="1" customWidth="1"/>
    <col min="22" max="22" width="17.1796875" style="39" bestFit="1" customWidth="1"/>
    <col min="23" max="23" width="15.453125" style="39" bestFit="1" customWidth="1"/>
    <col min="24" max="24" width="18.453125" style="39" bestFit="1" customWidth="1"/>
    <col min="25" max="25" width="18.36328125" bestFit="1" customWidth="1"/>
    <col min="26" max="26" width="21.6328125" bestFit="1" customWidth="1"/>
    <col min="27" max="16384" width="10.90625" style="39"/>
  </cols>
  <sheetData>
    <row r="1" spans="1:26" s="49" customFormat="1" x14ac:dyDescent="0.35">
      <c r="A1" s="52" t="s">
        <v>133</v>
      </c>
      <c r="B1" s="52" t="s">
        <v>131</v>
      </c>
      <c r="C1" s="52" t="s">
        <v>132</v>
      </c>
      <c r="D1" s="52" t="s">
        <v>62</v>
      </c>
      <c r="E1" s="52" t="s">
        <v>169</v>
      </c>
      <c r="F1" s="52" t="s">
        <v>125</v>
      </c>
      <c r="G1" s="52" t="s">
        <v>124</v>
      </c>
      <c r="H1" s="53" t="s">
        <v>149</v>
      </c>
      <c r="I1" s="53" t="s">
        <v>139</v>
      </c>
      <c r="J1" s="53" t="s">
        <v>159</v>
      </c>
      <c r="K1" s="53" t="s">
        <v>160</v>
      </c>
      <c r="L1" s="53" t="s">
        <v>170</v>
      </c>
      <c r="M1" s="53" t="s">
        <v>122</v>
      </c>
      <c r="N1" s="47" t="s">
        <v>123</v>
      </c>
      <c r="O1" s="54" t="s">
        <v>130</v>
      </c>
      <c r="P1" s="54" t="s">
        <v>129</v>
      </c>
      <c r="Q1" s="55" t="s">
        <v>254</v>
      </c>
      <c r="R1" s="55" t="s">
        <v>255</v>
      </c>
      <c r="S1" s="55" t="s">
        <v>256</v>
      </c>
      <c r="T1" s="55" t="s">
        <v>257</v>
      </c>
      <c r="U1" s="89" t="s">
        <v>258</v>
      </c>
      <c r="V1" s="55" t="s">
        <v>259</v>
      </c>
      <c r="W1" s="55" t="s">
        <v>121</v>
      </c>
      <c r="X1" s="55" t="s">
        <v>117</v>
      </c>
      <c r="Y1" s="150" t="s">
        <v>261</v>
      </c>
      <c r="Z1" s="150" t="s">
        <v>309</v>
      </c>
    </row>
    <row r="2" spans="1:26" s="50" customFormat="1" x14ac:dyDescent="0.35">
      <c r="A2" s="56">
        <v>0</v>
      </c>
      <c r="B2" s="56">
        <v>0</v>
      </c>
      <c r="C2" s="56">
        <v>0</v>
      </c>
      <c r="D2" s="56">
        <v>0.27513821599999999</v>
      </c>
      <c r="E2" s="56">
        <v>0.2690001867898939</v>
      </c>
      <c r="F2" s="56">
        <v>0.32071055214723926</v>
      </c>
      <c r="G2" s="57">
        <v>0</v>
      </c>
      <c r="H2" s="56">
        <v>0</v>
      </c>
      <c r="I2" s="56">
        <v>0</v>
      </c>
      <c r="J2" s="56">
        <v>0.11900000000000001</v>
      </c>
      <c r="K2" s="56">
        <v>0.13200000000000001</v>
      </c>
      <c r="L2" s="56">
        <v>0.53761169881767268</v>
      </c>
      <c r="M2" s="56">
        <v>0.10459029529603799</v>
      </c>
      <c r="N2" s="50">
        <v>0</v>
      </c>
      <c r="O2" s="58">
        <v>0.77362125528354786</v>
      </c>
      <c r="P2" s="58">
        <f>1</f>
        <v>1</v>
      </c>
      <c r="Q2" s="57">
        <v>0</v>
      </c>
      <c r="R2" s="57">
        <v>0</v>
      </c>
      <c r="S2" s="57">
        <v>0.34100000000000003</v>
      </c>
      <c r="T2" s="57">
        <v>0.57799999999999996</v>
      </c>
      <c r="U2" s="57">
        <v>0.5784392407674851</v>
      </c>
      <c r="V2" s="57">
        <v>0.73770491803278682</v>
      </c>
      <c r="W2" s="60">
        <v>7668</v>
      </c>
      <c r="X2" s="60">
        <v>648.91951976999997</v>
      </c>
      <c r="Y2" s="60">
        <v>10416.91476568</v>
      </c>
      <c r="Z2" s="60">
        <v>0</v>
      </c>
    </row>
    <row r="3" spans="1:26" s="50" customFormat="1" x14ac:dyDescent="0.35">
      <c r="A3" s="56">
        <v>0</v>
      </c>
      <c r="B3" s="56">
        <v>0</v>
      </c>
      <c r="C3" s="56">
        <v>0</v>
      </c>
      <c r="D3" s="56">
        <v>0.29443187700000001</v>
      </c>
      <c r="E3" s="56">
        <v>0.26699991066570294</v>
      </c>
      <c r="F3" s="56">
        <v>0.34319990797546007</v>
      </c>
      <c r="G3" s="57">
        <v>0</v>
      </c>
      <c r="H3" s="56">
        <v>0</v>
      </c>
      <c r="I3" s="56">
        <v>0</v>
      </c>
      <c r="J3" s="56">
        <v>0.125</v>
      </c>
      <c r="K3" s="56">
        <v>0.11799999999999999</v>
      </c>
      <c r="L3" s="56">
        <v>0.53382202862476658</v>
      </c>
      <c r="M3" s="56">
        <v>9.6099792254043623E-2</v>
      </c>
      <c r="N3" s="50">
        <v>0</v>
      </c>
      <c r="O3" s="58">
        <v>0.77362125528354786</v>
      </c>
      <c r="P3" s="58">
        <f>1</f>
        <v>1</v>
      </c>
      <c r="Q3" s="57">
        <v>0</v>
      </c>
      <c r="R3" s="57">
        <v>0</v>
      </c>
      <c r="S3" s="57">
        <v>0.372</v>
      </c>
      <c r="T3" s="57">
        <v>0.68700000000000006</v>
      </c>
      <c r="U3" s="57">
        <v>0.5784392407674851</v>
      </c>
      <c r="V3" s="57">
        <v>0.73770491803278682</v>
      </c>
      <c r="W3" s="60">
        <v>7668</v>
      </c>
      <c r="X3" s="60">
        <v>648.91951976999997</v>
      </c>
      <c r="Y3" s="60">
        <v>9700</v>
      </c>
      <c r="Z3" s="60">
        <v>0</v>
      </c>
    </row>
    <row r="4" spans="1:26" s="50" customFormat="1" x14ac:dyDescent="0.35">
      <c r="A4" s="56">
        <v>0</v>
      </c>
      <c r="B4" s="56">
        <v>0</v>
      </c>
      <c r="C4" s="56">
        <v>0</v>
      </c>
      <c r="D4" s="56">
        <v>0.29945537999999999</v>
      </c>
      <c r="E4" s="56">
        <v>0.26500004060649868</v>
      </c>
      <c r="F4" s="56">
        <v>0.34905549079754605</v>
      </c>
      <c r="G4" s="57">
        <v>0</v>
      </c>
      <c r="H4" s="56">
        <v>0</v>
      </c>
      <c r="I4" s="56">
        <v>0</v>
      </c>
      <c r="J4" s="56">
        <v>0.13699999999999998</v>
      </c>
      <c r="K4" s="56">
        <v>0.11</v>
      </c>
      <c r="L4" s="56">
        <v>0.53300435594275042</v>
      </c>
      <c r="M4" s="56">
        <v>9.047121234604541E-2</v>
      </c>
      <c r="N4" s="50">
        <v>0</v>
      </c>
      <c r="O4" s="58">
        <v>0.77362125528354786</v>
      </c>
      <c r="P4" s="58">
        <f>1</f>
        <v>1</v>
      </c>
      <c r="Q4" s="57">
        <v>0</v>
      </c>
      <c r="R4" s="57">
        <v>0</v>
      </c>
      <c r="S4" s="57">
        <v>0.41200000000000003</v>
      </c>
      <c r="T4" s="57">
        <v>0.752</v>
      </c>
      <c r="U4" s="57">
        <v>0.5784392407674851</v>
      </c>
      <c r="V4" s="57">
        <v>0.73770491803278682</v>
      </c>
      <c r="W4" s="60">
        <v>7668</v>
      </c>
      <c r="X4" s="60">
        <v>648.91951976999997</v>
      </c>
      <c r="Y4" s="60">
        <v>11922.61903788</v>
      </c>
      <c r="Z4" s="60">
        <v>0</v>
      </c>
    </row>
    <row r="5" spans="1:26" s="50" customFormat="1" x14ac:dyDescent="0.35">
      <c r="A5" s="56">
        <v>0</v>
      </c>
      <c r="B5" s="56">
        <v>0</v>
      </c>
      <c r="C5" s="56">
        <v>0</v>
      </c>
      <c r="D5" s="56">
        <v>0.30697123399999998</v>
      </c>
      <c r="E5" s="56">
        <v>0.2749997969675067</v>
      </c>
      <c r="F5" s="56">
        <v>0.35781622699386501</v>
      </c>
      <c r="G5" s="57">
        <v>0</v>
      </c>
      <c r="H5" s="56">
        <v>0</v>
      </c>
      <c r="I5" s="56">
        <v>0</v>
      </c>
      <c r="J5" s="56">
        <v>0.153</v>
      </c>
      <c r="K5" s="56">
        <v>0.105</v>
      </c>
      <c r="L5" s="56">
        <v>0.53906596141879282</v>
      </c>
      <c r="M5" s="56">
        <v>8.5199584508087248E-2</v>
      </c>
      <c r="N5" s="50">
        <v>0</v>
      </c>
      <c r="O5" s="58">
        <v>0.77362125528354786</v>
      </c>
      <c r="P5" s="58">
        <f>1</f>
        <v>1</v>
      </c>
      <c r="Q5" s="57">
        <v>0</v>
      </c>
      <c r="R5" s="57">
        <v>0</v>
      </c>
      <c r="S5" s="57">
        <v>0.438</v>
      </c>
      <c r="T5" s="57">
        <v>0.78400000000000003</v>
      </c>
      <c r="U5" s="57">
        <v>0.5784392407674851</v>
      </c>
      <c r="V5" s="57">
        <v>0.73770491803278682</v>
      </c>
      <c r="W5" s="60">
        <v>7668</v>
      </c>
      <c r="X5" s="60">
        <v>648.91951976999997</v>
      </c>
      <c r="Y5" s="60">
        <v>11146.160297350001</v>
      </c>
      <c r="Z5" s="60">
        <v>0</v>
      </c>
    </row>
    <row r="6" spans="1:26" s="50" customFormat="1" x14ac:dyDescent="0.35">
      <c r="A6" s="56">
        <v>0</v>
      </c>
      <c r="B6" s="56">
        <v>0</v>
      </c>
      <c r="C6" s="56">
        <v>0</v>
      </c>
      <c r="D6" s="56">
        <v>0.32181367900000002</v>
      </c>
      <c r="E6" s="56">
        <v>0.27899994315090187</v>
      </c>
      <c r="F6" s="56">
        <v>0.37511708588957055</v>
      </c>
      <c r="G6" s="57">
        <v>0</v>
      </c>
      <c r="H6" s="56">
        <v>0</v>
      </c>
      <c r="I6" s="56">
        <v>0</v>
      </c>
      <c r="J6" s="56">
        <v>0.16699999999999998</v>
      </c>
      <c r="K6" s="56">
        <v>0.10099999999999999</v>
      </c>
      <c r="L6" s="56">
        <v>0.54218046048537649</v>
      </c>
      <c r="M6" s="56">
        <v>8.1436637483306137E-2</v>
      </c>
      <c r="N6" s="50">
        <v>0</v>
      </c>
      <c r="O6" s="58">
        <v>0.77362125528354786</v>
      </c>
      <c r="P6" s="58">
        <f>1</f>
        <v>1</v>
      </c>
      <c r="Q6" s="57">
        <v>0</v>
      </c>
      <c r="R6" s="57">
        <v>0</v>
      </c>
      <c r="S6" s="57">
        <v>0.46099999999999997</v>
      </c>
      <c r="T6" s="57">
        <v>0.81499999999999995</v>
      </c>
      <c r="U6" s="57">
        <v>0.5784392407674851</v>
      </c>
      <c r="V6" s="57">
        <v>0.73770491803278682</v>
      </c>
      <c r="W6" s="60">
        <v>7668</v>
      </c>
      <c r="X6" s="60">
        <v>649.37940168</v>
      </c>
      <c r="Y6" s="60">
        <v>11837.9980653</v>
      </c>
      <c r="Z6" s="60">
        <v>0</v>
      </c>
    </row>
    <row r="7" spans="1:26" s="50" customFormat="1" x14ac:dyDescent="0.35">
      <c r="A7" s="56">
        <v>0</v>
      </c>
      <c r="B7" s="56">
        <v>0</v>
      </c>
      <c r="C7" s="56">
        <v>0</v>
      </c>
      <c r="D7" s="56">
        <v>0.323743155</v>
      </c>
      <c r="E7" s="56">
        <v>0.2909999756361008</v>
      </c>
      <c r="F7" s="56">
        <v>0.37736613496932514</v>
      </c>
      <c r="G7" s="57">
        <v>0</v>
      </c>
      <c r="H7" s="56">
        <v>0</v>
      </c>
      <c r="I7" s="56">
        <v>0</v>
      </c>
      <c r="J7" s="56">
        <v>0.17800000000000002</v>
      </c>
      <c r="K7" s="56">
        <v>9.7000000000000003E-2</v>
      </c>
      <c r="L7" s="56">
        <v>0.55440074673304296</v>
      </c>
      <c r="M7" s="56">
        <v>7.9330835435524563E-2</v>
      </c>
      <c r="N7" s="50">
        <v>0</v>
      </c>
      <c r="O7" s="58">
        <v>0.77362125528354786</v>
      </c>
      <c r="P7" s="58">
        <f>1</f>
        <v>1</v>
      </c>
      <c r="Q7" s="57">
        <v>0</v>
      </c>
      <c r="R7" s="57">
        <v>0</v>
      </c>
      <c r="S7" s="57">
        <v>0.47900000000000004</v>
      </c>
      <c r="T7" s="57">
        <v>0.83400000000000007</v>
      </c>
      <c r="U7" s="57">
        <v>0.5784392407674851</v>
      </c>
      <c r="V7" s="57">
        <v>0.73770491803278682</v>
      </c>
      <c r="W7" s="60">
        <v>7668</v>
      </c>
      <c r="X7" s="60">
        <v>650.29916550999997</v>
      </c>
      <c r="Y7" s="60">
        <v>9700</v>
      </c>
      <c r="Z7" s="60">
        <v>0</v>
      </c>
    </row>
    <row r="8" spans="1:26" s="50" customFormat="1" x14ac:dyDescent="0.35">
      <c r="A8" s="56">
        <v>0</v>
      </c>
      <c r="B8" s="56">
        <v>0</v>
      </c>
      <c r="C8" s="56">
        <v>0</v>
      </c>
      <c r="D8" s="56">
        <v>0.30273460200000002</v>
      </c>
      <c r="E8" s="56">
        <v>0.32799980508880644</v>
      </c>
      <c r="F8" s="56">
        <v>0.35287785276073619</v>
      </c>
      <c r="G8" s="57">
        <v>0</v>
      </c>
      <c r="H8" s="56">
        <v>0</v>
      </c>
      <c r="I8" s="56">
        <v>0</v>
      </c>
      <c r="J8" s="56">
        <v>0.183</v>
      </c>
      <c r="K8" s="56">
        <v>9.1999999999999998E-2</v>
      </c>
      <c r="L8" s="56">
        <v>0.56481269446172988</v>
      </c>
      <c r="M8" s="56">
        <v>7.6747291883068711E-2</v>
      </c>
      <c r="N8" s="50">
        <v>0</v>
      </c>
      <c r="O8" s="58">
        <v>0.77362125528354786</v>
      </c>
      <c r="P8" s="58">
        <f>1</f>
        <v>1</v>
      </c>
      <c r="Q8" s="57">
        <v>0</v>
      </c>
      <c r="R8" s="57">
        <v>0</v>
      </c>
      <c r="S8" s="57">
        <v>0.48900000000000005</v>
      </c>
      <c r="T8" s="57">
        <v>0.84099999999999997</v>
      </c>
      <c r="U8" s="57">
        <v>0.5784392407674851</v>
      </c>
      <c r="V8" s="57">
        <v>0.73770491803278682</v>
      </c>
      <c r="W8" s="60">
        <v>7668</v>
      </c>
      <c r="X8" s="60">
        <v>650.75904741999989</v>
      </c>
      <c r="Y8" s="60">
        <v>11392.96809531</v>
      </c>
      <c r="Z8" s="60">
        <v>0</v>
      </c>
    </row>
    <row r="9" spans="1:26" s="50" customFormat="1" x14ac:dyDescent="0.35">
      <c r="A9" s="56">
        <v>0</v>
      </c>
      <c r="B9" s="56">
        <v>0</v>
      </c>
      <c r="C9" s="56">
        <v>0</v>
      </c>
      <c r="D9" s="56">
        <v>0.24533328800000001</v>
      </c>
      <c r="E9" s="56">
        <v>0.35799988630180374</v>
      </c>
      <c r="F9" s="56">
        <v>0.28596889570552148</v>
      </c>
      <c r="G9" s="57">
        <v>0</v>
      </c>
      <c r="H9" s="56">
        <v>0</v>
      </c>
      <c r="I9" s="56">
        <v>0</v>
      </c>
      <c r="J9" s="56">
        <v>0.183</v>
      </c>
      <c r="K9" s="56">
        <v>9.0999999999999998E-2</v>
      </c>
      <c r="L9" s="56">
        <v>0.56885127566894833</v>
      </c>
      <c r="M9" s="56">
        <v>7.7074862739278827E-2</v>
      </c>
      <c r="N9" s="50">
        <v>0</v>
      </c>
      <c r="O9" s="58">
        <v>0.77362125528354786</v>
      </c>
      <c r="P9" s="58">
        <f>1</f>
        <v>1</v>
      </c>
      <c r="Q9" s="57">
        <v>0</v>
      </c>
      <c r="R9" s="57">
        <v>0</v>
      </c>
      <c r="S9" s="57">
        <v>0.49599999999999994</v>
      </c>
      <c r="T9" s="57">
        <v>0.84900000000000009</v>
      </c>
      <c r="U9" s="57">
        <v>0.5784392407674851</v>
      </c>
      <c r="V9" s="57">
        <v>0.73770491803278682</v>
      </c>
      <c r="W9" s="60">
        <v>7668</v>
      </c>
      <c r="X9" s="60">
        <v>651.21892933000004</v>
      </c>
      <c r="Y9" s="60">
        <v>11288.07461242</v>
      </c>
      <c r="Z9" s="60">
        <v>0</v>
      </c>
    </row>
    <row r="10" spans="1:26" s="50" customFormat="1" x14ac:dyDescent="0.35">
      <c r="A10" s="56">
        <v>0</v>
      </c>
      <c r="B10" s="56">
        <v>0</v>
      </c>
      <c r="C10" s="56">
        <v>0</v>
      </c>
      <c r="D10" s="56">
        <v>0.19145563500000001</v>
      </c>
      <c r="E10" s="56">
        <v>0.37100005684909815</v>
      </c>
      <c r="F10" s="56">
        <v>0.22869705521472394</v>
      </c>
      <c r="G10" s="57">
        <v>0</v>
      </c>
      <c r="H10" s="56">
        <v>0</v>
      </c>
      <c r="I10" s="56">
        <v>0</v>
      </c>
      <c r="J10" s="56">
        <v>0.17199999999999999</v>
      </c>
      <c r="K10" s="56">
        <v>8.8999999999999996E-2</v>
      </c>
      <c r="L10" s="56">
        <v>0.5673571873055383</v>
      </c>
      <c r="M10" s="56">
        <v>7.7029603798783194E-2</v>
      </c>
      <c r="N10" s="50">
        <v>0</v>
      </c>
      <c r="O10" s="58">
        <v>0.77362125528354786</v>
      </c>
      <c r="P10" s="58">
        <f>1</f>
        <v>1</v>
      </c>
      <c r="Q10" s="57">
        <v>0</v>
      </c>
      <c r="R10" s="57">
        <v>0</v>
      </c>
      <c r="S10" s="57">
        <v>0.495</v>
      </c>
      <c r="T10" s="57">
        <v>0.87099999999999989</v>
      </c>
      <c r="U10" s="57">
        <v>0.5784392407674851</v>
      </c>
      <c r="V10" s="57">
        <v>0.73770491803278682</v>
      </c>
      <c r="W10" s="60">
        <v>7668</v>
      </c>
      <c r="X10" s="60">
        <v>651.21892933000004</v>
      </c>
      <c r="Y10" s="60">
        <v>10473.817161319999</v>
      </c>
      <c r="Z10" s="60">
        <v>0</v>
      </c>
    </row>
    <row r="11" spans="1:26" s="50" customFormat="1" x14ac:dyDescent="0.35">
      <c r="A11" s="56">
        <v>4.2000000000000003E-2</v>
      </c>
      <c r="B11" s="56">
        <v>7.0999999999999994E-2</v>
      </c>
      <c r="C11" s="56">
        <v>0.13100000000000001</v>
      </c>
      <c r="D11" s="56">
        <v>0.16467230399999999</v>
      </c>
      <c r="E11" s="56">
        <v>0.39099997563610084</v>
      </c>
      <c r="F11" s="56">
        <v>0.33959389570552151</v>
      </c>
      <c r="G11" s="57">
        <v>0</v>
      </c>
      <c r="H11" s="56">
        <v>1.4999999999999999E-2</v>
      </c>
      <c r="I11" s="56">
        <v>1.4999999999999999E-2</v>
      </c>
      <c r="J11" s="56">
        <v>0.13400000000000001</v>
      </c>
      <c r="K11" s="56">
        <v>8.8999999999999996E-2</v>
      </c>
      <c r="L11" s="56">
        <v>0.56726260112009952</v>
      </c>
      <c r="M11" s="56">
        <v>0.12732067072265915</v>
      </c>
      <c r="N11" s="50">
        <v>0</v>
      </c>
      <c r="O11" s="58">
        <v>0.77362125528354786</v>
      </c>
      <c r="P11" s="58">
        <f>1</f>
        <v>1</v>
      </c>
      <c r="Q11" s="57">
        <v>6.4000000000000001E-2</v>
      </c>
      <c r="R11" s="57">
        <v>4.9999999999999996E-2</v>
      </c>
      <c r="S11" s="57">
        <v>0.45099999999999996</v>
      </c>
      <c r="T11" s="57">
        <v>0.87</v>
      </c>
      <c r="U11" s="57">
        <v>0.5784392407674851</v>
      </c>
      <c r="V11" s="57">
        <v>0.73770491803278682</v>
      </c>
      <c r="W11" s="60">
        <v>7668</v>
      </c>
      <c r="X11" s="60">
        <v>651.21892933000004</v>
      </c>
      <c r="Y11" s="60">
        <v>7685.43079029</v>
      </c>
      <c r="Z11" s="60">
        <v>0</v>
      </c>
    </row>
    <row r="12" spans="1:26" s="50" customFormat="1" x14ac:dyDescent="0.35">
      <c r="A12" s="56">
        <v>0.157</v>
      </c>
      <c r="B12" s="56">
        <v>0.188</v>
      </c>
      <c r="C12" s="56">
        <v>0.30499999999999999</v>
      </c>
      <c r="D12" s="56">
        <v>0.15553496</v>
      </c>
      <c r="E12" s="56">
        <v>0.39899986193790454</v>
      </c>
      <c r="F12" s="56">
        <v>0.54153374233128837</v>
      </c>
      <c r="G12" s="57">
        <v>0</v>
      </c>
      <c r="H12" s="56">
        <v>5.7999999999999996E-2</v>
      </c>
      <c r="I12" s="56">
        <v>6.5000000000000002E-2</v>
      </c>
      <c r="J12" s="56">
        <v>7.1999999999999995E-2</v>
      </c>
      <c r="K12" s="56">
        <v>8.4999999999999992E-2</v>
      </c>
      <c r="L12" s="56">
        <v>0.57141879278158059</v>
      </c>
      <c r="M12" s="56">
        <v>0.26103301676806645</v>
      </c>
      <c r="N12" s="50">
        <v>0</v>
      </c>
      <c r="O12" s="58">
        <v>0</v>
      </c>
      <c r="P12" s="58">
        <f>1</f>
        <v>1</v>
      </c>
      <c r="Q12" s="57">
        <v>0.13800000000000001</v>
      </c>
      <c r="R12" s="57">
        <v>0.112</v>
      </c>
      <c r="S12" s="57">
        <v>0.40900000000000003</v>
      </c>
      <c r="T12" s="57">
        <v>0.83799999999999997</v>
      </c>
      <c r="U12" s="57">
        <v>0.5784392407674851</v>
      </c>
      <c r="V12" s="57">
        <v>0.73770491803278682</v>
      </c>
      <c r="W12" s="60">
        <v>7668</v>
      </c>
      <c r="X12" s="60">
        <v>0</v>
      </c>
      <c r="Y12" s="60">
        <v>10000</v>
      </c>
      <c r="Z12" s="60">
        <v>0</v>
      </c>
    </row>
    <row r="13" spans="1:26" s="50" customFormat="1" x14ac:dyDescent="0.35">
      <c r="A13" s="56">
        <v>0.22800000000000001</v>
      </c>
      <c r="B13" s="56">
        <v>0.31</v>
      </c>
      <c r="C13" s="56">
        <v>0.442</v>
      </c>
      <c r="D13" s="56">
        <v>0.16481443000000001</v>
      </c>
      <c r="E13" s="56">
        <v>0.40499987818050404</v>
      </c>
      <c r="F13" s="56">
        <v>0.6704150613496932</v>
      </c>
      <c r="G13" s="57">
        <v>0</v>
      </c>
      <c r="H13" s="56">
        <v>9.0999999999999998E-2</v>
      </c>
      <c r="I13" s="56">
        <v>0.115</v>
      </c>
      <c r="J13" s="56">
        <v>3.7999999999999999E-2</v>
      </c>
      <c r="K13" s="56">
        <v>8.2000000000000003E-2</v>
      </c>
      <c r="L13" s="56">
        <v>0.56903049159925323</v>
      </c>
      <c r="M13" s="56">
        <v>0.39263199287728151</v>
      </c>
      <c r="N13" s="50">
        <v>0</v>
      </c>
      <c r="O13" s="58">
        <v>0</v>
      </c>
      <c r="P13" s="58">
        <f>1</f>
        <v>1</v>
      </c>
      <c r="Q13" s="57">
        <v>0.19800000000000001</v>
      </c>
      <c r="R13" s="57">
        <v>0.16200000000000001</v>
      </c>
      <c r="S13" s="57">
        <v>0.35899999999999999</v>
      </c>
      <c r="T13" s="57">
        <v>0.81</v>
      </c>
      <c r="U13" s="57">
        <v>0.5784392407674851</v>
      </c>
      <c r="V13" s="57">
        <v>0.73770491803278682</v>
      </c>
      <c r="W13" s="60">
        <v>7668</v>
      </c>
      <c r="X13" s="60">
        <v>0</v>
      </c>
      <c r="Y13" s="60">
        <v>10000</v>
      </c>
      <c r="Z13" s="60">
        <v>0</v>
      </c>
    </row>
    <row r="14" spans="1:26" s="50" customFormat="1" x14ac:dyDescent="0.35">
      <c r="A14" s="56">
        <v>0.245</v>
      </c>
      <c r="B14" s="56">
        <v>0.38900000000000001</v>
      </c>
      <c r="C14" s="56">
        <v>0.51</v>
      </c>
      <c r="D14" s="56">
        <v>0.189962678</v>
      </c>
      <c r="E14" s="56">
        <v>0.40400014618339519</v>
      </c>
      <c r="F14" s="56">
        <v>0.74630892638036805</v>
      </c>
      <c r="G14" s="57">
        <v>0</v>
      </c>
      <c r="H14" s="56">
        <v>0.10199999999999999</v>
      </c>
      <c r="I14" s="56">
        <v>0.13699999999999998</v>
      </c>
      <c r="J14" s="56">
        <v>3.6999999999999998E-2</v>
      </c>
      <c r="K14" s="56">
        <v>7.8E-2</v>
      </c>
      <c r="L14" s="56">
        <v>0.5700429371499689</v>
      </c>
      <c r="M14" s="56">
        <v>0.47529907998219323</v>
      </c>
      <c r="N14" s="50">
        <v>0</v>
      </c>
      <c r="O14" s="58">
        <v>0</v>
      </c>
      <c r="P14" s="58">
        <f>1</f>
        <v>1</v>
      </c>
      <c r="Q14" s="57">
        <v>0.214</v>
      </c>
      <c r="R14" s="57">
        <v>0.17799999999999999</v>
      </c>
      <c r="S14" s="57">
        <v>0.35599999999999998</v>
      </c>
      <c r="T14" s="57">
        <v>0.80099999999999993</v>
      </c>
      <c r="U14" s="57">
        <v>0.5784392407674851</v>
      </c>
      <c r="V14" s="57">
        <v>0.73770491803278682</v>
      </c>
      <c r="W14" s="60">
        <v>7668</v>
      </c>
      <c r="X14" s="60">
        <v>0</v>
      </c>
      <c r="Y14" s="60">
        <v>10000</v>
      </c>
      <c r="Z14" s="60">
        <v>0</v>
      </c>
    </row>
    <row r="15" spans="1:26" s="50" customFormat="1" x14ac:dyDescent="0.35">
      <c r="A15" s="56">
        <v>0.23500000000000001</v>
      </c>
      <c r="B15" s="56">
        <v>0.39899999999999997</v>
      </c>
      <c r="C15" s="56">
        <v>0.51100000000000001</v>
      </c>
      <c r="D15" s="56">
        <v>0.20713524</v>
      </c>
      <c r="E15" s="56">
        <v>0.40600001624259952</v>
      </c>
      <c r="F15" s="56">
        <v>0.76628361963190184</v>
      </c>
      <c r="G15" s="57">
        <v>0</v>
      </c>
      <c r="H15" s="56">
        <v>9.8000000000000004E-2</v>
      </c>
      <c r="I15" s="56">
        <v>0.13</v>
      </c>
      <c r="J15" s="56">
        <v>4.2999999999999997E-2</v>
      </c>
      <c r="K15" s="56">
        <v>0.08</v>
      </c>
      <c r="L15" s="56">
        <v>0.5675121344119477</v>
      </c>
      <c r="M15" s="56">
        <v>0.50673623683039026</v>
      </c>
      <c r="N15" s="50">
        <v>0</v>
      </c>
      <c r="O15" s="58">
        <v>0</v>
      </c>
      <c r="P15" s="58">
        <f>1</f>
        <v>1</v>
      </c>
      <c r="Q15" s="57">
        <v>0.19600000000000001</v>
      </c>
      <c r="R15" s="57">
        <v>0.16400000000000001</v>
      </c>
      <c r="S15" s="57">
        <v>0.36099999999999999</v>
      </c>
      <c r="T15" s="57">
        <v>0.79700000000000004</v>
      </c>
      <c r="U15" s="57">
        <v>0.5784392407674851</v>
      </c>
      <c r="V15" s="57">
        <v>0.73770491803278682</v>
      </c>
      <c r="W15" s="60">
        <v>7668</v>
      </c>
      <c r="X15" s="60">
        <v>0</v>
      </c>
      <c r="Y15" s="60">
        <v>10000</v>
      </c>
      <c r="Z15" s="60">
        <v>0</v>
      </c>
    </row>
    <row r="16" spans="1:26" s="50" customFormat="1" x14ac:dyDescent="0.35">
      <c r="A16" s="56">
        <v>0.15</v>
      </c>
      <c r="B16" s="56">
        <v>0.34799999999999998</v>
      </c>
      <c r="C16" s="56">
        <v>0.45100000000000001</v>
      </c>
      <c r="D16" s="56">
        <v>0.21409618999999999</v>
      </c>
      <c r="E16" s="56">
        <v>0.40799988630180378</v>
      </c>
      <c r="F16" s="56">
        <v>0.7329300613496933</v>
      </c>
      <c r="G16" s="57">
        <v>0</v>
      </c>
      <c r="H16" s="56">
        <v>0.09</v>
      </c>
      <c r="I16" s="56">
        <v>9.9000000000000005E-2</v>
      </c>
      <c r="J16" s="56">
        <v>4.9999999999999996E-2</v>
      </c>
      <c r="K16" s="56">
        <v>8.7999999999999995E-2</v>
      </c>
      <c r="L16" s="56">
        <v>0.56426135656502807</v>
      </c>
      <c r="M16" s="56">
        <v>0.48316849680961571</v>
      </c>
      <c r="N16" s="50">
        <v>0</v>
      </c>
      <c r="O16" s="58">
        <v>0</v>
      </c>
      <c r="P16" s="58">
        <f>1</f>
        <v>1</v>
      </c>
      <c r="Q16" s="57">
        <v>0.151</v>
      </c>
      <c r="R16" s="57">
        <v>0.125</v>
      </c>
      <c r="S16" s="57">
        <v>0.38500000000000001</v>
      </c>
      <c r="T16" s="57">
        <v>0.8</v>
      </c>
      <c r="U16" s="57">
        <v>0.5784392407674851</v>
      </c>
      <c r="V16" s="57">
        <v>0.73770491803278682</v>
      </c>
      <c r="W16" s="60">
        <v>7668</v>
      </c>
      <c r="X16" s="60">
        <v>0</v>
      </c>
      <c r="Y16" s="60">
        <v>10000</v>
      </c>
      <c r="Z16" s="60">
        <v>0</v>
      </c>
    </row>
    <row r="17" spans="1:26" s="50" customFormat="1" x14ac:dyDescent="0.35">
      <c r="A17" s="56">
        <v>0.03</v>
      </c>
      <c r="B17" s="56">
        <v>0.253</v>
      </c>
      <c r="C17" s="56">
        <v>0.34899999999999998</v>
      </c>
      <c r="D17" s="56">
        <v>0.214720357</v>
      </c>
      <c r="E17" s="56">
        <v>0.40700015430469494</v>
      </c>
      <c r="F17" s="56">
        <v>0.6604142331288344</v>
      </c>
      <c r="G17" s="57">
        <v>0</v>
      </c>
      <c r="H17" s="56">
        <v>3.59999999999999E-2</v>
      </c>
      <c r="I17" s="56">
        <v>4.4999999999999998E-2</v>
      </c>
      <c r="J17" s="56">
        <v>5.7000000000000002E-2</v>
      </c>
      <c r="K17" s="56">
        <v>0.10099999999999999</v>
      </c>
      <c r="L17" s="56">
        <v>0.5602644679527069</v>
      </c>
      <c r="M17" s="56">
        <v>0.40842951476480188</v>
      </c>
      <c r="N17" s="50">
        <v>0</v>
      </c>
      <c r="O17" s="58">
        <v>0</v>
      </c>
      <c r="P17" s="58">
        <f>1</f>
        <v>1</v>
      </c>
      <c r="Q17" s="57">
        <v>9.5999999999999988E-2</v>
      </c>
      <c r="R17" s="57">
        <v>7.6999999999999999E-2</v>
      </c>
      <c r="S17" s="57">
        <v>0.44400000000000001</v>
      </c>
      <c r="T17" s="57">
        <v>0.81200000000000006</v>
      </c>
      <c r="U17" s="57">
        <v>0.5784392407674851</v>
      </c>
      <c r="V17" s="57">
        <v>0.73770491803278682</v>
      </c>
      <c r="W17" s="60">
        <v>7668</v>
      </c>
      <c r="X17" s="60">
        <v>0</v>
      </c>
      <c r="Y17" s="60">
        <v>10000</v>
      </c>
      <c r="Z17" s="60">
        <v>0</v>
      </c>
    </row>
    <row r="18" spans="1:26" s="50" customFormat="1" x14ac:dyDescent="0.35">
      <c r="A18" s="56">
        <v>0</v>
      </c>
      <c r="B18" s="56">
        <v>0.128</v>
      </c>
      <c r="C18" s="56">
        <v>0.20699999999999999</v>
      </c>
      <c r="D18" s="56">
        <v>0.20648649199999999</v>
      </c>
      <c r="E18" s="56">
        <v>0.41000016242599469</v>
      </c>
      <c r="F18" s="56">
        <v>0.50775052147239264</v>
      </c>
      <c r="G18" s="57">
        <v>0</v>
      </c>
      <c r="H18" s="56">
        <v>0</v>
      </c>
      <c r="I18" s="56">
        <v>0</v>
      </c>
      <c r="J18" s="56">
        <v>5.7999999999999996E-2</v>
      </c>
      <c r="K18" s="56">
        <v>0.111</v>
      </c>
      <c r="L18" s="56">
        <v>0.55359240821406352</v>
      </c>
      <c r="M18" s="56">
        <v>0.295080204778157</v>
      </c>
      <c r="N18" s="50">
        <v>0</v>
      </c>
      <c r="O18" s="58">
        <v>0</v>
      </c>
      <c r="P18" s="58">
        <f>1</f>
        <v>1</v>
      </c>
      <c r="Q18" s="57">
        <v>3.5000000000000003E-2</v>
      </c>
      <c r="R18" s="57">
        <v>2.5999999999999999E-2</v>
      </c>
      <c r="S18" s="57">
        <v>0.53599999999999992</v>
      </c>
      <c r="T18" s="57">
        <v>0.82499999999999996</v>
      </c>
      <c r="U18" s="57">
        <v>0.5784392407674851</v>
      </c>
      <c r="V18" s="57">
        <v>0.73770491803278682</v>
      </c>
      <c r="W18" s="60">
        <v>7668</v>
      </c>
      <c r="X18" s="60">
        <v>356.94</v>
      </c>
      <c r="Y18" s="60">
        <v>10000</v>
      </c>
      <c r="Z18" s="60">
        <v>0</v>
      </c>
    </row>
    <row r="19" spans="1:26" s="50" customFormat="1" x14ac:dyDescent="0.35">
      <c r="A19" s="56">
        <v>0</v>
      </c>
      <c r="B19" s="56">
        <v>1.3000000000000001E-2</v>
      </c>
      <c r="C19" s="56">
        <v>5.2000000000000005E-2</v>
      </c>
      <c r="D19" s="56">
        <v>0.17191646599999999</v>
      </c>
      <c r="E19" s="56">
        <v>0.42599993502960221</v>
      </c>
      <c r="F19" s="56">
        <v>0.26268420245398771</v>
      </c>
      <c r="G19" s="57">
        <v>0</v>
      </c>
      <c r="H19" s="56">
        <v>0</v>
      </c>
      <c r="I19" s="56">
        <v>0</v>
      </c>
      <c r="J19" s="56">
        <v>6.9000000000000006E-2</v>
      </c>
      <c r="K19" s="56">
        <v>0.125</v>
      </c>
      <c r="L19" s="56">
        <v>0.54495395146235215</v>
      </c>
      <c r="M19" s="56">
        <v>0.17503182964831579</v>
      </c>
      <c r="N19" s="50">
        <v>0</v>
      </c>
      <c r="O19" s="58">
        <v>0.77362125528354786</v>
      </c>
      <c r="P19" s="58">
        <f>1</f>
        <v>1</v>
      </c>
      <c r="Q19" s="57">
        <v>0</v>
      </c>
      <c r="R19" s="57">
        <v>0</v>
      </c>
      <c r="S19" s="57">
        <v>0.61599999999999999</v>
      </c>
      <c r="T19" s="57">
        <v>0.83400000000000007</v>
      </c>
      <c r="U19" s="57">
        <v>0.5784392407674851</v>
      </c>
      <c r="V19" s="57">
        <v>0.73770491803278682</v>
      </c>
      <c r="W19" s="60">
        <v>7668</v>
      </c>
      <c r="X19" s="60">
        <v>651.21892933000004</v>
      </c>
      <c r="Y19" s="60">
        <v>10000</v>
      </c>
      <c r="Z19" s="60">
        <v>0</v>
      </c>
    </row>
    <row r="20" spans="1:26" s="50" customFormat="1" x14ac:dyDescent="0.35">
      <c r="A20" s="56">
        <v>0</v>
      </c>
      <c r="B20" s="56">
        <v>0</v>
      </c>
      <c r="C20" s="56">
        <v>0</v>
      </c>
      <c r="D20" s="56">
        <v>0.158973279</v>
      </c>
      <c r="E20" s="56">
        <v>0.42400006497039783</v>
      </c>
      <c r="F20" s="56">
        <v>0.18530950920245398</v>
      </c>
      <c r="G20" s="57">
        <v>0</v>
      </c>
      <c r="H20" s="56">
        <v>0</v>
      </c>
      <c r="I20" s="56">
        <v>0</v>
      </c>
      <c r="J20" s="56">
        <v>9.5999999999999988E-2</v>
      </c>
      <c r="K20" s="56">
        <v>0.13999999999999999</v>
      </c>
      <c r="L20" s="56">
        <v>0.54184256378344742</v>
      </c>
      <c r="M20" s="56">
        <v>0.10359764059949547</v>
      </c>
      <c r="N20" s="50">
        <v>0</v>
      </c>
      <c r="O20" s="58">
        <v>0.77362125528354786</v>
      </c>
      <c r="P20" s="58">
        <f>1</f>
        <v>1</v>
      </c>
      <c r="Q20" s="57">
        <v>0</v>
      </c>
      <c r="R20" s="57">
        <v>0</v>
      </c>
      <c r="S20" s="57">
        <v>0.66599999999999993</v>
      </c>
      <c r="T20" s="57">
        <v>0.84099999999999997</v>
      </c>
      <c r="U20" s="57">
        <v>0.5784392407674851</v>
      </c>
      <c r="V20" s="57">
        <v>0.73770491803278682</v>
      </c>
      <c r="W20" s="60">
        <v>7668</v>
      </c>
      <c r="X20" s="60">
        <v>650.75904741999989</v>
      </c>
      <c r="Y20" s="60">
        <v>10000</v>
      </c>
      <c r="Z20" s="60">
        <v>0</v>
      </c>
    </row>
    <row r="21" spans="1:26" s="50" customFormat="1" x14ac:dyDescent="0.35">
      <c r="A21" s="56">
        <v>0</v>
      </c>
      <c r="B21" s="56">
        <v>0</v>
      </c>
      <c r="C21" s="56">
        <v>0</v>
      </c>
      <c r="D21" s="56">
        <v>0.15493874299999999</v>
      </c>
      <c r="E21" s="56">
        <v>0.42400006497039783</v>
      </c>
      <c r="F21" s="56">
        <v>0.1806019325153374</v>
      </c>
      <c r="G21" s="57">
        <v>0</v>
      </c>
      <c r="H21" s="56">
        <v>0</v>
      </c>
      <c r="I21" s="56">
        <v>0</v>
      </c>
      <c r="J21" s="56">
        <v>0.11299999999999999</v>
      </c>
      <c r="K21" s="56">
        <v>0.14900000000000002</v>
      </c>
      <c r="L21" s="56">
        <v>0.54204044803982576</v>
      </c>
      <c r="M21" s="56">
        <v>0.10872006232378691</v>
      </c>
      <c r="N21" s="50">
        <v>0</v>
      </c>
      <c r="O21" s="58">
        <v>0.77362125528354786</v>
      </c>
      <c r="P21" s="58">
        <f>1</f>
        <v>1</v>
      </c>
      <c r="Q21" s="57">
        <v>0</v>
      </c>
      <c r="R21" s="57">
        <v>0</v>
      </c>
      <c r="S21" s="57">
        <v>0.68799999999999994</v>
      </c>
      <c r="T21" s="57">
        <v>0.83499999999999996</v>
      </c>
      <c r="U21" s="57">
        <v>0.5784392407674851</v>
      </c>
      <c r="V21" s="57">
        <v>0.73770491803278682</v>
      </c>
      <c r="W21" s="60">
        <v>7668</v>
      </c>
      <c r="X21" s="60">
        <v>650.29916550999997</v>
      </c>
      <c r="Y21" s="60">
        <v>10000</v>
      </c>
      <c r="Z21" s="60">
        <v>0</v>
      </c>
    </row>
    <row r="22" spans="1:26" s="50" customFormat="1" x14ac:dyDescent="0.35">
      <c r="A22" s="56">
        <v>0</v>
      </c>
      <c r="B22" s="56">
        <v>0</v>
      </c>
      <c r="C22" s="56">
        <v>0</v>
      </c>
      <c r="D22" s="56">
        <v>0.15646373499999999</v>
      </c>
      <c r="E22" s="56">
        <v>0.42599993502960221</v>
      </c>
      <c r="F22" s="56">
        <v>0.18237950920245399</v>
      </c>
      <c r="G22" s="57">
        <v>0</v>
      </c>
      <c r="H22" s="56">
        <v>0</v>
      </c>
      <c r="I22" s="56">
        <v>0</v>
      </c>
      <c r="J22" s="56">
        <v>0.114</v>
      </c>
      <c r="K22" s="56">
        <v>0.153</v>
      </c>
      <c r="L22" s="56">
        <v>0.54269943995021785</v>
      </c>
      <c r="M22" s="56">
        <v>0.11190488202997477</v>
      </c>
      <c r="N22" s="50">
        <v>0</v>
      </c>
      <c r="O22" s="58">
        <v>0.77362125528354786</v>
      </c>
      <c r="P22" s="58">
        <f>1</f>
        <v>1</v>
      </c>
      <c r="Q22" s="57">
        <v>0</v>
      </c>
      <c r="R22" s="57">
        <v>0</v>
      </c>
      <c r="S22" s="57">
        <v>0.68500000000000005</v>
      </c>
      <c r="T22" s="57">
        <v>0.83099999999999996</v>
      </c>
      <c r="U22" s="57">
        <v>0.5784392407674851</v>
      </c>
      <c r="V22" s="57">
        <v>0.73770491803278682</v>
      </c>
      <c r="W22" s="60">
        <v>7668</v>
      </c>
      <c r="X22" s="60">
        <v>649.83928358999992</v>
      </c>
      <c r="Y22" s="60">
        <v>10000</v>
      </c>
      <c r="Z22" s="60">
        <v>0</v>
      </c>
    </row>
    <row r="23" spans="1:26" s="50" customFormat="1" x14ac:dyDescent="0.35">
      <c r="A23" s="56">
        <v>0</v>
      </c>
      <c r="B23" s="56">
        <v>0</v>
      </c>
      <c r="C23" s="56">
        <v>0</v>
      </c>
      <c r="D23" s="56">
        <v>0.161745637</v>
      </c>
      <c r="E23" s="56">
        <v>0.40799988630180378</v>
      </c>
      <c r="F23" s="56">
        <v>0.18853625766871165</v>
      </c>
      <c r="G23" s="57">
        <v>0</v>
      </c>
      <c r="H23" s="56">
        <v>0</v>
      </c>
      <c r="I23" s="56">
        <v>0</v>
      </c>
      <c r="J23" s="56">
        <v>0.114</v>
      </c>
      <c r="K23" s="56">
        <v>0.154</v>
      </c>
      <c r="L23" s="56">
        <v>0.5432227753578095</v>
      </c>
      <c r="M23" s="56">
        <v>0.11391571449769995</v>
      </c>
      <c r="N23" s="50">
        <v>0</v>
      </c>
      <c r="O23" s="58">
        <v>0.77362125528354786</v>
      </c>
      <c r="P23" s="58">
        <f>1</f>
        <v>1</v>
      </c>
      <c r="Q23" s="57">
        <v>0</v>
      </c>
      <c r="R23" s="57">
        <v>0</v>
      </c>
      <c r="S23" s="57">
        <v>0.67599999999999993</v>
      </c>
      <c r="T23" s="57">
        <v>0.81799999999999995</v>
      </c>
      <c r="U23" s="57">
        <v>0.5784392407674851</v>
      </c>
      <c r="V23" s="57">
        <v>0.73770491803278682</v>
      </c>
      <c r="W23" s="60">
        <v>7668</v>
      </c>
      <c r="X23" s="60">
        <v>649.37940168</v>
      </c>
      <c r="Y23" s="60">
        <v>10000</v>
      </c>
      <c r="Z23" s="60">
        <v>0</v>
      </c>
    </row>
    <row r="24" spans="1:26" s="50" customFormat="1" x14ac:dyDescent="0.35">
      <c r="A24" s="56">
        <v>0</v>
      </c>
      <c r="B24" s="56">
        <v>0</v>
      </c>
      <c r="C24" s="56">
        <v>0</v>
      </c>
      <c r="D24" s="56">
        <v>0.172932218</v>
      </c>
      <c r="E24" s="56">
        <v>0.41099989442310353</v>
      </c>
      <c r="F24" s="56">
        <v>0.20157573619631902</v>
      </c>
      <c r="G24" s="57">
        <v>0</v>
      </c>
      <c r="H24" s="56">
        <v>0</v>
      </c>
      <c r="I24" s="56">
        <v>0</v>
      </c>
      <c r="J24" s="56">
        <v>0.12799999999999997</v>
      </c>
      <c r="K24" s="56">
        <v>0.14699999999999999</v>
      </c>
      <c r="L24" s="56">
        <v>0.54796764156813937</v>
      </c>
      <c r="M24" s="56">
        <v>0.10984827125686304</v>
      </c>
      <c r="N24" s="50">
        <v>0</v>
      </c>
      <c r="O24" s="58">
        <v>0.77362125528354786</v>
      </c>
      <c r="P24" s="58">
        <f>1</f>
        <v>1</v>
      </c>
      <c r="Q24" s="57">
        <v>0</v>
      </c>
      <c r="R24" s="57">
        <v>0</v>
      </c>
      <c r="S24" s="57">
        <v>0.66300000000000003</v>
      </c>
      <c r="T24" s="57">
        <v>0.80599999999999994</v>
      </c>
      <c r="U24" s="57">
        <v>0.5784392407674851</v>
      </c>
      <c r="V24" s="57">
        <v>0.73770491803278682</v>
      </c>
      <c r="W24" s="60">
        <v>7668</v>
      </c>
      <c r="X24" s="60">
        <v>648.91951976999997</v>
      </c>
      <c r="Y24" s="60">
        <v>10000</v>
      </c>
      <c r="Z24" s="60">
        <v>0</v>
      </c>
    </row>
    <row r="25" spans="1:26" s="50" customFormat="1" x14ac:dyDescent="0.35">
      <c r="A25" s="56">
        <v>0</v>
      </c>
      <c r="B25" s="56">
        <v>0</v>
      </c>
      <c r="C25" s="56">
        <v>0</v>
      </c>
      <c r="D25" s="56">
        <v>0.18310457299999999</v>
      </c>
      <c r="E25" s="56">
        <v>0.40799988630180378</v>
      </c>
      <c r="F25" s="56">
        <v>0.21343297546012269</v>
      </c>
      <c r="G25" s="57">
        <v>0</v>
      </c>
      <c r="H25" s="56">
        <v>0</v>
      </c>
      <c r="I25" s="56">
        <v>0</v>
      </c>
      <c r="J25" s="56">
        <v>0.156</v>
      </c>
      <c r="K25" s="56">
        <v>0.13699999999999998</v>
      </c>
      <c r="L25" s="56">
        <v>0.55428064716863723</v>
      </c>
      <c r="M25" s="56">
        <v>0.1043832170945244</v>
      </c>
      <c r="N25" s="50">
        <v>0</v>
      </c>
      <c r="O25" s="58">
        <v>0.77362125528354786</v>
      </c>
      <c r="P25" s="58">
        <f>1</f>
        <v>1</v>
      </c>
      <c r="Q25" s="57">
        <v>0</v>
      </c>
      <c r="R25" s="57">
        <v>0</v>
      </c>
      <c r="S25" s="57">
        <v>0.65900000000000003</v>
      </c>
      <c r="T25" s="57">
        <v>0.80500000000000005</v>
      </c>
      <c r="U25" s="57">
        <v>0.5784392407674851</v>
      </c>
      <c r="V25" s="57">
        <v>0.73770491803278682</v>
      </c>
      <c r="W25" s="60">
        <v>7668</v>
      </c>
      <c r="X25" s="60">
        <v>648.91951976999997</v>
      </c>
      <c r="Y25" s="60">
        <v>19610.072500000002</v>
      </c>
      <c r="Z25" s="60">
        <v>0</v>
      </c>
    </row>
    <row r="26" spans="1:26" s="50" customFormat="1" x14ac:dyDescent="0.35">
      <c r="A26" s="56">
        <v>0</v>
      </c>
      <c r="B26" s="56">
        <v>0</v>
      </c>
      <c r="C26" s="56">
        <v>0</v>
      </c>
      <c r="D26" s="56">
        <v>0.191308168</v>
      </c>
      <c r="E26" s="56">
        <v>0.39099997563610084</v>
      </c>
      <c r="F26" s="56">
        <v>0.22299536809815951</v>
      </c>
      <c r="G26" s="57">
        <v>0</v>
      </c>
      <c r="H26" s="56">
        <v>0</v>
      </c>
      <c r="I26" s="56">
        <v>0</v>
      </c>
      <c r="J26" s="56">
        <v>0.17699999999999999</v>
      </c>
      <c r="K26" s="56">
        <v>0.125</v>
      </c>
      <c r="L26" s="56">
        <v>0.55494523957685127</v>
      </c>
      <c r="M26" s="56">
        <v>9.7894791512093779E-2</v>
      </c>
      <c r="N26" s="50">
        <v>0</v>
      </c>
      <c r="O26" s="58">
        <v>0.83886932004309223</v>
      </c>
      <c r="P26" s="58">
        <f>1</f>
        <v>1</v>
      </c>
      <c r="Q26" s="57">
        <v>0</v>
      </c>
      <c r="R26" s="57">
        <v>0</v>
      </c>
      <c r="S26" s="57">
        <v>0.63700000000000001</v>
      </c>
      <c r="T26" s="57">
        <v>0.80799999999999994</v>
      </c>
      <c r="U26" s="57">
        <v>0.5784392407674851</v>
      </c>
      <c r="V26" s="57">
        <v>0.73770491803278682</v>
      </c>
      <c r="W26" s="60">
        <v>7668</v>
      </c>
      <c r="X26" s="60">
        <v>648.91853372000003</v>
      </c>
      <c r="Y26" s="60">
        <v>19800</v>
      </c>
      <c r="Z26" s="60">
        <v>0</v>
      </c>
    </row>
    <row r="27" spans="1:26" s="50" customFormat="1" x14ac:dyDescent="0.35">
      <c r="A27" s="56">
        <v>0</v>
      </c>
      <c r="B27" s="56">
        <v>0</v>
      </c>
      <c r="C27" s="56">
        <v>0</v>
      </c>
      <c r="D27" s="56">
        <v>0.18462990100000001</v>
      </c>
      <c r="E27" s="56">
        <v>0.38699982945270561</v>
      </c>
      <c r="F27" s="56">
        <v>0.21521095092024542</v>
      </c>
      <c r="G27" s="57">
        <v>0</v>
      </c>
      <c r="H27" s="56">
        <v>0</v>
      </c>
      <c r="I27" s="56">
        <v>0</v>
      </c>
      <c r="J27" s="56">
        <v>0.183</v>
      </c>
      <c r="K27" s="56">
        <v>0.113</v>
      </c>
      <c r="L27" s="56">
        <v>0.55443061605476041</v>
      </c>
      <c r="M27" s="56">
        <v>9.2014468021961712E-2</v>
      </c>
      <c r="N27" s="50">
        <v>0</v>
      </c>
      <c r="O27" s="58">
        <v>0.83886932004309223</v>
      </c>
      <c r="P27" s="58">
        <f>1</f>
        <v>1</v>
      </c>
      <c r="Q27" s="57">
        <v>0</v>
      </c>
      <c r="R27" s="57">
        <v>0</v>
      </c>
      <c r="S27" s="57">
        <v>0.64</v>
      </c>
      <c r="T27" s="57">
        <v>0.82900000000000007</v>
      </c>
      <c r="U27" s="57">
        <v>0.5784392407674851</v>
      </c>
      <c r="V27" s="57">
        <v>0.73770491803278682</v>
      </c>
      <c r="W27" s="60">
        <v>7668</v>
      </c>
      <c r="X27" s="60">
        <v>648.91853372000003</v>
      </c>
      <c r="Y27" s="60">
        <v>19800</v>
      </c>
      <c r="Z27" s="60">
        <v>0</v>
      </c>
    </row>
    <row r="28" spans="1:26" s="50" customFormat="1" x14ac:dyDescent="0.35">
      <c r="A28" s="56">
        <v>0</v>
      </c>
      <c r="B28" s="56">
        <v>0</v>
      </c>
      <c r="C28" s="56">
        <v>0</v>
      </c>
      <c r="D28" s="56">
        <v>0.175203316</v>
      </c>
      <c r="E28" s="56">
        <v>0.38699982945270561</v>
      </c>
      <c r="F28" s="56">
        <v>0.20422300613496933</v>
      </c>
      <c r="G28" s="57">
        <v>0</v>
      </c>
      <c r="H28" s="56">
        <v>0</v>
      </c>
      <c r="I28" s="56">
        <v>0</v>
      </c>
      <c r="J28" s="56">
        <v>0.183</v>
      </c>
      <c r="K28" s="56">
        <v>0.10099999999999999</v>
      </c>
      <c r="L28" s="56">
        <v>0.55368077162414431</v>
      </c>
      <c r="M28" s="56">
        <v>8.523816589998516E-2</v>
      </c>
      <c r="N28" s="50">
        <v>0</v>
      </c>
      <c r="O28" s="58">
        <v>0.83886932004309223</v>
      </c>
      <c r="P28" s="58">
        <f>1</f>
        <v>1</v>
      </c>
      <c r="Q28" s="57">
        <v>0</v>
      </c>
      <c r="R28" s="57">
        <v>0</v>
      </c>
      <c r="S28" s="57">
        <v>0.64500000000000002</v>
      </c>
      <c r="T28" s="57">
        <v>0.85799999999999998</v>
      </c>
      <c r="U28" s="57">
        <v>0.5784392407674851</v>
      </c>
      <c r="V28" s="57">
        <v>0.73770491803278682</v>
      </c>
      <c r="W28" s="60">
        <v>7668</v>
      </c>
      <c r="X28" s="60">
        <v>648.91853372000003</v>
      </c>
      <c r="Y28" s="60">
        <v>19800</v>
      </c>
      <c r="Z28" s="60">
        <v>0</v>
      </c>
    </row>
    <row r="29" spans="1:26" s="50" customFormat="1" x14ac:dyDescent="0.35">
      <c r="A29" s="56">
        <v>0</v>
      </c>
      <c r="B29" s="56">
        <v>0</v>
      </c>
      <c r="C29" s="56">
        <v>0</v>
      </c>
      <c r="D29" s="56">
        <v>0.164087805</v>
      </c>
      <c r="E29" s="56">
        <v>0.38699982945270561</v>
      </c>
      <c r="F29" s="56">
        <v>0.19126638036809815</v>
      </c>
      <c r="G29" s="57">
        <v>0</v>
      </c>
      <c r="H29" s="56">
        <v>0</v>
      </c>
      <c r="I29" s="56">
        <v>0</v>
      </c>
      <c r="J29" s="56">
        <v>0.18</v>
      </c>
      <c r="K29" s="56">
        <v>9.1999999999999998E-2</v>
      </c>
      <c r="L29" s="56">
        <v>0.54962476664592408</v>
      </c>
      <c r="M29" s="56">
        <v>7.9252782311915723E-2</v>
      </c>
      <c r="N29" s="50">
        <v>0</v>
      </c>
      <c r="O29" s="58">
        <v>0.83886932004309223</v>
      </c>
      <c r="P29" s="58">
        <f>1</f>
        <v>1</v>
      </c>
      <c r="Q29" s="57">
        <v>0</v>
      </c>
      <c r="R29" s="57">
        <v>0</v>
      </c>
      <c r="S29" s="57">
        <v>0.66200000000000003</v>
      </c>
      <c r="T29" s="57">
        <v>0.89</v>
      </c>
      <c r="U29" s="57">
        <v>0.5784392407674851</v>
      </c>
      <c r="V29" s="57">
        <v>0.73770491803278682</v>
      </c>
      <c r="W29" s="60">
        <v>7668</v>
      </c>
      <c r="X29" s="60">
        <v>648.91853372000003</v>
      </c>
      <c r="Y29" s="60">
        <v>19800</v>
      </c>
      <c r="Z29" s="60">
        <v>0</v>
      </c>
    </row>
    <row r="30" spans="1:26" s="50" customFormat="1" x14ac:dyDescent="0.35">
      <c r="A30" s="56">
        <v>0</v>
      </c>
      <c r="B30" s="56">
        <v>0</v>
      </c>
      <c r="C30" s="56">
        <v>0</v>
      </c>
      <c r="D30" s="56">
        <v>0.15585540000000001</v>
      </c>
      <c r="E30" s="56">
        <v>0.38699982945270561</v>
      </c>
      <c r="F30" s="56">
        <v>0.18167039877300614</v>
      </c>
      <c r="G30" s="57">
        <v>0</v>
      </c>
      <c r="H30" s="56">
        <v>0</v>
      </c>
      <c r="I30" s="56">
        <v>0</v>
      </c>
      <c r="J30" s="56">
        <v>0.183</v>
      </c>
      <c r="K30" s="56">
        <v>8.4000000000000005E-2</v>
      </c>
      <c r="L30" s="56">
        <v>0.54362725575606718</v>
      </c>
      <c r="M30" s="56">
        <v>7.4230820596527677E-2</v>
      </c>
      <c r="N30" s="50">
        <v>0</v>
      </c>
      <c r="O30" s="58">
        <v>0.83886932004309223</v>
      </c>
      <c r="P30" s="58">
        <f>1</f>
        <v>1</v>
      </c>
      <c r="Q30" s="57">
        <v>0</v>
      </c>
      <c r="R30" s="57">
        <v>0</v>
      </c>
      <c r="S30" s="57">
        <v>0.67400000000000004</v>
      </c>
      <c r="T30" s="57">
        <v>0.89700000000000002</v>
      </c>
      <c r="U30" s="57">
        <v>0.5784392407674851</v>
      </c>
      <c r="V30" s="57">
        <v>0.73770491803278682</v>
      </c>
      <c r="W30" s="60">
        <v>7668</v>
      </c>
      <c r="X30" s="60">
        <v>649.37841563999996</v>
      </c>
      <c r="Y30" s="60">
        <v>19800</v>
      </c>
      <c r="Z30" s="60">
        <v>0</v>
      </c>
    </row>
    <row r="31" spans="1:26" s="50" customFormat="1" x14ac:dyDescent="0.35">
      <c r="A31" s="56">
        <v>0</v>
      </c>
      <c r="B31" s="56">
        <v>0</v>
      </c>
      <c r="C31" s="56">
        <v>0</v>
      </c>
      <c r="D31" s="56">
        <v>0.148141731</v>
      </c>
      <c r="E31" s="56">
        <v>0.38699982945270561</v>
      </c>
      <c r="F31" s="56">
        <v>0.17267907975460123</v>
      </c>
      <c r="G31" s="57">
        <v>0</v>
      </c>
      <c r="H31" s="56">
        <v>0</v>
      </c>
      <c r="I31" s="56">
        <v>0</v>
      </c>
      <c r="J31" s="56">
        <v>0.18499999999999997</v>
      </c>
      <c r="K31" s="56">
        <v>7.8E-2</v>
      </c>
      <c r="L31" s="56">
        <v>0.54071499688861235</v>
      </c>
      <c r="M31" s="56">
        <v>6.8519884255824309E-2</v>
      </c>
      <c r="N31" s="50">
        <v>0</v>
      </c>
      <c r="O31" s="58">
        <v>0.83886932004309223</v>
      </c>
      <c r="P31" s="58">
        <f>1</f>
        <v>1</v>
      </c>
      <c r="Q31" s="57">
        <v>0</v>
      </c>
      <c r="R31" s="57">
        <v>0</v>
      </c>
      <c r="S31" s="57">
        <v>0.69099999999999995</v>
      </c>
      <c r="T31" s="57">
        <v>0.89900000000000002</v>
      </c>
      <c r="U31" s="57">
        <v>0.5784392407674851</v>
      </c>
      <c r="V31" s="57">
        <v>0.73770491803278682</v>
      </c>
      <c r="W31" s="60">
        <v>7668</v>
      </c>
      <c r="X31" s="60">
        <v>650.29817945000002</v>
      </c>
      <c r="Y31" s="60">
        <v>19800</v>
      </c>
      <c r="Z31" s="60">
        <v>0</v>
      </c>
    </row>
    <row r="32" spans="1:26" s="50" customFormat="1" x14ac:dyDescent="0.35">
      <c r="A32" s="56">
        <v>0</v>
      </c>
      <c r="B32" s="56">
        <v>0</v>
      </c>
      <c r="C32" s="56">
        <v>0</v>
      </c>
      <c r="D32" s="56">
        <v>0.133788193</v>
      </c>
      <c r="E32" s="56">
        <v>0.39099997563610084</v>
      </c>
      <c r="F32" s="56">
        <v>0.15594812883435583</v>
      </c>
      <c r="G32" s="57">
        <v>0</v>
      </c>
      <c r="H32" s="56">
        <v>0</v>
      </c>
      <c r="I32" s="56">
        <v>0</v>
      </c>
      <c r="J32" s="56">
        <v>0.182</v>
      </c>
      <c r="K32" s="56">
        <v>7.5999999999999998E-2</v>
      </c>
      <c r="L32" s="56">
        <v>0.55184380833851898</v>
      </c>
      <c r="M32" s="56">
        <v>6.6121531384478419E-2</v>
      </c>
      <c r="N32" s="50">
        <v>0</v>
      </c>
      <c r="O32" s="58">
        <v>0.83886932004309223</v>
      </c>
      <c r="P32" s="58">
        <f>1</f>
        <v>1</v>
      </c>
      <c r="Q32" s="57">
        <v>0</v>
      </c>
      <c r="R32" s="57">
        <v>0</v>
      </c>
      <c r="S32" s="57">
        <v>0.71299999999999997</v>
      </c>
      <c r="T32" s="57">
        <v>0.90599999999999992</v>
      </c>
      <c r="U32" s="57">
        <v>0.5784392407674851</v>
      </c>
      <c r="V32" s="57">
        <v>0.73770491803278682</v>
      </c>
      <c r="W32" s="60">
        <v>7668</v>
      </c>
      <c r="X32" s="60">
        <v>650.75806136999995</v>
      </c>
      <c r="Y32" s="60">
        <v>19800</v>
      </c>
      <c r="Z32" s="60">
        <v>0</v>
      </c>
    </row>
    <row r="33" spans="1:26" s="50" customFormat="1" x14ac:dyDescent="0.35">
      <c r="A33" s="56">
        <v>0</v>
      </c>
      <c r="B33" s="56">
        <v>0</v>
      </c>
      <c r="C33" s="56">
        <v>0</v>
      </c>
      <c r="D33" s="56">
        <v>0.115257552</v>
      </c>
      <c r="E33" s="56">
        <v>0.42100005684909814</v>
      </c>
      <c r="F33" s="56">
        <v>0.13434815950920245</v>
      </c>
      <c r="G33" s="57">
        <v>0</v>
      </c>
      <c r="H33" s="56">
        <v>0</v>
      </c>
      <c r="I33" s="56">
        <v>0</v>
      </c>
      <c r="J33" s="56">
        <v>0.16499999999999998</v>
      </c>
      <c r="K33" s="56">
        <v>7.9000000000000001E-2</v>
      </c>
      <c r="L33" s="56">
        <v>0.59684131922837591</v>
      </c>
      <c r="M33" s="56">
        <v>6.803472325270811E-2</v>
      </c>
      <c r="N33" s="50">
        <v>0</v>
      </c>
      <c r="O33" s="58">
        <v>0.83886932004309223</v>
      </c>
      <c r="P33" s="58">
        <f>1</f>
        <v>1</v>
      </c>
      <c r="Q33" s="57">
        <v>0</v>
      </c>
      <c r="R33" s="57">
        <v>0</v>
      </c>
      <c r="S33" s="57">
        <v>0.73399999999999999</v>
      </c>
      <c r="T33" s="57">
        <v>0.90500000000000003</v>
      </c>
      <c r="U33" s="57">
        <v>0.5784392407674851</v>
      </c>
      <c r="V33" s="57">
        <v>0.73770491803278682</v>
      </c>
      <c r="W33" s="60">
        <v>7668</v>
      </c>
      <c r="X33" s="60">
        <v>651.2179432800001</v>
      </c>
      <c r="Y33" s="60">
        <v>19800</v>
      </c>
      <c r="Z33" s="60">
        <v>0</v>
      </c>
    </row>
    <row r="34" spans="1:26" s="50" customFormat="1" x14ac:dyDescent="0.35">
      <c r="A34" s="56">
        <v>0</v>
      </c>
      <c r="B34" s="56">
        <v>0</v>
      </c>
      <c r="C34" s="56">
        <v>0</v>
      </c>
      <c r="D34" s="56">
        <v>0.113440635</v>
      </c>
      <c r="E34" s="56">
        <v>0.44099997563610077</v>
      </c>
      <c r="F34" s="56">
        <v>0.13685401840490796</v>
      </c>
      <c r="G34" s="57">
        <v>0</v>
      </c>
      <c r="H34" s="56">
        <v>0</v>
      </c>
      <c r="I34" s="56">
        <v>0</v>
      </c>
      <c r="J34" s="56">
        <v>0.13600000000000001</v>
      </c>
      <c r="K34" s="56">
        <v>8.1000000000000003E-2</v>
      </c>
      <c r="L34" s="56">
        <v>0.60673304293714991</v>
      </c>
      <c r="M34" s="56">
        <v>7.0894346342187275E-2</v>
      </c>
      <c r="N34" s="50">
        <v>0</v>
      </c>
      <c r="O34" s="58">
        <v>0.83886932004309223</v>
      </c>
      <c r="P34" s="58">
        <f>1</f>
        <v>1</v>
      </c>
      <c r="Q34" s="57">
        <v>0</v>
      </c>
      <c r="R34" s="57">
        <v>0</v>
      </c>
      <c r="S34" s="57">
        <v>0.746</v>
      </c>
      <c r="T34" s="57">
        <v>0.91799999999999993</v>
      </c>
      <c r="U34" s="57">
        <v>0.5784392407674851</v>
      </c>
      <c r="V34" s="57">
        <v>0.73770491803278682</v>
      </c>
      <c r="W34" s="60">
        <v>7668</v>
      </c>
      <c r="X34" s="60">
        <v>651.2179432800001</v>
      </c>
      <c r="Y34" s="60">
        <v>19800</v>
      </c>
      <c r="Z34" s="60">
        <v>0</v>
      </c>
    </row>
    <row r="35" spans="1:26" s="50" customFormat="1" x14ac:dyDescent="0.35">
      <c r="A35" s="56">
        <v>7.6999999999999999E-2</v>
      </c>
      <c r="B35" s="56">
        <v>6.6000000000000003E-2</v>
      </c>
      <c r="C35" s="56">
        <v>0.113</v>
      </c>
      <c r="D35" s="56">
        <v>0.103052199</v>
      </c>
      <c r="E35" s="56">
        <v>0.4390001055768965</v>
      </c>
      <c r="F35" s="56">
        <v>0.24824355828220859</v>
      </c>
      <c r="G35" s="57">
        <v>0</v>
      </c>
      <c r="H35" s="56">
        <v>0</v>
      </c>
      <c r="I35" s="56">
        <v>0</v>
      </c>
      <c r="J35" s="56">
        <v>0.108</v>
      </c>
      <c r="K35" s="56">
        <v>8.1000000000000003E-2</v>
      </c>
      <c r="L35" s="56">
        <v>0.61458369632856247</v>
      </c>
      <c r="M35" s="56">
        <v>0.12066100311618935</v>
      </c>
      <c r="N35" s="50">
        <v>0</v>
      </c>
      <c r="O35" s="58">
        <v>0.83886932004309223</v>
      </c>
      <c r="P35" s="58">
        <f>1</f>
        <v>1</v>
      </c>
      <c r="Q35" s="57">
        <v>3.2000000000000001E-2</v>
      </c>
      <c r="R35" s="57">
        <v>2.6999999999999996E-2</v>
      </c>
      <c r="S35" s="57">
        <v>0.70699999999999996</v>
      </c>
      <c r="T35" s="57">
        <v>0.92200000000000004</v>
      </c>
      <c r="U35" s="57">
        <v>0.5784392407674851</v>
      </c>
      <c r="V35" s="57">
        <v>0.73770491803278682</v>
      </c>
      <c r="W35" s="60">
        <v>7668</v>
      </c>
      <c r="X35" s="60">
        <v>651.2179432800001</v>
      </c>
      <c r="Y35" s="60">
        <v>19800</v>
      </c>
      <c r="Z35" s="60">
        <v>0</v>
      </c>
    </row>
    <row r="36" spans="1:26" s="50" customFormat="1" x14ac:dyDescent="0.35">
      <c r="A36" s="56">
        <v>0.22</v>
      </c>
      <c r="B36" s="56">
        <v>0.17</v>
      </c>
      <c r="C36" s="56">
        <v>0.27399999999999997</v>
      </c>
      <c r="D36" s="56">
        <v>8.6513140000000002E-2</v>
      </c>
      <c r="E36" s="56">
        <v>0.42700007309169763</v>
      </c>
      <c r="F36" s="56">
        <v>0.42392481595092024</v>
      </c>
      <c r="G36" s="57">
        <v>0</v>
      </c>
      <c r="H36" s="56">
        <v>0</v>
      </c>
      <c r="I36" s="56">
        <v>0</v>
      </c>
      <c r="J36" s="56">
        <v>6.7000000000000004E-2</v>
      </c>
      <c r="K36" s="56">
        <v>7.8E-2</v>
      </c>
      <c r="L36" s="56">
        <v>0.61537585563161168</v>
      </c>
      <c r="M36" s="56">
        <v>0.24950727110847307</v>
      </c>
      <c r="N36" s="50">
        <v>0</v>
      </c>
      <c r="O36" s="58">
        <v>0.78977169096992472</v>
      </c>
      <c r="P36" s="58">
        <f>1</f>
        <v>1</v>
      </c>
      <c r="Q36" s="57">
        <v>0.08</v>
      </c>
      <c r="R36" s="57">
        <v>6.8000000000000005E-2</v>
      </c>
      <c r="S36" s="57">
        <v>0.66400000000000003</v>
      </c>
      <c r="T36" s="57">
        <v>0.92</v>
      </c>
      <c r="U36" s="57">
        <v>0.5784392407674851</v>
      </c>
      <c r="V36" s="57">
        <v>0.73770491803278682</v>
      </c>
      <c r="W36" s="60">
        <v>7668</v>
      </c>
      <c r="X36" s="60">
        <v>651.2179432800001</v>
      </c>
      <c r="Y36" s="60">
        <v>19800</v>
      </c>
      <c r="Z36" s="60">
        <v>0</v>
      </c>
    </row>
    <row r="37" spans="1:26" s="50" customFormat="1" x14ac:dyDescent="0.35">
      <c r="A37" s="56">
        <v>0.28399999999999997</v>
      </c>
      <c r="B37" s="56">
        <v>0.28299999999999903</v>
      </c>
      <c r="C37" s="56">
        <v>0.40600000000000003</v>
      </c>
      <c r="D37" s="56">
        <v>8.1672468999999998E-2</v>
      </c>
      <c r="E37" s="56">
        <v>0.42499979696750673</v>
      </c>
      <c r="F37" s="56">
        <v>0.53691552147239263</v>
      </c>
      <c r="G37" s="57">
        <v>0</v>
      </c>
      <c r="H37" s="56">
        <v>1.09999999999999E-2</v>
      </c>
      <c r="I37" s="56">
        <v>1.2E-2</v>
      </c>
      <c r="J37" s="56">
        <v>4.1000000000000002E-2</v>
      </c>
      <c r="K37" s="56">
        <v>7.1999999999999995E-2</v>
      </c>
      <c r="L37" s="56">
        <v>0.61282576228998131</v>
      </c>
      <c r="M37" s="56">
        <v>0.37150868081317706</v>
      </c>
      <c r="N37" s="50">
        <v>0</v>
      </c>
      <c r="O37" s="58">
        <v>0</v>
      </c>
      <c r="P37" s="58">
        <f>1</f>
        <v>1</v>
      </c>
      <c r="Q37" s="57">
        <v>0.125</v>
      </c>
      <c r="R37" s="57">
        <v>0.105</v>
      </c>
      <c r="S37" s="57">
        <v>0.59900000000000009</v>
      </c>
      <c r="T37" s="57">
        <v>0.91799999999999993</v>
      </c>
      <c r="U37" s="57">
        <v>0.5784392407674851</v>
      </c>
      <c r="V37" s="57">
        <v>0.73770491803278682</v>
      </c>
      <c r="W37" s="60">
        <v>7668</v>
      </c>
      <c r="X37" s="60">
        <v>650.75806136999995</v>
      </c>
      <c r="Y37" s="60">
        <v>19800</v>
      </c>
      <c r="Z37" s="60">
        <v>0</v>
      </c>
    </row>
    <row r="38" spans="1:26" s="50" customFormat="1" x14ac:dyDescent="0.35">
      <c r="A38" s="56">
        <v>0.26</v>
      </c>
      <c r="B38" s="56">
        <v>0.36899999999999999</v>
      </c>
      <c r="C38" s="56">
        <v>0.49</v>
      </c>
      <c r="D38" s="56">
        <v>8.7381510999999995E-2</v>
      </c>
      <c r="E38" s="56">
        <v>0.4150000406064987</v>
      </c>
      <c r="F38" s="56">
        <v>0.61057481595092034</v>
      </c>
      <c r="G38" s="57">
        <v>0</v>
      </c>
      <c r="H38" s="56">
        <v>1.4999999999999999E-2</v>
      </c>
      <c r="I38" s="56">
        <v>1.3999999999999999E-2</v>
      </c>
      <c r="J38" s="56">
        <v>3.3000000000000002E-2</v>
      </c>
      <c r="K38" s="56">
        <v>6.2E-2</v>
      </c>
      <c r="L38" s="56">
        <v>0.61471437461107659</v>
      </c>
      <c r="M38" s="56">
        <v>0.4513544294405698</v>
      </c>
      <c r="N38" s="50">
        <v>0</v>
      </c>
      <c r="O38" s="58">
        <v>0</v>
      </c>
      <c r="P38" s="58">
        <f>1</f>
        <v>1</v>
      </c>
      <c r="Q38" s="57">
        <v>0.158</v>
      </c>
      <c r="R38" s="57">
        <v>0.13299999999999998</v>
      </c>
      <c r="S38" s="57">
        <v>0.59799999999999998</v>
      </c>
      <c r="T38" s="57">
        <v>0.91799999999999993</v>
      </c>
      <c r="U38" s="57">
        <v>0.5784392407674851</v>
      </c>
      <c r="V38" s="57">
        <v>0.73770491803278682</v>
      </c>
      <c r="W38" s="60">
        <v>7668</v>
      </c>
      <c r="X38" s="60">
        <v>0</v>
      </c>
      <c r="Y38" s="60">
        <v>19800</v>
      </c>
      <c r="Z38" s="60">
        <v>0</v>
      </c>
    </row>
    <row r="39" spans="1:26" s="50" customFormat="1" x14ac:dyDescent="0.35">
      <c r="A39" s="56">
        <v>0.18</v>
      </c>
      <c r="B39" s="56">
        <v>0.4</v>
      </c>
      <c r="C39" s="56">
        <v>0.51100000000000001</v>
      </c>
      <c r="D39" s="56">
        <v>8.9404032999999994E-2</v>
      </c>
      <c r="E39" s="56">
        <v>0.41800004872779845</v>
      </c>
      <c r="F39" s="56">
        <v>0.63213205521472393</v>
      </c>
      <c r="G39" s="57">
        <v>0</v>
      </c>
      <c r="H39" s="56">
        <v>1.09999999999999E-2</v>
      </c>
      <c r="I39" s="56">
        <v>1.2E-2</v>
      </c>
      <c r="J39" s="56">
        <v>2.4999999999999998E-2</v>
      </c>
      <c r="K39" s="56">
        <v>5.3999999999999999E-2</v>
      </c>
      <c r="L39" s="56">
        <v>0.61426571250777851</v>
      </c>
      <c r="M39" s="56">
        <v>0.47903791363703813</v>
      </c>
      <c r="N39" s="50">
        <v>0</v>
      </c>
      <c r="O39" s="58">
        <v>0</v>
      </c>
      <c r="P39" s="58">
        <f>1</f>
        <v>1</v>
      </c>
      <c r="Q39" s="57">
        <v>0.16999999999999998</v>
      </c>
      <c r="R39" s="57">
        <v>0.14199999999999999</v>
      </c>
      <c r="S39" s="57">
        <v>0.627</v>
      </c>
      <c r="T39" s="57">
        <v>0.91900000000000004</v>
      </c>
      <c r="U39" s="57">
        <v>0.5784392407674851</v>
      </c>
      <c r="V39" s="57">
        <v>0.73770491803278682</v>
      </c>
      <c r="W39" s="60">
        <v>7668</v>
      </c>
      <c r="X39" s="60">
        <v>0</v>
      </c>
      <c r="Y39" s="60">
        <v>19800</v>
      </c>
      <c r="Z39" s="60">
        <v>0</v>
      </c>
    </row>
    <row r="40" spans="1:26" s="50" customFormat="1" x14ac:dyDescent="0.35">
      <c r="A40" s="56">
        <v>6.7000000000000004E-2</v>
      </c>
      <c r="B40" s="56">
        <v>0.36299999999999999</v>
      </c>
      <c r="C40" s="56">
        <v>0.47</v>
      </c>
      <c r="D40" s="56">
        <v>8.3889897000000005E-2</v>
      </c>
      <c r="E40" s="56">
        <v>0.43000008121299732</v>
      </c>
      <c r="F40" s="56">
        <v>0.60374739263803678</v>
      </c>
      <c r="G40" s="57">
        <v>0</v>
      </c>
      <c r="H40" s="56">
        <v>0</v>
      </c>
      <c r="I40" s="56">
        <v>0</v>
      </c>
      <c r="J40" s="56">
        <v>2.1000000000000001E-2</v>
      </c>
      <c r="K40" s="56">
        <v>4.9999999999999996E-2</v>
      </c>
      <c r="L40" s="56">
        <v>0.60625326695706283</v>
      </c>
      <c r="M40" s="56">
        <v>0.45412880249295146</v>
      </c>
      <c r="N40" s="50">
        <v>0</v>
      </c>
      <c r="O40" s="58">
        <v>0</v>
      </c>
      <c r="P40" s="58">
        <f>1</f>
        <v>1</v>
      </c>
      <c r="Q40" s="57">
        <v>0.155</v>
      </c>
      <c r="R40" s="57">
        <v>0.127</v>
      </c>
      <c r="S40" s="57">
        <v>0.68200000000000005</v>
      </c>
      <c r="T40" s="57">
        <v>0.92400000000000004</v>
      </c>
      <c r="U40" s="57">
        <v>0.5784392407674851</v>
      </c>
      <c r="V40" s="57">
        <v>0.73770491803278682</v>
      </c>
      <c r="W40" s="60">
        <v>7668</v>
      </c>
      <c r="X40" s="60">
        <v>0</v>
      </c>
      <c r="Y40" s="60">
        <v>19800</v>
      </c>
      <c r="Z40" s="60">
        <v>0</v>
      </c>
    </row>
    <row r="41" spans="1:26" s="50" customFormat="1" x14ac:dyDescent="0.35">
      <c r="A41" s="56">
        <v>2.6000000000000002E-2</v>
      </c>
      <c r="B41" s="56">
        <v>0.26500000000000001</v>
      </c>
      <c r="C41" s="56">
        <v>0.36199999999999904</v>
      </c>
      <c r="D41" s="56">
        <v>7.8523670000000004E-2</v>
      </c>
      <c r="E41" s="56">
        <v>0.42599993502960221</v>
      </c>
      <c r="F41" s="56">
        <v>0.52096570552147237</v>
      </c>
      <c r="G41" s="57">
        <v>0</v>
      </c>
      <c r="H41" s="56">
        <v>0</v>
      </c>
      <c r="I41" s="56">
        <v>0</v>
      </c>
      <c r="J41" s="56">
        <v>2.3E-2</v>
      </c>
      <c r="K41" s="56">
        <v>5.0999999999999997E-2</v>
      </c>
      <c r="L41" s="56">
        <v>0.60138270068450528</v>
      </c>
      <c r="M41" s="56">
        <v>0.3765163970915566</v>
      </c>
      <c r="N41" s="50">
        <v>0</v>
      </c>
      <c r="O41" s="58">
        <v>0</v>
      </c>
      <c r="P41" s="58">
        <f>1</f>
        <v>1</v>
      </c>
      <c r="Q41" s="57">
        <v>0.10300000000000001</v>
      </c>
      <c r="R41" s="57">
        <v>8.2000000000000003E-2</v>
      </c>
      <c r="S41" s="57">
        <v>0.76</v>
      </c>
      <c r="T41" s="57">
        <v>0.92400000000000004</v>
      </c>
      <c r="U41" s="57">
        <v>0.5784392407674851</v>
      </c>
      <c r="V41" s="57">
        <v>0.73770491803278682</v>
      </c>
      <c r="W41" s="60">
        <v>7668</v>
      </c>
      <c r="X41" s="60">
        <v>0</v>
      </c>
      <c r="Y41" s="60">
        <v>18949.986017440002</v>
      </c>
      <c r="Z41" s="60">
        <v>0</v>
      </c>
    </row>
    <row r="42" spans="1:26" s="50" customFormat="1" x14ac:dyDescent="0.35">
      <c r="A42" s="56">
        <v>0</v>
      </c>
      <c r="B42" s="56">
        <v>0.13300000000000001</v>
      </c>
      <c r="C42" s="56">
        <v>0.21299999999999999</v>
      </c>
      <c r="D42" s="56">
        <v>7.2706811999999996E-2</v>
      </c>
      <c r="E42" s="56">
        <v>0.42499979696750673</v>
      </c>
      <c r="F42" s="56">
        <v>0.36255794478527603</v>
      </c>
      <c r="G42" s="57">
        <v>0</v>
      </c>
      <c r="H42" s="56">
        <v>0</v>
      </c>
      <c r="I42" s="56">
        <v>0</v>
      </c>
      <c r="J42" s="56">
        <v>3.3000000000000002E-2</v>
      </c>
      <c r="K42" s="56">
        <v>6.0999999999999999E-2</v>
      </c>
      <c r="L42" s="56">
        <v>0.60076913503422524</v>
      </c>
      <c r="M42" s="56">
        <v>0.2724170500074195</v>
      </c>
      <c r="N42" s="50">
        <v>0</v>
      </c>
      <c r="O42" s="58">
        <v>0.83886932004309223</v>
      </c>
      <c r="P42" s="58">
        <f>1</f>
        <v>1</v>
      </c>
      <c r="Q42" s="57">
        <v>4.2999999999999997E-2</v>
      </c>
      <c r="R42" s="57">
        <v>3.1999999999999994E-2</v>
      </c>
      <c r="S42" s="57">
        <v>0.83300000000000007</v>
      </c>
      <c r="T42" s="57">
        <v>0.92500000000000004</v>
      </c>
      <c r="U42" s="57">
        <v>0.5784392407674851</v>
      </c>
      <c r="V42" s="57">
        <v>0.73770491803278682</v>
      </c>
      <c r="W42" s="60">
        <v>7668</v>
      </c>
      <c r="X42" s="60">
        <v>651.2179432800001</v>
      </c>
      <c r="Y42" s="60">
        <v>19387.54689759</v>
      </c>
      <c r="Z42" s="60">
        <v>0</v>
      </c>
    </row>
    <row r="43" spans="1:26" s="50" customFormat="1" x14ac:dyDescent="0.35">
      <c r="A43" s="56">
        <v>0</v>
      </c>
      <c r="B43" s="56">
        <v>1.3000000000000001E-2</v>
      </c>
      <c r="C43" s="56">
        <v>5.4000000000000006E-2</v>
      </c>
      <c r="D43" s="56">
        <v>7.3486639000000006E-2</v>
      </c>
      <c r="E43" s="56">
        <v>0.43000008121299732</v>
      </c>
      <c r="F43" s="56">
        <v>0.15076297546012268</v>
      </c>
      <c r="G43" s="57">
        <v>0</v>
      </c>
      <c r="H43" s="56">
        <v>0</v>
      </c>
      <c r="I43" s="56">
        <v>0</v>
      </c>
      <c r="J43" s="56">
        <v>5.8999999999999997E-2</v>
      </c>
      <c r="K43" s="56">
        <v>8.1000000000000003E-2</v>
      </c>
      <c r="L43" s="56">
        <v>0.60318232731798382</v>
      </c>
      <c r="M43" s="56">
        <v>0.16273964979967356</v>
      </c>
      <c r="N43" s="50">
        <v>0</v>
      </c>
      <c r="O43" s="58">
        <v>0.83886932004309223</v>
      </c>
      <c r="P43" s="58">
        <f>1</f>
        <v>1</v>
      </c>
      <c r="Q43" s="57">
        <v>0</v>
      </c>
      <c r="R43" s="57">
        <v>0</v>
      </c>
      <c r="S43" s="57">
        <v>0.85199999999999998</v>
      </c>
      <c r="T43" s="57">
        <v>0.92700000000000005</v>
      </c>
      <c r="U43" s="57">
        <v>0.5784392407674851</v>
      </c>
      <c r="V43" s="57">
        <v>0.73770491803278682</v>
      </c>
      <c r="W43" s="60">
        <v>7668</v>
      </c>
      <c r="X43" s="60">
        <v>651.2179432800001</v>
      </c>
      <c r="Y43" s="60">
        <v>15000</v>
      </c>
      <c r="Z43" s="60">
        <v>0</v>
      </c>
    </row>
    <row r="44" spans="1:26" s="50" customFormat="1" x14ac:dyDescent="0.35">
      <c r="A44" s="56">
        <v>0</v>
      </c>
      <c r="B44" s="56">
        <v>0</v>
      </c>
      <c r="C44" s="56">
        <v>0</v>
      </c>
      <c r="D44" s="56">
        <v>0.115611123</v>
      </c>
      <c r="E44" s="56">
        <v>0.43600009745559681</v>
      </c>
      <c r="F44" s="56">
        <v>0.13476990797546012</v>
      </c>
      <c r="G44" s="57">
        <v>0</v>
      </c>
      <c r="H44" s="56">
        <v>0</v>
      </c>
      <c r="I44" s="56">
        <v>0</v>
      </c>
      <c r="J44" s="56">
        <v>0.159</v>
      </c>
      <c r="K44" s="56">
        <v>0.106</v>
      </c>
      <c r="L44" s="56">
        <v>0.60607342874922221</v>
      </c>
      <c r="M44" s="56">
        <v>0.10060906662709601</v>
      </c>
      <c r="N44" s="50">
        <v>0</v>
      </c>
      <c r="O44" s="58">
        <v>0.83886932004309223</v>
      </c>
      <c r="P44" s="58">
        <f>1</f>
        <v>1</v>
      </c>
      <c r="Q44" s="57">
        <v>0</v>
      </c>
      <c r="R44" s="57">
        <v>0</v>
      </c>
      <c r="S44" s="57">
        <v>0.85499999999999998</v>
      </c>
      <c r="T44" s="57">
        <v>0.92799999999999994</v>
      </c>
      <c r="U44" s="57">
        <v>0.5784392407674851</v>
      </c>
      <c r="V44" s="57">
        <v>0.73770491803278682</v>
      </c>
      <c r="W44" s="60">
        <v>7668</v>
      </c>
      <c r="X44" s="60">
        <v>650.75806136999995</v>
      </c>
      <c r="Y44" s="60">
        <v>15000</v>
      </c>
      <c r="Z44" s="60">
        <v>0</v>
      </c>
    </row>
    <row r="45" spans="1:26" s="50" customFormat="1" x14ac:dyDescent="0.35">
      <c r="A45" s="56">
        <v>0</v>
      </c>
      <c r="B45" s="56">
        <v>0</v>
      </c>
      <c r="C45" s="56">
        <v>0</v>
      </c>
      <c r="D45" s="56">
        <v>0.13827661499999999</v>
      </c>
      <c r="E45" s="56">
        <v>0.44299984569530515</v>
      </c>
      <c r="F45" s="56">
        <v>0.16117996932515335</v>
      </c>
      <c r="G45" s="57">
        <v>0</v>
      </c>
      <c r="H45" s="56">
        <v>0</v>
      </c>
      <c r="I45" s="56">
        <v>0</v>
      </c>
      <c r="J45" s="56">
        <v>0.22199999999999998</v>
      </c>
      <c r="K45" s="56">
        <v>0.124</v>
      </c>
      <c r="L45" s="56">
        <v>0.61117672682016178</v>
      </c>
      <c r="M45" s="56">
        <v>0.11529017658406292</v>
      </c>
      <c r="N45" s="50">
        <v>0</v>
      </c>
      <c r="O45" s="58">
        <v>0.83886932004309223</v>
      </c>
      <c r="P45" s="58">
        <f>1</f>
        <v>1</v>
      </c>
      <c r="Q45" s="57">
        <v>0</v>
      </c>
      <c r="R45" s="57">
        <v>0</v>
      </c>
      <c r="S45" s="57">
        <v>0.85899999999999999</v>
      </c>
      <c r="T45" s="57">
        <v>0.93200000000000005</v>
      </c>
      <c r="U45" s="57">
        <v>0.5784392407674851</v>
      </c>
      <c r="V45" s="57">
        <v>0.73770491803278682</v>
      </c>
      <c r="W45" s="60">
        <v>7668</v>
      </c>
      <c r="X45" s="60">
        <v>650.29817945000002</v>
      </c>
      <c r="Y45" s="60">
        <v>15000</v>
      </c>
      <c r="Z45" s="60">
        <v>0</v>
      </c>
    </row>
    <row r="46" spans="1:26" s="50" customFormat="1" x14ac:dyDescent="0.35">
      <c r="A46" s="56">
        <v>0</v>
      </c>
      <c r="B46" s="56">
        <v>0</v>
      </c>
      <c r="C46" s="56">
        <v>0</v>
      </c>
      <c r="D46" s="56">
        <v>0.13061771899999999</v>
      </c>
      <c r="E46" s="56">
        <v>0.45199987005920433</v>
      </c>
      <c r="F46" s="56">
        <v>0.15225251533742332</v>
      </c>
      <c r="G46" s="57">
        <v>0</v>
      </c>
      <c r="H46" s="56">
        <v>0</v>
      </c>
      <c r="I46" s="56">
        <v>0</v>
      </c>
      <c r="J46" s="56">
        <v>0.223</v>
      </c>
      <c r="K46" s="56">
        <v>0.13100000000000001</v>
      </c>
      <c r="L46" s="56">
        <v>0.61380460485376476</v>
      </c>
      <c r="M46" s="56">
        <v>0.12076606321412672</v>
      </c>
      <c r="N46" s="50">
        <v>0</v>
      </c>
      <c r="O46" s="58">
        <v>0.83886932004309223</v>
      </c>
      <c r="P46" s="58">
        <f>1</f>
        <v>1</v>
      </c>
      <c r="Q46" s="57">
        <v>0</v>
      </c>
      <c r="R46" s="57">
        <v>0</v>
      </c>
      <c r="S46" s="57">
        <v>0.86199999999999999</v>
      </c>
      <c r="T46" s="57">
        <v>0.93500000000000005</v>
      </c>
      <c r="U46" s="57">
        <v>0.5784392407674851</v>
      </c>
      <c r="V46" s="57">
        <v>0.73770491803278682</v>
      </c>
      <c r="W46" s="60">
        <v>7668</v>
      </c>
      <c r="X46" s="60">
        <v>649.83829754999999</v>
      </c>
      <c r="Y46" s="60">
        <v>15000</v>
      </c>
      <c r="Z46" s="60">
        <v>0</v>
      </c>
    </row>
    <row r="47" spans="1:26" s="50" customFormat="1" x14ac:dyDescent="0.35">
      <c r="A47" s="56">
        <v>0</v>
      </c>
      <c r="B47" s="56">
        <v>0</v>
      </c>
      <c r="C47" s="56">
        <v>0</v>
      </c>
      <c r="D47" s="56">
        <v>0.11403063400000001</v>
      </c>
      <c r="E47" s="56">
        <v>0.44999999999999996</v>
      </c>
      <c r="F47" s="56">
        <v>0.13291803680981595</v>
      </c>
      <c r="G47" s="57">
        <v>0</v>
      </c>
      <c r="H47" s="56">
        <v>0</v>
      </c>
      <c r="I47" s="56">
        <v>0</v>
      </c>
      <c r="J47" s="56">
        <v>0.20699999999999999</v>
      </c>
      <c r="K47" s="56">
        <v>0.13</v>
      </c>
      <c r="L47" s="56">
        <v>0.61083322962041076</v>
      </c>
      <c r="M47" s="56">
        <v>0.1217659890191423</v>
      </c>
      <c r="N47" s="50">
        <v>0</v>
      </c>
      <c r="O47" s="58">
        <v>0.83886932004309223</v>
      </c>
      <c r="P47" s="58">
        <f>1</f>
        <v>1</v>
      </c>
      <c r="Q47" s="57">
        <v>0</v>
      </c>
      <c r="R47" s="57">
        <v>0</v>
      </c>
      <c r="S47" s="57">
        <v>0.86499999999999999</v>
      </c>
      <c r="T47" s="57">
        <v>0.93500000000000005</v>
      </c>
      <c r="U47" s="57">
        <v>0.5784392407674851</v>
      </c>
      <c r="V47" s="57">
        <v>0.73770491803278682</v>
      </c>
      <c r="W47" s="60">
        <v>7668</v>
      </c>
      <c r="X47" s="60">
        <v>649.37841563999996</v>
      </c>
      <c r="Y47" s="60">
        <v>15000</v>
      </c>
      <c r="Z47" s="60">
        <v>0</v>
      </c>
    </row>
    <row r="48" spans="1:26" s="50" customFormat="1" x14ac:dyDescent="0.35">
      <c r="A48" s="56">
        <v>0</v>
      </c>
      <c r="B48" s="56">
        <v>0</v>
      </c>
      <c r="C48" s="56">
        <v>0</v>
      </c>
      <c r="D48" s="56">
        <v>0.107394823</v>
      </c>
      <c r="E48" s="56">
        <v>0.44599985381660484</v>
      </c>
      <c r="F48" s="56">
        <v>0.1251830981595092</v>
      </c>
      <c r="G48" s="57">
        <v>0</v>
      </c>
      <c r="H48" s="56">
        <v>0</v>
      </c>
      <c r="I48" s="56">
        <v>0</v>
      </c>
      <c r="J48" s="56">
        <v>0.20299999999999999</v>
      </c>
      <c r="K48" s="56">
        <v>0.127</v>
      </c>
      <c r="L48" s="56">
        <v>0.61162227753578091</v>
      </c>
      <c r="M48" s="56">
        <v>0.12298568036800712</v>
      </c>
      <c r="N48" s="50">
        <v>0</v>
      </c>
      <c r="O48" s="58">
        <v>0.83886932004309223</v>
      </c>
      <c r="P48" s="58">
        <f>1</f>
        <v>1</v>
      </c>
      <c r="Q48" s="57">
        <v>0</v>
      </c>
      <c r="R48" s="57">
        <v>0</v>
      </c>
      <c r="S48" s="57">
        <v>0.86399999999999999</v>
      </c>
      <c r="T48" s="57">
        <v>0.93299999999999994</v>
      </c>
      <c r="U48" s="57">
        <v>0.5784392407674851</v>
      </c>
      <c r="V48" s="57">
        <v>0.73770491803278682</v>
      </c>
      <c r="W48" s="60">
        <v>7668</v>
      </c>
      <c r="X48" s="60">
        <v>648.91853372000003</v>
      </c>
      <c r="Y48" s="60">
        <v>15000</v>
      </c>
      <c r="Z48" s="60">
        <v>0</v>
      </c>
    </row>
    <row r="49" spans="1:26" s="50" customFormat="1" x14ac:dyDescent="0.35">
      <c r="A49" s="56">
        <v>0</v>
      </c>
      <c r="B49" s="56">
        <v>0</v>
      </c>
      <c r="C49" s="56">
        <v>0</v>
      </c>
      <c r="D49" s="56">
        <v>0.103424957</v>
      </c>
      <c r="E49" s="56">
        <v>0.44599985381660484</v>
      </c>
      <c r="F49" s="56">
        <v>0.12055567484662576</v>
      </c>
      <c r="G49" s="57">
        <v>0</v>
      </c>
      <c r="H49" s="56">
        <v>0</v>
      </c>
      <c r="I49" s="56">
        <v>0</v>
      </c>
      <c r="J49" s="56">
        <v>0.21499999999999997</v>
      </c>
      <c r="K49" s="56">
        <v>0.11600000000000001</v>
      </c>
      <c r="L49" s="56">
        <v>0.60667019290603608</v>
      </c>
      <c r="M49" s="56">
        <v>0.11759103724588219</v>
      </c>
      <c r="N49" s="50">
        <v>0</v>
      </c>
      <c r="O49" s="58">
        <v>0.83886932004309223</v>
      </c>
      <c r="P49" s="58">
        <f>1</f>
        <v>1</v>
      </c>
      <c r="Q49" s="57">
        <v>0</v>
      </c>
      <c r="R49" s="57">
        <v>0</v>
      </c>
      <c r="S49" s="57">
        <v>0.86199999999999999</v>
      </c>
      <c r="T49" s="57">
        <v>0.93500000000000005</v>
      </c>
      <c r="U49" s="57">
        <v>0.5784392407674851</v>
      </c>
      <c r="V49" s="57">
        <v>0.73770491803278682</v>
      </c>
      <c r="W49" s="60">
        <v>7668</v>
      </c>
      <c r="X49" s="60">
        <v>648.91853372000003</v>
      </c>
      <c r="Y49" s="60">
        <v>15000</v>
      </c>
      <c r="Z49" s="60">
        <v>0</v>
      </c>
    </row>
    <row r="50" spans="1:26" s="50" customFormat="1" x14ac:dyDescent="0.35">
      <c r="A50" s="56">
        <v>0</v>
      </c>
      <c r="B50" s="56">
        <v>0</v>
      </c>
      <c r="C50" s="56">
        <v>0</v>
      </c>
      <c r="D50" s="56">
        <v>0.107749769</v>
      </c>
      <c r="E50" s="56">
        <v>0.43399982133140597</v>
      </c>
      <c r="F50" s="56">
        <v>0.12559684049079753</v>
      </c>
      <c r="G50" s="57">
        <v>0</v>
      </c>
      <c r="H50" s="56">
        <v>0</v>
      </c>
      <c r="I50" s="56">
        <v>0</v>
      </c>
      <c r="J50" s="56">
        <v>0.23500000000000001</v>
      </c>
      <c r="K50" s="56">
        <v>0.11</v>
      </c>
      <c r="L50" s="56">
        <v>0.55700684505289355</v>
      </c>
      <c r="M50" s="56">
        <v>0.11309326309541474</v>
      </c>
      <c r="N50" s="50">
        <v>0</v>
      </c>
      <c r="O50" s="58">
        <v>0.83005541447393671</v>
      </c>
      <c r="P50" s="58">
        <f>1</f>
        <v>1</v>
      </c>
      <c r="Q50" s="57">
        <v>0</v>
      </c>
      <c r="R50" s="57">
        <v>0</v>
      </c>
      <c r="S50" s="57">
        <v>0.85699999999999998</v>
      </c>
      <c r="T50" s="57">
        <v>0.93099999999999994</v>
      </c>
      <c r="U50" s="57">
        <v>0.5784392407674851</v>
      </c>
      <c r="V50" s="57">
        <v>0.73770491803278682</v>
      </c>
      <c r="W50" s="60">
        <v>7668</v>
      </c>
      <c r="X50" s="60">
        <v>648.91754766999998</v>
      </c>
      <c r="Y50" s="60">
        <v>11560.14063853</v>
      </c>
      <c r="Z50" s="60">
        <v>0</v>
      </c>
    </row>
    <row r="51" spans="1:26" s="50" customFormat="1" x14ac:dyDescent="0.35">
      <c r="A51" s="56">
        <v>0</v>
      </c>
      <c r="B51" s="56">
        <v>0</v>
      </c>
      <c r="C51" s="56">
        <v>0</v>
      </c>
      <c r="D51" s="56">
        <v>0.111496518</v>
      </c>
      <c r="E51" s="56">
        <v>0.43000008121299732</v>
      </c>
      <c r="F51" s="56">
        <v>0.1299641717791411</v>
      </c>
      <c r="G51" s="57">
        <v>0</v>
      </c>
      <c r="H51" s="56">
        <v>0</v>
      </c>
      <c r="I51" s="56">
        <v>0</v>
      </c>
      <c r="J51" s="56">
        <v>0.247</v>
      </c>
      <c r="K51" s="56">
        <v>0.106</v>
      </c>
      <c r="L51" s="56">
        <v>0.55283696328562537</v>
      </c>
      <c r="M51" s="56">
        <v>0.11207256269476183</v>
      </c>
      <c r="N51" s="50">
        <v>0</v>
      </c>
      <c r="O51" s="58">
        <v>0.83005541447393671</v>
      </c>
      <c r="P51" s="58">
        <f>1</f>
        <v>1</v>
      </c>
      <c r="Q51" s="57">
        <v>0</v>
      </c>
      <c r="R51" s="57">
        <v>0</v>
      </c>
      <c r="S51" s="57">
        <v>0.85099999999999998</v>
      </c>
      <c r="T51" s="57">
        <v>0.91400000000000003</v>
      </c>
      <c r="U51" s="57">
        <v>0.5784392407674851</v>
      </c>
      <c r="V51" s="57">
        <v>0.75409836065573765</v>
      </c>
      <c r="W51" s="60">
        <v>7668</v>
      </c>
      <c r="X51" s="60">
        <v>648.91754766999998</v>
      </c>
      <c r="Y51" s="60">
        <v>12619.84555699</v>
      </c>
      <c r="Z51" s="60">
        <v>0</v>
      </c>
    </row>
    <row r="52" spans="1:26" s="50" customFormat="1" x14ac:dyDescent="0.35">
      <c r="A52" s="56">
        <v>0</v>
      </c>
      <c r="B52" s="56">
        <v>0</v>
      </c>
      <c r="C52" s="56">
        <v>0</v>
      </c>
      <c r="D52" s="56">
        <v>0.11350845499999999</v>
      </c>
      <c r="E52" s="56">
        <v>0.42200019491119356</v>
      </c>
      <c r="F52" s="56">
        <v>0.13230935582822084</v>
      </c>
      <c r="G52" s="57">
        <v>0</v>
      </c>
      <c r="H52" s="56">
        <v>0</v>
      </c>
      <c r="I52" s="56">
        <v>0</v>
      </c>
      <c r="J52" s="56">
        <v>0.255</v>
      </c>
      <c r="K52" s="56">
        <v>0.11</v>
      </c>
      <c r="L52" s="56">
        <v>0.55230180460485379</v>
      </c>
      <c r="M52" s="56">
        <v>0.1160556462383143</v>
      </c>
      <c r="N52" s="50">
        <v>0</v>
      </c>
      <c r="O52" s="58">
        <v>0.83005541447393671</v>
      </c>
      <c r="P52" s="58">
        <f>1</f>
        <v>1</v>
      </c>
      <c r="Q52" s="57">
        <v>0</v>
      </c>
      <c r="R52" s="57">
        <v>0</v>
      </c>
      <c r="S52" s="57">
        <v>0.83699999999999997</v>
      </c>
      <c r="T52" s="57">
        <v>0.8909999999999999</v>
      </c>
      <c r="U52" s="57">
        <v>0.5784392407674851</v>
      </c>
      <c r="V52" s="57">
        <v>0.75409836065573765</v>
      </c>
      <c r="W52" s="60">
        <v>7668</v>
      </c>
      <c r="X52" s="60">
        <v>648.91754766999998</v>
      </c>
      <c r="Y52" s="60">
        <v>15000</v>
      </c>
      <c r="Z52" s="60">
        <v>0</v>
      </c>
    </row>
    <row r="53" spans="1:26" s="50" customFormat="1" x14ac:dyDescent="0.35">
      <c r="A53" s="56">
        <v>0</v>
      </c>
      <c r="B53" s="56">
        <v>0</v>
      </c>
      <c r="C53" s="56">
        <v>0</v>
      </c>
      <c r="D53" s="56">
        <v>0.10916308</v>
      </c>
      <c r="E53" s="56">
        <v>0.41699991066570302</v>
      </c>
      <c r="F53" s="56">
        <v>0.12724423312883437</v>
      </c>
      <c r="G53" s="57">
        <v>0</v>
      </c>
      <c r="H53" s="56">
        <v>0</v>
      </c>
      <c r="I53" s="56">
        <v>0</v>
      </c>
      <c r="J53" s="56">
        <v>0.254</v>
      </c>
      <c r="K53" s="56">
        <v>0.111</v>
      </c>
      <c r="L53" s="56">
        <v>0.54694337274424387</v>
      </c>
      <c r="M53" s="56">
        <v>0.11838655586882327</v>
      </c>
      <c r="N53" s="50">
        <v>0</v>
      </c>
      <c r="O53" s="58">
        <v>0.83005541447393671</v>
      </c>
      <c r="P53" s="58">
        <f>1</f>
        <v>1</v>
      </c>
      <c r="Q53" s="57">
        <v>0</v>
      </c>
      <c r="R53" s="57">
        <v>0</v>
      </c>
      <c r="S53" s="57">
        <v>0.81400000000000006</v>
      </c>
      <c r="T53" s="57">
        <v>0.85599999999999998</v>
      </c>
      <c r="U53" s="57">
        <v>0.5784392407674851</v>
      </c>
      <c r="V53" s="57">
        <v>0.73770491803278682</v>
      </c>
      <c r="W53" s="60">
        <v>7668</v>
      </c>
      <c r="X53" s="60">
        <v>648.91754766999998</v>
      </c>
      <c r="Y53" s="60">
        <v>12134.545313549999</v>
      </c>
      <c r="Z53" s="60">
        <v>0</v>
      </c>
    </row>
    <row r="54" spans="1:26" s="50" customFormat="1" x14ac:dyDescent="0.35">
      <c r="A54" s="56">
        <v>0</v>
      </c>
      <c r="B54" s="56">
        <v>0</v>
      </c>
      <c r="C54" s="56">
        <v>0</v>
      </c>
      <c r="D54" s="56">
        <v>0.104742366</v>
      </c>
      <c r="E54" s="56">
        <v>0.4150000406064987</v>
      </c>
      <c r="F54" s="56">
        <v>0.12209128834355829</v>
      </c>
      <c r="G54" s="57">
        <v>0</v>
      </c>
      <c r="H54" s="56">
        <v>0</v>
      </c>
      <c r="I54" s="56">
        <v>0</v>
      </c>
      <c r="J54" s="56">
        <v>0.25</v>
      </c>
      <c r="K54" s="56">
        <v>0.112</v>
      </c>
      <c r="L54" s="56">
        <v>0.53815805849408838</v>
      </c>
      <c r="M54" s="56">
        <v>0.11942172429143789</v>
      </c>
      <c r="N54" s="50">
        <v>0</v>
      </c>
      <c r="O54" s="58">
        <v>0.83005541447393671</v>
      </c>
      <c r="P54" s="58">
        <f>1</f>
        <v>1</v>
      </c>
      <c r="Q54" s="57">
        <v>0</v>
      </c>
      <c r="R54" s="57">
        <v>0</v>
      </c>
      <c r="S54" s="57">
        <v>0.79199999999999993</v>
      </c>
      <c r="T54" s="57">
        <v>0.82599999999999996</v>
      </c>
      <c r="U54" s="57">
        <v>0.5784392407674851</v>
      </c>
      <c r="V54" s="57">
        <v>0.73770491803278682</v>
      </c>
      <c r="W54" s="60">
        <v>7668</v>
      </c>
      <c r="X54" s="60">
        <v>649.3774295799999</v>
      </c>
      <c r="Y54" s="60">
        <v>12797.51111146</v>
      </c>
      <c r="Z54" s="60">
        <v>0</v>
      </c>
    </row>
    <row r="55" spans="1:26" s="50" customFormat="1" x14ac:dyDescent="0.35">
      <c r="A55" s="56">
        <v>0</v>
      </c>
      <c r="B55" s="56">
        <v>0</v>
      </c>
      <c r="C55" s="56">
        <v>0</v>
      </c>
      <c r="D55" s="56">
        <v>0.10133547399999999</v>
      </c>
      <c r="E55" s="56">
        <v>0.41600017866859418</v>
      </c>
      <c r="F55" s="56">
        <v>0.1181201226993865</v>
      </c>
      <c r="G55" s="57">
        <v>0</v>
      </c>
      <c r="H55" s="56">
        <v>0</v>
      </c>
      <c r="I55" s="56">
        <v>0</v>
      </c>
      <c r="J55" s="56">
        <v>0.26100000000000001</v>
      </c>
      <c r="K55" s="56">
        <v>0.11</v>
      </c>
      <c r="L55" s="56">
        <v>0.53500124455507159</v>
      </c>
      <c r="M55" s="56">
        <v>0.12108406291734679</v>
      </c>
      <c r="N55" s="50">
        <v>0</v>
      </c>
      <c r="O55" s="58">
        <v>0.83005541447393671</v>
      </c>
      <c r="P55" s="58">
        <f>1</f>
        <v>1</v>
      </c>
      <c r="Q55" s="57">
        <v>0</v>
      </c>
      <c r="R55" s="57">
        <v>0</v>
      </c>
      <c r="S55" s="57">
        <v>0.76600000000000001</v>
      </c>
      <c r="T55" s="57">
        <v>0.77900000000000003</v>
      </c>
      <c r="U55" s="57">
        <v>0.5784392407674851</v>
      </c>
      <c r="V55" s="57">
        <v>0.73770491803278682</v>
      </c>
      <c r="W55" s="60">
        <v>7668</v>
      </c>
      <c r="X55" s="60">
        <v>650.29719340999998</v>
      </c>
      <c r="Y55" s="60">
        <v>10833.31357016</v>
      </c>
      <c r="Z55" s="60">
        <v>0</v>
      </c>
    </row>
    <row r="56" spans="1:26" s="50" customFormat="1" x14ac:dyDescent="0.35">
      <c r="A56" s="56">
        <v>0</v>
      </c>
      <c r="B56" s="56">
        <v>0</v>
      </c>
      <c r="C56" s="56">
        <v>0</v>
      </c>
      <c r="D56" s="56">
        <v>9.3626618999999994E-2</v>
      </c>
      <c r="E56" s="56">
        <v>0.41900018678989387</v>
      </c>
      <c r="F56" s="56">
        <v>0.10913441717791411</v>
      </c>
      <c r="G56" s="57">
        <v>0</v>
      </c>
      <c r="H56" s="56">
        <v>0</v>
      </c>
      <c r="I56" s="56">
        <v>0</v>
      </c>
      <c r="J56" s="56">
        <v>0.26100000000000001</v>
      </c>
      <c r="K56" s="56">
        <v>0.104</v>
      </c>
      <c r="L56" s="56">
        <v>0.53214250155569387</v>
      </c>
      <c r="M56" s="56">
        <v>0.11921791066923876</v>
      </c>
      <c r="N56" s="50">
        <v>0</v>
      </c>
      <c r="O56" s="58">
        <v>0.83005541447393671</v>
      </c>
      <c r="P56" s="58">
        <f>1</f>
        <v>1</v>
      </c>
      <c r="Q56" s="57">
        <v>0</v>
      </c>
      <c r="R56" s="57">
        <v>0</v>
      </c>
      <c r="S56" s="57">
        <v>0.72899999999999998</v>
      </c>
      <c r="T56" s="57">
        <v>0.73099999999999998</v>
      </c>
      <c r="U56" s="57">
        <v>0.5784392407674851</v>
      </c>
      <c r="V56" s="57">
        <v>0.73770491803278682</v>
      </c>
      <c r="W56" s="60">
        <v>7668</v>
      </c>
      <c r="X56" s="60">
        <v>924.97883567000008</v>
      </c>
      <c r="Y56" s="60">
        <v>9796.3418594399991</v>
      </c>
      <c r="Z56" s="60">
        <v>0</v>
      </c>
    </row>
    <row r="57" spans="1:26" s="50" customFormat="1" x14ac:dyDescent="0.35">
      <c r="A57" s="56">
        <v>0</v>
      </c>
      <c r="B57" s="56">
        <v>0</v>
      </c>
      <c r="C57" s="56">
        <v>0</v>
      </c>
      <c r="D57" s="56">
        <v>8.0518063000000001E-2</v>
      </c>
      <c r="E57" s="56">
        <v>0.42200019491119356</v>
      </c>
      <c r="F57" s="56">
        <v>9.3854631901840499E-2</v>
      </c>
      <c r="G57" s="57">
        <v>0</v>
      </c>
      <c r="H57" s="56">
        <v>0</v>
      </c>
      <c r="I57" s="56">
        <v>0</v>
      </c>
      <c r="J57" s="56">
        <v>0.24299999999999999</v>
      </c>
      <c r="K57" s="56">
        <v>9.5000000000000001E-2</v>
      </c>
      <c r="L57" s="56">
        <v>0.57415308027380207</v>
      </c>
      <c r="M57" s="56">
        <v>0.11391845971212346</v>
      </c>
      <c r="N57" s="50">
        <v>0</v>
      </c>
      <c r="O57" s="58">
        <v>0.83005541447393671</v>
      </c>
      <c r="P57" s="58">
        <f>1</f>
        <v>1</v>
      </c>
      <c r="Q57" s="57">
        <v>0</v>
      </c>
      <c r="R57" s="57">
        <v>0</v>
      </c>
      <c r="S57" s="57">
        <v>0.66099999999999992</v>
      </c>
      <c r="T57" s="57">
        <v>0.69799999999999995</v>
      </c>
      <c r="U57" s="57">
        <v>0.5784392407674851</v>
      </c>
      <c r="V57" s="57">
        <v>0.73770491803278682</v>
      </c>
      <c r="W57" s="60">
        <v>7668</v>
      </c>
      <c r="X57" s="60">
        <v>651.21695723000005</v>
      </c>
      <c r="Y57" s="60">
        <v>11357.691002609999</v>
      </c>
      <c r="Z57" s="60">
        <v>0</v>
      </c>
    </row>
    <row r="58" spans="1:26" s="50" customFormat="1" x14ac:dyDescent="0.35">
      <c r="A58" s="56">
        <v>0</v>
      </c>
      <c r="B58" s="56">
        <v>0</v>
      </c>
      <c r="C58" s="56">
        <v>0</v>
      </c>
      <c r="D58" s="56">
        <v>7.7173868000000007E-2</v>
      </c>
      <c r="E58" s="56">
        <v>0.43199995127220159</v>
      </c>
      <c r="F58" s="56">
        <v>9.5860337423312889E-2</v>
      </c>
      <c r="G58" s="57">
        <v>0</v>
      </c>
      <c r="H58" s="56">
        <v>0</v>
      </c>
      <c r="I58" s="56">
        <v>0</v>
      </c>
      <c r="J58" s="56">
        <v>0.19199999999999998</v>
      </c>
      <c r="K58" s="56">
        <v>8.5999999999999993E-2</v>
      </c>
      <c r="L58" s="56">
        <v>0.58168388301182328</v>
      </c>
      <c r="M58" s="56">
        <v>0.10583039026561805</v>
      </c>
      <c r="N58" s="50">
        <v>0</v>
      </c>
      <c r="O58" s="58">
        <v>0.83005541447393671</v>
      </c>
      <c r="P58" s="58">
        <f>1</f>
        <v>1</v>
      </c>
      <c r="Q58" s="57">
        <v>0</v>
      </c>
      <c r="R58" s="57">
        <v>0</v>
      </c>
      <c r="S58" s="57">
        <v>0.57200000000000006</v>
      </c>
      <c r="T58" s="57">
        <v>0.66900000000000004</v>
      </c>
      <c r="U58" s="57">
        <v>0.5784392407674851</v>
      </c>
      <c r="V58" s="57">
        <v>0.73770491803278682</v>
      </c>
      <c r="W58" s="60">
        <v>7668</v>
      </c>
      <c r="X58" s="60">
        <v>651.21695723000005</v>
      </c>
      <c r="Y58" s="60">
        <v>11062.34291189</v>
      </c>
      <c r="Z58" s="60">
        <v>0</v>
      </c>
    </row>
    <row r="59" spans="1:26" s="50" customFormat="1" x14ac:dyDescent="0.35">
      <c r="A59" s="56">
        <v>4.8000000000000001E-2</v>
      </c>
      <c r="B59" s="56">
        <v>6.5000000000000002E-2</v>
      </c>
      <c r="C59" s="56">
        <v>0.128</v>
      </c>
      <c r="D59" s="56">
        <v>6.3607421999999997E-2</v>
      </c>
      <c r="E59" s="56">
        <v>0.44299984569530515</v>
      </c>
      <c r="F59" s="56">
        <v>0.21446009202453989</v>
      </c>
      <c r="G59" s="57">
        <v>0</v>
      </c>
      <c r="H59" s="56">
        <v>2.1999999999999898E-2</v>
      </c>
      <c r="I59" s="56">
        <v>2.6000000000000002E-2</v>
      </c>
      <c r="J59" s="56">
        <v>0.12999999999999998</v>
      </c>
      <c r="K59" s="56">
        <v>7.5999999999999998E-2</v>
      </c>
      <c r="L59" s="56">
        <v>0.58828375855631609</v>
      </c>
      <c r="M59" s="56">
        <v>0.13823415937082653</v>
      </c>
      <c r="N59" s="50">
        <v>0</v>
      </c>
      <c r="O59" s="58">
        <v>0.83005541447393671</v>
      </c>
      <c r="P59" s="58">
        <f>1</f>
        <v>1</v>
      </c>
      <c r="Q59" s="57">
        <v>0.06</v>
      </c>
      <c r="R59" s="57">
        <v>4.8000000000000001E-2</v>
      </c>
      <c r="S59" s="57">
        <v>0.47599999999999998</v>
      </c>
      <c r="T59" s="57">
        <v>0.63500000000000001</v>
      </c>
      <c r="U59" s="57">
        <v>0.5784392407674851</v>
      </c>
      <c r="V59" s="57">
        <v>0.73770491803278682</v>
      </c>
      <c r="W59" s="60">
        <v>7668</v>
      </c>
      <c r="X59" s="60">
        <v>651.21695723000005</v>
      </c>
      <c r="Y59" s="60">
        <v>11434.683453170001</v>
      </c>
      <c r="Z59" s="60">
        <v>0</v>
      </c>
    </row>
    <row r="60" spans="1:26" s="50" customFormat="1" x14ac:dyDescent="0.35">
      <c r="A60" s="56">
        <v>0.16300000000000001</v>
      </c>
      <c r="B60" s="56">
        <v>0.16800000000000001</v>
      </c>
      <c r="C60" s="56">
        <v>0.29099999999999898</v>
      </c>
      <c r="D60" s="56">
        <v>3.2033387000000003E-2</v>
      </c>
      <c r="E60" s="56">
        <v>0.445000121819496</v>
      </c>
      <c r="F60" s="56">
        <v>0.3699883742331288</v>
      </c>
      <c r="G60" s="57">
        <v>0</v>
      </c>
      <c r="H60" s="56">
        <v>9.8000000000000004E-2</v>
      </c>
      <c r="I60" s="56">
        <v>0.10400000000000001</v>
      </c>
      <c r="J60" s="56">
        <v>6.4999999999999988E-2</v>
      </c>
      <c r="K60" s="56">
        <v>6.3E-2</v>
      </c>
      <c r="L60" s="56">
        <v>0.59056378344741756</v>
      </c>
      <c r="M60" s="56">
        <v>0.25002470692981155</v>
      </c>
      <c r="N60" s="50">
        <v>0</v>
      </c>
      <c r="O60" s="58">
        <v>0.83005541447393671</v>
      </c>
      <c r="P60" s="58">
        <f>1</f>
        <v>1</v>
      </c>
      <c r="Q60" s="57">
        <v>0.14599999999999999</v>
      </c>
      <c r="R60" s="57">
        <v>0.12</v>
      </c>
      <c r="S60" s="57">
        <v>0.43900000000000006</v>
      </c>
      <c r="T60" s="57">
        <v>0.60399999999999998</v>
      </c>
      <c r="U60" s="57">
        <v>0.5784392407674851</v>
      </c>
      <c r="V60" s="57">
        <v>0.73770491803278682</v>
      </c>
      <c r="W60" s="60">
        <v>7668</v>
      </c>
      <c r="X60" s="60">
        <v>651.21695723000005</v>
      </c>
      <c r="Y60" s="60">
        <v>9700</v>
      </c>
      <c r="Z60" s="60">
        <v>0</v>
      </c>
    </row>
    <row r="61" spans="1:26" s="50" customFormat="1" x14ac:dyDescent="0.35">
      <c r="A61" s="56">
        <v>0.23</v>
      </c>
      <c r="B61" s="56">
        <v>0.27399999999999997</v>
      </c>
      <c r="C61" s="56">
        <v>0.41799999999999998</v>
      </c>
      <c r="D61" s="56">
        <v>1.5442123E-2</v>
      </c>
      <c r="E61" s="56">
        <v>0.42799980508880647</v>
      </c>
      <c r="F61" s="56">
        <v>0.4633111963190184</v>
      </c>
      <c r="G61" s="57">
        <v>0</v>
      </c>
      <c r="H61" s="56">
        <v>0.129</v>
      </c>
      <c r="I61" s="56">
        <v>0.17599999999999899</v>
      </c>
      <c r="J61" s="56">
        <v>0.03</v>
      </c>
      <c r="K61" s="56">
        <v>5.3999999999999999E-2</v>
      </c>
      <c r="L61" s="56">
        <v>0.58891599253266957</v>
      </c>
      <c r="M61" s="56">
        <v>0.3651470544591186</v>
      </c>
      <c r="N61" s="50">
        <v>0</v>
      </c>
      <c r="O61" s="58">
        <v>0</v>
      </c>
      <c r="P61" s="58">
        <f>1</f>
        <v>1</v>
      </c>
      <c r="Q61" s="57">
        <v>0.22500000000000001</v>
      </c>
      <c r="R61" s="57">
        <v>0.185</v>
      </c>
      <c r="S61" s="57">
        <v>0.43</v>
      </c>
      <c r="T61" s="57">
        <v>0.57100000000000006</v>
      </c>
      <c r="U61" s="57">
        <v>0.5784392407674851</v>
      </c>
      <c r="V61" s="57">
        <v>0.73770491803278682</v>
      </c>
      <c r="W61" s="60">
        <v>7668</v>
      </c>
      <c r="X61" s="60">
        <v>485.25243639000001</v>
      </c>
      <c r="Y61" s="60">
        <v>9700</v>
      </c>
      <c r="Z61" s="60">
        <v>0</v>
      </c>
    </row>
    <row r="62" spans="1:26" s="50" customFormat="1" x14ac:dyDescent="0.35">
      <c r="A62" s="56">
        <v>0.22600000000000001</v>
      </c>
      <c r="B62" s="56">
        <v>0.34299999999999997</v>
      </c>
      <c r="C62" s="56">
        <v>0.48899999999999999</v>
      </c>
      <c r="D62" s="56">
        <v>1.1414298999999999E-2</v>
      </c>
      <c r="E62" s="56">
        <v>0.42499979696750673</v>
      </c>
      <c r="F62" s="56">
        <v>0.51487411042944786</v>
      </c>
      <c r="G62" s="57">
        <v>0</v>
      </c>
      <c r="H62" s="56">
        <v>0.13100000000000001</v>
      </c>
      <c r="I62" s="56">
        <v>0.223</v>
      </c>
      <c r="J62" s="56">
        <v>1.9E-2</v>
      </c>
      <c r="K62" s="56">
        <v>4.5999999999999999E-2</v>
      </c>
      <c r="L62" s="56">
        <v>0.58766023646546361</v>
      </c>
      <c r="M62" s="56">
        <v>0.44424714349309985</v>
      </c>
      <c r="N62" s="50">
        <v>0</v>
      </c>
      <c r="O62" s="58">
        <v>0</v>
      </c>
      <c r="P62" s="58">
        <f>1</f>
        <v>1</v>
      </c>
      <c r="Q62" s="57">
        <v>0.26299999999999996</v>
      </c>
      <c r="R62" s="57">
        <v>0.217</v>
      </c>
      <c r="S62" s="57">
        <v>0.44800000000000001</v>
      </c>
      <c r="T62" s="57">
        <v>0.55000000000000004</v>
      </c>
      <c r="U62" s="57">
        <v>0.5784392407674851</v>
      </c>
      <c r="V62" s="57">
        <v>0.73770491803278682</v>
      </c>
      <c r="W62" s="60">
        <v>7668</v>
      </c>
      <c r="X62" s="60">
        <v>0</v>
      </c>
      <c r="Y62" s="60">
        <v>9700</v>
      </c>
      <c r="Z62" s="60">
        <v>0</v>
      </c>
    </row>
    <row r="63" spans="1:26" s="50" customFormat="1" x14ac:dyDescent="0.35">
      <c r="A63" s="56">
        <v>0.19600000000000001</v>
      </c>
      <c r="B63" s="56">
        <v>0.35299999999999998</v>
      </c>
      <c r="C63" s="56">
        <v>0.498</v>
      </c>
      <c r="D63" s="56">
        <v>1.0335405000000001E-2</v>
      </c>
      <c r="E63" s="56">
        <v>0.42700007309169763</v>
      </c>
      <c r="F63" s="56">
        <v>0.5221051840490798</v>
      </c>
      <c r="G63" s="57">
        <v>0</v>
      </c>
      <c r="H63" s="56">
        <v>0.151</v>
      </c>
      <c r="I63" s="56">
        <v>0.22899999999999998</v>
      </c>
      <c r="J63" s="56">
        <v>1.3000000000000001E-2</v>
      </c>
      <c r="K63" s="56">
        <v>4.4999999999999998E-2</v>
      </c>
      <c r="L63" s="56">
        <v>0.58805538270068447</v>
      </c>
      <c r="M63" s="56">
        <v>0.47622310431814807</v>
      </c>
      <c r="N63" s="50">
        <v>0</v>
      </c>
      <c r="O63" s="58">
        <v>0</v>
      </c>
      <c r="P63" s="58">
        <f>1</f>
        <v>1</v>
      </c>
      <c r="Q63" s="57">
        <v>0.26200000000000001</v>
      </c>
      <c r="R63" s="57">
        <v>0.21499999999999997</v>
      </c>
      <c r="S63" s="57">
        <v>0.42799999999999999</v>
      </c>
      <c r="T63" s="57">
        <v>0.53900000000000003</v>
      </c>
      <c r="U63" s="57">
        <v>0.5784392407674851</v>
      </c>
      <c r="V63" s="57">
        <v>0.73770491803278682</v>
      </c>
      <c r="W63" s="60">
        <v>7668</v>
      </c>
      <c r="X63" s="60">
        <v>0</v>
      </c>
      <c r="Y63" s="60">
        <v>9700</v>
      </c>
      <c r="Z63" s="60">
        <v>0</v>
      </c>
    </row>
    <row r="64" spans="1:26" s="50" customFormat="1" x14ac:dyDescent="0.35">
      <c r="A64" s="56">
        <v>0.125</v>
      </c>
      <c r="B64" s="56">
        <v>0.30399999999999999</v>
      </c>
      <c r="C64" s="56">
        <v>0.44700000000000001</v>
      </c>
      <c r="D64" s="56">
        <v>1.0208371000000001E-2</v>
      </c>
      <c r="E64" s="56">
        <v>0.42499979696750673</v>
      </c>
      <c r="F64" s="56">
        <v>0.48891515337423314</v>
      </c>
      <c r="G64" s="57">
        <v>0</v>
      </c>
      <c r="H64" s="56">
        <v>0.188</v>
      </c>
      <c r="I64" s="56">
        <v>0.193</v>
      </c>
      <c r="J64" s="56">
        <v>1.1999999999999999E-2</v>
      </c>
      <c r="K64" s="56">
        <v>5.1999999999999998E-2</v>
      </c>
      <c r="L64" s="56">
        <v>0.58320970752955814</v>
      </c>
      <c r="M64" s="56">
        <v>0.45731228668941976</v>
      </c>
      <c r="N64" s="50">
        <v>0</v>
      </c>
      <c r="O64" s="58">
        <v>0</v>
      </c>
      <c r="P64" s="58">
        <f>1</f>
        <v>1</v>
      </c>
      <c r="Q64" s="57">
        <v>0.221</v>
      </c>
      <c r="R64" s="57">
        <v>0.17899999999999996</v>
      </c>
      <c r="S64" s="57">
        <v>0.38200000000000001</v>
      </c>
      <c r="T64" s="57">
        <v>0.54100000000000004</v>
      </c>
      <c r="U64" s="57">
        <v>0.5784392407674851</v>
      </c>
      <c r="V64" s="57">
        <v>0.73770491803278682</v>
      </c>
      <c r="W64" s="60">
        <v>7668</v>
      </c>
      <c r="X64" s="60">
        <v>0</v>
      </c>
      <c r="Y64" s="60">
        <v>9700</v>
      </c>
      <c r="Z64" s="60">
        <v>0</v>
      </c>
    </row>
    <row r="65" spans="1:26" s="50" customFormat="1" x14ac:dyDescent="0.35">
      <c r="A65" s="56">
        <v>3.1000000000000003E-2</v>
      </c>
      <c r="B65" s="56">
        <v>0.21099999999999899</v>
      </c>
      <c r="C65" s="56">
        <v>0.34299999999999997</v>
      </c>
      <c r="D65" s="56">
        <v>1.1060390999999999E-2</v>
      </c>
      <c r="E65" s="56">
        <v>0.43000008121299732</v>
      </c>
      <c r="F65" s="56">
        <v>0.41394242331288339</v>
      </c>
      <c r="G65" s="57">
        <v>0</v>
      </c>
      <c r="H65" s="56">
        <v>8.3000000000000004E-2</v>
      </c>
      <c r="I65" s="56">
        <v>0.10400000000000001</v>
      </c>
      <c r="J65" s="56">
        <v>1.7000000000000001E-2</v>
      </c>
      <c r="K65" s="56">
        <v>7.0999999999999994E-2</v>
      </c>
      <c r="L65" s="56">
        <v>0.58527566894835092</v>
      </c>
      <c r="M65" s="56">
        <v>0.39368808428550228</v>
      </c>
      <c r="N65" s="50">
        <v>0</v>
      </c>
      <c r="O65" s="58">
        <v>0</v>
      </c>
      <c r="P65" s="58">
        <f>1</f>
        <v>1</v>
      </c>
      <c r="Q65" s="57">
        <v>0.152</v>
      </c>
      <c r="R65" s="57">
        <v>0.11899999999999998</v>
      </c>
      <c r="S65" s="57">
        <v>0.33799999999999997</v>
      </c>
      <c r="T65" s="57">
        <v>0.53600000000000003</v>
      </c>
      <c r="U65" s="57">
        <v>0.5784392407674851</v>
      </c>
      <c r="V65" s="57">
        <v>0.73770491803278682</v>
      </c>
      <c r="W65" s="60">
        <v>7668</v>
      </c>
      <c r="X65" s="60">
        <v>651.21695723000005</v>
      </c>
      <c r="Y65" s="60">
        <v>9700</v>
      </c>
      <c r="Z65" s="60">
        <v>0</v>
      </c>
    </row>
    <row r="66" spans="1:26" s="50" customFormat="1" x14ac:dyDescent="0.35">
      <c r="A66" s="56">
        <v>0</v>
      </c>
      <c r="B66" s="56">
        <v>0.1</v>
      </c>
      <c r="C66" s="56">
        <v>0.2</v>
      </c>
      <c r="D66" s="56">
        <v>9.8989430000000003E-3</v>
      </c>
      <c r="E66" s="56">
        <v>0.43499995939350139</v>
      </c>
      <c r="F66" s="56">
        <v>0.26862742331288347</v>
      </c>
      <c r="G66" s="57">
        <v>0</v>
      </c>
      <c r="H66" s="56">
        <v>0</v>
      </c>
      <c r="I66" s="56">
        <v>1.3000000000000001E-2</v>
      </c>
      <c r="J66" s="56">
        <v>2.3999999999999997E-2</v>
      </c>
      <c r="K66" s="56">
        <v>0.09</v>
      </c>
      <c r="L66" s="56">
        <v>0.59435407591785938</v>
      </c>
      <c r="M66" s="56">
        <v>0.29610201810357617</v>
      </c>
      <c r="N66" s="50">
        <v>0</v>
      </c>
      <c r="O66" s="58">
        <v>0.83005541447393671</v>
      </c>
      <c r="P66" s="58">
        <f>1</f>
        <v>1</v>
      </c>
      <c r="Q66" s="57">
        <v>6.5999999999999989E-2</v>
      </c>
      <c r="R66" s="57">
        <v>4.8000000000000001E-2</v>
      </c>
      <c r="S66" s="57">
        <v>0.30099999999999999</v>
      </c>
      <c r="T66" s="57">
        <v>0.52300000000000002</v>
      </c>
      <c r="U66" s="57">
        <v>0.5784392407674851</v>
      </c>
      <c r="V66" s="57">
        <v>0.73770491803278682</v>
      </c>
      <c r="W66" s="60">
        <v>7668</v>
      </c>
      <c r="X66" s="60">
        <v>651.21695723000005</v>
      </c>
      <c r="Y66" s="60">
        <v>9700</v>
      </c>
      <c r="Z66" s="60">
        <v>0</v>
      </c>
    </row>
    <row r="67" spans="1:26" s="50" customFormat="1" x14ac:dyDescent="0.35">
      <c r="A67" s="56">
        <v>0</v>
      </c>
      <c r="B67" s="56">
        <v>0</v>
      </c>
      <c r="C67" s="56">
        <v>5.2000000000000005E-2</v>
      </c>
      <c r="D67" s="56">
        <v>1.7780221999999998E-2</v>
      </c>
      <c r="E67" s="56">
        <v>0.43999983757400535</v>
      </c>
      <c r="F67" s="56">
        <v>8.2692269938650309E-2</v>
      </c>
      <c r="G67" s="57">
        <v>0</v>
      </c>
      <c r="H67" s="56">
        <v>0</v>
      </c>
      <c r="I67" s="56">
        <v>0</v>
      </c>
      <c r="J67" s="56">
        <v>3.9E-2</v>
      </c>
      <c r="K67" s="56">
        <v>0.107</v>
      </c>
      <c r="L67" s="56">
        <v>0.59948911014312389</v>
      </c>
      <c r="M67" s="56">
        <v>0.18607812731859324</v>
      </c>
      <c r="N67" s="50">
        <v>0</v>
      </c>
      <c r="O67" s="58">
        <v>0.83005541447393671</v>
      </c>
      <c r="P67" s="58">
        <f>1</f>
        <v>1</v>
      </c>
      <c r="Q67" s="57">
        <v>0</v>
      </c>
      <c r="R67" s="57">
        <v>0</v>
      </c>
      <c r="S67" s="57">
        <v>0.26700000000000002</v>
      </c>
      <c r="T67" s="57">
        <v>0.51</v>
      </c>
      <c r="U67" s="57">
        <v>0.5784392407674851</v>
      </c>
      <c r="V67" s="57">
        <v>0.73770491803278682</v>
      </c>
      <c r="W67" s="60">
        <v>7668</v>
      </c>
      <c r="X67" s="60">
        <v>651.21695723000005</v>
      </c>
      <c r="Y67" s="60">
        <v>9700</v>
      </c>
      <c r="Z67" s="60">
        <v>0</v>
      </c>
    </row>
    <row r="68" spans="1:26" s="50" customFormat="1" x14ac:dyDescent="0.35">
      <c r="A68" s="56">
        <v>0</v>
      </c>
      <c r="B68" s="56">
        <v>0</v>
      </c>
      <c r="C68" s="56">
        <v>0</v>
      </c>
      <c r="D68" s="56">
        <v>3.2348742999999999E-2</v>
      </c>
      <c r="E68" s="56">
        <v>0.4669999106657029</v>
      </c>
      <c r="F68" s="56">
        <v>3.7729202453987733E-2</v>
      </c>
      <c r="G68" s="57">
        <v>0</v>
      </c>
      <c r="H68" s="56">
        <v>0</v>
      </c>
      <c r="I68" s="56">
        <v>0</v>
      </c>
      <c r="J68" s="56">
        <v>6.9000000000000006E-2</v>
      </c>
      <c r="K68" s="56">
        <v>0.123</v>
      </c>
      <c r="L68" s="56">
        <v>0.60423459863098938</v>
      </c>
      <c r="M68" s="56">
        <v>0.11459786318444873</v>
      </c>
      <c r="N68" s="50">
        <v>0</v>
      </c>
      <c r="O68" s="58">
        <v>0.83005541447393671</v>
      </c>
      <c r="P68" s="58">
        <f>1</f>
        <v>1</v>
      </c>
      <c r="Q68" s="57">
        <v>0</v>
      </c>
      <c r="R68" s="57">
        <v>0</v>
      </c>
      <c r="S68" s="57">
        <v>0.23899999999999999</v>
      </c>
      <c r="T68" s="57">
        <v>0.502</v>
      </c>
      <c r="U68" s="57">
        <v>0.5784392407674851</v>
      </c>
      <c r="V68" s="57">
        <v>0.73770491803278682</v>
      </c>
      <c r="W68" s="60">
        <v>7525.3788426200008</v>
      </c>
      <c r="X68" s="60">
        <v>0</v>
      </c>
      <c r="Y68" s="60">
        <v>9700</v>
      </c>
      <c r="Z68" s="60">
        <v>483.84553376999997</v>
      </c>
    </row>
    <row r="69" spans="1:26" s="50" customFormat="1" x14ac:dyDescent="0.35">
      <c r="A69" s="56">
        <v>0</v>
      </c>
      <c r="B69" s="56">
        <v>0</v>
      </c>
      <c r="C69" s="56">
        <v>0</v>
      </c>
      <c r="D69" s="56">
        <v>3.3034015999999999E-2</v>
      </c>
      <c r="E69" s="56">
        <v>0.47299992690830239</v>
      </c>
      <c r="F69" s="56">
        <v>3.8505582822085889E-2</v>
      </c>
      <c r="G69" s="57">
        <v>0</v>
      </c>
      <c r="H69" s="56">
        <v>0</v>
      </c>
      <c r="I69" s="56">
        <v>0</v>
      </c>
      <c r="J69" s="56">
        <v>8.4999999999999992E-2</v>
      </c>
      <c r="K69" s="56">
        <v>0.13200000000000001</v>
      </c>
      <c r="L69" s="56">
        <v>0.60335718730553833</v>
      </c>
      <c r="M69" s="56">
        <v>0.12157656922392046</v>
      </c>
      <c r="N69" s="50">
        <v>0</v>
      </c>
      <c r="O69" s="58">
        <v>0.83005541447393671</v>
      </c>
      <c r="P69" s="58">
        <f>1</f>
        <v>1</v>
      </c>
      <c r="Q69" s="57">
        <v>0</v>
      </c>
      <c r="R69" s="57">
        <v>0</v>
      </c>
      <c r="S69" s="57">
        <v>0.224</v>
      </c>
      <c r="T69" s="57">
        <v>0.49200000000000005</v>
      </c>
      <c r="U69" s="57">
        <v>0.5784392407674851</v>
      </c>
      <c r="V69" s="57">
        <v>0.73770491803278682</v>
      </c>
      <c r="W69" s="60">
        <v>7668</v>
      </c>
      <c r="X69" s="60">
        <v>66.009875670000014</v>
      </c>
      <c r="Y69" s="60">
        <v>9700</v>
      </c>
      <c r="Z69" s="60">
        <v>171.63686247000001</v>
      </c>
    </row>
    <row r="70" spans="1:26" s="50" customFormat="1" x14ac:dyDescent="0.35">
      <c r="A70" s="56">
        <v>0</v>
      </c>
      <c r="B70" s="56">
        <v>0</v>
      </c>
      <c r="C70" s="56">
        <v>0</v>
      </c>
      <c r="D70" s="56">
        <v>2.1762911999999999E-2</v>
      </c>
      <c r="E70" s="56">
        <v>0.46200003248519894</v>
      </c>
      <c r="F70" s="56">
        <v>2.5367607361963192E-2</v>
      </c>
      <c r="G70" s="57">
        <v>0</v>
      </c>
      <c r="H70" s="56">
        <v>0</v>
      </c>
      <c r="I70" s="56">
        <v>0</v>
      </c>
      <c r="J70" s="56">
        <v>7.3999999999999996E-2</v>
      </c>
      <c r="K70" s="56">
        <v>0.13300000000000001</v>
      </c>
      <c r="L70" s="56">
        <v>0.60276042314872436</v>
      </c>
      <c r="M70" s="56">
        <v>0.12203717168719394</v>
      </c>
      <c r="N70" s="50">
        <v>0</v>
      </c>
      <c r="O70" s="58">
        <v>0.83005541447393671</v>
      </c>
      <c r="P70" s="58">
        <f>1</f>
        <v>1</v>
      </c>
      <c r="Q70" s="57">
        <v>0</v>
      </c>
      <c r="R70" s="57">
        <v>0</v>
      </c>
      <c r="S70" s="57">
        <v>0.216</v>
      </c>
      <c r="T70" s="57">
        <v>0.49099999999999999</v>
      </c>
      <c r="U70" s="57">
        <v>0.5784392407674851</v>
      </c>
      <c r="V70" s="57">
        <v>0.73770491803278682</v>
      </c>
      <c r="W70" s="60">
        <v>7668</v>
      </c>
      <c r="X70" s="60">
        <v>649.83731149999994</v>
      </c>
      <c r="Y70" s="60">
        <v>9700</v>
      </c>
      <c r="Z70" s="60">
        <v>0</v>
      </c>
    </row>
    <row r="71" spans="1:26" s="50" customFormat="1" x14ac:dyDescent="0.35">
      <c r="A71" s="56">
        <v>0</v>
      </c>
      <c r="B71" s="56">
        <v>0</v>
      </c>
      <c r="C71" s="56">
        <v>0</v>
      </c>
      <c r="D71" s="56">
        <v>1.7486972E-2</v>
      </c>
      <c r="E71" s="56">
        <v>0.46399990254440321</v>
      </c>
      <c r="F71" s="56">
        <v>2.038340490797546E-2</v>
      </c>
      <c r="G71" s="57">
        <v>0</v>
      </c>
      <c r="H71" s="56">
        <v>0</v>
      </c>
      <c r="I71" s="56">
        <v>0</v>
      </c>
      <c r="J71" s="56">
        <v>6.3E-2</v>
      </c>
      <c r="K71" s="56">
        <v>0.125</v>
      </c>
      <c r="L71" s="56">
        <v>0.59546546359676411</v>
      </c>
      <c r="M71" s="56">
        <v>0.11404659445021516</v>
      </c>
      <c r="N71" s="50">
        <v>0</v>
      </c>
      <c r="O71" s="58">
        <v>0.83005541447393671</v>
      </c>
      <c r="P71" s="58">
        <f>1</f>
        <v>1</v>
      </c>
      <c r="Q71" s="57">
        <v>0</v>
      </c>
      <c r="R71" s="57">
        <v>0</v>
      </c>
      <c r="S71" s="57">
        <v>0.20899999999999999</v>
      </c>
      <c r="T71" s="57">
        <v>0.48</v>
      </c>
      <c r="U71" s="57">
        <v>0.5784392407674851</v>
      </c>
      <c r="V71" s="57">
        <v>0.73770491803278682</v>
      </c>
      <c r="W71" s="60">
        <v>7668</v>
      </c>
      <c r="X71" s="60">
        <v>649.3774295799999</v>
      </c>
      <c r="Y71" s="60">
        <v>9700</v>
      </c>
      <c r="Z71" s="60">
        <v>0</v>
      </c>
    </row>
    <row r="72" spans="1:26" s="50" customFormat="1" x14ac:dyDescent="0.35">
      <c r="A72" s="56">
        <v>0</v>
      </c>
      <c r="B72" s="56">
        <v>0</v>
      </c>
      <c r="C72" s="56">
        <v>0</v>
      </c>
      <c r="D72" s="56">
        <v>1.8721867E-2</v>
      </c>
      <c r="E72" s="56">
        <v>0.43999983757400535</v>
      </c>
      <c r="F72" s="56">
        <v>2.1822852760736196E-2</v>
      </c>
      <c r="G72" s="57">
        <v>0</v>
      </c>
      <c r="H72" s="56">
        <v>0</v>
      </c>
      <c r="I72" s="56">
        <v>0</v>
      </c>
      <c r="J72" s="56">
        <v>5.6000000000000001E-2</v>
      </c>
      <c r="K72" s="56">
        <v>0.12</v>
      </c>
      <c r="L72" s="56">
        <v>0.5918811449906658</v>
      </c>
      <c r="M72" s="56">
        <v>0.10923230449621606</v>
      </c>
      <c r="N72" s="50">
        <v>0</v>
      </c>
      <c r="O72" s="58">
        <v>0.83005541447393671</v>
      </c>
      <c r="P72" s="58">
        <f>1</f>
        <v>1</v>
      </c>
      <c r="Q72" s="57">
        <v>0</v>
      </c>
      <c r="R72" s="57">
        <v>0</v>
      </c>
      <c r="S72" s="57">
        <v>0.192</v>
      </c>
      <c r="T72" s="57">
        <v>0.46500000000000002</v>
      </c>
      <c r="U72" s="57">
        <v>0.5784392407674851</v>
      </c>
      <c r="V72" s="57">
        <v>0.73770491803278682</v>
      </c>
      <c r="W72" s="60">
        <v>7668</v>
      </c>
      <c r="X72" s="60">
        <v>648.91754766999998</v>
      </c>
      <c r="Y72" s="60">
        <v>9700</v>
      </c>
      <c r="Z72" s="60">
        <v>0</v>
      </c>
    </row>
    <row r="73" spans="1:26" s="50" customFormat="1" x14ac:dyDescent="0.35">
      <c r="A73" s="56">
        <v>0</v>
      </c>
      <c r="B73" s="56">
        <v>0</v>
      </c>
      <c r="C73" s="56">
        <v>0</v>
      </c>
      <c r="D73" s="56">
        <v>1.9438409E-2</v>
      </c>
      <c r="E73" s="56">
        <v>0.43199995127220159</v>
      </c>
      <c r="F73" s="56">
        <v>2.2658067484662578E-2</v>
      </c>
      <c r="G73" s="57">
        <v>0</v>
      </c>
      <c r="H73" s="56">
        <v>0</v>
      </c>
      <c r="I73" s="56">
        <v>0</v>
      </c>
      <c r="J73" s="56">
        <v>5.1000000000000004E-2</v>
      </c>
      <c r="K73" s="56">
        <v>0.109</v>
      </c>
      <c r="L73" s="56">
        <v>0.58858182949595517</v>
      </c>
      <c r="M73" s="56">
        <v>0.10407686600385814</v>
      </c>
      <c r="N73" s="50">
        <v>0</v>
      </c>
      <c r="O73" s="58">
        <v>1.0491679074103448</v>
      </c>
      <c r="P73" s="58">
        <f>1</f>
        <v>1</v>
      </c>
      <c r="Q73" s="57">
        <v>0</v>
      </c>
      <c r="R73" s="57">
        <v>0</v>
      </c>
      <c r="S73" s="57">
        <v>0.185</v>
      </c>
      <c r="T73" s="57">
        <v>0.45700000000000002</v>
      </c>
      <c r="U73" s="57">
        <v>0.5784392407674851</v>
      </c>
      <c r="V73" s="57">
        <v>0.75409836065573765</v>
      </c>
      <c r="W73" s="60">
        <v>7668</v>
      </c>
      <c r="X73" s="60">
        <v>648.91754766999998</v>
      </c>
      <c r="Y73" s="60">
        <v>9700</v>
      </c>
      <c r="Z73" s="60">
        <v>0</v>
      </c>
    </row>
    <row r="74" spans="1:26" s="50" customFormat="1" x14ac:dyDescent="0.35">
      <c r="A74" s="56">
        <v>0</v>
      </c>
      <c r="B74" s="56">
        <v>0</v>
      </c>
      <c r="C74" s="56">
        <v>0</v>
      </c>
      <c r="D74" s="56">
        <v>2.2797543E-2</v>
      </c>
      <c r="E74" s="56">
        <v>0.40799988630180378</v>
      </c>
      <c r="F74" s="56">
        <v>2.6573588957055215E-2</v>
      </c>
      <c r="G74" s="57">
        <v>0</v>
      </c>
      <c r="H74" s="56">
        <v>0</v>
      </c>
      <c r="I74" s="56">
        <v>0</v>
      </c>
      <c r="J74" s="56">
        <v>4.8999999999999995E-2</v>
      </c>
      <c r="K74" s="56">
        <v>0.10199999999999999</v>
      </c>
      <c r="L74" s="56">
        <v>0.53292159303049158</v>
      </c>
      <c r="M74" s="56">
        <v>0.10053004896868971</v>
      </c>
      <c r="N74" s="50">
        <v>0</v>
      </c>
      <c r="O74" s="58">
        <v>1.0491679074103448</v>
      </c>
      <c r="P74" s="58">
        <f>1</f>
        <v>1</v>
      </c>
      <c r="Q74" s="57">
        <v>0</v>
      </c>
      <c r="R74" s="57">
        <v>0</v>
      </c>
      <c r="S74" s="57">
        <v>0.16600000000000001</v>
      </c>
      <c r="T74" s="57">
        <v>0.442</v>
      </c>
      <c r="U74" s="57">
        <v>0.5784392407674851</v>
      </c>
      <c r="V74" s="57">
        <v>0.75409836065573765</v>
      </c>
      <c r="W74" s="60">
        <v>7668</v>
      </c>
      <c r="X74" s="60">
        <v>648.91656161999992</v>
      </c>
      <c r="Y74" s="60">
        <v>9700</v>
      </c>
      <c r="Z74" s="60">
        <v>0</v>
      </c>
    </row>
    <row r="75" spans="1:26" s="50" customFormat="1" x14ac:dyDescent="0.35">
      <c r="A75" s="56">
        <v>0</v>
      </c>
      <c r="B75" s="56">
        <v>0</v>
      </c>
      <c r="C75" s="56">
        <v>0</v>
      </c>
      <c r="D75" s="56">
        <v>2.6731528000000001E-2</v>
      </c>
      <c r="E75" s="56">
        <v>0.39899986193790454</v>
      </c>
      <c r="F75" s="56">
        <v>3.115920245398773E-2</v>
      </c>
      <c r="G75" s="57">
        <v>0</v>
      </c>
      <c r="H75" s="56">
        <v>0</v>
      </c>
      <c r="I75" s="56">
        <v>0</v>
      </c>
      <c r="J75" s="56">
        <v>4.7999999999999994E-2</v>
      </c>
      <c r="K75" s="56">
        <v>9.5000000000000001E-2</v>
      </c>
      <c r="L75" s="56">
        <v>0.52842688238954572</v>
      </c>
      <c r="M75" s="56">
        <v>9.4340109808576947E-2</v>
      </c>
      <c r="N75" s="50">
        <v>0</v>
      </c>
      <c r="O75" s="58">
        <v>1.0491679074103448</v>
      </c>
      <c r="P75" s="58">
        <f>1</f>
        <v>1</v>
      </c>
      <c r="Q75" s="57">
        <v>0</v>
      </c>
      <c r="R75" s="57">
        <v>0</v>
      </c>
      <c r="S75" s="57">
        <v>0.158</v>
      </c>
      <c r="T75" s="57">
        <v>0.439</v>
      </c>
      <c r="U75" s="57">
        <v>0.5784392407674851</v>
      </c>
      <c r="V75" s="57">
        <v>0.75409836065573765</v>
      </c>
      <c r="W75" s="60">
        <v>7668</v>
      </c>
      <c r="X75" s="60">
        <v>648.91656161999992</v>
      </c>
      <c r="Y75" s="60">
        <v>9700</v>
      </c>
      <c r="Z75" s="60">
        <v>0</v>
      </c>
    </row>
    <row r="76" spans="1:26" s="50" customFormat="1" x14ac:dyDescent="0.35">
      <c r="A76" s="56">
        <v>0</v>
      </c>
      <c r="B76" s="56">
        <v>0</v>
      </c>
      <c r="C76" s="56">
        <v>0</v>
      </c>
      <c r="D76" s="56">
        <v>3.2651092999999999E-2</v>
      </c>
      <c r="E76" s="56">
        <v>0.39800012994079575</v>
      </c>
      <c r="F76" s="56">
        <v>3.8059233128834358E-2</v>
      </c>
      <c r="G76" s="57">
        <v>0</v>
      </c>
      <c r="H76" s="56">
        <v>0</v>
      </c>
      <c r="I76" s="56">
        <v>0</v>
      </c>
      <c r="J76" s="56">
        <v>4.6999999999999993E-2</v>
      </c>
      <c r="K76" s="56">
        <v>9.2999999999999999E-2</v>
      </c>
      <c r="L76" s="56">
        <v>0.52615930304915992</v>
      </c>
      <c r="M76" s="56">
        <v>9.3466018697136069E-2</v>
      </c>
      <c r="N76" s="50">
        <v>0</v>
      </c>
      <c r="O76" s="58">
        <v>1.0491679074103448</v>
      </c>
      <c r="P76" s="58">
        <f>1</f>
        <v>1</v>
      </c>
      <c r="Q76" s="57">
        <v>0</v>
      </c>
      <c r="R76" s="57">
        <v>0</v>
      </c>
      <c r="S76" s="57">
        <v>0.14899999999999999</v>
      </c>
      <c r="T76" s="57">
        <v>0.434</v>
      </c>
      <c r="U76" s="57">
        <v>0.5784392407674851</v>
      </c>
      <c r="V76" s="57">
        <v>0.75409836065573765</v>
      </c>
      <c r="W76" s="60">
        <v>7668</v>
      </c>
      <c r="X76" s="60">
        <v>648.91656161999992</v>
      </c>
      <c r="Y76" s="60">
        <v>9700</v>
      </c>
      <c r="Z76" s="60">
        <v>0</v>
      </c>
    </row>
    <row r="77" spans="1:26" s="50" customFormat="1" x14ac:dyDescent="0.35">
      <c r="A77" s="56">
        <v>0</v>
      </c>
      <c r="B77" s="56">
        <v>0</v>
      </c>
      <c r="C77" s="56">
        <v>0</v>
      </c>
      <c r="D77" s="56">
        <v>4.0581737999999999E-2</v>
      </c>
      <c r="E77" s="56">
        <v>0.3959998538166048</v>
      </c>
      <c r="F77" s="56">
        <v>4.7303466257668715E-2</v>
      </c>
      <c r="G77" s="57">
        <v>0</v>
      </c>
      <c r="H77" s="56">
        <v>0</v>
      </c>
      <c r="I77" s="56">
        <v>0</v>
      </c>
      <c r="J77" s="56">
        <v>4.2999999999999997E-2</v>
      </c>
      <c r="K77" s="56">
        <v>9.2999999999999999E-2</v>
      </c>
      <c r="L77" s="56">
        <v>0.52646919726197883</v>
      </c>
      <c r="M77" s="56">
        <v>9.4142157590146908E-2</v>
      </c>
      <c r="N77" s="50">
        <v>0</v>
      </c>
      <c r="O77" s="58">
        <v>1.0491679074103448</v>
      </c>
      <c r="P77" s="58">
        <f>1</f>
        <v>1</v>
      </c>
      <c r="Q77" s="57">
        <v>0</v>
      </c>
      <c r="R77" s="57">
        <v>0</v>
      </c>
      <c r="S77" s="57">
        <v>0.14499999999999999</v>
      </c>
      <c r="T77" s="57">
        <v>0.44700000000000001</v>
      </c>
      <c r="U77" s="57">
        <v>0.5784392407674851</v>
      </c>
      <c r="V77" s="57">
        <v>0.75409836065573765</v>
      </c>
      <c r="W77" s="60">
        <v>7668</v>
      </c>
      <c r="X77" s="60">
        <v>648.91656161999992</v>
      </c>
      <c r="Y77" s="60">
        <v>9700</v>
      </c>
      <c r="Z77" s="60">
        <v>0</v>
      </c>
    </row>
    <row r="78" spans="1:26" s="50" customFormat="1" x14ac:dyDescent="0.35">
      <c r="A78" s="56">
        <v>0</v>
      </c>
      <c r="B78" s="56">
        <v>0</v>
      </c>
      <c r="C78" s="56">
        <v>0</v>
      </c>
      <c r="D78" s="56">
        <v>5.0982284000000003E-2</v>
      </c>
      <c r="E78" s="56">
        <v>0.40199987005920429</v>
      </c>
      <c r="F78" s="56">
        <v>5.9426687116564417E-2</v>
      </c>
      <c r="G78" s="57">
        <v>0</v>
      </c>
      <c r="H78" s="56">
        <v>0</v>
      </c>
      <c r="I78" s="56">
        <v>0</v>
      </c>
      <c r="J78" s="56">
        <v>3.9E-2</v>
      </c>
      <c r="K78" s="56">
        <v>9.9000000000000005E-2</v>
      </c>
      <c r="L78" s="56">
        <v>0.52788923459863102</v>
      </c>
      <c r="M78" s="56">
        <v>9.7128060543107297E-2</v>
      </c>
      <c r="N78" s="50">
        <v>0</v>
      </c>
      <c r="O78" s="58">
        <v>1.0491679074103448</v>
      </c>
      <c r="P78" s="58">
        <f>1</f>
        <v>1</v>
      </c>
      <c r="Q78" s="57">
        <v>0</v>
      </c>
      <c r="R78" s="57">
        <v>0</v>
      </c>
      <c r="S78" s="57">
        <v>0.14799999999999999</v>
      </c>
      <c r="T78" s="57">
        <v>0.47299999999999998</v>
      </c>
      <c r="U78" s="57">
        <v>0.5784392407674851</v>
      </c>
      <c r="V78" s="57">
        <v>0.75409836065573765</v>
      </c>
      <c r="W78" s="60">
        <v>7668</v>
      </c>
      <c r="X78" s="60">
        <v>649.37644352999996</v>
      </c>
      <c r="Y78" s="60">
        <v>9700</v>
      </c>
      <c r="Z78" s="60">
        <v>0</v>
      </c>
    </row>
    <row r="79" spans="1:26" s="50" customFormat="1" x14ac:dyDescent="0.35">
      <c r="A79" s="56">
        <v>0</v>
      </c>
      <c r="B79" s="56">
        <v>0</v>
      </c>
      <c r="C79" s="56">
        <v>0</v>
      </c>
      <c r="D79" s="56">
        <v>5.9373763000000003E-2</v>
      </c>
      <c r="E79" s="56">
        <v>0.40799988630180378</v>
      </c>
      <c r="F79" s="56">
        <v>6.9208098159509207E-2</v>
      </c>
      <c r="G79" s="57">
        <v>0</v>
      </c>
      <c r="H79" s="56">
        <v>0</v>
      </c>
      <c r="I79" s="56">
        <v>0</v>
      </c>
      <c r="J79" s="56">
        <v>3.9E-2</v>
      </c>
      <c r="K79" s="56">
        <v>0.106</v>
      </c>
      <c r="L79" s="56">
        <v>0.54071935283136285</v>
      </c>
      <c r="M79" s="56">
        <v>0.10142728891526934</v>
      </c>
      <c r="N79" s="50">
        <v>0</v>
      </c>
      <c r="O79" s="58">
        <v>1.0491679074103448</v>
      </c>
      <c r="P79" s="58">
        <f>1</f>
        <v>1</v>
      </c>
      <c r="Q79" s="57">
        <v>0</v>
      </c>
      <c r="R79" s="57">
        <v>0</v>
      </c>
      <c r="S79" s="57">
        <v>0.156</v>
      </c>
      <c r="T79" s="57">
        <v>0.51</v>
      </c>
      <c r="U79" s="57">
        <v>0.5784392407674851</v>
      </c>
      <c r="V79" s="57">
        <v>0.75409836065573765</v>
      </c>
      <c r="W79" s="60">
        <v>7668</v>
      </c>
      <c r="X79" s="60">
        <v>650.29620735999993</v>
      </c>
      <c r="Y79" s="60">
        <v>11253.676315590001</v>
      </c>
      <c r="Z79" s="60">
        <v>0</v>
      </c>
    </row>
    <row r="80" spans="1:26" s="50" customFormat="1" x14ac:dyDescent="0.35">
      <c r="A80" s="56">
        <v>0</v>
      </c>
      <c r="B80" s="56">
        <v>0</v>
      </c>
      <c r="C80" s="56">
        <v>0</v>
      </c>
      <c r="D80" s="56">
        <v>6.6060953000000006E-2</v>
      </c>
      <c r="E80" s="56">
        <v>0.41200003248519895</v>
      </c>
      <c r="F80" s="56">
        <v>7.7002914110429449E-2</v>
      </c>
      <c r="G80" s="57">
        <v>0</v>
      </c>
      <c r="H80" s="56">
        <v>0</v>
      </c>
      <c r="I80" s="56">
        <v>0</v>
      </c>
      <c r="J80" s="56">
        <v>4.5999999999999999E-2</v>
      </c>
      <c r="K80" s="56">
        <v>0.115</v>
      </c>
      <c r="L80" s="56">
        <v>0.54252706907280646</v>
      </c>
      <c r="M80" s="56">
        <v>0.10650949695800564</v>
      </c>
      <c r="N80" s="50">
        <v>0</v>
      </c>
      <c r="O80" s="58">
        <v>1.0491679074103448</v>
      </c>
      <c r="P80" s="58">
        <f>1</f>
        <v>1</v>
      </c>
      <c r="Q80" s="57">
        <v>0</v>
      </c>
      <c r="R80" s="57">
        <v>0</v>
      </c>
      <c r="S80" s="57">
        <v>0.16899999999999998</v>
      </c>
      <c r="T80" s="57">
        <v>0.55399999999999994</v>
      </c>
      <c r="U80" s="57">
        <v>0.5784392407674851</v>
      </c>
      <c r="V80" s="57">
        <v>0.75409836065573765</v>
      </c>
      <c r="W80" s="60">
        <v>7668</v>
      </c>
      <c r="X80" s="60">
        <v>650.75608927000007</v>
      </c>
      <c r="Y80" s="60">
        <v>9700</v>
      </c>
      <c r="Z80" s="60">
        <v>0</v>
      </c>
    </row>
    <row r="81" spans="1:26" s="50" customFormat="1" x14ac:dyDescent="0.35">
      <c r="A81" s="56">
        <v>0</v>
      </c>
      <c r="B81" s="56">
        <v>0</v>
      </c>
      <c r="C81" s="56">
        <v>0</v>
      </c>
      <c r="D81" s="56">
        <v>6.9969826999999998E-2</v>
      </c>
      <c r="E81" s="56">
        <v>0.4150000406064987</v>
      </c>
      <c r="F81" s="56">
        <v>8.1559233128834355E-2</v>
      </c>
      <c r="G81" s="57">
        <v>0</v>
      </c>
      <c r="H81" s="56">
        <v>0</v>
      </c>
      <c r="I81" s="56">
        <v>0</v>
      </c>
      <c r="J81" s="56">
        <v>5.7999999999999996E-2</v>
      </c>
      <c r="K81" s="56">
        <v>0.12</v>
      </c>
      <c r="L81" s="56">
        <v>0.57488301182327317</v>
      </c>
      <c r="M81" s="56">
        <v>0.10783350645496365</v>
      </c>
      <c r="N81" s="50">
        <v>0</v>
      </c>
      <c r="O81" s="58">
        <v>1.0491679074103448</v>
      </c>
      <c r="P81" s="58">
        <f>1</f>
        <v>1</v>
      </c>
      <c r="Q81" s="57">
        <v>0</v>
      </c>
      <c r="R81" s="57">
        <v>0</v>
      </c>
      <c r="S81" s="57">
        <v>0.18100000000000002</v>
      </c>
      <c r="T81" s="57">
        <v>0.63</v>
      </c>
      <c r="U81" s="57">
        <v>0.5784392407674851</v>
      </c>
      <c r="V81" s="57">
        <v>0.75409836065573765</v>
      </c>
      <c r="W81" s="60">
        <v>7668</v>
      </c>
      <c r="X81" s="60">
        <v>651.21597118999989</v>
      </c>
      <c r="Y81" s="60">
        <v>9700</v>
      </c>
      <c r="Z81" s="60">
        <v>0</v>
      </c>
    </row>
    <row r="82" spans="1:26" s="50" customFormat="1" x14ac:dyDescent="0.35">
      <c r="A82" s="56">
        <v>0</v>
      </c>
      <c r="B82" s="56">
        <v>0</v>
      </c>
      <c r="C82" s="56">
        <v>0</v>
      </c>
      <c r="D82" s="56">
        <v>7.8754295000000002E-2</v>
      </c>
      <c r="E82" s="56">
        <v>0.43999983757400535</v>
      </c>
      <c r="F82" s="56">
        <v>9.5796932515337427E-2</v>
      </c>
      <c r="G82" s="57">
        <v>0</v>
      </c>
      <c r="H82" s="56">
        <v>0</v>
      </c>
      <c r="I82" s="56">
        <v>0</v>
      </c>
      <c r="J82" s="56">
        <v>7.4999999999999997E-2</v>
      </c>
      <c r="K82" s="56">
        <v>0.126</v>
      </c>
      <c r="L82" s="56">
        <v>0.58355444928438083</v>
      </c>
      <c r="M82" s="56">
        <v>0.11039642380175101</v>
      </c>
      <c r="N82" s="50">
        <v>0</v>
      </c>
      <c r="O82" s="58">
        <v>1.0491679074103448</v>
      </c>
      <c r="P82" s="58">
        <f>1</f>
        <v>1</v>
      </c>
      <c r="Q82" s="57">
        <v>0</v>
      </c>
      <c r="R82" s="57">
        <v>0</v>
      </c>
      <c r="S82" s="57">
        <v>0.20600000000000002</v>
      </c>
      <c r="T82" s="57">
        <v>0.72499999999999998</v>
      </c>
      <c r="U82" s="57">
        <v>0.5784392407674851</v>
      </c>
      <c r="V82" s="57">
        <v>0.75409836065573765</v>
      </c>
      <c r="W82" s="60">
        <v>7668</v>
      </c>
      <c r="X82" s="60">
        <v>651.21597118999989</v>
      </c>
      <c r="Y82" s="60">
        <v>13069.1975595</v>
      </c>
      <c r="Z82" s="60">
        <v>0</v>
      </c>
    </row>
    <row r="83" spans="1:26" s="50" customFormat="1" x14ac:dyDescent="0.35">
      <c r="A83" s="56">
        <v>5.89999999999999E-2</v>
      </c>
      <c r="B83" s="56">
        <v>2.3E-2</v>
      </c>
      <c r="C83" s="56">
        <v>8.199999999999999E-2</v>
      </c>
      <c r="D83" s="56">
        <v>9.0938508000000001E-2</v>
      </c>
      <c r="E83" s="56">
        <v>0.44200011369819631</v>
      </c>
      <c r="F83" s="56">
        <v>0.19278641104294481</v>
      </c>
      <c r="G83" s="57">
        <v>0</v>
      </c>
      <c r="H83" s="56">
        <v>1.3999999999999999E-2</v>
      </c>
      <c r="I83" s="56">
        <v>1.3999999999999999E-2</v>
      </c>
      <c r="J83" s="56">
        <v>7.4999999999999997E-2</v>
      </c>
      <c r="K83" s="56">
        <v>0.13100000000000001</v>
      </c>
      <c r="L83" s="56">
        <v>0.59908214063472309</v>
      </c>
      <c r="M83" s="56">
        <v>0.13459140822080426</v>
      </c>
      <c r="N83" s="50">
        <v>0</v>
      </c>
      <c r="O83" s="58">
        <v>1.0491679074103448</v>
      </c>
      <c r="P83" s="58">
        <f>1</f>
        <v>1</v>
      </c>
      <c r="Q83" s="57">
        <v>6.5000000000000002E-2</v>
      </c>
      <c r="R83" s="57">
        <v>5.1999999999999998E-2</v>
      </c>
      <c r="S83" s="57">
        <v>0.22500000000000001</v>
      </c>
      <c r="T83" s="57">
        <v>0.75400000000000011</v>
      </c>
      <c r="U83" s="57">
        <v>0.5784392407674851</v>
      </c>
      <c r="V83" s="57">
        <v>0.75409836065573765</v>
      </c>
      <c r="W83" s="60">
        <v>7668</v>
      </c>
      <c r="X83" s="60">
        <v>651.21597118999989</v>
      </c>
      <c r="Y83" s="60">
        <v>15000</v>
      </c>
      <c r="Z83" s="60">
        <v>0</v>
      </c>
    </row>
    <row r="84" spans="1:26" s="50" customFormat="1" x14ac:dyDescent="0.35">
      <c r="A84" s="56">
        <v>0.20399999999999999</v>
      </c>
      <c r="B84" s="56">
        <v>5.4000000000000006E-2</v>
      </c>
      <c r="C84" s="56">
        <v>0.19399999999999998</v>
      </c>
      <c r="D84" s="56">
        <v>0.100598005</v>
      </c>
      <c r="E84" s="56">
        <v>0.42400006497039783</v>
      </c>
      <c r="F84" s="56">
        <v>0.32909684049079757</v>
      </c>
      <c r="G84" s="57">
        <v>0</v>
      </c>
      <c r="H84" s="56">
        <v>5.2999999999999999E-2</v>
      </c>
      <c r="I84" s="56">
        <v>5.89999999999999E-2</v>
      </c>
      <c r="J84" s="56">
        <v>4.2999999999999997E-2</v>
      </c>
      <c r="K84" s="56">
        <v>0.13200000000000001</v>
      </c>
      <c r="L84" s="56">
        <v>0.59940945861854389</v>
      </c>
      <c r="M84" s="56">
        <v>0.21116797744472474</v>
      </c>
      <c r="N84" s="50">
        <v>0</v>
      </c>
      <c r="O84" s="58">
        <v>1.0491679074103448</v>
      </c>
      <c r="P84" s="58">
        <f>1</f>
        <v>1</v>
      </c>
      <c r="Q84" s="57">
        <v>0.14899999999999999</v>
      </c>
      <c r="R84" s="57">
        <v>0.122</v>
      </c>
      <c r="S84" s="57">
        <v>0.23499999999999999</v>
      </c>
      <c r="T84" s="57">
        <v>0.74400000000000011</v>
      </c>
      <c r="U84" s="57">
        <v>0.5784392407674851</v>
      </c>
      <c r="V84" s="57">
        <v>0.75409836065573765</v>
      </c>
      <c r="W84" s="60">
        <v>7668</v>
      </c>
      <c r="X84" s="60">
        <v>651.21597118999989</v>
      </c>
      <c r="Y84" s="60">
        <v>15000</v>
      </c>
      <c r="Z84" s="60">
        <v>0</v>
      </c>
    </row>
    <row r="85" spans="1:26" s="50" customFormat="1" x14ac:dyDescent="0.35">
      <c r="A85" s="56">
        <v>0.27700000000000002</v>
      </c>
      <c r="B85" s="56">
        <v>8.5999999999999993E-2</v>
      </c>
      <c r="C85" s="56">
        <v>0.28499999999999903</v>
      </c>
      <c r="D85" s="56">
        <v>0.11549854399999999</v>
      </c>
      <c r="E85" s="56">
        <v>0.43399982133140597</v>
      </c>
      <c r="F85" s="56">
        <v>0.43928300613496934</v>
      </c>
      <c r="G85" s="57">
        <v>0</v>
      </c>
      <c r="H85" s="56">
        <v>8.4000000000000005E-2</v>
      </c>
      <c r="I85" s="56">
        <v>0.102999999999999</v>
      </c>
      <c r="J85" s="56">
        <v>2.8000000000000001E-2</v>
      </c>
      <c r="K85" s="56">
        <v>0.13</v>
      </c>
      <c r="L85" s="56">
        <v>0.60055320472930929</v>
      </c>
      <c r="M85" s="56">
        <v>0.29187542662116039</v>
      </c>
      <c r="N85" s="50">
        <v>0</v>
      </c>
      <c r="O85" s="58">
        <v>0</v>
      </c>
      <c r="P85" s="58">
        <f>1</f>
        <v>1</v>
      </c>
      <c r="Q85" s="57">
        <v>0.222</v>
      </c>
      <c r="R85" s="57">
        <v>0.184</v>
      </c>
      <c r="S85" s="57">
        <v>0.24100000000000002</v>
      </c>
      <c r="T85" s="57">
        <v>0.73299999999999998</v>
      </c>
      <c r="U85" s="57">
        <v>0.5784392407674851</v>
      </c>
      <c r="V85" s="57">
        <v>0.75409836065573765</v>
      </c>
      <c r="W85" s="60">
        <v>7668</v>
      </c>
      <c r="X85" s="60">
        <v>650.75608927000007</v>
      </c>
      <c r="Y85" s="60">
        <v>15000</v>
      </c>
      <c r="Z85" s="60">
        <v>0</v>
      </c>
    </row>
    <row r="86" spans="1:26" s="50" customFormat="1" x14ac:dyDescent="0.35">
      <c r="A86" s="56">
        <v>0.28100000000000003</v>
      </c>
      <c r="B86" s="56">
        <v>0.11199999999999999</v>
      </c>
      <c r="C86" s="56">
        <v>0.34</v>
      </c>
      <c r="D86" s="56">
        <v>0.13827719199999999</v>
      </c>
      <c r="E86" s="56">
        <v>0.43499995939350139</v>
      </c>
      <c r="F86" s="56">
        <v>0.52280128834355832</v>
      </c>
      <c r="G86" s="57">
        <v>0</v>
      </c>
      <c r="H86" s="56">
        <v>9.4E-2</v>
      </c>
      <c r="I86" s="56">
        <v>0.12</v>
      </c>
      <c r="J86" s="56">
        <v>4.2999999999999997E-2</v>
      </c>
      <c r="K86" s="56">
        <v>0.13100000000000001</v>
      </c>
      <c r="L86" s="56">
        <v>0.60160360920970757</v>
      </c>
      <c r="M86" s="56">
        <v>0.35871345897017359</v>
      </c>
      <c r="N86" s="50">
        <v>0</v>
      </c>
      <c r="O86" s="58">
        <v>0</v>
      </c>
      <c r="P86" s="58">
        <f>1</f>
        <v>1</v>
      </c>
      <c r="Q86" s="57">
        <v>0.25700000000000001</v>
      </c>
      <c r="R86" s="57">
        <v>0.21299999999999999</v>
      </c>
      <c r="S86" s="57">
        <v>0.27700000000000002</v>
      </c>
      <c r="T86" s="57">
        <v>0.74199999999999999</v>
      </c>
      <c r="U86" s="57">
        <v>0.5784392407674851</v>
      </c>
      <c r="V86" s="57">
        <v>0.75409836065573765</v>
      </c>
      <c r="W86" s="60">
        <v>7668</v>
      </c>
      <c r="X86" s="60">
        <v>0</v>
      </c>
      <c r="Y86" s="60">
        <v>12604.777715910001</v>
      </c>
      <c r="Z86" s="60">
        <v>0</v>
      </c>
    </row>
    <row r="87" spans="1:26" s="50" customFormat="1" x14ac:dyDescent="0.35">
      <c r="A87" s="56">
        <v>0.253</v>
      </c>
      <c r="B87" s="56">
        <v>0.122</v>
      </c>
      <c r="C87" s="56">
        <v>0.34599999999999903</v>
      </c>
      <c r="D87" s="56">
        <v>0.16269359799999999</v>
      </c>
      <c r="E87" s="56">
        <v>0.43000008121299732</v>
      </c>
      <c r="F87" s="56">
        <v>0.56261809815950914</v>
      </c>
      <c r="G87" s="57">
        <v>0</v>
      </c>
      <c r="H87" s="56">
        <v>8.6999999999999994E-2</v>
      </c>
      <c r="I87" s="56">
        <v>0.11</v>
      </c>
      <c r="J87" s="56">
        <v>0.11499999999999999</v>
      </c>
      <c r="K87" s="56">
        <v>0.154</v>
      </c>
      <c r="L87" s="56">
        <v>0.5866888612321095</v>
      </c>
      <c r="M87" s="56">
        <v>0.40373549488054605</v>
      </c>
      <c r="N87" s="50">
        <v>0</v>
      </c>
      <c r="O87" s="58">
        <v>0</v>
      </c>
      <c r="P87" s="58">
        <f>1</f>
        <v>1</v>
      </c>
      <c r="Q87" s="57">
        <v>0.253</v>
      </c>
      <c r="R87" s="57">
        <v>0.20900000000000002</v>
      </c>
      <c r="S87" s="57">
        <v>0.32600000000000001</v>
      </c>
      <c r="T87" s="57">
        <v>0.78400000000000003</v>
      </c>
      <c r="U87" s="57">
        <v>0.5784392407674851</v>
      </c>
      <c r="V87" s="57">
        <v>0.75409836065573765</v>
      </c>
      <c r="W87" s="60">
        <v>7668</v>
      </c>
      <c r="X87" s="60">
        <v>0</v>
      </c>
      <c r="Y87" s="60">
        <v>12406.019219510001</v>
      </c>
      <c r="Z87" s="60">
        <v>0</v>
      </c>
    </row>
    <row r="88" spans="1:26" s="50" customFormat="1" x14ac:dyDescent="0.35">
      <c r="A88" s="56">
        <v>0.16</v>
      </c>
      <c r="B88" s="56">
        <v>0.114</v>
      </c>
      <c r="C88" s="56">
        <v>0.307</v>
      </c>
      <c r="D88" s="56">
        <v>0.18848293999999999</v>
      </c>
      <c r="E88" s="56">
        <v>0.43199995127220159</v>
      </c>
      <c r="F88" s="56">
        <v>0.56248355828220864</v>
      </c>
      <c r="G88" s="57">
        <v>0</v>
      </c>
      <c r="H88" s="56">
        <v>7.0999999999999994E-2</v>
      </c>
      <c r="I88" s="56">
        <v>7.9000000000000001E-2</v>
      </c>
      <c r="J88" s="56">
        <v>0.23800000000000002</v>
      </c>
      <c r="K88" s="56">
        <v>0.193</v>
      </c>
      <c r="L88" s="56">
        <v>0.58425575606720592</v>
      </c>
      <c r="M88" s="56">
        <v>0.41695548300934854</v>
      </c>
      <c r="N88" s="50">
        <v>0</v>
      </c>
      <c r="O88" s="58">
        <v>0</v>
      </c>
      <c r="P88" s="58">
        <f>1</f>
        <v>1</v>
      </c>
      <c r="Q88" s="57">
        <v>0.21100000000000002</v>
      </c>
      <c r="R88" s="57">
        <v>0.17199999999999999</v>
      </c>
      <c r="S88" s="57">
        <v>0.38400000000000001</v>
      </c>
      <c r="T88" s="57">
        <v>0.81700000000000006</v>
      </c>
      <c r="U88" s="57">
        <v>0.5784392407674851</v>
      </c>
      <c r="V88" s="57">
        <v>0.75409836065573765</v>
      </c>
      <c r="W88" s="60">
        <v>7668</v>
      </c>
      <c r="X88" s="60">
        <v>0</v>
      </c>
      <c r="Y88" s="60">
        <v>15000</v>
      </c>
      <c r="Z88" s="60">
        <v>0</v>
      </c>
    </row>
    <row r="89" spans="1:26" s="50" customFormat="1" x14ac:dyDescent="0.35">
      <c r="A89" s="56">
        <v>3.5000000000000003E-2</v>
      </c>
      <c r="B89" s="56">
        <v>0.09</v>
      </c>
      <c r="C89" s="56">
        <v>0.245</v>
      </c>
      <c r="D89" s="56">
        <v>0.20757709799999999</v>
      </c>
      <c r="E89" s="56">
        <v>0.42400006497039783</v>
      </c>
      <c r="F89" s="56">
        <v>0.53294987730061349</v>
      </c>
      <c r="G89" s="57">
        <v>0</v>
      </c>
      <c r="H89" s="56">
        <v>3.6999999999999901E-2</v>
      </c>
      <c r="I89" s="56">
        <v>4.2000000000000003E-2</v>
      </c>
      <c r="J89" s="56">
        <v>0.33099999999999996</v>
      </c>
      <c r="K89" s="56">
        <v>0.23399999999999999</v>
      </c>
      <c r="L89" s="56">
        <v>0.59029184816428126</v>
      </c>
      <c r="M89" s="56">
        <v>0.37884426472770444</v>
      </c>
      <c r="N89" s="50">
        <v>0</v>
      </c>
      <c r="O89" s="58">
        <v>0</v>
      </c>
      <c r="P89" s="58">
        <f>1</f>
        <v>1</v>
      </c>
      <c r="Q89" s="57">
        <v>0.13800000000000001</v>
      </c>
      <c r="R89" s="57">
        <v>0.109</v>
      </c>
      <c r="S89" s="57">
        <v>0.47499999999999998</v>
      </c>
      <c r="T89" s="57">
        <v>0.82799999999999996</v>
      </c>
      <c r="U89" s="57">
        <v>0.5784392407674851</v>
      </c>
      <c r="V89" s="57">
        <v>0.75409836065573765</v>
      </c>
      <c r="W89" s="60">
        <v>7668</v>
      </c>
      <c r="X89" s="60">
        <v>0</v>
      </c>
      <c r="Y89" s="60">
        <v>15000</v>
      </c>
      <c r="Z89" s="60">
        <v>0</v>
      </c>
    </row>
    <row r="90" spans="1:26" s="50" customFormat="1" x14ac:dyDescent="0.35">
      <c r="A90" s="56">
        <v>0</v>
      </c>
      <c r="B90" s="56">
        <v>5.0999999999999997E-2</v>
      </c>
      <c r="C90" s="56">
        <v>0.157</v>
      </c>
      <c r="D90" s="56">
        <v>0.21244671500000001</v>
      </c>
      <c r="E90" s="56">
        <v>0.42499979696750673</v>
      </c>
      <c r="F90" s="56">
        <v>0.44948757668711659</v>
      </c>
      <c r="G90" s="57">
        <v>0</v>
      </c>
      <c r="H90" s="56">
        <v>0</v>
      </c>
      <c r="I90" s="56">
        <v>1.3000000000000001E-2</v>
      </c>
      <c r="J90" s="56">
        <v>0.35600000000000004</v>
      </c>
      <c r="K90" s="56">
        <v>0.26700000000000002</v>
      </c>
      <c r="L90" s="56">
        <v>0.59544243932794028</v>
      </c>
      <c r="M90" s="56">
        <v>0.3169425730820597</v>
      </c>
      <c r="N90" s="50">
        <v>0</v>
      </c>
      <c r="O90" s="58">
        <v>0</v>
      </c>
      <c r="P90" s="58">
        <f>1</f>
        <v>1</v>
      </c>
      <c r="Q90" s="57">
        <v>5.8000000000000003E-2</v>
      </c>
      <c r="R90" s="57">
        <v>4.1999999999999996E-2</v>
      </c>
      <c r="S90" s="57">
        <v>0.58199999999999996</v>
      </c>
      <c r="T90" s="57">
        <v>0.82599999999999996</v>
      </c>
      <c r="U90" s="57">
        <v>0.5784392407674851</v>
      </c>
      <c r="V90" s="57">
        <v>0.75409836065573765</v>
      </c>
      <c r="W90" s="60">
        <v>7668</v>
      </c>
      <c r="X90" s="60">
        <v>651.21597118999989</v>
      </c>
      <c r="Y90" s="60">
        <v>19800</v>
      </c>
      <c r="Z90" s="60">
        <v>0</v>
      </c>
    </row>
    <row r="91" spans="1:26" s="50" customFormat="1" x14ac:dyDescent="0.35">
      <c r="A91" s="56">
        <v>0</v>
      </c>
      <c r="B91" s="56">
        <v>0</v>
      </c>
      <c r="C91" s="56">
        <v>5.0999999999999997E-2</v>
      </c>
      <c r="D91" s="56">
        <v>0.20457370999999999</v>
      </c>
      <c r="E91" s="56">
        <v>0.44899986193790453</v>
      </c>
      <c r="F91" s="56">
        <v>0.29873024539877302</v>
      </c>
      <c r="G91" s="57">
        <v>0</v>
      </c>
      <c r="H91" s="56">
        <v>0</v>
      </c>
      <c r="I91" s="56">
        <v>0</v>
      </c>
      <c r="J91" s="56">
        <v>0.22</v>
      </c>
      <c r="K91" s="56">
        <v>0.316</v>
      </c>
      <c r="L91" s="56">
        <v>0.60199626633478531</v>
      </c>
      <c r="M91" s="56">
        <v>0.2780603205223327</v>
      </c>
      <c r="N91" s="50">
        <v>0</v>
      </c>
      <c r="O91" s="58">
        <v>0</v>
      </c>
      <c r="P91" s="58">
        <f>1</f>
        <v>1</v>
      </c>
      <c r="Q91" s="57">
        <v>0</v>
      </c>
      <c r="R91" s="57">
        <v>0</v>
      </c>
      <c r="S91" s="57">
        <v>0.65700000000000003</v>
      </c>
      <c r="T91" s="57">
        <v>0.81499999999999995</v>
      </c>
      <c r="U91" s="57">
        <v>0.5784392407674851</v>
      </c>
      <c r="V91" s="57">
        <v>0.75409836065573765</v>
      </c>
      <c r="W91" s="60">
        <v>7668</v>
      </c>
      <c r="X91" s="60">
        <v>456.11597117999997</v>
      </c>
      <c r="Y91" s="60">
        <v>19800</v>
      </c>
      <c r="Z91" s="60">
        <v>0</v>
      </c>
    </row>
    <row r="92" spans="1:26" s="50" customFormat="1" x14ac:dyDescent="0.35">
      <c r="A92" s="56">
        <v>0</v>
      </c>
      <c r="B92" s="56">
        <v>0</v>
      </c>
      <c r="C92" s="56">
        <v>0</v>
      </c>
      <c r="D92" s="56">
        <v>0.22267505300000001</v>
      </c>
      <c r="E92" s="56">
        <v>0.45499987818050402</v>
      </c>
      <c r="F92" s="56">
        <v>0.25960263803680983</v>
      </c>
      <c r="G92" s="57">
        <v>0</v>
      </c>
      <c r="H92" s="56">
        <v>0</v>
      </c>
      <c r="I92" s="56">
        <v>0</v>
      </c>
      <c r="J92" s="56">
        <v>0.16499999999999998</v>
      </c>
      <c r="K92" s="56">
        <v>0.36399999999999999</v>
      </c>
      <c r="L92" s="56">
        <v>0.61056253889234602</v>
      </c>
      <c r="M92" s="56">
        <v>0.27129841222733342</v>
      </c>
      <c r="N92" s="50">
        <v>0</v>
      </c>
      <c r="O92" s="58">
        <v>0</v>
      </c>
      <c r="P92" s="58">
        <f>1</f>
        <v>1</v>
      </c>
      <c r="Q92" s="57">
        <v>0</v>
      </c>
      <c r="R92" s="57">
        <v>0</v>
      </c>
      <c r="S92" s="57">
        <v>0.71</v>
      </c>
      <c r="T92" s="57">
        <v>0.80599999999999994</v>
      </c>
      <c r="U92" s="57">
        <v>0.5784392407674851</v>
      </c>
      <c r="V92" s="57">
        <v>0.75409836065573765</v>
      </c>
      <c r="W92" s="60">
        <v>7668</v>
      </c>
      <c r="X92" s="60">
        <v>650.75608927000007</v>
      </c>
      <c r="Y92" s="60">
        <v>19800</v>
      </c>
      <c r="Z92" s="60">
        <v>0</v>
      </c>
    </row>
    <row r="93" spans="1:26" s="50" customFormat="1" x14ac:dyDescent="0.35">
      <c r="A93" s="56">
        <v>0</v>
      </c>
      <c r="B93" s="56">
        <v>0</v>
      </c>
      <c r="C93" s="56">
        <v>0</v>
      </c>
      <c r="D93" s="56">
        <v>0.254737767</v>
      </c>
      <c r="E93" s="56">
        <v>0.4669999106657029</v>
      </c>
      <c r="F93" s="56">
        <v>0.2969311042944785</v>
      </c>
      <c r="G93" s="57">
        <v>0</v>
      </c>
      <c r="H93" s="56">
        <v>0</v>
      </c>
      <c r="I93" s="56">
        <v>0</v>
      </c>
      <c r="J93" s="56">
        <v>0.14599999999999999</v>
      </c>
      <c r="K93" s="56">
        <v>0.38800000000000001</v>
      </c>
      <c r="L93" s="56">
        <v>0.62000622277535777</v>
      </c>
      <c r="M93" s="56">
        <v>0.28904429440569818</v>
      </c>
      <c r="N93" s="50">
        <v>0</v>
      </c>
      <c r="O93" s="58">
        <v>0</v>
      </c>
      <c r="P93" s="58">
        <f>1</f>
        <v>1</v>
      </c>
      <c r="Q93" s="57">
        <v>0</v>
      </c>
      <c r="R93" s="57">
        <v>0</v>
      </c>
      <c r="S93" s="57">
        <v>0.749</v>
      </c>
      <c r="T93" s="57">
        <v>0.80500000000000005</v>
      </c>
      <c r="U93" s="57">
        <v>0.5784392407674851</v>
      </c>
      <c r="V93" s="57">
        <v>0.75409836065573765</v>
      </c>
      <c r="W93" s="60">
        <v>7668</v>
      </c>
      <c r="X93" s="60">
        <v>650.29620735999993</v>
      </c>
      <c r="Y93" s="60">
        <v>19800</v>
      </c>
      <c r="Z93" s="60">
        <v>0</v>
      </c>
    </row>
    <row r="94" spans="1:26" s="50" customFormat="1" x14ac:dyDescent="0.35">
      <c r="A94" s="56">
        <v>0</v>
      </c>
      <c r="B94" s="56">
        <v>0</v>
      </c>
      <c r="C94" s="56">
        <v>0</v>
      </c>
      <c r="D94" s="56">
        <v>0.27501555100000002</v>
      </c>
      <c r="E94" s="56">
        <v>0.47299992690830239</v>
      </c>
      <c r="F94" s="56">
        <v>0.32056757668711661</v>
      </c>
      <c r="G94" s="57">
        <v>0</v>
      </c>
      <c r="H94" s="56">
        <v>0</v>
      </c>
      <c r="I94" s="56">
        <v>0</v>
      </c>
      <c r="J94" s="56">
        <v>0.14799999999999999</v>
      </c>
      <c r="K94" s="56">
        <v>0.43099999999999999</v>
      </c>
      <c r="L94" s="56">
        <v>0.62357311761045431</v>
      </c>
      <c r="M94" s="56">
        <v>0.31937468467131624</v>
      </c>
      <c r="N94" s="50">
        <v>0</v>
      </c>
      <c r="O94" s="58">
        <v>0</v>
      </c>
      <c r="P94" s="58">
        <f>1</f>
        <v>1</v>
      </c>
      <c r="Q94" s="57">
        <v>0</v>
      </c>
      <c r="R94" s="57">
        <v>0</v>
      </c>
      <c r="S94" s="57">
        <v>0.78</v>
      </c>
      <c r="T94" s="57">
        <v>0.81099999999999994</v>
      </c>
      <c r="U94" s="57">
        <v>0.5784392407674851</v>
      </c>
      <c r="V94" s="57">
        <v>0.75409836065573765</v>
      </c>
      <c r="W94" s="60">
        <v>7668</v>
      </c>
      <c r="X94" s="60">
        <v>649.83632544000011</v>
      </c>
      <c r="Y94" s="60">
        <v>19800</v>
      </c>
      <c r="Z94" s="60">
        <v>0</v>
      </c>
    </row>
    <row r="95" spans="1:26" s="50" customFormat="1" x14ac:dyDescent="0.35">
      <c r="A95" s="56">
        <v>0</v>
      </c>
      <c r="B95" s="56">
        <v>0</v>
      </c>
      <c r="C95" s="56">
        <v>0</v>
      </c>
      <c r="D95" s="56">
        <v>0.28818690899999999</v>
      </c>
      <c r="E95" s="56">
        <v>0.4669999106657029</v>
      </c>
      <c r="F95" s="56">
        <v>0.33592055214723926</v>
      </c>
      <c r="G95" s="57">
        <v>0</v>
      </c>
      <c r="H95" s="56">
        <v>0</v>
      </c>
      <c r="I95" s="56">
        <v>0</v>
      </c>
      <c r="J95" s="56">
        <v>0.16800000000000001</v>
      </c>
      <c r="K95" s="56">
        <v>0.49800000000000005</v>
      </c>
      <c r="L95" s="56">
        <v>0.62135345364032357</v>
      </c>
      <c r="M95" s="56">
        <v>0.36329314438343968</v>
      </c>
      <c r="N95" s="50">
        <v>0</v>
      </c>
      <c r="O95" s="58">
        <v>0</v>
      </c>
      <c r="P95" s="58">
        <f>1</f>
        <v>1</v>
      </c>
      <c r="Q95" s="57">
        <v>0</v>
      </c>
      <c r="R95" s="57">
        <v>0</v>
      </c>
      <c r="S95" s="57">
        <v>0.80500000000000005</v>
      </c>
      <c r="T95" s="57">
        <v>0.81599999999999995</v>
      </c>
      <c r="U95" s="57">
        <v>0.5784392407674851</v>
      </c>
      <c r="V95" s="57">
        <v>0.75409836065573765</v>
      </c>
      <c r="W95" s="60">
        <v>7668</v>
      </c>
      <c r="X95" s="60">
        <v>649.37644352999996</v>
      </c>
      <c r="Y95" s="60">
        <v>19800</v>
      </c>
      <c r="Z95" s="60">
        <v>0</v>
      </c>
    </row>
    <row r="96" spans="1:26" s="50" customFormat="1" x14ac:dyDescent="0.35">
      <c r="A96" s="56">
        <v>0</v>
      </c>
      <c r="B96" s="56">
        <v>0</v>
      </c>
      <c r="C96" s="56">
        <v>0</v>
      </c>
      <c r="D96" s="56">
        <v>0.31947301099999997</v>
      </c>
      <c r="E96" s="56">
        <v>0.46500004060649869</v>
      </c>
      <c r="F96" s="56">
        <v>0.37238871165644172</v>
      </c>
      <c r="G96" s="57">
        <v>0</v>
      </c>
      <c r="H96" s="56">
        <v>0</v>
      </c>
      <c r="I96" s="56">
        <v>0</v>
      </c>
      <c r="J96" s="56">
        <v>0.20500000000000002</v>
      </c>
      <c r="K96" s="56">
        <v>0.53500000000000003</v>
      </c>
      <c r="L96" s="56">
        <v>0.60562912258867452</v>
      </c>
      <c r="M96" s="56">
        <v>0.3864834545184746</v>
      </c>
      <c r="N96" s="50">
        <v>0</v>
      </c>
      <c r="O96" s="58">
        <v>0</v>
      </c>
      <c r="P96" s="58">
        <f>1</f>
        <v>1</v>
      </c>
      <c r="Q96" s="57">
        <v>0</v>
      </c>
      <c r="R96" s="57">
        <v>0</v>
      </c>
      <c r="S96" s="57">
        <v>0.82199999999999995</v>
      </c>
      <c r="T96" s="57">
        <v>0.82</v>
      </c>
      <c r="U96" s="57">
        <v>0.5784392407674851</v>
      </c>
      <c r="V96" s="57">
        <v>0.75409836065573765</v>
      </c>
      <c r="W96" s="60">
        <v>7668</v>
      </c>
      <c r="X96" s="60">
        <v>648.91656161999992</v>
      </c>
      <c r="Y96" s="60">
        <v>19800</v>
      </c>
      <c r="Z96" s="60">
        <v>0</v>
      </c>
    </row>
    <row r="97" spans="1:26" s="50" customFormat="1" x14ac:dyDescent="0.35">
      <c r="A97" s="56">
        <v>0</v>
      </c>
      <c r="B97" s="56">
        <v>0</v>
      </c>
      <c r="C97" s="56">
        <v>0</v>
      </c>
      <c r="D97" s="56">
        <v>0.353982937</v>
      </c>
      <c r="E97" s="56">
        <v>0.46500004060649869</v>
      </c>
      <c r="F97" s="56">
        <v>0.41261466257668711</v>
      </c>
      <c r="G97" s="57">
        <v>0</v>
      </c>
      <c r="H97" s="56">
        <v>0</v>
      </c>
      <c r="I97" s="56">
        <v>0</v>
      </c>
      <c r="J97" s="56">
        <v>0.23599999999999999</v>
      </c>
      <c r="K97" s="56">
        <v>0.55800000000000005</v>
      </c>
      <c r="L97" s="56">
        <v>0.60581767268201614</v>
      </c>
      <c r="M97" s="56">
        <v>0.39477333432259981</v>
      </c>
      <c r="N97" s="50">
        <v>0</v>
      </c>
      <c r="O97" s="58">
        <v>0</v>
      </c>
      <c r="P97" s="58">
        <f>1</f>
        <v>1</v>
      </c>
      <c r="Q97" s="57">
        <v>0</v>
      </c>
      <c r="R97" s="57">
        <v>0</v>
      </c>
      <c r="S97" s="57">
        <v>0.83300000000000007</v>
      </c>
      <c r="T97" s="57">
        <v>0.81799999999999995</v>
      </c>
      <c r="U97" s="57">
        <v>0.5784392407674851</v>
      </c>
      <c r="V97" s="57">
        <v>0.75409836065573765</v>
      </c>
      <c r="W97" s="60">
        <v>7668</v>
      </c>
      <c r="X97" s="60">
        <v>0</v>
      </c>
      <c r="Y97" s="60">
        <v>19800</v>
      </c>
      <c r="Z97" s="60">
        <v>0</v>
      </c>
    </row>
    <row r="98" spans="1:26" s="50" customFormat="1" x14ac:dyDescent="0.35">
      <c r="A98" s="56">
        <v>0</v>
      </c>
      <c r="B98" s="56">
        <v>0</v>
      </c>
      <c r="C98" s="56">
        <v>0</v>
      </c>
      <c r="D98" s="56">
        <v>0.36701989000000002</v>
      </c>
      <c r="E98" s="56">
        <v>0.445000121819496</v>
      </c>
      <c r="F98" s="56">
        <v>0.42781098159509207</v>
      </c>
      <c r="G98" s="57">
        <v>0</v>
      </c>
      <c r="H98" s="56">
        <v>0</v>
      </c>
      <c r="I98" s="56">
        <v>0</v>
      </c>
      <c r="J98" s="56">
        <v>0.25</v>
      </c>
      <c r="K98" s="56">
        <v>0.57599999999999996</v>
      </c>
      <c r="L98" s="56">
        <v>0.57914312383322963</v>
      </c>
      <c r="M98" s="56">
        <v>0.3972325270811693</v>
      </c>
      <c r="N98" s="50">
        <v>0</v>
      </c>
      <c r="O98" s="58">
        <v>0</v>
      </c>
      <c r="P98" s="58">
        <f>1</f>
        <v>1</v>
      </c>
      <c r="Q98" s="57">
        <v>0</v>
      </c>
      <c r="R98" s="57">
        <v>0</v>
      </c>
      <c r="S98" s="57">
        <v>0.83800000000000008</v>
      </c>
      <c r="T98" s="57">
        <v>0.82400000000000007</v>
      </c>
      <c r="U98" s="57">
        <v>0.5784392407674851</v>
      </c>
      <c r="V98" s="57">
        <v>0.75409836065573765</v>
      </c>
      <c r="W98" s="60">
        <v>7668</v>
      </c>
      <c r="X98" s="60">
        <v>0</v>
      </c>
      <c r="Y98" s="60">
        <v>19800</v>
      </c>
      <c r="Z98" s="60">
        <v>0</v>
      </c>
    </row>
    <row r="99" spans="1:26" s="50" customFormat="1" x14ac:dyDescent="0.35">
      <c r="A99" s="56">
        <v>0</v>
      </c>
      <c r="B99" s="56">
        <v>0</v>
      </c>
      <c r="C99" s="56">
        <v>0</v>
      </c>
      <c r="D99" s="56">
        <v>0.342508282</v>
      </c>
      <c r="E99" s="56">
        <v>0.41999991878700271</v>
      </c>
      <c r="F99" s="56">
        <v>0.39923941717791411</v>
      </c>
      <c r="G99" s="57">
        <v>0</v>
      </c>
      <c r="H99" s="56">
        <v>0</v>
      </c>
      <c r="I99" s="56">
        <v>0</v>
      </c>
      <c r="J99" s="56">
        <v>0.24299999999999999</v>
      </c>
      <c r="K99" s="56">
        <v>0.59099999999999997</v>
      </c>
      <c r="L99" s="56">
        <v>0.57756191661481027</v>
      </c>
      <c r="M99" s="56">
        <v>0.40193975367265172</v>
      </c>
      <c r="N99" s="50">
        <v>0</v>
      </c>
      <c r="O99" s="58">
        <v>0</v>
      </c>
      <c r="P99" s="58">
        <f>1</f>
        <v>1</v>
      </c>
      <c r="Q99" s="57">
        <v>0</v>
      </c>
      <c r="R99" s="57">
        <v>0</v>
      </c>
      <c r="S99" s="57">
        <v>0.83900000000000008</v>
      </c>
      <c r="T99" s="57">
        <v>0.82299999999999995</v>
      </c>
      <c r="U99" s="57">
        <v>0.5784392407674851</v>
      </c>
      <c r="V99" s="57">
        <v>0.75409836065573765</v>
      </c>
      <c r="W99" s="60">
        <v>7668</v>
      </c>
      <c r="X99" s="60">
        <v>0</v>
      </c>
      <c r="Y99" s="60">
        <v>18448.780539530002</v>
      </c>
      <c r="Z99" s="60">
        <v>0</v>
      </c>
    </row>
    <row r="100" spans="1:26" s="50" customFormat="1" x14ac:dyDescent="0.35">
      <c r="A100" s="56">
        <v>0</v>
      </c>
      <c r="B100" s="56">
        <v>0</v>
      </c>
      <c r="C100" s="56">
        <v>0</v>
      </c>
      <c r="D100" s="56">
        <v>0.33470191500000002</v>
      </c>
      <c r="E100" s="56">
        <v>0.41900018678989387</v>
      </c>
      <c r="F100" s="56">
        <v>0.39014006134969326</v>
      </c>
      <c r="G100" s="57">
        <v>0</v>
      </c>
      <c r="H100" s="56">
        <v>0</v>
      </c>
      <c r="I100" s="56">
        <v>0</v>
      </c>
      <c r="J100" s="56">
        <v>0.24199999999999999</v>
      </c>
      <c r="K100" s="56">
        <v>0.59699999999999998</v>
      </c>
      <c r="L100" s="56">
        <v>0.58091039203484751</v>
      </c>
      <c r="M100" s="56">
        <v>0.40435109066627095</v>
      </c>
      <c r="N100" s="50">
        <v>0</v>
      </c>
      <c r="O100" s="58">
        <v>0</v>
      </c>
      <c r="P100" s="58">
        <f>1</f>
        <v>1</v>
      </c>
      <c r="Q100" s="57">
        <v>0</v>
      </c>
      <c r="R100" s="57">
        <v>0</v>
      </c>
      <c r="S100" s="57">
        <v>0.83599999999999997</v>
      </c>
      <c r="T100" s="57">
        <v>0.81900000000000006</v>
      </c>
      <c r="U100" s="57">
        <v>0.5784392407674851</v>
      </c>
      <c r="V100" s="57">
        <v>0.75409836065573765</v>
      </c>
      <c r="W100" s="60">
        <v>7668</v>
      </c>
      <c r="X100" s="60">
        <v>0</v>
      </c>
      <c r="Y100" s="60">
        <v>19509.39664753</v>
      </c>
      <c r="Z100" s="60">
        <v>0</v>
      </c>
    </row>
    <row r="101" spans="1:26" s="50" customFormat="1" x14ac:dyDescent="0.35">
      <c r="A101" s="56">
        <v>0</v>
      </c>
      <c r="B101" s="56">
        <v>0</v>
      </c>
      <c r="C101" s="56">
        <v>0</v>
      </c>
      <c r="D101" s="56">
        <v>0.35738882900000002</v>
      </c>
      <c r="E101" s="56">
        <v>0.40700015430469494</v>
      </c>
      <c r="F101" s="56">
        <v>0.41658469325153374</v>
      </c>
      <c r="G101" s="57">
        <v>0</v>
      </c>
      <c r="H101" s="56">
        <v>0</v>
      </c>
      <c r="I101" s="56">
        <v>0</v>
      </c>
      <c r="J101" s="56">
        <v>0.26200000000000001</v>
      </c>
      <c r="K101" s="56">
        <v>0.58299999999999996</v>
      </c>
      <c r="L101" s="56">
        <v>0.58569010578718106</v>
      </c>
      <c r="M101" s="56">
        <v>0.39393188900430332</v>
      </c>
      <c r="N101" s="50">
        <v>0</v>
      </c>
      <c r="O101" s="58">
        <v>0</v>
      </c>
      <c r="P101" s="58">
        <f>1</f>
        <v>1</v>
      </c>
      <c r="Q101" s="57">
        <v>0</v>
      </c>
      <c r="R101" s="57">
        <v>0</v>
      </c>
      <c r="S101" s="57">
        <v>0.83400000000000007</v>
      </c>
      <c r="T101" s="57">
        <v>0.82299999999999995</v>
      </c>
      <c r="U101" s="57">
        <v>0.5784392407674851</v>
      </c>
      <c r="V101" s="57">
        <v>0.75409836065573765</v>
      </c>
      <c r="W101" s="60">
        <v>7668</v>
      </c>
      <c r="X101" s="60">
        <v>0</v>
      </c>
      <c r="Y101" s="60">
        <v>15961.275896589999</v>
      </c>
      <c r="Z101" s="60">
        <v>0</v>
      </c>
    </row>
    <row r="102" spans="1:26" s="50" customFormat="1" x14ac:dyDescent="0.35">
      <c r="A102" s="56">
        <v>0</v>
      </c>
      <c r="B102" s="56">
        <v>0</v>
      </c>
      <c r="C102" s="56">
        <v>0</v>
      </c>
      <c r="D102" s="56">
        <v>0.41485719700000001</v>
      </c>
      <c r="E102" s="56">
        <v>0.4010001380620955</v>
      </c>
      <c r="F102" s="56">
        <v>0.48357180981595094</v>
      </c>
      <c r="G102" s="57">
        <v>0</v>
      </c>
      <c r="H102" s="56">
        <v>0</v>
      </c>
      <c r="I102" s="56">
        <v>0</v>
      </c>
      <c r="J102" s="56">
        <v>0.28300000000000003</v>
      </c>
      <c r="K102" s="56">
        <v>0.56299999999999994</v>
      </c>
      <c r="L102" s="56">
        <v>0.58854075917859361</v>
      </c>
      <c r="M102" s="56">
        <v>0.37934730672206557</v>
      </c>
      <c r="N102" s="50">
        <v>0</v>
      </c>
      <c r="O102" s="58">
        <v>0</v>
      </c>
      <c r="P102" s="58">
        <f>1</f>
        <v>1</v>
      </c>
      <c r="Q102" s="57">
        <v>0</v>
      </c>
      <c r="R102" s="57">
        <v>0</v>
      </c>
      <c r="S102" s="57">
        <v>0.84</v>
      </c>
      <c r="T102" s="57">
        <v>0.84</v>
      </c>
      <c r="U102" s="57">
        <v>0.5784392407674851</v>
      </c>
      <c r="V102" s="57">
        <v>0.75409836065573765</v>
      </c>
      <c r="W102" s="60">
        <v>7668</v>
      </c>
      <c r="X102" s="60">
        <v>0</v>
      </c>
      <c r="Y102" s="60">
        <v>14343.089805830001</v>
      </c>
      <c r="Z102" s="60">
        <v>0</v>
      </c>
    </row>
    <row r="103" spans="1:26" s="50" customFormat="1" x14ac:dyDescent="0.35">
      <c r="A103" s="56">
        <v>0</v>
      </c>
      <c r="B103" s="56">
        <v>0</v>
      </c>
      <c r="C103" s="56">
        <v>0</v>
      </c>
      <c r="D103" s="56">
        <v>0.47076277500000002</v>
      </c>
      <c r="E103" s="56">
        <v>0.39800012994079575</v>
      </c>
      <c r="F103" s="56">
        <v>0.54873726993865024</v>
      </c>
      <c r="G103" s="57">
        <v>0</v>
      </c>
      <c r="H103" s="56">
        <v>0</v>
      </c>
      <c r="I103" s="56">
        <v>0</v>
      </c>
      <c r="J103" s="56">
        <v>0.3</v>
      </c>
      <c r="K103" s="56">
        <v>0.55700000000000005</v>
      </c>
      <c r="L103" s="56">
        <v>0.58027442439327936</v>
      </c>
      <c r="M103" s="56">
        <v>0.37455349458376613</v>
      </c>
      <c r="N103" s="50">
        <v>0</v>
      </c>
      <c r="O103" s="58">
        <v>0</v>
      </c>
      <c r="P103" s="58">
        <f>1</f>
        <v>1</v>
      </c>
      <c r="Q103" s="57">
        <v>0</v>
      </c>
      <c r="R103" s="57">
        <v>0</v>
      </c>
      <c r="S103" s="57">
        <v>0.84800000000000009</v>
      </c>
      <c r="T103" s="57">
        <v>0.89400000000000002</v>
      </c>
      <c r="U103" s="57">
        <v>0.5784392407674851</v>
      </c>
      <c r="V103" s="57">
        <v>0.75409836065573765</v>
      </c>
      <c r="W103" s="60">
        <v>7668</v>
      </c>
      <c r="X103" s="60">
        <v>0</v>
      </c>
      <c r="Y103" s="60">
        <v>17449.063924919999</v>
      </c>
      <c r="Z103" s="60">
        <v>0</v>
      </c>
    </row>
    <row r="104" spans="1:26" s="50" customFormat="1" x14ac:dyDescent="0.35">
      <c r="A104" s="56">
        <v>0</v>
      </c>
      <c r="B104" s="56">
        <v>0</v>
      </c>
      <c r="C104" s="56">
        <v>0</v>
      </c>
      <c r="D104" s="56">
        <v>0.49756946400000002</v>
      </c>
      <c r="E104" s="56">
        <v>0.40199987005920429</v>
      </c>
      <c r="F104" s="56">
        <v>0.57998404907975454</v>
      </c>
      <c r="G104" s="57">
        <v>0</v>
      </c>
      <c r="H104" s="56">
        <v>0</v>
      </c>
      <c r="I104" s="56">
        <v>0</v>
      </c>
      <c r="J104" s="56">
        <v>0.29299999999999998</v>
      </c>
      <c r="K104" s="56">
        <v>0.56100000000000005</v>
      </c>
      <c r="L104" s="56">
        <v>0.57440510267579337</v>
      </c>
      <c r="M104" s="56">
        <v>0.37719060691497253</v>
      </c>
      <c r="N104" s="50">
        <v>0</v>
      </c>
      <c r="O104" s="58">
        <v>0</v>
      </c>
      <c r="P104" s="58">
        <f>1</f>
        <v>1</v>
      </c>
      <c r="Q104" s="57">
        <v>0</v>
      </c>
      <c r="R104" s="57">
        <v>0</v>
      </c>
      <c r="S104" s="57">
        <v>0.85499999999999998</v>
      </c>
      <c r="T104" s="57">
        <v>0.94499999999999995</v>
      </c>
      <c r="U104" s="57">
        <v>0.5784392407674851</v>
      </c>
      <c r="V104" s="57">
        <v>0.75409836065573765</v>
      </c>
      <c r="W104" s="60">
        <v>7668</v>
      </c>
      <c r="X104" s="60">
        <v>0</v>
      </c>
      <c r="Y104" s="60">
        <v>10360.301924539999</v>
      </c>
      <c r="Z104" s="60">
        <v>0</v>
      </c>
    </row>
    <row r="105" spans="1:26" s="50" customFormat="1" x14ac:dyDescent="0.35">
      <c r="A105" s="56">
        <v>0</v>
      </c>
      <c r="B105" s="56">
        <v>0</v>
      </c>
      <c r="C105" s="56">
        <v>0</v>
      </c>
      <c r="D105" s="56">
        <v>0.51359013099999995</v>
      </c>
      <c r="E105" s="56">
        <v>0.40900002436389921</v>
      </c>
      <c r="F105" s="56">
        <v>0.59865831288343552</v>
      </c>
      <c r="G105" s="57">
        <v>0</v>
      </c>
      <c r="H105" s="56">
        <v>0</v>
      </c>
      <c r="I105" s="56">
        <v>0</v>
      </c>
      <c r="J105" s="56">
        <v>0.27099999999999996</v>
      </c>
      <c r="K105" s="56">
        <v>0.53800000000000003</v>
      </c>
      <c r="L105" s="56">
        <v>0.55938207840696952</v>
      </c>
      <c r="M105" s="56">
        <v>0.36183306128505716</v>
      </c>
      <c r="N105" s="50">
        <v>0</v>
      </c>
      <c r="O105" s="58">
        <v>0</v>
      </c>
      <c r="P105" s="58">
        <f>1</f>
        <v>1</v>
      </c>
      <c r="Q105" s="57">
        <v>0</v>
      </c>
      <c r="R105" s="57">
        <v>0</v>
      </c>
      <c r="S105" s="57">
        <v>0.86099999999999999</v>
      </c>
      <c r="T105" s="57">
        <v>0.96299999999999997</v>
      </c>
      <c r="U105" s="57">
        <v>0.5784392407674851</v>
      </c>
      <c r="V105" s="57">
        <v>0.77049180327868849</v>
      </c>
      <c r="W105" s="60">
        <v>7668</v>
      </c>
      <c r="X105" s="60">
        <v>0</v>
      </c>
      <c r="Y105" s="60">
        <v>9329.9143370300008</v>
      </c>
      <c r="Z105" s="60">
        <v>0</v>
      </c>
    </row>
    <row r="106" spans="1:26" s="50" customFormat="1" x14ac:dyDescent="0.35">
      <c r="A106" s="56">
        <v>0</v>
      </c>
      <c r="B106" s="56">
        <v>0</v>
      </c>
      <c r="C106" s="56">
        <v>0</v>
      </c>
      <c r="D106" s="56">
        <v>0.54317550699999995</v>
      </c>
      <c r="E106" s="56">
        <v>0.42100005684909814</v>
      </c>
      <c r="F106" s="56">
        <v>0.63605898773006142</v>
      </c>
      <c r="G106" s="57">
        <v>0</v>
      </c>
      <c r="H106" s="56">
        <v>0</v>
      </c>
      <c r="I106" s="56">
        <v>0</v>
      </c>
      <c r="J106" s="56">
        <v>0.27699999999999997</v>
      </c>
      <c r="K106" s="56">
        <v>0.501</v>
      </c>
      <c r="L106" s="56">
        <v>0.54305164903546976</v>
      </c>
      <c r="M106" s="56">
        <v>0.33695296037987832</v>
      </c>
      <c r="N106" s="50">
        <v>0</v>
      </c>
      <c r="O106" s="58">
        <v>0</v>
      </c>
      <c r="P106" s="58">
        <f>1</f>
        <v>1</v>
      </c>
      <c r="Q106" s="57">
        <v>0</v>
      </c>
      <c r="R106" s="57">
        <v>0</v>
      </c>
      <c r="S106" s="57">
        <v>0.85899999999999999</v>
      </c>
      <c r="T106" s="57">
        <v>0.96599999999999997</v>
      </c>
      <c r="U106" s="57">
        <v>0.5784392407674851</v>
      </c>
      <c r="V106" s="57">
        <v>0.77049180327868849</v>
      </c>
      <c r="W106" s="60">
        <v>7668</v>
      </c>
      <c r="X106" s="60">
        <v>0</v>
      </c>
      <c r="Y106" s="60">
        <v>10000</v>
      </c>
      <c r="Z106" s="60">
        <v>0</v>
      </c>
    </row>
    <row r="107" spans="1:26" s="50" customFormat="1" x14ac:dyDescent="0.35">
      <c r="A107" s="56">
        <v>0</v>
      </c>
      <c r="B107" s="56">
        <v>1.9E-2</v>
      </c>
      <c r="C107" s="56">
        <v>7.1999999999999897E-2</v>
      </c>
      <c r="D107" s="56">
        <v>0.57570690099999999</v>
      </c>
      <c r="E107" s="56">
        <v>0.42700007309169763</v>
      </c>
      <c r="F107" s="56">
        <v>0.74957457055214727</v>
      </c>
      <c r="G107" s="57">
        <v>0</v>
      </c>
      <c r="H107" s="56">
        <v>0.02</v>
      </c>
      <c r="I107" s="56">
        <v>2.1999999999999898E-2</v>
      </c>
      <c r="J107" s="56">
        <v>0.311</v>
      </c>
      <c r="K107" s="56">
        <v>0.47000000000000003</v>
      </c>
      <c r="L107" s="56">
        <v>0.54292283758556314</v>
      </c>
      <c r="M107" s="56">
        <v>0.35224417569372307</v>
      </c>
      <c r="N107" s="50">
        <v>0</v>
      </c>
      <c r="O107" s="58">
        <v>0</v>
      </c>
      <c r="P107" s="58">
        <f>1</f>
        <v>1</v>
      </c>
      <c r="Q107" s="57">
        <v>4.1999999999999996E-2</v>
      </c>
      <c r="R107" s="57">
        <v>3.8999999999999993E-2</v>
      </c>
      <c r="S107" s="57">
        <v>0.85300000000000009</v>
      </c>
      <c r="T107" s="57">
        <v>0.96599999999999997</v>
      </c>
      <c r="U107" s="57">
        <v>0.5784392407674851</v>
      </c>
      <c r="V107" s="57">
        <v>0.77049180327868849</v>
      </c>
      <c r="W107" s="60">
        <v>7668</v>
      </c>
      <c r="X107" s="60">
        <v>0</v>
      </c>
      <c r="Y107" s="60">
        <v>10000</v>
      </c>
      <c r="Z107" s="60">
        <v>0</v>
      </c>
    </row>
    <row r="108" spans="1:26" s="50" customFormat="1" x14ac:dyDescent="0.35">
      <c r="A108" s="56">
        <v>2.1999999999999902E-2</v>
      </c>
      <c r="B108" s="56">
        <v>0.05</v>
      </c>
      <c r="C108" s="56">
        <v>0.19600000000000001</v>
      </c>
      <c r="D108" s="56">
        <v>0.61551767300000004</v>
      </c>
      <c r="E108" s="56">
        <v>0.41200003248519895</v>
      </c>
      <c r="F108" s="56">
        <v>0.94068760736196322</v>
      </c>
      <c r="G108" s="57">
        <v>0</v>
      </c>
      <c r="H108" s="56">
        <v>0.09</v>
      </c>
      <c r="I108" s="56">
        <v>9.5000000000000001E-2</v>
      </c>
      <c r="J108" s="56">
        <v>0.36499999999999999</v>
      </c>
      <c r="K108" s="56">
        <v>0.435</v>
      </c>
      <c r="L108" s="56">
        <v>0.54569943995021775</v>
      </c>
      <c r="M108" s="56">
        <v>0.44075293070188454</v>
      </c>
      <c r="N108" s="50">
        <v>0</v>
      </c>
      <c r="O108" s="58">
        <v>0</v>
      </c>
      <c r="P108" s="58">
        <f>1</f>
        <v>1</v>
      </c>
      <c r="Q108" s="57">
        <v>0.128</v>
      </c>
      <c r="R108" s="57">
        <v>0.11299999999999999</v>
      </c>
      <c r="S108" s="57">
        <v>0.86099999999999999</v>
      </c>
      <c r="T108" s="57">
        <v>0.96599999999999997</v>
      </c>
      <c r="U108" s="57">
        <v>0.5784392407674851</v>
      </c>
      <c r="V108" s="57">
        <v>0.77049180327868849</v>
      </c>
      <c r="W108" s="60">
        <v>7668</v>
      </c>
      <c r="X108" s="60">
        <v>0</v>
      </c>
      <c r="Y108" s="60">
        <v>10000</v>
      </c>
      <c r="Z108" s="60">
        <v>0</v>
      </c>
    </row>
    <row r="109" spans="1:26" s="50" customFormat="1" x14ac:dyDescent="0.35">
      <c r="A109" s="56">
        <v>2.7999999999999997E-2</v>
      </c>
      <c r="B109" s="56">
        <v>9.3000000000000013E-2</v>
      </c>
      <c r="C109" s="56">
        <v>0.313</v>
      </c>
      <c r="D109" s="56">
        <v>0.64408793200000003</v>
      </c>
      <c r="E109" s="56">
        <v>0.40400014618339519</v>
      </c>
      <c r="F109" s="56">
        <v>1</v>
      </c>
      <c r="G109" s="57">
        <v>7.8644188582640689E-2</v>
      </c>
      <c r="H109" s="56">
        <v>0.128</v>
      </c>
      <c r="I109" s="56">
        <v>0.17399999999999999</v>
      </c>
      <c r="J109" s="56">
        <v>0.499</v>
      </c>
      <c r="K109" s="56">
        <v>0.39999999999999997</v>
      </c>
      <c r="L109" s="56">
        <v>0.55619228375855634</v>
      </c>
      <c r="M109" s="56">
        <v>0.53586919424246915</v>
      </c>
      <c r="N109" s="50">
        <v>0</v>
      </c>
      <c r="O109" s="58">
        <v>0</v>
      </c>
      <c r="P109" s="58">
        <f>1</f>
        <v>1</v>
      </c>
      <c r="Q109" s="57">
        <v>0.216</v>
      </c>
      <c r="R109" s="57">
        <v>0.184</v>
      </c>
      <c r="S109" s="57">
        <v>0.86399999999999999</v>
      </c>
      <c r="T109" s="57">
        <v>0.96799999999999997</v>
      </c>
      <c r="U109" s="57">
        <v>0.5784392407674851</v>
      </c>
      <c r="V109" s="57">
        <v>0.77049180327868849</v>
      </c>
      <c r="W109" s="60">
        <v>7668</v>
      </c>
      <c r="X109" s="60">
        <v>0</v>
      </c>
      <c r="Y109" s="60">
        <v>10000</v>
      </c>
      <c r="Z109" s="60">
        <v>0</v>
      </c>
    </row>
    <row r="110" spans="1:26" s="50" customFormat="1" x14ac:dyDescent="0.35">
      <c r="A110" s="56">
        <v>2.3E-2</v>
      </c>
      <c r="B110" s="56">
        <v>0.14099999999999902</v>
      </c>
      <c r="C110" s="56">
        <v>0.40600000000000003</v>
      </c>
      <c r="D110" s="56">
        <v>0.67036331400000004</v>
      </c>
      <c r="E110" s="56">
        <v>0.39899986193790454</v>
      </c>
      <c r="F110" s="56">
        <v>1</v>
      </c>
      <c r="G110" s="57">
        <v>0.17664554017296988</v>
      </c>
      <c r="H110" s="56">
        <v>0.10800000000000001</v>
      </c>
      <c r="I110" s="56">
        <v>0.14499999999999902</v>
      </c>
      <c r="J110" s="56">
        <v>0.57299999999999995</v>
      </c>
      <c r="K110" s="56">
        <v>0.375</v>
      </c>
      <c r="L110" s="56">
        <v>0.55786309894212815</v>
      </c>
      <c r="M110" s="56">
        <v>0.60035301973586586</v>
      </c>
      <c r="N110" s="50">
        <v>0</v>
      </c>
      <c r="O110" s="58">
        <v>0</v>
      </c>
      <c r="P110" s="58">
        <f>1</f>
        <v>1</v>
      </c>
      <c r="Q110" s="57">
        <v>0.245</v>
      </c>
      <c r="R110" s="57">
        <v>0.21</v>
      </c>
      <c r="S110" s="57">
        <v>0.87199999999999989</v>
      </c>
      <c r="T110" s="57">
        <v>0.96499999999999997</v>
      </c>
      <c r="U110" s="57">
        <v>0.5784392407674851</v>
      </c>
      <c r="V110" s="57">
        <v>0.77049180327868849</v>
      </c>
      <c r="W110" s="60">
        <v>7668</v>
      </c>
      <c r="X110" s="60">
        <v>0</v>
      </c>
      <c r="Y110" s="60">
        <v>10000</v>
      </c>
      <c r="Z110" s="60">
        <v>0</v>
      </c>
    </row>
    <row r="111" spans="1:26" s="50" customFormat="1" x14ac:dyDescent="0.35">
      <c r="A111" s="56">
        <v>1.2E-2</v>
      </c>
      <c r="B111" s="56">
        <v>0.17800000000000002</v>
      </c>
      <c r="C111" s="56">
        <v>0.44900000000000001</v>
      </c>
      <c r="D111" s="56">
        <v>0.68859970000000004</v>
      </c>
      <c r="E111" s="56">
        <v>0.38699982945270561</v>
      </c>
      <c r="F111" s="56">
        <v>1</v>
      </c>
      <c r="G111" s="57">
        <v>0.22797255134780081</v>
      </c>
      <c r="H111" s="56">
        <v>7.5999999999999998E-2</v>
      </c>
      <c r="I111" s="56">
        <v>9.0999999999999998E-2</v>
      </c>
      <c r="J111" s="56">
        <v>0.61399999999999999</v>
      </c>
      <c r="K111" s="56">
        <v>0.37</v>
      </c>
      <c r="L111" s="56">
        <v>0.54186247666459242</v>
      </c>
      <c r="M111" s="56">
        <v>0.62770448137705881</v>
      </c>
      <c r="N111" s="50">
        <v>0</v>
      </c>
      <c r="O111" s="58">
        <v>0</v>
      </c>
      <c r="P111" s="58">
        <f>1</f>
        <v>1</v>
      </c>
      <c r="Q111" s="57">
        <v>0.23600000000000002</v>
      </c>
      <c r="R111" s="57">
        <v>0.20099999999999998</v>
      </c>
      <c r="S111" s="57">
        <v>0.87699999999999989</v>
      </c>
      <c r="T111" s="57">
        <v>0.96499999999999997</v>
      </c>
      <c r="U111" s="57">
        <v>0.5784392407674851</v>
      </c>
      <c r="V111" s="57">
        <v>0.77049180327868849</v>
      </c>
      <c r="W111" s="60">
        <v>7668</v>
      </c>
      <c r="X111" s="60">
        <v>0</v>
      </c>
      <c r="Y111" s="60">
        <v>10000</v>
      </c>
      <c r="Z111" s="60">
        <v>0</v>
      </c>
    </row>
    <row r="112" spans="1:26" s="50" customFormat="1" x14ac:dyDescent="0.35">
      <c r="A112" s="56">
        <v>0</v>
      </c>
      <c r="B112" s="56">
        <v>0.184</v>
      </c>
      <c r="C112" s="56">
        <v>0.43200000000000005</v>
      </c>
      <c r="D112" s="56">
        <v>0.69667436500000002</v>
      </c>
      <c r="E112" s="56">
        <v>0.39099997563610084</v>
      </c>
      <c r="F112" s="56">
        <v>1</v>
      </c>
      <c r="G112" s="57">
        <v>0.22962169681428896</v>
      </c>
      <c r="H112" s="56">
        <v>3.4000000000000002E-2</v>
      </c>
      <c r="I112" s="56">
        <v>0.04</v>
      </c>
      <c r="J112" s="56">
        <v>0.627</v>
      </c>
      <c r="K112" s="56">
        <v>0.36699999999999999</v>
      </c>
      <c r="L112" s="56">
        <v>0.54720597386434355</v>
      </c>
      <c r="M112" s="56">
        <v>0.60356796260572787</v>
      </c>
      <c r="N112" s="50">
        <v>0</v>
      </c>
      <c r="O112" s="58">
        <v>0</v>
      </c>
      <c r="P112" s="58">
        <f>1</f>
        <v>1</v>
      </c>
      <c r="Q112" s="57">
        <v>0.19299999999999998</v>
      </c>
      <c r="R112" s="57">
        <v>0.16200000000000001</v>
      </c>
      <c r="S112" s="57">
        <v>0.87300000000000011</v>
      </c>
      <c r="T112" s="57">
        <v>0.96299999999999997</v>
      </c>
      <c r="U112" s="57">
        <v>0.5784392407674851</v>
      </c>
      <c r="V112" s="57">
        <v>0.77049180327868849</v>
      </c>
      <c r="W112" s="60">
        <v>7668</v>
      </c>
      <c r="X112" s="60">
        <v>0</v>
      </c>
      <c r="Y112" s="60">
        <v>10995.560565060001</v>
      </c>
      <c r="Z112" s="60">
        <v>0</v>
      </c>
    </row>
    <row r="113" spans="1:26" s="50" customFormat="1" x14ac:dyDescent="0.35">
      <c r="A113" s="56">
        <v>0</v>
      </c>
      <c r="B113" s="56">
        <v>0.14899999999999902</v>
      </c>
      <c r="C113" s="56">
        <v>0.33500000000000002</v>
      </c>
      <c r="D113" s="56">
        <v>0.68744846599999998</v>
      </c>
      <c r="E113" s="56">
        <v>0.38600009745559682</v>
      </c>
      <c r="F113" s="56">
        <v>1</v>
      </c>
      <c r="G113" s="57">
        <v>0.15760114295699332</v>
      </c>
      <c r="H113" s="56">
        <v>1.7999999999999901E-2</v>
      </c>
      <c r="I113" s="56">
        <v>1.7999999999999901E-2</v>
      </c>
      <c r="J113" s="56">
        <v>0.60099999999999998</v>
      </c>
      <c r="K113" s="56">
        <v>0.36799999999999999</v>
      </c>
      <c r="L113" s="56">
        <v>0.55132482887367773</v>
      </c>
      <c r="M113" s="56">
        <v>0.53099295147648018</v>
      </c>
      <c r="N113" s="50">
        <v>0</v>
      </c>
      <c r="O113" s="58">
        <v>0</v>
      </c>
      <c r="P113" s="58">
        <f>1</f>
        <v>1</v>
      </c>
      <c r="Q113" s="57">
        <v>0.13900000000000001</v>
      </c>
      <c r="R113" s="57">
        <v>0.11099999999999999</v>
      </c>
      <c r="S113" s="57">
        <v>0.871</v>
      </c>
      <c r="T113" s="57">
        <v>0.96099999999999997</v>
      </c>
      <c r="U113" s="57">
        <v>0.5784392407674851</v>
      </c>
      <c r="V113" s="57">
        <v>0.77049180327868849</v>
      </c>
      <c r="W113" s="60">
        <v>7668</v>
      </c>
      <c r="X113" s="60">
        <v>0</v>
      </c>
      <c r="Y113" s="60">
        <v>17717.152999999998</v>
      </c>
      <c r="Z113" s="60">
        <v>0</v>
      </c>
    </row>
    <row r="114" spans="1:26" s="50" customFormat="1" x14ac:dyDescent="0.35">
      <c r="A114" s="56">
        <v>0</v>
      </c>
      <c r="B114" s="56">
        <v>8.4000000000000005E-2</v>
      </c>
      <c r="C114" s="56">
        <v>0.2</v>
      </c>
      <c r="D114" s="56">
        <v>0.67320856200000001</v>
      </c>
      <c r="E114" s="56">
        <v>0.39899986193790454</v>
      </c>
      <c r="F114" s="56">
        <v>1</v>
      </c>
      <c r="G114" s="57">
        <v>2.9488248322091133E-2</v>
      </c>
      <c r="H114" s="56">
        <v>0</v>
      </c>
      <c r="I114" s="56">
        <v>0</v>
      </c>
      <c r="J114" s="56">
        <v>0.55999999999999994</v>
      </c>
      <c r="K114" s="56">
        <v>0.36799999999999999</v>
      </c>
      <c r="L114" s="56">
        <v>0.54871935283136286</v>
      </c>
      <c r="M114" s="56">
        <v>0.42847774150467427</v>
      </c>
      <c r="N114" s="50">
        <v>0</v>
      </c>
      <c r="O114" s="58">
        <v>0</v>
      </c>
      <c r="P114" s="58">
        <f>1</f>
        <v>1</v>
      </c>
      <c r="Q114" s="57">
        <v>7.0000000000000007E-2</v>
      </c>
      <c r="R114" s="57">
        <v>4.9999999999999996E-2</v>
      </c>
      <c r="S114" s="57">
        <v>0.88600000000000001</v>
      </c>
      <c r="T114" s="57">
        <v>0.95799999999999996</v>
      </c>
      <c r="U114" s="57">
        <v>0.5784392407674851</v>
      </c>
      <c r="V114" s="57">
        <v>0.77049180327868849</v>
      </c>
      <c r="W114" s="60">
        <v>7668</v>
      </c>
      <c r="X114" s="60">
        <v>0</v>
      </c>
      <c r="Y114" s="60">
        <v>14800</v>
      </c>
      <c r="Z114" s="60">
        <v>0</v>
      </c>
    </row>
    <row r="115" spans="1:26" s="50" customFormat="1" x14ac:dyDescent="0.35">
      <c r="A115" s="56">
        <v>0</v>
      </c>
      <c r="B115" s="56">
        <v>1.09999999999999E-2</v>
      </c>
      <c r="C115" s="56">
        <v>5.5999999999999994E-2</v>
      </c>
      <c r="D115" s="56">
        <v>0.61049664199999998</v>
      </c>
      <c r="E115" s="56">
        <v>0.44999999999999996</v>
      </c>
      <c r="F115" s="56">
        <v>0.77844328220858894</v>
      </c>
      <c r="G115" s="57">
        <v>0</v>
      </c>
      <c r="H115" s="56">
        <v>0</v>
      </c>
      <c r="I115" s="56">
        <v>0</v>
      </c>
      <c r="J115" s="56">
        <v>0.33200000000000002</v>
      </c>
      <c r="K115" s="56">
        <v>0.36899999999999999</v>
      </c>
      <c r="L115" s="56">
        <v>0.55333229620410707</v>
      </c>
      <c r="M115" s="56">
        <v>0.32054518474551119</v>
      </c>
      <c r="N115" s="50">
        <v>0</v>
      </c>
      <c r="O115" s="58">
        <v>0</v>
      </c>
      <c r="P115" s="58">
        <f>1</f>
        <v>1</v>
      </c>
      <c r="Q115" s="57">
        <v>0</v>
      </c>
      <c r="R115" s="57">
        <v>0</v>
      </c>
      <c r="S115" s="57">
        <v>0.8919999999999999</v>
      </c>
      <c r="T115" s="57">
        <v>0.95200000000000007</v>
      </c>
      <c r="U115" s="57">
        <v>0.5784392407674851</v>
      </c>
      <c r="V115" s="57">
        <v>0.77049180327868849</v>
      </c>
      <c r="W115" s="60">
        <v>7668</v>
      </c>
      <c r="X115" s="60">
        <v>0</v>
      </c>
      <c r="Y115" s="60">
        <v>18537.86099135</v>
      </c>
      <c r="Z115" s="60">
        <v>0</v>
      </c>
    </row>
    <row r="116" spans="1:26" s="50" customFormat="1" x14ac:dyDescent="0.35">
      <c r="A116" s="56">
        <v>0</v>
      </c>
      <c r="B116" s="56">
        <v>0</v>
      </c>
      <c r="C116" s="56">
        <v>0</v>
      </c>
      <c r="D116" s="56">
        <v>0.53394372199999995</v>
      </c>
      <c r="E116" s="56">
        <v>0.45900002436389925</v>
      </c>
      <c r="F116" s="56">
        <v>0.62246214723926374</v>
      </c>
      <c r="G116" s="57">
        <v>0</v>
      </c>
      <c r="H116" s="56">
        <v>0</v>
      </c>
      <c r="I116" s="56">
        <v>0</v>
      </c>
      <c r="J116" s="56">
        <v>0.16999999999999998</v>
      </c>
      <c r="K116" s="56">
        <v>0.36099999999999999</v>
      </c>
      <c r="L116" s="56">
        <v>0.56475980087118849</v>
      </c>
      <c r="M116" s="56">
        <v>0.24629833803234902</v>
      </c>
      <c r="N116" s="50">
        <v>0</v>
      </c>
      <c r="O116" s="58">
        <v>0</v>
      </c>
      <c r="P116" s="58">
        <f>1</f>
        <v>1</v>
      </c>
      <c r="Q116" s="57">
        <v>0</v>
      </c>
      <c r="R116" s="57">
        <v>0</v>
      </c>
      <c r="S116" s="57">
        <v>0.88900000000000001</v>
      </c>
      <c r="T116" s="57">
        <v>0.95200000000000007</v>
      </c>
      <c r="U116" s="57">
        <v>0.5784392407674851</v>
      </c>
      <c r="V116" s="57">
        <v>0.78688524590163933</v>
      </c>
      <c r="W116" s="60">
        <v>7668</v>
      </c>
      <c r="X116" s="60">
        <v>0</v>
      </c>
      <c r="Y116" s="60">
        <v>19800</v>
      </c>
      <c r="Z116" s="60">
        <v>0</v>
      </c>
    </row>
    <row r="117" spans="1:26" s="50" customFormat="1" x14ac:dyDescent="0.35">
      <c r="A117" s="56">
        <v>0</v>
      </c>
      <c r="B117" s="56">
        <v>0</v>
      </c>
      <c r="C117" s="56">
        <v>0</v>
      </c>
      <c r="D117" s="56">
        <v>0.48341007800000002</v>
      </c>
      <c r="E117" s="56">
        <v>0.46000016242599473</v>
      </c>
      <c r="F117" s="56">
        <v>0.5634793865030675</v>
      </c>
      <c r="G117" s="57">
        <v>0</v>
      </c>
      <c r="H117" s="56">
        <v>0</v>
      </c>
      <c r="I117" s="56">
        <v>0</v>
      </c>
      <c r="J117" s="56">
        <v>0.13899999999999998</v>
      </c>
      <c r="K117" s="56">
        <v>0.33900000000000002</v>
      </c>
      <c r="L117" s="56">
        <v>0.57456378344741754</v>
      </c>
      <c r="M117" s="56">
        <v>0.22885969728446356</v>
      </c>
      <c r="N117" s="50">
        <v>0</v>
      </c>
      <c r="O117" s="58">
        <v>0</v>
      </c>
      <c r="P117" s="58">
        <f>1</f>
        <v>1</v>
      </c>
      <c r="Q117" s="57">
        <v>0</v>
      </c>
      <c r="R117" s="57">
        <v>0</v>
      </c>
      <c r="S117" s="57">
        <v>0.88500000000000001</v>
      </c>
      <c r="T117" s="57">
        <v>0.95400000000000007</v>
      </c>
      <c r="U117" s="57">
        <v>0.5784392407674851</v>
      </c>
      <c r="V117" s="57">
        <v>0.78688524590163933</v>
      </c>
      <c r="W117" s="60">
        <v>7668</v>
      </c>
      <c r="X117" s="60">
        <v>0</v>
      </c>
      <c r="Y117" s="60">
        <v>19800</v>
      </c>
      <c r="Z117" s="60">
        <v>0</v>
      </c>
    </row>
    <row r="118" spans="1:26" s="50" customFormat="1" x14ac:dyDescent="0.35">
      <c r="A118" s="56">
        <v>0</v>
      </c>
      <c r="B118" s="56">
        <v>0</v>
      </c>
      <c r="C118" s="56">
        <v>0</v>
      </c>
      <c r="D118" s="56">
        <v>0.46995061100000002</v>
      </c>
      <c r="E118" s="56">
        <v>0.46000016242599473</v>
      </c>
      <c r="F118" s="56">
        <v>0.54779058282208593</v>
      </c>
      <c r="G118" s="57">
        <v>0</v>
      </c>
      <c r="H118" s="56">
        <v>0</v>
      </c>
      <c r="I118" s="56">
        <v>0</v>
      </c>
      <c r="J118" s="56">
        <v>0.151</v>
      </c>
      <c r="K118" s="56">
        <v>0.315</v>
      </c>
      <c r="L118" s="56">
        <v>0.56778158058494088</v>
      </c>
      <c r="M118" s="56">
        <v>0.21291007567888409</v>
      </c>
      <c r="N118" s="50">
        <v>0</v>
      </c>
      <c r="O118" s="58">
        <v>0</v>
      </c>
      <c r="P118" s="58">
        <f>1</f>
        <v>1</v>
      </c>
      <c r="Q118" s="57">
        <v>0</v>
      </c>
      <c r="R118" s="57">
        <v>0</v>
      </c>
      <c r="S118" s="57">
        <v>0.88600000000000001</v>
      </c>
      <c r="T118" s="57">
        <v>0.95700000000000007</v>
      </c>
      <c r="U118" s="57">
        <v>0.5784392407674851</v>
      </c>
      <c r="V118" s="57">
        <v>0.80327868852459017</v>
      </c>
      <c r="W118" s="60">
        <v>7668</v>
      </c>
      <c r="X118" s="60">
        <v>0</v>
      </c>
      <c r="Y118" s="60">
        <v>19800</v>
      </c>
      <c r="Z118" s="60">
        <v>0</v>
      </c>
    </row>
    <row r="119" spans="1:26" s="50" customFormat="1" x14ac:dyDescent="0.35">
      <c r="A119" s="56">
        <v>0</v>
      </c>
      <c r="B119" s="56">
        <v>0</v>
      </c>
      <c r="C119" s="56">
        <v>0</v>
      </c>
      <c r="D119" s="56">
        <v>0.47026385700000001</v>
      </c>
      <c r="E119" s="56">
        <v>0.45799988630180372</v>
      </c>
      <c r="F119" s="56">
        <v>0.54815570552147241</v>
      </c>
      <c r="G119" s="57">
        <v>0</v>
      </c>
      <c r="H119" s="56">
        <v>0</v>
      </c>
      <c r="I119" s="56">
        <v>0</v>
      </c>
      <c r="J119" s="56">
        <v>0.191</v>
      </c>
      <c r="K119" s="56">
        <v>0.28500000000000003</v>
      </c>
      <c r="L119" s="56">
        <v>0.56755880522713131</v>
      </c>
      <c r="M119" s="56">
        <v>0.19269105208487908</v>
      </c>
      <c r="N119" s="50">
        <v>0</v>
      </c>
      <c r="O119" s="58">
        <v>0</v>
      </c>
      <c r="P119" s="58">
        <f>1</f>
        <v>1</v>
      </c>
      <c r="Q119" s="57">
        <v>0</v>
      </c>
      <c r="R119" s="57">
        <v>0</v>
      </c>
      <c r="S119" s="57">
        <v>0.88900000000000001</v>
      </c>
      <c r="T119" s="57">
        <v>0.95799999999999996</v>
      </c>
      <c r="U119" s="57">
        <v>0.5784392407674851</v>
      </c>
      <c r="V119" s="57">
        <v>0.80327868852459017</v>
      </c>
      <c r="W119" s="60">
        <v>7668</v>
      </c>
      <c r="X119" s="60">
        <v>0</v>
      </c>
      <c r="Y119" s="60">
        <v>19800</v>
      </c>
      <c r="Z119" s="60">
        <v>0</v>
      </c>
    </row>
    <row r="120" spans="1:26" s="50" customFormat="1" x14ac:dyDescent="0.35">
      <c r="A120" s="56">
        <v>0</v>
      </c>
      <c r="B120" s="56">
        <v>0</v>
      </c>
      <c r="C120" s="56">
        <v>0</v>
      </c>
      <c r="D120" s="56">
        <v>0.469347454</v>
      </c>
      <c r="E120" s="56">
        <v>0.45199987005920433</v>
      </c>
      <c r="F120" s="56">
        <v>0.54708751533742328</v>
      </c>
      <c r="G120" s="57">
        <v>0</v>
      </c>
      <c r="H120" s="56">
        <v>0</v>
      </c>
      <c r="I120" s="56">
        <v>0</v>
      </c>
      <c r="J120" s="56">
        <v>0.23899999999999999</v>
      </c>
      <c r="K120" s="56">
        <v>0.246</v>
      </c>
      <c r="L120" s="56">
        <v>0.55865525824517737</v>
      </c>
      <c r="M120" s="56">
        <v>0.16659630508977594</v>
      </c>
      <c r="N120" s="50">
        <v>0</v>
      </c>
      <c r="O120" s="58">
        <v>0</v>
      </c>
      <c r="P120" s="58">
        <f>1</f>
        <v>1</v>
      </c>
      <c r="Q120" s="57">
        <v>0</v>
      </c>
      <c r="R120" s="57">
        <v>0</v>
      </c>
      <c r="S120" s="57">
        <v>0.88800000000000001</v>
      </c>
      <c r="T120" s="57">
        <v>0.95799999999999996</v>
      </c>
      <c r="U120" s="57">
        <v>0.5784392407674851</v>
      </c>
      <c r="V120" s="57">
        <v>0.80327868852459017</v>
      </c>
      <c r="W120" s="60">
        <v>7668</v>
      </c>
      <c r="X120" s="60">
        <v>0</v>
      </c>
      <c r="Y120" s="60">
        <v>17590.6289</v>
      </c>
      <c r="Z120" s="60">
        <v>0</v>
      </c>
    </row>
    <row r="121" spans="1:26" s="50" customFormat="1" x14ac:dyDescent="0.35">
      <c r="A121" s="56">
        <v>0</v>
      </c>
      <c r="B121" s="56">
        <v>0</v>
      </c>
      <c r="C121" s="56">
        <v>0</v>
      </c>
      <c r="D121" s="56">
        <v>0.47874165400000002</v>
      </c>
      <c r="E121" s="56">
        <v>0.43499995939350139</v>
      </c>
      <c r="F121" s="56">
        <v>0.55803773006134971</v>
      </c>
      <c r="G121" s="57">
        <v>0</v>
      </c>
      <c r="H121" s="56">
        <v>0</v>
      </c>
      <c r="I121" s="56">
        <v>0</v>
      </c>
      <c r="J121" s="56">
        <v>0.27200000000000002</v>
      </c>
      <c r="K121" s="56">
        <v>0.21199999999999999</v>
      </c>
      <c r="L121" s="56">
        <v>0.55756129433727442</v>
      </c>
      <c r="M121" s="56">
        <v>0.14411262798634811</v>
      </c>
      <c r="N121" s="50">
        <v>0</v>
      </c>
      <c r="O121" s="58">
        <v>0</v>
      </c>
      <c r="P121" s="58">
        <f>1</f>
        <v>1</v>
      </c>
      <c r="Q121" s="57">
        <v>0</v>
      </c>
      <c r="R121" s="57">
        <v>0</v>
      </c>
      <c r="S121" s="57">
        <v>0.88100000000000001</v>
      </c>
      <c r="T121" s="57">
        <v>0.95599999999999996</v>
      </c>
      <c r="U121" s="57">
        <v>0.5784392407674851</v>
      </c>
      <c r="V121" s="57">
        <v>0.80327868852459017</v>
      </c>
      <c r="W121" s="60">
        <v>7668</v>
      </c>
      <c r="X121" s="60">
        <v>0</v>
      </c>
      <c r="Y121" s="60">
        <v>15483.8858</v>
      </c>
      <c r="Z121" s="60">
        <v>0</v>
      </c>
    </row>
    <row r="122" spans="1:26" s="50" customFormat="1" x14ac:dyDescent="0.35">
      <c r="A122" s="56">
        <v>0</v>
      </c>
      <c r="B122" s="56">
        <v>0</v>
      </c>
      <c r="C122" s="56">
        <v>0</v>
      </c>
      <c r="D122" s="56">
        <v>0.49302268599999999</v>
      </c>
      <c r="E122" s="56">
        <v>0.3600001624259947</v>
      </c>
      <c r="F122" s="56">
        <v>0.57468417177914111</v>
      </c>
      <c r="G122" s="57">
        <v>0</v>
      </c>
      <c r="H122" s="56">
        <v>0</v>
      </c>
      <c r="I122" s="56">
        <v>0</v>
      </c>
      <c r="J122" s="56">
        <v>0.28099999999999997</v>
      </c>
      <c r="K122" s="56">
        <v>0.17899999999999999</v>
      </c>
      <c r="L122" s="56">
        <v>0.5449396390790292</v>
      </c>
      <c r="M122" s="56">
        <v>0.12256722065588366</v>
      </c>
      <c r="N122" s="50">
        <v>0</v>
      </c>
      <c r="O122" s="58">
        <v>0</v>
      </c>
      <c r="P122" s="58">
        <f>1</f>
        <v>1</v>
      </c>
      <c r="Q122" s="57">
        <v>0</v>
      </c>
      <c r="R122" s="57">
        <v>0</v>
      </c>
      <c r="S122" s="57">
        <v>0.86</v>
      </c>
      <c r="T122" s="57">
        <v>0.95200000000000007</v>
      </c>
      <c r="U122" s="57">
        <v>0.5784392407674851</v>
      </c>
      <c r="V122" s="57">
        <v>0.80327868852459017</v>
      </c>
      <c r="W122" s="60">
        <v>7668</v>
      </c>
      <c r="X122" s="60">
        <v>0</v>
      </c>
      <c r="Y122" s="60">
        <v>14800</v>
      </c>
      <c r="Z122" s="60">
        <v>0</v>
      </c>
    </row>
    <row r="123" spans="1:26" s="50" customFormat="1" x14ac:dyDescent="0.35">
      <c r="A123" s="56">
        <v>0</v>
      </c>
      <c r="B123" s="56">
        <v>0</v>
      </c>
      <c r="C123" s="56">
        <v>0</v>
      </c>
      <c r="D123" s="56">
        <v>0.493862256</v>
      </c>
      <c r="E123" s="56">
        <v>0.3540001461833952</v>
      </c>
      <c r="F123" s="56">
        <v>0.57566282208588959</v>
      </c>
      <c r="G123" s="57">
        <v>0</v>
      </c>
      <c r="H123" s="56">
        <v>0</v>
      </c>
      <c r="I123" s="56">
        <v>0</v>
      </c>
      <c r="J123" s="56">
        <v>0.25599999999999995</v>
      </c>
      <c r="K123" s="56">
        <v>0.14799999999999999</v>
      </c>
      <c r="L123" s="56">
        <v>0.54010516490354699</v>
      </c>
      <c r="M123" s="56">
        <v>0.10278824751446804</v>
      </c>
      <c r="N123" s="50">
        <v>0</v>
      </c>
      <c r="O123" s="58">
        <v>0</v>
      </c>
      <c r="P123" s="58">
        <f>1</f>
        <v>1</v>
      </c>
      <c r="Q123" s="57">
        <v>0</v>
      </c>
      <c r="R123" s="57">
        <v>0</v>
      </c>
      <c r="S123" s="57">
        <v>0.82499999999999996</v>
      </c>
      <c r="T123" s="57">
        <v>0.95</v>
      </c>
      <c r="U123" s="57">
        <v>0.5784392407674851</v>
      </c>
      <c r="V123" s="57">
        <v>0.80327868852459017</v>
      </c>
      <c r="W123" s="60">
        <v>7668</v>
      </c>
      <c r="X123" s="60">
        <v>0</v>
      </c>
      <c r="Y123" s="60">
        <v>14800</v>
      </c>
      <c r="Z123" s="60">
        <v>0</v>
      </c>
    </row>
    <row r="124" spans="1:26" s="50" customFormat="1" x14ac:dyDescent="0.35">
      <c r="A124" s="56">
        <v>0</v>
      </c>
      <c r="B124" s="56">
        <v>0</v>
      </c>
      <c r="C124" s="56">
        <v>0</v>
      </c>
      <c r="D124" s="56">
        <v>0.48728855799999998</v>
      </c>
      <c r="E124" s="56">
        <v>0.35100013806209546</v>
      </c>
      <c r="F124" s="56">
        <v>0.56800027607361969</v>
      </c>
      <c r="G124" s="57">
        <v>0</v>
      </c>
      <c r="H124" s="56">
        <v>0</v>
      </c>
      <c r="I124" s="56">
        <v>0</v>
      </c>
      <c r="J124" s="56">
        <v>0.221</v>
      </c>
      <c r="K124" s="56">
        <v>0.127</v>
      </c>
      <c r="L124" s="56">
        <v>0.53860485376477907</v>
      </c>
      <c r="M124" s="56">
        <v>8.9796408962754121E-2</v>
      </c>
      <c r="N124" s="50">
        <v>0</v>
      </c>
      <c r="O124" s="58">
        <v>0</v>
      </c>
      <c r="P124" s="58">
        <f>1</f>
        <v>1</v>
      </c>
      <c r="Q124" s="57">
        <v>0</v>
      </c>
      <c r="R124" s="57">
        <v>0</v>
      </c>
      <c r="S124" s="57">
        <v>0.79199999999999993</v>
      </c>
      <c r="T124" s="57">
        <v>0.94900000000000007</v>
      </c>
      <c r="U124" s="57">
        <v>0.5784392407674851</v>
      </c>
      <c r="V124" s="57">
        <v>0.78688524590163933</v>
      </c>
      <c r="W124" s="60">
        <v>7668</v>
      </c>
      <c r="X124" s="60">
        <v>0</v>
      </c>
      <c r="Y124" s="60">
        <v>14800</v>
      </c>
      <c r="Z124" s="60">
        <v>0</v>
      </c>
    </row>
    <row r="125" spans="1:26" s="50" customFormat="1" x14ac:dyDescent="0.35">
      <c r="A125" s="56">
        <v>0</v>
      </c>
      <c r="B125" s="56">
        <v>0</v>
      </c>
      <c r="C125" s="56">
        <v>0</v>
      </c>
      <c r="D125" s="56">
        <v>0.486031353</v>
      </c>
      <c r="E125" s="56">
        <v>0.35000000000000003</v>
      </c>
      <c r="F125" s="56">
        <v>0.56653484662576692</v>
      </c>
      <c r="G125" s="57">
        <v>0</v>
      </c>
      <c r="H125" s="56">
        <v>0</v>
      </c>
      <c r="I125" s="56">
        <v>0</v>
      </c>
      <c r="J125" s="56">
        <v>0.19899999999999998</v>
      </c>
      <c r="K125" s="56">
        <v>0.113</v>
      </c>
      <c r="L125" s="56">
        <v>0.54358431860609835</v>
      </c>
      <c r="M125" s="56">
        <v>8.183714200920017E-2</v>
      </c>
      <c r="N125" s="50">
        <v>0</v>
      </c>
      <c r="O125" s="58">
        <v>0</v>
      </c>
      <c r="P125" s="58">
        <f>1</f>
        <v>1</v>
      </c>
      <c r="Q125" s="57">
        <v>0</v>
      </c>
      <c r="R125" s="57">
        <v>0</v>
      </c>
      <c r="S125" s="57">
        <v>0.76</v>
      </c>
      <c r="T125" s="57">
        <v>0.94700000000000006</v>
      </c>
      <c r="U125" s="57">
        <v>0.5784392407674851</v>
      </c>
      <c r="V125" s="57">
        <v>0.78688524590163933</v>
      </c>
      <c r="W125" s="60">
        <v>7668</v>
      </c>
      <c r="X125" s="60">
        <v>0</v>
      </c>
      <c r="Y125" s="60">
        <v>14800</v>
      </c>
      <c r="Z125" s="60">
        <v>0</v>
      </c>
    </row>
    <row r="126" spans="1:26" s="50" customFormat="1" x14ac:dyDescent="0.35">
      <c r="A126" s="56">
        <v>0</v>
      </c>
      <c r="B126" s="56">
        <v>0</v>
      </c>
      <c r="C126" s="56">
        <v>0</v>
      </c>
      <c r="D126" s="56">
        <v>0.48435212300000002</v>
      </c>
      <c r="E126" s="56">
        <v>0.34899986193790455</v>
      </c>
      <c r="F126" s="56">
        <v>0.56457748466257662</v>
      </c>
      <c r="G126" s="57">
        <v>0</v>
      </c>
      <c r="H126" s="56">
        <v>0</v>
      </c>
      <c r="I126" s="56">
        <v>0</v>
      </c>
      <c r="J126" s="56">
        <v>0.19899999999999998</v>
      </c>
      <c r="K126" s="56">
        <v>0.107</v>
      </c>
      <c r="L126" s="56">
        <v>0.54068699439950219</v>
      </c>
      <c r="M126" s="56">
        <v>7.9417050007419498E-2</v>
      </c>
      <c r="N126" s="50">
        <v>0</v>
      </c>
      <c r="O126" s="58">
        <v>0</v>
      </c>
      <c r="P126" s="58">
        <f>1</f>
        <v>1</v>
      </c>
      <c r="Q126" s="57">
        <v>0</v>
      </c>
      <c r="R126" s="57">
        <v>0</v>
      </c>
      <c r="S126" s="57">
        <v>0.72599999999999998</v>
      </c>
      <c r="T126" s="57">
        <v>0.94499999999999995</v>
      </c>
      <c r="U126" s="57">
        <v>0.5784392407674851</v>
      </c>
      <c r="V126" s="57">
        <v>0.78688524590163933</v>
      </c>
      <c r="W126" s="60">
        <v>7668</v>
      </c>
      <c r="X126" s="60">
        <v>0</v>
      </c>
      <c r="Y126" s="60">
        <v>14800</v>
      </c>
      <c r="Z126" s="60">
        <v>0</v>
      </c>
    </row>
    <row r="127" spans="1:26" s="50" customFormat="1" x14ac:dyDescent="0.35">
      <c r="A127" s="56">
        <v>0</v>
      </c>
      <c r="B127" s="56">
        <v>0</v>
      </c>
      <c r="C127" s="56">
        <v>0</v>
      </c>
      <c r="D127" s="56">
        <v>0.478839827</v>
      </c>
      <c r="E127" s="56">
        <v>0.35000000000000003</v>
      </c>
      <c r="F127" s="56">
        <v>0.55815214723926376</v>
      </c>
      <c r="G127" s="57">
        <v>0</v>
      </c>
      <c r="H127" s="56">
        <v>0</v>
      </c>
      <c r="I127" s="56">
        <v>0</v>
      </c>
      <c r="J127" s="56">
        <v>0.219</v>
      </c>
      <c r="K127" s="56">
        <v>0.111</v>
      </c>
      <c r="L127" s="56">
        <v>0.54120846297448666</v>
      </c>
      <c r="M127" s="56">
        <v>8.3844264727704412E-2</v>
      </c>
      <c r="N127" s="50">
        <v>0</v>
      </c>
      <c r="O127" s="58">
        <v>0</v>
      </c>
      <c r="P127" s="58">
        <f>1</f>
        <v>1</v>
      </c>
      <c r="Q127" s="57">
        <v>0</v>
      </c>
      <c r="R127" s="57">
        <v>0</v>
      </c>
      <c r="S127" s="57">
        <v>0.68</v>
      </c>
      <c r="T127" s="57">
        <v>0.93700000000000006</v>
      </c>
      <c r="U127" s="57">
        <v>0.5784392407674851</v>
      </c>
      <c r="V127" s="57">
        <v>0.78688524590163933</v>
      </c>
      <c r="W127" s="60">
        <v>7668</v>
      </c>
      <c r="X127" s="60">
        <v>0</v>
      </c>
      <c r="Y127" s="60">
        <v>14800</v>
      </c>
      <c r="Z127" s="60">
        <v>0</v>
      </c>
    </row>
    <row r="128" spans="1:26" s="50" customFormat="1" x14ac:dyDescent="0.35">
      <c r="A128" s="56">
        <v>0</v>
      </c>
      <c r="B128" s="56">
        <v>0</v>
      </c>
      <c r="C128" s="56">
        <v>0</v>
      </c>
      <c r="D128" s="56">
        <v>0.47275232099999998</v>
      </c>
      <c r="E128" s="56">
        <v>0.34800012994079571</v>
      </c>
      <c r="F128" s="56">
        <v>0.55105634969325157</v>
      </c>
      <c r="G128" s="57">
        <v>0</v>
      </c>
      <c r="H128" s="56">
        <v>0</v>
      </c>
      <c r="I128" s="56">
        <v>0</v>
      </c>
      <c r="J128" s="56">
        <v>0.24799999999999997</v>
      </c>
      <c r="K128" s="56">
        <v>0.111</v>
      </c>
      <c r="L128" s="56">
        <v>0.5533683883011824</v>
      </c>
      <c r="M128" s="56">
        <v>8.4606692387594593E-2</v>
      </c>
      <c r="N128" s="50">
        <v>0</v>
      </c>
      <c r="O128" s="58">
        <v>0</v>
      </c>
      <c r="P128" s="58">
        <f>1</f>
        <v>1</v>
      </c>
      <c r="Q128" s="57">
        <v>0</v>
      </c>
      <c r="R128" s="57">
        <v>0</v>
      </c>
      <c r="S128" s="57">
        <v>0.624</v>
      </c>
      <c r="T128" s="57">
        <v>0.91799999999999993</v>
      </c>
      <c r="U128" s="57">
        <v>0.5784392407674851</v>
      </c>
      <c r="V128" s="57">
        <v>0.78688524590163933</v>
      </c>
      <c r="W128" s="60">
        <v>7668</v>
      </c>
      <c r="X128" s="60">
        <v>0</v>
      </c>
      <c r="Y128" s="60">
        <v>14800</v>
      </c>
      <c r="Z128" s="60">
        <v>0</v>
      </c>
    </row>
    <row r="129" spans="1:26" s="50" customFormat="1" x14ac:dyDescent="0.35">
      <c r="A129" s="56">
        <v>0</v>
      </c>
      <c r="B129" s="56">
        <v>0</v>
      </c>
      <c r="C129" s="56">
        <v>0</v>
      </c>
      <c r="D129" s="56">
        <v>0.45748428800000002</v>
      </c>
      <c r="E129" s="56">
        <v>0.34699999187870029</v>
      </c>
      <c r="F129" s="56">
        <v>0.53325941717791414</v>
      </c>
      <c r="G129" s="57">
        <v>0</v>
      </c>
      <c r="H129" s="56">
        <v>0</v>
      </c>
      <c r="I129" s="56">
        <v>0</v>
      </c>
      <c r="J129" s="56">
        <v>0.26999999999999996</v>
      </c>
      <c r="K129" s="56">
        <v>0.11</v>
      </c>
      <c r="L129" s="56">
        <v>0.58012134411947724</v>
      </c>
      <c r="M129" s="56">
        <v>8.2918162932185777E-2</v>
      </c>
      <c r="N129" s="50">
        <v>0</v>
      </c>
      <c r="O129" s="58">
        <v>0</v>
      </c>
      <c r="P129" s="58">
        <f>1</f>
        <v>1</v>
      </c>
      <c r="Q129" s="57">
        <v>0</v>
      </c>
      <c r="R129" s="57">
        <v>0</v>
      </c>
      <c r="S129" s="57">
        <v>0.55799999999999994</v>
      </c>
      <c r="T129" s="57">
        <v>0.88700000000000001</v>
      </c>
      <c r="U129" s="57">
        <v>0.5784392407674851</v>
      </c>
      <c r="V129" s="57">
        <v>0.78688524590163933</v>
      </c>
      <c r="W129" s="60">
        <v>7668</v>
      </c>
      <c r="X129" s="60">
        <v>0</v>
      </c>
      <c r="Y129" s="60">
        <v>14800</v>
      </c>
      <c r="Z129" s="60">
        <v>0</v>
      </c>
    </row>
    <row r="130" spans="1:26" s="50" customFormat="1" x14ac:dyDescent="0.35">
      <c r="A130" s="56">
        <v>0</v>
      </c>
      <c r="B130" s="56">
        <v>0</v>
      </c>
      <c r="C130" s="56">
        <v>0</v>
      </c>
      <c r="D130" s="56">
        <v>0.43651181900000002</v>
      </c>
      <c r="E130" s="56">
        <v>0.35100013806209546</v>
      </c>
      <c r="F130" s="56">
        <v>0.51420082822085889</v>
      </c>
      <c r="G130" s="57">
        <v>0</v>
      </c>
      <c r="H130" s="56">
        <v>0</v>
      </c>
      <c r="I130" s="56">
        <v>0</v>
      </c>
      <c r="J130" s="56">
        <v>0.26999999999999996</v>
      </c>
      <c r="K130" s="56">
        <v>0.11</v>
      </c>
      <c r="L130" s="56">
        <v>0.58815370255133792</v>
      </c>
      <c r="M130" s="56">
        <v>8.1065365781273185E-2</v>
      </c>
      <c r="N130" s="50">
        <v>0</v>
      </c>
      <c r="O130" s="58">
        <v>0</v>
      </c>
      <c r="P130" s="58">
        <f>1</f>
        <v>1</v>
      </c>
      <c r="Q130" s="57">
        <v>0</v>
      </c>
      <c r="R130" s="57">
        <v>0</v>
      </c>
      <c r="S130" s="57">
        <v>0.48700000000000004</v>
      </c>
      <c r="T130" s="57">
        <v>0.84099999999999997</v>
      </c>
      <c r="U130" s="57">
        <v>0.5784392407674851</v>
      </c>
      <c r="V130" s="57">
        <v>0.78688524590163933</v>
      </c>
      <c r="W130" s="60">
        <v>7668</v>
      </c>
      <c r="X130" s="60">
        <v>0</v>
      </c>
      <c r="Y130" s="60">
        <v>14800</v>
      </c>
      <c r="Z130" s="60">
        <v>0</v>
      </c>
    </row>
    <row r="131" spans="1:26" s="50" customFormat="1" x14ac:dyDescent="0.35">
      <c r="A131" s="56">
        <v>0.01</v>
      </c>
      <c r="B131" s="56">
        <v>8.1000000000000003E-2</v>
      </c>
      <c r="C131" s="56">
        <v>0.127</v>
      </c>
      <c r="D131" s="56">
        <v>0.43123141399999998</v>
      </c>
      <c r="E131" s="56">
        <v>0.35300000812129972</v>
      </c>
      <c r="F131" s="56">
        <v>0.64673769938650305</v>
      </c>
      <c r="G131" s="57">
        <v>0</v>
      </c>
      <c r="H131" s="56">
        <v>1.7000000000000001E-2</v>
      </c>
      <c r="I131" s="56">
        <v>1.7999999999999901E-2</v>
      </c>
      <c r="J131" s="56">
        <v>0.21299999999999999</v>
      </c>
      <c r="K131" s="56">
        <v>0.11799999999999999</v>
      </c>
      <c r="L131" s="56">
        <v>0.58981580584940885</v>
      </c>
      <c r="M131" s="56">
        <v>0.12222392046297671</v>
      </c>
      <c r="N131" s="50">
        <v>0</v>
      </c>
      <c r="O131" s="58">
        <v>0</v>
      </c>
      <c r="P131" s="58">
        <f>1</f>
        <v>1</v>
      </c>
      <c r="Q131" s="57">
        <v>5.5E-2</v>
      </c>
      <c r="R131" s="57">
        <v>4.8000000000000001E-2</v>
      </c>
      <c r="S131" s="57">
        <v>0.41700000000000004</v>
      </c>
      <c r="T131" s="57">
        <v>0.77900000000000003</v>
      </c>
      <c r="U131" s="57">
        <v>0.5784392407674851</v>
      </c>
      <c r="V131" s="57">
        <v>0.78688524590163933</v>
      </c>
      <c r="W131" s="60">
        <v>7668</v>
      </c>
      <c r="X131" s="60">
        <v>0</v>
      </c>
      <c r="Y131" s="60">
        <v>14800</v>
      </c>
      <c r="Z131" s="60">
        <v>0</v>
      </c>
    </row>
    <row r="132" spans="1:26" s="50" customFormat="1" x14ac:dyDescent="0.35">
      <c r="A132" s="56">
        <v>3.59999999999999E-2</v>
      </c>
      <c r="B132" s="56">
        <v>0.21600000000000003</v>
      </c>
      <c r="C132" s="56">
        <v>0.29699999999999999</v>
      </c>
      <c r="D132" s="56">
        <v>0.43856399200000001</v>
      </c>
      <c r="E132" s="56">
        <v>0.35000000000000003</v>
      </c>
      <c r="F132" s="56">
        <v>0.86266079754601221</v>
      </c>
      <c r="G132" s="57">
        <v>0</v>
      </c>
      <c r="H132" s="56">
        <v>8.4000000000000005E-2</v>
      </c>
      <c r="I132" s="56">
        <v>8.900000000000001E-2</v>
      </c>
      <c r="J132" s="56">
        <v>0.126</v>
      </c>
      <c r="K132" s="56">
        <v>0.124</v>
      </c>
      <c r="L132" s="56">
        <v>0.58814685749844431</v>
      </c>
      <c r="M132" s="56">
        <v>0.23378468615521589</v>
      </c>
      <c r="N132" s="50">
        <v>0</v>
      </c>
      <c r="O132" s="58">
        <v>0</v>
      </c>
      <c r="P132" s="58">
        <f>1</f>
        <v>1</v>
      </c>
      <c r="Q132" s="57">
        <v>0.16</v>
      </c>
      <c r="R132" s="57">
        <v>0.13399999999999998</v>
      </c>
      <c r="S132" s="57">
        <v>0.377</v>
      </c>
      <c r="T132" s="57">
        <v>0.69299999999999995</v>
      </c>
      <c r="U132" s="57">
        <v>0.5784392407674851</v>
      </c>
      <c r="V132" s="57">
        <v>0.78688524590163933</v>
      </c>
      <c r="W132" s="60">
        <v>7668</v>
      </c>
      <c r="X132" s="60">
        <v>0</v>
      </c>
      <c r="Y132" s="60">
        <v>14800</v>
      </c>
      <c r="Z132" s="60">
        <v>0</v>
      </c>
    </row>
    <row r="133" spans="1:26" s="50" customFormat="1" x14ac:dyDescent="0.35">
      <c r="A133" s="56">
        <v>6.2000000000000006E-2</v>
      </c>
      <c r="B133" s="56">
        <v>0.36</v>
      </c>
      <c r="C133" s="56">
        <v>0.43200000000000005</v>
      </c>
      <c r="D133" s="56">
        <v>0.450905371</v>
      </c>
      <c r="E133" s="56">
        <v>0.34899986193790455</v>
      </c>
      <c r="F133" s="56">
        <v>0.99457042944785279</v>
      </c>
      <c r="G133" s="57">
        <v>0</v>
      </c>
      <c r="H133" s="56">
        <v>0.125</v>
      </c>
      <c r="I133" s="56">
        <v>0.16699999999999998</v>
      </c>
      <c r="J133" s="56">
        <v>0.105</v>
      </c>
      <c r="K133" s="56">
        <v>0.13200000000000001</v>
      </c>
      <c r="L133" s="56">
        <v>0.58725015556938398</v>
      </c>
      <c r="M133" s="56">
        <v>0.3470699658703072</v>
      </c>
      <c r="N133" s="50">
        <v>0</v>
      </c>
      <c r="O133" s="58">
        <v>0</v>
      </c>
      <c r="P133" s="58">
        <f>1</f>
        <v>1</v>
      </c>
      <c r="Q133" s="57">
        <v>0.26299999999999996</v>
      </c>
      <c r="R133" s="57">
        <v>0.21599999999999997</v>
      </c>
      <c r="S133" s="57">
        <v>0.33400000000000002</v>
      </c>
      <c r="T133" s="57">
        <v>0.60099999999999998</v>
      </c>
      <c r="U133" s="57">
        <v>0.5784392407674851</v>
      </c>
      <c r="V133" s="57">
        <v>0.78688524590163933</v>
      </c>
      <c r="W133" s="60">
        <v>7668</v>
      </c>
      <c r="X133" s="60">
        <v>0</v>
      </c>
      <c r="Y133" s="60">
        <v>14800</v>
      </c>
      <c r="Z133" s="60">
        <v>0</v>
      </c>
    </row>
    <row r="134" spans="1:26" s="50" customFormat="1" x14ac:dyDescent="0.35">
      <c r="A134" s="56">
        <v>6.7000000000000004E-2</v>
      </c>
      <c r="B134" s="56">
        <v>0.45799999999999996</v>
      </c>
      <c r="C134" s="56">
        <v>0.496</v>
      </c>
      <c r="D134" s="56">
        <v>0.47123206899999998</v>
      </c>
      <c r="E134" s="56">
        <v>0.34800012994079571</v>
      </c>
      <c r="F134" s="56">
        <v>1</v>
      </c>
      <c r="G134" s="57">
        <v>5.355752995814702E-2</v>
      </c>
      <c r="H134" s="56">
        <v>0.12</v>
      </c>
      <c r="I134" s="56">
        <v>0.180999999999999</v>
      </c>
      <c r="J134" s="56">
        <v>0.17099999999999999</v>
      </c>
      <c r="K134" s="56">
        <v>0.15000000000000002</v>
      </c>
      <c r="L134" s="56">
        <v>0.59229807093963904</v>
      </c>
      <c r="M134" s="56">
        <v>0.40883046446060245</v>
      </c>
      <c r="N134" s="50">
        <v>0</v>
      </c>
      <c r="O134" s="58">
        <v>0</v>
      </c>
      <c r="P134" s="58">
        <f>1</f>
        <v>1</v>
      </c>
      <c r="Q134" s="57">
        <v>0.28999999999999998</v>
      </c>
      <c r="R134" s="57">
        <v>0.23899999999999999</v>
      </c>
      <c r="S134" s="57">
        <v>0.312</v>
      </c>
      <c r="T134" s="57">
        <v>0.52900000000000003</v>
      </c>
      <c r="U134" s="57">
        <v>0.5784392407674851</v>
      </c>
      <c r="V134" s="57">
        <v>0.78688524590163933</v>
      </c>
      <c r="W134" s="60">
        <v>7668</v>
      </c>
      <c r="X134" s="60">
        <v>0</v>
      </c>
      <c r="Y134" s="60">
        <v>14800</v>
      </c>
      <c r="Z134" s="60">
        <v>0</v>
      </c>
    </row>
    <row r="135" spans="1:26" s="50" customFormat="1" x14ac:dyDescent="0.35">
      <c r="A135" s="56">
        <v>5.4000000000000006E-2</v>
      </c>
      <c r="B135" s="56">
        <v>0.48</v>
      </c>
      <c r="C135" s="56">
        <v>0.496</v>
      </c>
      <c r="D135" s="56">
        <v>0.47521060700000001</v>
      </c>
      <c r="E135" s="56">
        <v>0.34899986193790455</v>
      </c>
      <c r="F135" s="56">
        <v>1</v>
      </c>
      <c r="G135" s="57">
        <v>5.554067823729042E-2</v>
      </c>
      <c r="H135" s="56">
        <v>0.114</v>
      </c>
      <c r="I135" s="56">
        <v>0.157</v>
      </c>
      <c r="J135" s="56">
        <v>0.27300000000000002</v>
      </c>
      <c r="K135" s="56">
        <v>0.17499999999999999</v>
      </c>
      <c r="L135" s="56">
        <v>0.60151711263223395</v>
      </c>
      <c r="M135" s="56">
        <v>0.42678683780976406</v>
      </c>
      <c r="N135" s="50">
        <v>0</v>
      </c>
      <c r="O135" s="58">
        <v>0</v>
      </c>
      <c r="P135" s="58">
        <f>1</f>
        <v>1</v>
      </c>
      <c r="Q135" s="57">
        <v>0.26800000000000002</v>
      </c>
      <c r="R135" s="57">
        <v>0.221</v>
      </c>
      <c r="S135" s="57">
        <v>0.27700000000000002</v>
      </c>
      <c r="T135" s="57">
        <v>0.504</v>
      </c>
      <c r="U135" s="57">
        <v>0.5784392407674851</v>
      </c>
      <c r="V135" s="57">
        <v>0.78688524590163933</v>
      </c>
      <c r="W135" s="60">
        <v>7668</v>
      </c>
      <c r="X135" s="60">
        <v>0</v>
      </c>
      <c r="Y135" s="60">
        <v>19800</v>
      </c>
      <c r="Z135" s="60">
        <v>0</v>
      </c>
    </row>
    <row r="136" spans="1:26" s="50" customFormat="1" x14ac:dyDescent="0.35">
      <c r="A136" s="56">
        <v>3.1000000000000003E-2</v>
      </c>
      <c r="B136" s="56">
        <v>0.41699999999999904</v>
      </c>
      <c r="C136" s="56">
        <v>0.43799999999999994</v>
      </c>
      <c r="D136" s="56">
        <v>0.46109752100000001</v>
      </c>
      <c r="E136" s="56">
        <v>0.34899986193790455</v>
      </c>
      <c r="F136" s="56">
        <v>1</v>
      </c>
      <c r="G136" s="57">
        <v>6.5910818196363756E-3</v>
      </c>
      <c r="H136" s="56">
        <v>9.6999999999999989E-2</v>
      </c>
      <c r="I136" s="56">
        <v>0.107</v>
      </c>
      <c r="J136" s="56">
        <v>0.35600000000000004</v>
      </c>
      <c r="K136" s="56">
        <v>0.22099999999999997</v>
      </c>
      <c r="L136" s="56">
        <v>0.60996328562538893</v>
      </c>
      <c r="M136" s="56">
        <v>0.41466530642528565</v>
      </c>
      <c r="N136" s="50">
        <v>0</v>
      </c>
      <c r="O136" s="58">
        <v>0</v>
      </c>
      <c r="P136" s="58">
        <f>1</f>
        <v>1</v>
      </c>
      <c r="Q136" s="57">
        <v>0.20800000000000002</v>
      </c>
      <c r="R136" s="57">
        <v>0.16899999999999998</v>
      </c>
      <c r="S136" s="57">
        <v>0.23100000000000001</v>
      </c>
      <c r="T136" s="57">
        <v>0.54299999999999993</v>
      </c>
      <c r="U136" s="57">
        <v>0.5784392407674851</v>
      </c>
      <c r="V136" s="57">
        <v>0.78688524590163933</v>
      </c>
      <c r="W136" s="60">
        <v>7668</v>
      </c>
      <c r="X136" s="60">
        <v>0</v>
      </c>
      <c r="Y136" s="60">
        <v>19800</v>
      </c>
      <c r="Z136" s="60">
        <v>0</v>
      </c>
    </row>
    <row r="137" spans="1:26" s="50" customFormat="1" x14ac:dyDescent="0.35">
      <c r="A137" s="56">
        <v>0.01</v>
      </c>
      <c r="B137" s="56">
        <v>0.28899999999999998</v>
      </c>
      <c r="C137" s="56">
        <v>0.33500000000000002</v>
      </c>
      <c r="D137" s="56">
        <v>0.43415106799999997</v>
      </c>
      <c r="E137" s="56">
        <v>0.34699999187870029</v>
      </c>
      <c r="F137" s="56">
        <v>0.89839223926380363</v>
      </c>
      <c r="G137" s="57">
        <v>0</v>
      </c>
      <c r="H137" s="56">
        <v>5.5E-2</v>
      </c>
      <c r="I137" s="56">
        <v>6.4000000000000001E-2</v>
      </c>
      <c r="J137" s="56">
        <v>0.40699999999999997</v>
      </c>
      <c r="K137" s="56">
        <v>0.29099999999999998</v>
      </c>
      <c r="L137" s="56">
        <v>0.61163347853142502</v>
      </c>
      <c r="M137" s="56">
        <v>0.40237639115595786</v>
      </c>
      <c r="N137" s="50">
        <v>0</v>
      </c>
      <c r="O137" s="58">
        <v>0</v>
      </c>
      <c r="P137" s="58">
        <f>1</f>
        <v>1</v>
      </c>
      <c r="Q137" s="57">
        <v>0.13700000000000001</v>
      </c>
      <c r="R137" s="57">
        <v>0.109</v>
      </c>
      <c r="S137" s="57">
        <v>0.19600000000000001</v>
      </c>
      <c r="T137" s="57">
        <v>0.58700000000000008</v>
      </c>
      <c r="U137" s="57">
        <v>0.5784392407674851</v>
      </c>
      <c r="V137" s="57">
        <v>0.78688524590163933</v>
      </c>
      <c r="W137" s="60">
        <v>7668</v>
      </c>
      <c r="X137" s="60">
        <v>0</v>
      </c>
      <c r="Y137" s="60">
        <v>19800</v>
      </c>
      <c r="Z137" s="60">
        <v>0</v>
      </c>
    </row>
    <row r="138" spans="1:26" s="50" customFormat="1" x14ac:dyDescent="0.35">
      <c r="A138" s="56">
        <v>0</v>
      </c>
      <c r="B138" s="56">
        <v>0.13699999999999998</v>
      </c>
      <c r="C138" s="56">
        <v>0.19800000000000001</v>
      </c>
      <c r="D138" s="56">
        <v>0.412526432</v>
      </c>
      <c r="E138" s="56">
        <v>0.34899986193790455</v>
      </c>
      <c r="F138" s="56">
        <v>0.73518171779141106</v>
      </c>
      <c r="G138" s="57">
        <v>0</v>
      </c>
      <c r="H138" s="56">
        <v>0</v>
      </c>
      <c r="I138" s="56">
        <v>1.7000000000000001E-2</v>
      </c>
      <c r="J138" s="56">
        <v>0.42799999999999999</v>
      </c>
      <c r="K138" s="56">
        <v>0.35399999999999998</v>
      </c>
      <c r="L138" s="56">
        <v>0.6126042314872433</v>
      </c>
      <c r="M138" s="56">
        <v>0.36447848345451844</v>
      </c>
      <c r="N138" s="50">
        <v>0</v>
      </c>
      <c r="O138" s="58">
        <v>0</v>
      </c>
      <c r="P138" s="58">
        <f>1</f>
        <v>1</v>
      </c>
      <c r="Q138" s="57">
        <v>5.7000000000000002E-2</v>
      </c>
      <c r="R138" s="57">
        <v>4.2999999999999997E-2</v>
      </c>
      <c r="S138" s="57">
        <v>0.183</v>
      </c>
      <c r="T138" s="57">
        <v>0.629</v>
      </c>
      <c r="U138" s="57">
        <v>0.5784392407674851</v>
      </c>
      <c r="V138" s="57">
        <v>0.78688524590163933</v>
      </c>
      <c r="W138" s="60">
        <v>7668</v>
      </c>
      <c r="X138" s="60">
        <v>0</v>
      </c>
      <c r="Y138" s="60">
        <v>19800</v>
      </c>
      <c r="Z138" s="60">
        <v>0</v>
      </c>
    </row>
    <row r="139" spans="1:26" s="50" customFormat="1" x14ac:dyDescent="0.35">
      <c r="A139" s="56">
        <v>0</v>
      </c>
      <c r="B139" s="56">
        <v>1.7000000000000001E-2</v>
      </c>
      <c r="C139" s="56">
        <v>5.5E-2</v>
      </c>
      <c r="D139" s="56">
        <v>0.34461741800000001</v>
      </c>
      <c r="E139" s="56">
        <v>0.35900002436389922</v>
      </c>
      <c r="F139" s="56">
        <v>0.46669684049079752</v>
      </c>
      <c r="G139" s="57">
        <v>0</v>
      </c>
      <c r="H139" s="56">
        <v>0</v>
      </c>
      <c r="I139" s="56">
        <v>0</v>
      </c>
      <c r="J139" s="56">
        <v>0.28099999999999997</v>
      </c>
      <c r="K139" s="56">
        <v>0.40200000000000002</v>
      </c>
      <c r="L139" s="56">
        <v>0.62155133789670192</v>
      </c>
      <c r="M139" s="56">
        <v>0.31795993470841372</v>
      </c>
      <c r="N139" s="50">
        <v>0</v>
      </c>
      <c r="O139" s="58">
        <v>0</v>
      </c>
      <c r="P139" s="58">
        <f>1</f>
        <v>1</v>
      </c>
      <c r="Q139" s="57">
        <v>0</v>
      </c>
      <c r="R139" s="57">
        <v>0</v>
      </c>
      <c r="S139" s="57">
        <v>0.18100000000000002</v>
      </c>
      <c r="T139" s="57">
        <v>0.67700000000000005</v>
      </c>
      <c r="U139" s="57">
        <v>0.5784392407674851</v>
      </c>
      <c r="V139" s="57">
        <v>0.78688524590163933</v>
      </c>
      <c r="W139" s="60">
        <v>7668</v>
      </c>
      <c r="X139" s="60">
        <v>0</v>
      </c>
      <c r="Y139" s="60">
        <v>19800</v>
      </c>
      <c r="Z139" s="60">
        <v>0</v>
      </c>
    </row>
    <row r="140" spans="1:26" s="50" customFormat="1" x14ac:dyDescent="0.35">
      <c r="A140" s="56">
        <v>0</v>
      </c>
      <c r="B140" s="56">
        <v>0</v>
      </c>
      <c r="C140" s="56">
        <v>0</v>
      </c>
      <c r="D140" s="56">
        <v>0.34607711600000002</v>
      </c>
      <c r="E140" s="56">
        <v>0.37200019491119363</v>
      </c>
      <c r="F140" s="56">
        <v>0.40353435582822084</v>
      </c>
      <c r="G140" s="57">
        <v>0</v>
      </c>
      <c r="H140" s="56">
        <v>0</v>
      </c>
      <c r="I140" s="56">
        <v>0</v>
      </c>
      <c r="J140" s="56">
        <v>0.23800000000000002</v>
      </c>
      <c r="K140" s="56">
        <v>0.45800000000000002</v>
      </c>
      <c r="L140" s="56">
        <v>0.62640572495332925</v>
      </c>
      <c r="M140" s="56">
        <v>0.30839531087698469</v>
      </c>
      <c r="N140" s="50">
        <v>0</v>
      </c>
      <c r="O140" s="58">
        <v>0</v>
      </c>
      <c r="P140" s="58">
        <f>1</f>
        <v>1</v>
      </c>
      <c r="Q140" s="57">
        <v>0</v>
      </c>
      <c r="R140" s="57">
        <v>0</v>
      </c>
      <c r="S140" s="57">
        <v>0.19799999999999998</v>
      </c>
      <c r="T140" s="57">
        <v>0.71299999999999997</v>
      </c>
      <c r="U140" s="57">
        <v>0.5784392407674851</v>
      </c>
      <c r="V140" s="57">
        <v>0.78688524590163933</v>
      </c>
      <c r="W140" s="60">
        <v>7668</v>
      </c>
      <c r="X140" s="60">
        <v>0</v>
      </c>
      <c r="Y140" s="60">
        <v>19800</v>
      </c>
      <c r="Z140" s="60">
        <v>0</v>
      </c>
    </row>
    <row r="141" spans="1:26" s="50" customFormat="1" x14ac:dyDescent="0.35">
      <c r="A141" s="56">
        <v>0</v>
      </c>
      <c r="B141" s="56">
        <v>0</v>
      </c>
      <c r="C141" s="56">
        <v>0</v>
      </c>
      <c r="D141" s="56">
        <v>0.38436776900000003</v>
      </c>
      <c r="E141" s="56">
        <v>0.37100005684909815</v>
      </c>
      <c r="F141" s="56">
        <v>0.44803226993865031</v>
      </c>
      <c r="G141" s="57">
        <v>0</v>
      </c>
      <c r="H141" s="56">
        <v>0</v>
      </c>
      <c r="I141" s="56">
        <v>0</v>
      </c>
      <c r="J141" s="56">
        <v>0.253</v>
      </c>
      <c r="K141" s="56">
        <v>0.50600000000000001</v>
      </c>
      <c r="L141" s="56">
        <v>0.62530118232731802</v>
      </c>
      <c r="M141" s="56">
        <v>0.33690651431963198</v>
      </c>
      <c r="N141" s="50">
        <v>0</v>
      </c>
      <c r="O141" s="58">
        <v>0</v>
      </c>
      <c r="P141" s="58">
        <f>1</f>
        <v>1</v>
      </c>
      <c r="Q141" s="57">
        <v>0</v>
      </c>
      <c r="R141" s="57">
        <v>0</v>
      </c>
      <c r="S141" s="57">
        <v>0.24</v>
      </c>
      <c r="T141" s="57">
        <v>0.76</v>
      </c>
      <c r="U141" s="57">
        <v>0.5784392407674851</v>
      </c>
      <c r="V141" s="57">
        <v>0.78688524590163933</v>
      </c>
      <c r="W141" s="60">
        <v>7668</v>
      </c>
      <c r="X141" s="60">
        <v>0</v>
      </c>
      <c r="Y141" s="60">
        <v>19800</v>
      </c>
      <c r="Z141" s="60">
        <v>0</v>
      </c>
    </row>
    <row r="142" spans="1:26" s="50" customFormat="1" x14ac:dyDescent="0.35">
      <c r="A142" s="56">
        <v>0</v>
      </c>
      <c r="B142" s="56">
        <v>0</v>
      </c>
      <c r="C142" s="56">
        <v>0</v>
      </c>
      <c r="D142" s="56">
        <v>0.41364261899999999</v>
      </c>
      <c r="E142" s="56">
        <v>0.36900018678989388</v>
      </c>
      <c r="F142" s="56">
        <v>0.48215604294478526</v>
      </c>
      <c r="G142" s="57">
        <v>0</v>
      </c>
      <c r="H142" s="56">
        <v>0</v>
      </c>
      <c r="I142" s="56">
        <v>0</v>
      </c>
      <c r="J142" s="56">
        <v>0.29599999999999999</v>
      </c>
      <c r="K142" s="56">
        <v>0.54799999999999993</v>
      </c>
      <c r="L142" s="56">
        <v>0.62520597386434351</v>
      </c>
      <c r="M142" s="56">
        <v>0.36460609882771927</v>
      </c>
      <c r="N142" s="50">
        <v>0</v>
      </c>
      <c r="O142" s="58">
        <v>0</v>
      </c>
      <c r="P142" s="58">
        <f>1</f>
        <v>1</v>
      </c>
      <c r="Q142" s="57">
        <v>0</v>
      </c>
      <c r="R142" s="57">
        <v>0</v>
      </c>
      <c r="S142" s="57">
        <v>0.29099999999999998</v>
      </c>
      <c r="T142" s="57">
        <v>0.81299999999999994</v>
      </c>
      <c r="U142" s="57">
        <v>0.5784392407674851</v>
      </c>
      <c r="V142" s="57">
        <v>0.78688524590163933</v>
      </c>
      <c r="W142" s="60">
        <v>7668</v>
      </c>
      <c r="X142" s="60">
        <v>0</v>
      </c>
      <c r="Y142" s="60">
        <v>19800</v>
      </c>
      <c r="Z142" s="60">
        <v>0</v>
      </c>
    </row>
    <row r="143" spans="1:26" s="50" customFormat="1" x14ac:dyDescent="0.35">
      <c r="A143" s="56">
        <v>0</v>
      </c>
      <c r="B143" s="56">
        <v>0</v>
      </c>
      <c r="C143" s="56">
        <v>0</v>
      </c>
      <c r="D143" s="56">
        <v>0.43220439799999999</v>
      </c>
      <c r="E143" s="56">
        <v>0.36999991878700267</v>
      </c>
      <c r="F143" s="56">
        <v>0.503792300613497</v>
      </c>
      <c r="G143" s="57">
        <v>0</v>
      </c>
      <c r="H143" s="56">
        <v>0</v>
      </c>
      <c r="I143" s="56">
        <v>0</v>
      </c>
      <c r="J143" s="56">
        <v>0.374</v>
      </c>
      <c r="K143" s="56">
        <v>0.58399999999999996</v>
      </c>
      <c r="L143" s="56">
        <v>0.62175046670815182</v>
      </c>
      <c r="M143" s="56">
        <v>0.38848805460750857</v>
      </c>
      <c r="N143" s="50">
        <v>0</v>
      </c>
      <c r="O143" s="58">
        <v>0</v>
      </c>
      <c r="P143" s="58">
        <f>1</f>
        <v>1</v>
      </c>
      <c r="Q143" s="57">
        <v>0</v>
      </c>
      <c r="R143" s="57">
        <v>0</v>
      </c>
      <c r="S143" s="57">
        <v>0.34700000000000003</v>
      </c>
      <c r="T143" s="57">
        <v>0.872</v>
      </c>
      <c r="U143" s="57">
        <v>0.5784392407674851</v>
      </c>
      <c r="V143" s="57">
        <v>0.77049180327868849</v>
      </c>
      <c r="W143" s="60">
        <v>7668</v>
      </c>
      <c r="X143" s="60">
        <v>0</v>
      </c>
      <c r="Y143" s="60">
        <v>19800</v>
      </c>
      <c r="Z143" s="60">
        <v>0</v>
      </c>
    </row>
    <row r="144" spans="1:26" s="50" customFormat="1" x14ac:dyDescent="0.35">
      <c r="A144" s="56">
        <v>0</v>
      </c>
      <c r="B144" s="56">
        <v>0</v>
      </c>
      <c r="C144" s="56">
        <v>0</v>
      </c>
      <c r="D144" s="56">
        <v>0.45847632599999999</v>
      </c>
      <c r="E144" s="56">
        <v>0.36200003248519891</v>
      </c>
      <c r="F144" s="56">
        <v>0.53441576687116565</v>
      </c>
      <c r="G144" s="57">
        <v>0</v>
      </c>
      <c r="H144" s="56">
        <v>0</v>
      </c>
      <c r="I144" s="56">
        <v>0</v>
      </c>
      <c r="J144" s="56">
        <v>0.45700000000000002</v>
      </c>
      <c r="K144" s="56">
        <v>0.61899999999999999</v>
      </c>
      <c r="L144" s="56">
        <v>0.61293030491599254</v>
      </c>
      <c r="M144" s="56">
        <v>0.41134834545184745</v>
      </c>
      <c r="N144" s="50">
        <v>0</v>
      </c>
      <c r="O144" s="58">
        <v>0</v>
      </c>
      <c r="P144" s="58">
        <f>1</f>
        <v>1</v>
      </c>
      <c r="Q144" s="57">
        <v>0</v>
      </c>
      <c r="R144" s="57">
        <v>0</v>
      </c>
      <c r="S144" s="57">
        <v>0.40400000000000003</v>
      </c>
      <c r="T144" s="57">
        <v>0.90900000000000003</v>
      </c>
      <c r="U144" s="57">
        <v>0.5784392407674851</v>
      </c>
      <c r="V144" s="57">
        <v>0.77049180327868849</v>
      </c>
      <c r="W144" s="60">
        <v>7668</v>
      </c>
      <c r="X144" s="60">
        <v>0</v>
      </c>
      <c r="Y144" s="60">
        <v>19800</v>
      </c>
      <c r="Z144" s="60">
        <v>0</v>
      </c>
    </row>
    <row r="145" spans="1:26" s="50" customFormat="1" x14ac:dyDescent="0.35">
      <c r="A145" s="56">
        <v>0</v>
      </c>
      <c r="B145" s="56">
        <v>0</v>
      </c>
      <c r="C145" s="56">
        <v>0</v>
      </c>
      <c r="D145" s="56">
        <v>0.48614243400000001</v>
      </c>
      <c r="E145" s="56">
        <v>0.35799988630180374</v>
      </c>
      <c r="F145" s="56">
        <v>0.56666432515337428</v>
      </c>
      <c r="G145" s="57">
        <v>0</v>
      </c>
      <c r="H145" s="56">
        <v>0</v>
      </c>
      <c r="I145" s="56">
        <v>0</v>
      </c>
      <c r="J145" s="56">
        <v>0.53</v>
      </c>
      <c r="K145" s="56">
        <v>0.65300000000000002</v>
      </c>
      <c r="L145" s="56">
        <v>0.60488363410080892</v>
      </c>
      <c r="M145" s="56">
        <v>0.43427696987683634</v>
      </c>
      <c r="N145" s="50">
        <v>0</v>
      </c>
      <c r="O145" s="58">
        <v>0</v>
      </c>
      <c r="P145" s="58">
        <f>1</f>
        <v>1</v>
      </c>
      <c r="Q145" s="57">
        <v>0</v>
      </c>
      <c r="R145" s="57">
        <v>0</v>
      </c>
      <c r="S145" s="57">
        <v>0.48900000000000005</v>
      </c>
      <c r="T145" s="57">
        <v>0.92500000000000004</v>
      </c>
      <c r="U145" s="57">
        <v>0.5784392407674851</v>
      </c>
      <c r="V145" s="57">
        <v>0.77049180327868849</v>
      </c>
      <c r="W145" s="60">
        <v>7668</v>
      </c>
      <c r="X145" s="60">
        <v>0</v>
      </c>
      <c r="Y145" s="60">
        <v>19800</v>
      </c>
      <c r="Z145" s="60">
        <v>0</v>
      </c>
    </row>
    <row r="146" spans="1:26" s="50" customFormat="1" x14ac:dyDescent="0.35">
      <c r="A146" s="56">
        <v>0</v>
      </c>
      <c r="B146" s="56">
        <v>0</v>
      </c>
      <c r="C146" s="56">
        <v>0</v>
      </c>
      <c r="D146" s="56">
        <v>0.52357058199999995</v>
      </c>
      <c r="E146" s="56">
        <v>0.35900002436389922</v>
      </c>
      <c r="F146" s="56">
        <v>0.61029187116564421</v>
      </c>
      <c r="G146" s="57">
        <v>0</v>
      </c>
      <c r="H146" s="56">
        <v>0</v>
      </c>
      <c r="I146" s="56">
        <v>0</v>
      </c>
      <c r="J146" s="56">
        <v>0.62</v>
      </c>
      <c r="K146" s="56">
        <v>0.68300000000000005</v>
      </c>
      <c r="L146" s="56">
        <v>0.57243248288736781</v>
      </c>
      <c r="M146" s="56">
        <v>0.4540189939160113</v>
      </c>
      <c r="N146" s="50">
        <v>0</v>
      </c>
      <c r="O146" s="58">
        <v>0</v>
      </c>
      <c r="P146" s="58">
        <f>1</f>
        <v>1</v>
      </c>
      <c r="Q146" s="57">
        <v>0</v>
      </c>
      <c r="R146" s="57">
        <v>0</v>
      </c>
      <c r="S146" s="57">
        <v>0.58199999999999996</v>
      </c>
      <c r="T146" s="57">
        <v>0.92500000000000004</v>
      </c>
      <c r="U146" s="57">
        <v>0.5784392407674851</v>
      </c>
      <c r="V146" s="57">
        <v>0.77049180327868849</v>
      </c>
      <c r="W146" s="60">
        <v>7668</v>
      </c>
      <c r="X146" s="60">
        <v>0</v>
      </c>
      <c r="Y146" s="60">
        <v>19800</v>
      </c>
      <c r="Z146" s="60">
        <v>0</v>
      </c>
    </row>
    <row r="147" spans="1:26" s="50" customFormat="1" x14ac:dyDescent="0.35">
      <c r="A147" s="56">
        <v>0</v>
      </c>
      <c r="B147" s="56">
        <v>0</v>
      </c>
      <c r="C147" s="56">
        <v>0</v>
      </c>
      <c r="D147" s="56">
        <v>0.564047148</v>
      </c>
      <c r="E147" s="56">
        <v>0.35900002436389922</v>
      </c>
      <c r="F147" s="56">
        <v>0.65747273006134976</v>
      </c>
      <c r="G147" s="57">
        <v>0</v>
      </c>
      <c r="H147" s="56">
        <v>0</v>
      </c>
      <c r="I147" s="56">
        <v>0</v>
      </c>
      <c r="J147" s="56">
        <v>0.70799999999999996</v>
      </c>
      <c r="K147" s="56">
        <v>0.70399999999999996</v>
      </c>
      <c r="L147" s="56">
        <v>0.57423708774113258</v>
      </c>
      <c r="M147" s="56">
        <v>0.46781762872829796</v>
      </c>
      <c r="N147" s="50">
        <v>0</v>
      </c>
      <c r="O147" s="58">
        <v>0</v>
      </c>
      <c r="P147" s="58">
        <f>1</f>
        <v>1</v>
      </c>
      <c r="Q147" s="57">
        <v>0</v>
      </c>
      <c r="R147" s="57">
        <v>0</v>
      </c>
      <c r="S147" s="57">
        <v>0.67599999999999993</v>
      </c>
      <c r="T147" s="57">
        <v>0.91299999999999992</v>
      </c>
      <c r="U147" s="57">
        <v>0.5784392407674851</v>
      </c>
      <c r="V147" s="57">
        <v>0.77049180327868849</v>
      </c>
      <c r="W147" s="60">
        <v>7668</v>
      </c>
      <c r="X147" s="60">
        <v>0</v>
      </c>
      <c r="Y147" s="60">
        <v>19800</v>
      </c>
      <c r="Z147" s="60">
        <v>0</v>
      </c>
    </row>
    <row r="148" spans="1:26" s="50" customFormat="1" x14ac:dyDescent="0.35">
      <c r="A148" s="56">
        <v>0</v>
      </c>
      <c r="B148" s="56">
        <v>0</v>
      </c>
      <c r="C148" s="56">
        <v>0</v>
      </c>
      <c r="D148" s="56">
        <v>0.60432528500000005</v>
      </c>
      <c r="E148" s="56">
        <v>0.3600001624259947</v>
      </c>
      <c r="F148" s="56">
        <v>0.70442230061349698</v>
      </c>
      <c r="G148" s="57">
        <v>0</v>
      </c>
      <c r="H148" s="56">
        <v>0</v>
      </c>
      <c r="I148" s="56">
        <v>0</v>
      </c>
      <c r="J148" s="56">
        <v>0.75199999999999989</v>
      </c>
      <c r="K148" s="56">
        <v>0.72599999999999998</v>
      </c>
      <c r="L148" s="56">
        <v>0.57625202240199136</v>
      </c>
      <c r="M148" s="56">
        <v>0.48282630954147504</v>
      </c>
      <c r="N148" s="50">
        <v>0</v>
      </c>
      <c r="O148" s="58">
        <v>0</v>
      </c>
      <c r="P148" s="58">
        <f>1</f>
        <v>1</v>
      </c>
      <c r="Q148" s="57">
        <v>0</v>
      </c>
      <c r="R148" s="57">
        <v>0</v>
      </c>
      <c r="S148" s="57">
        <v>0.75</v>
      </c>
      <c r="T148" s="57">
        <v>0.90099999999999991</v>
      </c>
      <c r="U148" s="57">
        <v>0.5784392407674851</v>
      </c>
      <c r="V148" s="57">
        <v>0.77049180327868849</v>
      </c>
      <c r="W148" s="60">
        <v>7668</v>
      </c>
      <c r="X148" s="60">
        <v>0</v>
      </c>
      <c r="Y148" s="60">
        <v>19800</v>
      </c>
      <c r="Z148" s="60">
        <v>0</v>
      </c>
    </row>
    <row r="149" spans="1:26" s="50" customFormat="1" x14ac:dyDescent="0.35">
      <c r="A149" s="56">
        <v>0</v>
      </c>
      <c r="B149" s="56">
        <v>0</v>
      </c>
      <c r="C149" s="56">
        <v>0</v>
      </c>
      <c r="D149" s="56">
        <v>0.64680523499999998</v>
      </c>
      <c r="E149" s="56">
        <v>0.3600001624259947</v>
      </c>
      <c r="F149" s="56">
        <v>0.75393840490797548</v>
      </c>
      <c r="G149" s="57">
        <v>0</v>
      </c>
      <c r="H149" s="56">
        <v>0</v>
      </c>
      <c r="I149" s="56">
        <v>0</v>
      </c>
      <c r="J149" s="56">
        <v>0.78800000000000003</v>
      </c>
      <c r="K149" s="56">
        <v>0.73299999999999998</v>
      </c>
      <c r="L149" s="56">
        <v>0.58007093963907896</v>
      </c>
      <c r="M149" s="56">
        <v>0.48726613740911112</v>
      </c>
      <c r="N149" s="50">
        <v>0</v>
      </c>
      <c r="O149" s="58">
        <v>0</v>
      </c>
      <c r="P149" s="58">
        <f>1</f>
        <v>1</v>
      </c>
      <c r="Q149" s="57">
        <v>0</v>
      </c>
      <c r="R149" s="57">
        <v>0</v>
      </c>
      <c r="S149" s="57">
        <v>0.79699999999999993</v>
      </c>
      <c r="T149" s="57">
        <v>0.878</v>
      </c>
      <c r="U149" s="57">
        <v>0.5784392407674851</v>
      </c>
      <c r="V149" s="57">
        <v>0.77049180327868849</v>
      </c>
      <c r="W149" s="60">
        <v>7668</v>
      </c>
      <c r="X149" s="60">
        <v>0</v>
      </c>
      <c r="Y149" s="60">
        <v>19800</v>
      </c>
      <c r="Z149" s="60">
        <v>0</v>
      </c>
    </row>
    <row r="150" spans="1:26" s="50" customFormat="1" x14ac:dyDescent="0.35">
      <c r="A150" s="56">
        <v>0</v>
      </c>
      <c r="B150" s="56">
        <v>0</v>
      </c>
      <c r="C150" s="56">
        <v>0</v>
      </c>
      <c r="D150" s="56">
        <v>0.68888568299999997</v>
      </c>
      <c r="E150" s="56">
        <v>0.35700015430469495</v>
      </c>
      <c r="F150" s="56">
        <v>0.80298883435582824</v>
      </c>
      <c r="G150" s="57">
        <v>0</v>
      </c>
      <c r="H150" s="56">
        <v>0</v>
      </c>
      <c r="I150" s="56">
        <v>0</v>
      </c>
      <c r="J150" s="56">
        <v>0.80799999999999994</v>
      </c>
      <c r="K150" s="56">
        <v>0.72</v>
      </c>
      <c r="L150" s="56">
        <v>0.58005413814561302</v>
      </c>
      <c r="M150" s="56">
        <v>0.47855557204332988</v>
      </c>
      <c r="N150" s="50">
        <v>0</v>
      </c>
      <c r="O150" s="58">
        <v>0</v>
      </c>
      <c r="P150" s="58">
        <f>1</f>
        <v>1</v>
      </c>
      <c r="Q150" s="57">
        <v>0</v>
      </c>
      <c r="R150" s="57">
        <v>0</v>
      </c>
      <c r="S150" s="57">
        <v>0.81400000000000006</v>
      </c>
      <c r="T150" s="57">
        <v>0.85199999999999998</v>
      </c>
      <c r="U150" s="57">
        <v>0.5784392407674851</v>
      </c>
      <c r="V150" s="57">
        <v>0.77049180327868849</v>
      </c>
      <c r="W150" s="60">
        <v>7668</v>
      </c>
      <c r="X150" s="60">
        <v>0</v>
      </c>
      <c r="Y150" s="60">
        <v>19800</v>
      </c>
      <c r="Z150" s="60">
        <v>0</v>
      </c>
    </row>
    <row r="151" spans="1:26" s="50" customFormat="1" x14ac:dyDescent="0.35">
      <c r="A151" s="56">
        <v>0</v>
      </c>
      <c r="B151" s="56">
        <v>0</v>
      </c>
      <c r="C151" s="56">
        <v>0</v>
      </c>
      <c r="D151" s="56">
        <v>0.70893419700000004</v>
      </c>
      <c r="E151" s="56">
        <v>0.35900002436389922</v>
      </c>
      <c r="F151" s="56">
        <v>0.82635806748466256</v>
      </c>
      <c r="G151" s="57">
        <v>0</v>
      </c>
      <c r="H151" s="56">
        <v>0</v>
      </c>
      <c r="I151" s="56">
        <v>0</v>
      </c>
      <c r="J151" s="56">
        <v>0.79500000000000004</v>
      </c>
      <c r="K151" s="56">
        <v>0.68899999999999995</v>
      </c>
      <c r="L151" s="56">
        <v>0.58121717485998758</v>
      </c>
      <c r="M151" s="56">
        <v>0.45816938714942873</v>
      </c>
      <c r="N151" s="50">
        <v>0</v>
      </c>
      <c r="O151" s="58">
        <v>0</v>
      </c>
      <c r="P151" s="58">
        <f>1</f>
        <v>1</v>
      </c>
      <c r="Q151" s="57">
        <v>0</v>
      </c>
      <c r="R151" s="57">
        <v>0</v>
      </c>
      <c r="S151" s="57">
        <v>0.82099999999999995</v>
      </c>
      <c r="T151" s="57">
        <v>0.83400000000000007</v>
      </c>
      <c r="U151" s="57">
        <v>0.5784392407674851</v>
      </c>
      <c r="V151" s="57">
        <v>0.77049180327868849</v>
      </c>
      <c r="W151" s="60">
        <v>7668</v>
      </c>
      <c r="X151" s="60">
        <v>0</v>
      </c>
      <c r="Y151" s="60">
        <v>19800</v>
      </c>
      <c r="Z151" s="60">
        <v>0</v>
      </c>
    </row>
    <row r="152" spans="1:26" s="50" customFormat="1" x14ac:dyDescent="0.35">
      <c r="A152" s="56">
        <v>0</v>
      </c>
      <c r="B152" s="56">
        <v>0</v>
      </c>
      <c r="C152" s="56">
        <v>0</v>
      </c>
      <c r="D152" s="56">
        <v>0.69710707999999999</v>
      </c>
      <c r="E152" s="56">
        <v>0.36099989442310348</v>
      </c>
      <c r="F152" s="56">
        <v>0.8125719631901841</v>
      </c>
      <c r="G152" s="57">
        <v>0</v>
      </c>
      <c r="H152" s="56">
        <v>0</v>
      </c>
      <c r="I152" s="56">
        <v>0</v>
      </c>
      <c r="J152" s="56">
        <v>0.78999999999999992</v>
      </c>
      <c r="K152" s="56">
        <v>0.69400000000000006</v>
      </c>
      <c r="L152" s="56">
        <v>0.58722650902302431</v>
      </c>
      <c r="M152" s="56">
        <v>0.46185739723994657</v>
      </c>
      <c r="N152" s="50">
        <v>0</v>
      </c>
      <c r="O152" s="58">
        <v>0</v>
      </c>
      <c r="P152" s="58">
        <f>1</f>
        <v>1</v>
      </c>
      <c r="Q152" s="57">
        <v>0</v>
      </c>
      <c r="R152" s="57">
        <v>0</v>
      </c>
      <c r="S152" s="57">
        <v>0.83599999999999997</v>
      </c>
      <c r="T152" s="57">
        <v>0.81700000000000006</v>
      </c>
      <c r="U152" s="57">
        <v>0.5784392407674851</v>
      </c>
      <c r="V152" s="57">
        <v>0.77049180327868849</v>
      </c>
      <c r="W152" s="60">
        <v>7668</v>
      </c>
      <c r="X152" s="60">
        <v>0</v>
      </c>
      <c r="Y152" s="60">
        <v>19800</v>
      </c>
      <c r="Z152" s="60">
        <v>0</v>
      </c>
    </row>
    <row r="153" spans="1:26" s="50" customFormat="1" x14ac:dyDescent="0.35">
      <c r="A153" s="56">
        <v>0</v>
      </c>
      <c r="B153" s="56">
        <v>0</v>
      </c>
      <c r="C153" s="56">
        <v>0</v>
      </c>
      <c r="D153" s="56">
        <v>0.67072794400000002</v>
      </c>
      <c r="E153" s="56">
        <v>0.36200003248519891</v>
      </c>
      <c r="F153" s="56">
        <v>0.78182352760736196</v>
      </c>
      <c r="G153" s="57">
        <v>0</v>
      </c>
      <c r="H153" s="56">
        <v>0</v>
      </c>
      <c r="I153" s="56">
        <v>0</v>
      </c>
      <c r="J153" s="56">
        <v>0.77799999999999991</v>
      </c>
      <c r="K153" s="56">
        <v>0.67500000000000004</v>
      </c>
      <c r="L153" s="56">
        <v>0.63246421904169259</v>
      </c>
      <c r="M153" s="56">
        <v>0.44929818964238016</v>
      </c>
      <c r="N153" s="50">
        <v>0</v>
      </c>
      <c r="O153" s="58">
        <v>0</v>
      </c>
      <c r="P153" s="58">
        <f>1</f>
        <v>1</v>
      </c>
      <c r="Q153" s="57">
        <v>0</v>
      </c>
      <c r="R153" s="57">
        <v>0</v>
      </c>
      <c r="S153" s="57">
        <v>0.84499999999999997</v>
      </c>
      <c r="T153" s="57">
        <v>0.80299999999999994</v>
      </c>
      <c r="U153" s="57">
        <v>0.5784392407674851</v>
      </c>
      <c r="V153" s="57">
        <v>0.77049180327868849</v>
      </c>
      <c r="W153" s="60">
        <v>7668</v>
      </c>
      <c r="X153" s="60">
        <v>0</v>
      </c>
      <c r="Y153" s="60">
        <v>19800</v>
      </c>
      <c r="Z153" s="60">
        <v>0</v>
      </c>
    </row>
    <row r="154" spans="1:26" s="50" customFormat="1" x14ac:dyDescent="0.35">
      <c r="A154" s="56">
        <v>0</v>
      </c>
      <c r="B154" s="56">
        <v>0</v>
      </c>
      <c r="C154" s="56">
        <v>0</v>
      </c>
      <c r="D154" s="56">
        <v>0.63980309599999996</v>
      </c>
      <c r="E154" s="56">
        <v>0.36200003248519891</v>
      </c>
      <c r="F154" s="56">
        <v>0.74721300613496933</v>
      </c>
      <c r="G154" s="57">
        <v>0</v>
      </c>
      <c r="H154" s="56">
        <v>0</v>
      </c>
      <c r="I154" s="56">
        <v>0</v>
      </c>
      <c r="J154" s="56">
        <v>0.72</v>
      </c>
      <c r="K154" s="56">
        <v>0.60499999999999998</v>
      </c>
      <c r="L154" s="56">
        <v>0.64205662725575607</v>
      </c>
      <c r="M154" s="56">
        <v>0.40280011871197502</v>
      </c>
      <c r="N154" s="50">
        <v>0</v>
      </c>
      <c r="O154" s="58">
        <v>0</v>
      </c>
      <c r="P154" s="58">
        <f>1</f>
        <v>1</v>
      </c>
      <c r="Q154" s="57">
        <v>0</v>
      </c>
      <c r="R154" s="57">
        <v>0</v>
      </c>
      <c r="S154" s="57">
        <v>0.84800000000000009</v>
      </c>
      <c r="T154" s="57">
        <v>0.80500000000000005</v>
      </c>
      <c r="U154" s="57">
        <v>0.5784392407674851</v>
      </c>
      <c r="V154" s="57">
        <v>0.77049180327868849</v>
      </c>
      <c r="W154" s="60">
        <v>7668</v>
      </c>
      <c r="X154" s="60">
        <v>0</v>
      </c>
      <c r="Y154" s="60">
        <v>19800</v>
      </c>
      <c r="Z154" s="60">
        <v>0</v>
      </c>
    </row>
    <row r="155" spans="1:26" s="50" customFormat="1" x14ac:dyDescent="0.35">
      <c r="A155" s="56">
        <v>4.4999999999999998E-2</v>
      </c>
      <c r="B155" s="56">
        <v>0</v>
      </c>
      <c r="C155" s="56">
        <v>3.6999999999999901E-2</v>
      </c>
      <c r="D155" s="56">
        <v>0.60584827900000005</v>
      </c>
      <c r="E155" s="56">
        <v>0.3680000487277984</v>
      </c>
      <c r="F155" s="56">
        <v>0.74525730061349693</v>
      </c>
      <c r="G155" s="57">
        <v>0</v>
      </c>
      <c r="H155" s="56">
        <v>0</v>
      </c>
      <c r="I155" s="56">
        <v>0</v>
      </c>
      <c r="J155" s="56">
        <v>0.66499999999999992</v>
      </c>
      <c r="K155" s="56">
        <v>0.52800000000000002</v>
      </c>
      <c r="L155" s="56">
        <v>0</v>
      </c>
      <c r="M155" s="56">
        <v>0.36293686006825937</v>
      </c>
      <c r="N155" s="50">
        <v>0</v>
      </c>
      <c r="O155" s="58">
        <v>0</v>
      </c>
      <c r="P155" s="58">
        <f>1</f>
        <v>1</v>
      </c>
      <c r="Q155" s="57">
        <v>2.0999999999999998E-2</v>
      </c>
      <c r="R155" s="57">
        <v>2.0999999999999998E-2</v>
      </c>
      <c r="S155" s="57">
        <v>0.83300000000000007</v>
      </c>
      <c r="T155" s="57">
        <v>0.81299999999999994</v>
      </c>
      <c r="U155" s="57">
        <v>0.5784392407674851</v>
      </c>
      <c r="V155" s="57">
        <v>0.77049180327868849</v>
      </c>
      <c r="W155" s="60">
        <v>7668</v>
      </c>
      <c r="X155" s="60">
        <v>0</v>
      </c>
      <c r="Y155" s="60">
        <v>19800</v>
      </c>
      <c r="Z155" s="60">
        <v>0</v>
      </c>
    </row>
    <row r="156" spans="1:26" s="50" customFormat="1" x14ac:dyDescent="0.35">
      <c r="A156" s="56">
        <v>0.13900000000000001</v>
      </c>
      <c r="B156" s="56">
        <v>1.7000000000000001E-2</v>
      </c>
      <c r="C156" s="56">
        <v>0.107</v>
      </c>
      <c r="D156" s="56">
        <v>0.60256063999999998</v>
      </c>
      <c r="E156" s="56">
        <v>0.36600017866859413</v>
      </c>
      <c r="F156" s="56">
        <v>0.81252889570552145</v>
      </c>
      <c r="G156" s="57">
        <v>0</v>
      </c>
      <c r="H156" s="56">
        <v>0.01</v>
      </c>
      <c r="I156" s="56">
        <v>1.2E-2</v>
      </c>
      <c r="J156" s="56">
        <v>0.621</v>
      </c>
      <c r="K156" s="56">
        <v>0.44599999999999995</v>
      </c>
      <c r="L156" s="56">
        <v>0.64305476042314869</v>
      </c>
      <c r="M156" s="56">
        <v>0.34637691052084879</v>
      </c>
      <c r="N156" s="50">
        <v>0</v>
      </c>
      <c r="O156" s="58">
        <v>0</v>
      </c>
      <c r="P156" s="58">
        <f>1</f>
        <v>1</v>
      </c>
      <c r="Q156" s="57">
        <v>8.299999999999999E-2</v>
      </c>
      <c r="R156" s="57">
        <v>7.3999999999999996E-2</v>
      </c>
      <c r="S156" s="57">
        <v>0.82300000000000006</v>
      </c>
      <c r="T156" s="57">
        <v>0.83900000000000008</v>
      </c>
      <c r="U156" s="57">
        <v>0.5784392407674851</v>
      </c>
      <c r="V156" s="57">
        <v>0.77049180327868849</v>
      </c>
      <c r="W156" s="60">
        <v>7668</v>
      </c>
      <c r="X156" s="60">
        <v>0</v>
      </c>
      <c r="Y156" s="60">
        <v>19800</v>
      </c>
      <c r="Z156" s="60">
        <v>0</v>
      </c>
    </row>
    <row r="157" spans="1:26" s="50" customFormat="1" x14ac:dyDescent="0.35">
      <c r="A157" s="56">
        <v>0.19399999999999998</v>
      </c>
      <c r="B157" s="56">
        <v>2.7999999999999997E-2</v>
      </c>
      <c r="C157" s="56">
        <v>0.17899999999999999</v>
      </c>
      <c r="D157" s="56">
        <v>0.61838280300000004</v>
      </c>
      <c r="E157" s="56">
        <v>0.36999991878700267</v>
      </c>
      <c r="F157" s="56">
        <v>0.9044041104294479</v>
      </c>
      <c r="G157" s="57">
        <v>0</v>
      </c>
      <c r="H157" s="56">
        <v>1.3999999999999999E-2</v>
      </c>
      <c r="I157" s="56">
        <v>1.6E-2</v>
      </c>
      <c r="J157" s="56">
        <v>0.57499999999999996</v>
      </c>
      <c r="K157" s="56">
        <v>0.371</v>
      </c>
      <c r="L157" s="56">
        <v>0.63741319228375859</v>
      </c>
      <c r="M157" s="56">
        <v>0.34000779047336399</v>
      </c>
      <c r="N157" s="50">
        <v>0</v>
      </c>
      <c r="O157" s="58">
        <v>0</v>
      </c>
      <c r="P157" s="58">
        <f>1</f>
        <v>1</v>
      </c>
      <c r="Q157" s="57">
        <v>0.158</v>
      </c>
      <c r="R157" s="57">
        <v>0.13499999999999998</v>
      </c>
      <c r="S157" s="57">
        <v>0.81099999999999994</v>
      </c>
      <c r="T157" s="57">
        <v>0.87900000000000011</v>
      </c>
      <c r="U157" s="57">
        <v>0.5784392407674851</v>
      </c>
      <c r="V157" s="57">
        <v>0.77049180327868849</v>
      </c>
      <c r="W157" s="60">
        <v>7668</v>
      </c>
      <c r="X157" s="60">
        <v>0</v>
      </c>
      <c r="Y157" s="60">
        <v>19800</v>
      </c>
      <c r="Z157" s="60">
        <v>0</v>
      </c>
    </row>
    <row r="158" spans="1:26" s="50" customFormat="1" x14ac:dyDescent="0.35">
      <c r="A158" s="56">
        <v>0.189</v>
      </c>
      <c r="B158" s="56">
        <v>3.59999999999999E-2</v>
      </c>
      <c r="C158" s="56">
        <v>0.24</v>
      </c>
      <c r="D158" s="56">
        <v>0.65846688499999995</v>
      </c>
      <c r="E158" s="56">
        <v>0.36900018678989388</v>
      </c>
      <c r="F158" s="56">
        <v>1</v>
      </c>
      <c r="G158" s="57">
        <v>1.2696949026939174E-2</v>
      </c>
      <c r="H158" s="56">
        <v>2.6000000000000002E-2</v>
      </c>
      <c r="I158" s="56">
        <v>2.5000000000000001E-2</v>
      </c>
      <c r="J158" s="56">
        <v>0.58399999999999996</v>
      </c>
      <c r="K158" s="56">
        <v>0.33100000000000002</v>
      </c>
      <c r="L158" s="56">
        <v>0.63307840696950834</v>
      </c>
      <c r="M158" s="56">
        <v>0.36941400801305835</v>
      </c>
      <c r="N158" s="50">
        <v>0</v>
      </c>
      <c r="O158" s="58">
        <v>0</v>
      </c>
      <c r="P158" s="58">
        <f>1</f>
        <v>1</v>
      </c>
      <c r="Q158" s="57">
        <v>0.223</v>
      </c>
      <c r="R158" s="57">
        <v>0.191</v>
      </c>
      <c r="S158" s="57">
        <v>0.79599999999999993</v>
      </c>
      <c r="T158" s="57">
        <v>0.91799999999999993</v>
      </c>
      <c r="U158" s="57">
        <v>0.5784392407674851</v>
      </c>
      <c r="V158" s="57">
        <v>0.77049180327868849</v>
      </c>
      <c r="W158" s="60">
        <v>7668</v>
      </c>
      <c r="X158" s="60">
        <v>0</v>
      </c>
      <c r="Y158" s="60">
        <v>19800</v>
      </c>
      <c r="Z158" s="60">
        <v>0</v>
      </c>
    </row>
    <row r="159" spans="1:26" s="50" customFormat="1" x14ac:dyDescent="0.35">
      <c r="A159" s="56">
        <v>0.159</v>
      </c>
      <c r="B159" s="56">
        <v>3.9E-2</v>
      </c>
      <c r="C159" s="56">
        <v>0.27200000000000002</v>
      </c>
      <c r="D159" s="56">
        <v>0.69550253799999995</v>
      </c>
      <c r="E159" s="56">
        <v>0.36999991878700267</v>
      </c>
      <c r="F159" s="56">
        <v>1</v>
      </c>
      <c r="G159" s="57">
        <v>7.7996446285863469E-2</v>
      </c>
      <c r="H159" s="56">
        <v>2.7999999999999997E-2</v>
      </c>
      <c r="I159" s="56">
        <v>0.03</v>
      </c>
      <c r="J159" s="56">
        <v>0.61899999999999999</v>
      </c>
      <c r="K159" s="56">
        <v>0.32400000000000001</v>
      </c>
      <c r="L159" s="56">
        <v>0.63141692594897325</v>
      </c>
      <c r="M159" s="56">
        <v>0.40885079388633327</v>
      </c>
      <c r="N159" s="50">
        <v>0</v>
      </c>
      <c r="O159" s="58">
        <v>0</v>
      </c>
      <c r="P159" s="58">
        <f>1</f>
        <v>1</v>
      </c>
      <c r="Q159" s="57">
        <v>0.27100000000000002</v>
      </c>
      <c r="R159" s="57">
        <v>0.22699999999999998</v>
      </c>
      <c r="S159" s="57">
        <v>0.79800000000000004</v>
      </c>
      <c r="T159" s="57">
        <v>0.94599999999999995</v>
      </c>
      <c r="U159" s="57">
        <v>0.5784392407674851</v>
      </c>
      <c r="V159" s="57">
        <v>0.77049180327868849</v>
      </c>
      <c r="W159" s="60">
        <v>7668</v>
      </c>
      <c r="X159" s="60">
        <v>0</v>
      </c>
      <c r="Y159" s="60">
        <v>19800</v>
      </c>
      <c r="Z159" s="60">
        <v>0</v>
      </c>
    </row>
    <row r="160" spans="1:26" s="50" customFormat="1" x14ac:dyDescent="0.35">
      <c r="A160" s="56">
        <v>9.9000000000000005E-2</v>
      </c>
      <c r="B160" s="56">
        <v>3.4000000000000002E-2</v>
      </c>
      <c r="C160" s="56">
        <v>0.26400000000000001</v>
      </c>
      <c r="D160" s="56">
        <v>0.72059707900000003</v>
      </c>
      <c r="E160" s="56">
        <v>0.37100005684909815</v>
      </c>
      <c r="F160" s="56">
        <v>1</v>
      </c>
      <c r="G160" s="57">
        <v>9.9448047983561966E-2</v>
      </c>
      <c r="H160" s="56">
        <v>2.3E-2</v>
      </c>
      <c r="I160" s="56">
        <v>2.7999999999999997E-2</v>
      </c>
      <c r="J160" s="56">
        <v>0.63</v>
      </c>
      <c r="K160" s="56">
        <v>0.33200000000000002</v>
      </c>
      <c r="L160" s="56">
        <v>0.62502613565650278</v>
      </c>
      <c r="M160" s="56">
        <v>0.43360276005342041</v>
      </c>
      <c r="N160" s="50">
        <v>0</v>
      </c>
      <c r="O160" s="58">
        <v>0</v>
      </c>
      <c r="P160" s="58">
        <f>1</f>
        <v>1</v>
      </c>
      <c r="Q160" s="57">
        <v>0.27900000000000003</v>
      </c>
      <c r="R160" s="57">
        <v>0.22299999999999998</v>
      </c>
      <c r="S160" s="57">
        <v>0.81300000000000006</v>
      </c>
      <c r="T160" s="57">
        <v>0.95900000000000007</v>
      </c>
      <c r="U160" s="57">
        <v>0.5784392407674851</v>
      </c>
      <c r="V160" s="57">
        <v>0.77049180327868849</v>
      </c>
      <c r="W160" s="60">
        <v>7668</v>
      </c>
      <c r="X160" s="60">
        <v>0</v>
      </c>
      <c r="Y160" s="60">
        <v>19800</v>
      </c>
      <c r="Z160" s="60">
        <v>0</v>
      </c>
    </row>
    <row r="161" spans="1:26" s="50" customFormat="1" x14ac:dyDescent="0.35">
      <c r="A161" s="56">
        <v>3.4000000000000002E-2</v>
      </c>
      <c r="B161" s="56">
        <v>2.1999999999999898E-2</v>
      </c>
      <c r="C161" s="56">
        <v>0.20399999999999999</v>
      </c>
      <c r="D161" s="56">
        <v>0.739312894</v>
      </c>
      <c r="E161" s="56">
        <v>0.36600017866859413</v>
      </c>
      <c r="F161" s="56">
        <v>1</v>
      </c>
      <c r="G161" s="57">
        <v>7.0319907957119648E-2</v>
      </c>
      <c r="H161" s="56">
        <v>1.4999999999999999E-2</v>
      </c>
      <c r="I161" s="56">
        <v>1.4999999999999999E-2</v>
      </c>
      <c r="J161" s="56">
        <v>0.61699999999999999</v>
      </c>
      <c r="K161" s="56">
        <v>0.34199999999999997</v>
      </c>
      <c r="L161" s="56">
        <v>0.62156253889234603</v>
      </c>
      <c r="M161" s="56">
        <v>0.40971501706484642</v>
      </c>
      <c r="N161" s="50">
        <v>0</v>
      </c>
      <c r="O161" s="58">
        <v>0</v>
      </c>
      <c r="P161" s="58">
        <f>1</f>
        <v>1</v>
      </c>
      <c r="Q161" s="57">
        <v>0.19099999999999998</v>
      </c>
      <c r="R161" s="57">
        <v>0.14799999999999999</v>
      </c>
      <c r="S161" s="57">
        <v>0.82800000000000007</v>
      </c>
      <c r="T161" s="57">
        <v>0.96</v>
      </c>
      <c r="U161" s="57">
        <v>0.5784392407674851</v>
      </c>
      <c r="V161" s="57">
        <v>0.77049180327868849</v>
      </c>
      <c r="W161" s="60">
        <v>7668</v>
      </c>
      <c r="X161" s="60">
        <v>0</v>
      </c>
      <c r="Y161" s="60">
        <v>19800</v>
      </c>
      <c r="Z161" s="60">
        <v>0</v>
      </c>
    </row>
    <row r="162" spans="1:26" s="50" customFormat="1" x14ac:dyDescent="0.35">
      <c r="A162" s="56">
        <v>0</v>
      </c>
      <c r="B162" s="56">
        <v>0</v>
      </c>
      <c r="C162" s="56">
        <v>0.11899999999999901</v>
      </c>
      <c r="D162" s="56">
        <v>0.77701201099999995</v>
      </c>
      <c r="E162" s="56">
        <v>0.37200019491119363</v>
      </c>
      <c r="F162" s="56">
        <v>1</v>
      </c>
      <c r="G162" s="57">
        <v>3.4320762701159586E-2</v>
      </c>
      <c r="H162" s="56">
        <v>0</v>
      </c>
      <c r="I162" s="56">
        <v>0</v>
      </c>
      <c r="J162" s="56">
        <v>0.61199999999999999</v>
      </c>
      <c r="K162" s="56">
        <v>0.34100000000000003</v>
      </c>
      <c r="L162" s="56">
        <v>0.62416116988176729</v>
      </c>
      <c r="M162" s="56">
        <v>0.35576316960973436</v>
      </c>
      <c r="N162" s="50">
        <v>0</v>
      </c>
      <c r="O162" s="58">
        <v>0</v>
      </c>
      <c r="P162" s="58">
        <f>1</f>
        <v>1</v>
      </c>
      <c r="Q162" s="57">
        <v>8.6999999999999994E-2</v>
      </c>
      <c r="R162" s="57">
        <v>6.3E-2</v>
      </c>
      <c r="S162" s="57">
        <v>0.83499999999999996</v>
      </c>
      <c r="T162" s="57">
        <v>0.95700000000000007</v>
      </c>
      <c r="U162" s="57">
        <v>0.5784392407674851</v>
      </c>
      <c r="V162" s="57">
        <v>0.77049180327868849</v>
      </c>
      <c r="W162" s="60">
        <v>7668</v>
      </c>
      <c r="X162" s="60">
        <v>0</v>
      </c>
      <c r="Y162" s="60">
        <v>19800</v>
      </c>
      <c r="Z162" s="60">
        <v>0</v>
      </c>
    </row>
    <row r="163" spans="1:26" s="50" customFormat="1" x14ac:dyDescent="0.35">
      <c r="A163" s="56">
        <v>0</v>
      </c>
      <c r="B163" s="56">
        <v>0</v>
      </c>
      <c r="C163" s="56">
        <v>3.2000000000000001E-2</v>
      </c>
      <c r="D163" s="56">
        <v>0.76608125500000002</v>
      </c>
      <c r="E163" s="56">
        <v>0.37499979696750668</v>
      </c>
      <c r="F163" s="56">
        <v>0.92770647239263804</v>
      </c>
      <c r="G163" s="57">
        <v>0</v>
      </c>
      <c r="H163" s="56">
        <v>0</v>
      </c>
      <c r="I163" s="56">
        <v>0</v>
      </c>
      <c r="J163" s="56">
        <v>0.51700000000000002</v>
      </c>
      <c r="K163" s="56">
        <v>0.34300000000000003</v>
      </c>
      <c r="L163" s="56">
        <v>0.62626384567517113</v>
      </c>
      <c r="M163" s="56">
        <v>0.29381918682297076</v>
      </c>
      <c r="N163" s="50">
        <v>0</v>
      </c>
      <c r="O163" s="58">
        <v>0</v>
      </c>
      <c r="P163" s="58">
        <f>1</f>
        <v>1</v>
      </c>
      <c r="Q163" s="57">
        <v>0</v>
      </c>
      <c r="R163" s="57">
        <v>0</v>
      </c>
      <c r="S163" s="57">
        <v>0.79699999999999993</v>
      </c>
      <c r="T163" s="57">
        <v>0.95599999999999996</v>
      </c>
      <c r="U163" s="57">
        <v>0.5784392407674851</v>
      </c>
      <c r="V163" s="57">
        <v>0.77049180327868849</v>
      </c>
      <c r="W163" s="60">
        <v>7668</v>
      </c>
      <c r="X163" s="60">
        <v>0</v>
      </c>
      <c r="Y163" s="60">
        <v>19800</v>
      </c>
      <c r="Z163" s="60">
        <v>0</v>
      </c>
    </row>
    <row r="164" spans="1:26" s="50" customFormat="1" x14ac:dyDescent="0.35">
      <c r="A164" s="56">
        <v>0</v>
      </c>
      <c r="B164" s="56">
        <v>0</v>
      </c>
      <c r="C164" s="56">
        <v>0</v>
      </c>
      <c r="D164" s="56">
        <v>0.71677553000000005</v>
      </c>
      <c r="E164" s="56">
        <v>0.37599993502960216</v>
      </c>
      <c r="F164" s="56">
        <v>0.83559714723926382</v>
      </c>
      <c r="G164" s="57">
        <v>0</v>
      </c>
      <c r="H164" s="56">
        <v>0</v>
      </c>
      <c r="I164" s="56">
        <v>0</v>
      </c>
      <c r="J164" s="56">
        <v>0.32400000000000001</v>
      </c>
      <c r="K164" s="56">
        <v>0.33999999999999997</v>
      </c>
      <c r="L164" s="56">
        <v>0.62713130056004973</v>
      </c>
      <c r="M164" s="56">
        <v>0.23269824899836769</v>
      </c>
      <c r="N164" s="50">
        <v>0</v>
      </c>
      <c r="O164" s="58">
        <v>0</v>
      </c>
      <c r="P164" s="58">
        <f>1</f>
        <v>1</v>
      </c>
      <c r="Q164" s="57">
        <v>0</v>
      </c>
      <c r="R164" s="57">
        <v>0</v>
      </c>
      <c r="S164" s="57">
        <v>0.77100000000000002</v>
      </c>
      <c r="T164" s="57">
        <v>0.95</v>
      </c>
      <c r="U164" s="57">
        <v>0.5784392407674851</v>
      </c>
      <c r="V164" s="57">
        <v>0.77049180327868849</v>
      </c>
      <c r="W164" s="60">
        <v>7668</v>
      </c>
      <c r="X164" s="60">
        <v>0</v>
      </c>
      <c r="Y164" s="60">
        <v>19800</v>
      </c>
      <c r="Z164" s="60">
        <v>0</v>
      </c>
    </row>
    <row r="165" spans="1:26" s="50" customFormat="1" x14ac:dyDescent="0.35">
      <c r="A165" s="56">
        <v>0</v>
      </c>
      <c r="B165" s="56">
        <v>0</v>
      </c>
      <c r="C165" s="56">
        <v>0</v>
      </c>
      <c r="D165" s="56">
        <v>0.69716506300000003</v>
      </c>
      <c r="E165" s="56">
        <v>0.37599993502960216</v>
      </c>
      <c r="F165" s="56">
        <v>0.81263953987730053</v>
      </c>
      <c r="G165" s="57">
        <v>0</v>
      </c>
      <c r="H165" s="56">
        <v>0</v>
      </c>
      <c r="I165" s="56">
        <v>0</v>
      </c>
      <c r="J165" s="56">
        <v>0.251</v>
      </c>
      <c r="K165" s="56">
        <v>0.33800000000000002</v>
      </c>
      <c r="L165" s="56">
        <v>0.63002613565650278</v>
      </c>
      <c r="M165" s="56">
        <v>0.22759600830983828</v>
      </c>
      <c r="N165" s="50">
        <v>0</v>
      </c>
      <c r="O165" s="58">
        <v>0</v>
      </c>
      <c r="P165" s="58">
        <f>1</f>
        <v>1</v>
      </c>
      <c r="Q165" s="57">
        <v>0</v>
      </c>
      <c r="R165" s="57">
        <v>0</v>
      </c>
      <c r="S165" s="57">
        <v>0.77199999999999991</v>
      </c>
      <c r="T165" s="57">
        <v>0.93900000000000006</v>
      </c>
      <c r="U165" s="57">
        <v>0.5784392407674851</v>
      </c>
      <c r="V165" s="57">
        <v>0.77049180327868849</v>
      </c>
      <c r="W165" s="60">
        <v>7668</v>
      </c>
      <c r="X165" s="60">
        <v>0</v>
      </c>
      <c r="Y165" s="60">
        <v>19800</v>
      </c>
      <c r="Z165" s="60">
        <v>0</v>
      </c>
    </row>
    <row r="166" spans="1:26" s="50" customFormat="1" x14ac:dyDescent="0.35">
      <c r="A166" s="56">
        <v>0</v>
      </c>
      <c r="B166" s="56">
        <v>0</v>
      </c>
      <c r="C166" s="56">
        <v>0</v>
      </c>
      <c r="D166" s="56">
        <v>0.702644457</v>
      </c>
      <c r="E166" s="56">
        <v>0.37599993502960216</v>
      </c>
      <c r="F166" s="56">
        <v>0.81902653374233125</v>
      </c>
      <c r="G166" s="57">
        <v>0</v>
      </c>
      <c r="H166" s="56">
        <v>0</v>
      </c>
      <c r="I166" s="56">
        <v>0</v>
      </c>
      <c r="J166" s="56">
        <v>0.22</v>
      </c>
      <c r="K166" s="56">
        <v>0.35599999999999998</v>
      </c>
      <c r="L166" s="56">
        <v>0.63565525824517732</v>
      </c>
      <c r="M166" s="56">
        <v>0.2398972399465796</v>
      </c>
      <c r="N166" s="50">
        <v>0</v>
      </c>
      <c r="O166" s="58">
        <v>0</v>
      </c>
      <c r="P166" s="58">
        <f>1</f>
        <v>1</v>
      </c>
      <c r="Q166" s="57">
        <v>0</v>
      </c>
      <c r="R166" s="57">
        <v>0</v>
      </c>
      <c r="S166" s="57">
        <v>0.78199999999999992</v>
      </c>
      <c r="T166" s="57">
        <v>0.93</v>
      </c>
      <c r="U166" s="57">
        <v>0.5784392407674851</v>
      </c>
      <c r="V166" s="57">
        <v>0.77049180327868849</v>
      </c>
      <c r="W166" s="60">
        <v>7668</v>
      </c>
      <c r="X166" s="60">
        <v>0</v>
      </c>
      <c r="Y166" s="60">
        <v>19800</v>
      </c>
      <c r="Z166" s="60">
        <v>0</v>
      </c>
    </row>
    <row r="167" spans="1:26" s="50" customFormat="1" x14ac:dyDescent="0.35">
      <c r="A167" s="56">
        <v>0</v>
      </c>
      <c r="B167" s="56">
        <v>0</v>
      </c>
      <c r="C167" s="56">
        <v>0</v>
      </c>
      <c r="D167" s="56">
        <v>0.71687946599999997</v>
      </c>
      <c r="E167" s="56">
        <v>0.37700007309169764</v>
      </c>
      <c r="F167" s="56">
        <v>0.83561932515337423</v>
      </c>
      <c r="G167" s="57">
        <v>0</v>
      </c>
      <c r="H167" s="56">
        <v>0</v>
      </c>
      <c r="I167" s="56">
        <v>0</v>
      </c>
      <c r="J167" s="56">
        <v>0.23299999999999998</v>
      </c>
      <c r="K167" s="56">
        <v>0.39499999999999996</v>
      </c>
      <c r="L167" s="56">
        <v>0.63668637212196633</v>
      </c>
      <c r="M167" s="56">
        <v>0.26521219765543852</v>
      </c>
      <c r="N167" s="50">
        <v>0</v>
      </c>
      <c r="O167" s="58">
        <v>0</v>
      </c>
      <c r="P167" s="58">
        <f>1</f>
        <v>1</v>
      </c>
      <c r="Q167" s="57">
        <v>0</v>
      </c>
      <c r="R167" s="57">
        <v>0</v>
      </c>
      <c r="S167" s="57">
        <v>0.78900000000000003</v>
      </c>
      <c r="T167" s="57">
        <v>0.91099999999999992</v>
      </c>
      <c r="U167" s="57">
        <v>0.5784392407674851</v>
      </c>
      <c r="V167" s="57">
        <v>0.77049180327868849</v>
      </c>
      <c r="W167" s="60">
        <v>7668</v>
      </c>
      <c r="X167" s="60">
        <v>0</v>
      </c>
      <c r="Y167" s="60">
        <v>19800</v>
      </c>
      <c r="Z167" s="60">
        <v>0</v>
      </c>
    </row>
    <row r="168" spans="1:26" s="50" customFormat="1" x14ac:dyDescent="0.35">
      <c r="A168" s="56">
        <v>0</v>
      </c>
      <c r="B168" s="56">
        <v>0</v>
      </c>
      <c r="C168" s="56">
        <v>0</v>
      </c>
      <c r="D168" s="56">
        <v>0.73354011799999996</v>
      </c>
      <c r="E168" s="56">
        <v>0.37299992690830241</v>
      </c>
      <c r="F168" s="56">
        <v>0.8550395705521473</v>
      </c>
      <c r="G168" s="57">
        <v>0</v>
      </c>
      <c r="H168" s="56">
        <v>0</v>
      </c>
      <c r="I168" s="56">
        <v>0</v>
      </c>
      <c r="J168" s="56">
        <v>0.27699999999999997</v>
      </c>
      <c r="K168" s="56">
        <v>0.44800000000000001</v>
      </c>
      <c r="L168" s="56">
        <v>0.63864405724953321</v>
      </c>
      <c r="M168" s="56">
        <v>0.3005880694465054</v>
      </c>
      <c r="N168" s="50">
        <v>0</v>
      </c>
      <c r="O168" s="58">
        <v>0</v>
      </c>
      <c r="P168" s="58">
        <f>1</f>
        <v>1</v>
      </c>
      <c r="Q168" s="57">
        <v>0</v>
      </c>
      <c r="R168" s="57">
        <v>0</v>
      </c>
      <c r="S168" s="57">
        <v>0.78</v>
      </c>
      <c r="T168" s="57">
        <v>0.87</v>
      </c>
      <c r="U168" s="57">
        <v>0.5784392407674851</v>
      </c>
      <c r="V168" s="57">
        <v>0.77049180327868849</v>
      </c>
      <c r="W168" s="60">
        <v>7668</v>
      </c>
      <c r="X168" s="60">
        <v>0</v>
      </c>
      <c r="Y168" s="60">
        <v>19800</v>
      </c>
      <c r="Z168" s="60">
        <v>0</v>
      </c>
    </row>
    <row r="169" spans="1:26" s="50" customFormat="1" x14ac:dyDescent="0.35">
      <c r="A169" s="56">
        <v>0</v>
      </c>
      <c r="B169" s="56">
        <v>0</v>
      </c>
      <c r="C169" s="56">
        <v>0</v>
      </c>
      <c r="D169" s="56">
        <v>0.75291925000000004</v>
      </c>
      <c r="E169" s="56">
        <v>0.36900018678989388</v>
      </c>
      <c r="F169" s="56">
        <v>0.87762855828220854</v>
      </c>
      <c r="G169" s="56">
        <v>0</v>
      </c>
      <c r="H169" s="56">
        <v>0</v>
      </c>
      <c r="I169" s="56">
        <v>0</v>
      </c>
      <c r="J169" s="56">
        <v>0.34899999999999998</v>
      </c>
      <c r="K169" s="56">
        <v>0.50900000000000001</v>
      </c>
      <c r="L169" s="50">
        <v>0.63848288736776593</v>
      </c>
      <c r="M169" s="50">
        <v>0.34166486125537915</v>
      </c>
      <c r="N169" s="58">
        <v>0</v>
      </c>
      <c r="O169" s="58">
        <v>0</v>
      </c>
      <c r="P169" s="59">
        <v>1</v>
      </c>
      <c r="Q169" s="57">
        <v>0</v>
      </c>
      <c r="R169" s="57">
        <v>0</v>
      </c>
      <c r="S169" s="57">
        <v>0.755</v>
      </c>
      <c r="T169" s="57">
        <v>0.80099999999999993</v>
      </c>
      <c r="U169" s="57">
        <v>0.5784392407674851</v>
      </c>
      <c r="V169" s="57">
        <v>0.77049180327868849</v>
      </c>
      <c r="W169" s="60">
        <v>7668</v>
      </c>
      <c r="X169" s="60">
        <v>0</v>
      </c>
      <c r="Y169" s="50">
        <v>19800</v>
      </c>
      <c r="Z169" s="50">
        <v>0</v>
      </c>
    </row>
    <row r="170" spans="1:26" s="50" customFormat="1" x14ac:dyDescent="0.35">
      <c r="A170" s="56"/>
      <c r="B170" s="56"/>
      <c r="C170" s="56"/>
      <c r="D170" s="56"/>
      <c r="E170" s="56"/>
      <c r="F170" s="57"/>
      <c r="G170" s="56"/>
      <c r="H170" s="56"/>
      <c r="I170" s="56"/>
      <c r="J170" s="56"/>
      <c r="K170" s="56"/>
      <c r="N170" s="61"/>
      <c r="O170" s="58"/>
      <c r="P170" s="59"/>
      <c r="W170" s="60"/>
      <c r="X170" s="60"/>
    </row>
    <row r="171" spans="1:26" x14ac:dyDescent="0.35">
      <c r="P171" s="62"/>
      <c r="W171" s="63"/>
      <c r="X171" s="63"/>
    </row>
    <row r="172" spans="1:26" x14ac:dyDescent="0.35">
      <c r="P172" s="62"/>
      <c r="W172" s="63"/>
      <c r="X172" s="63"/>
    </row>
    <row r="173" spans="1:26" x14ac:dyDescent="0.35">
      <c r="P173" s="62"/>
    </row>
    <row r="174" spans="1:26" x14ac:dyDescent="0.35">
      <c r="P174" s="62"/>
    </row>
    <row r="175" spans="1:26" x14ac:dyDescent="0.35">
      <c r="P175" s="62"/>
    </row>
    <row r="176" spans="1:26" x14ac:dyDescent="0.35">
      <c r="P176" s="62"/>
    </row>
    <row r="177" spans="16:16" x14ac:dyDescent="0.35">
      <c r="P177" s="62"/>
    </row>
    <row r="178" spans="16:16" x14ac:dyDescent="0.35">
      <c r="P178" s="62"/>
    </row>
    <row r="179" spans="16:16" x14ac:dyDescent="0.35">
      <c r="P179" s="62"/>
    </row>
    <row r="180" spans="16:16" x14ac:dyDescent="0.35">
      <c r="P180" s="62"/>
    </row>
    <row r="181" spans="16:16" x14ac:dyDescent="0.35">
      <c r="P181" s="62"/>
    </row>
    <row r="182" spans="16:16" x14ac:dyDescent="0.35">
      <c r="P182" s="62"/>
    </row>
    <row r="183" spans="16:16" x14ac:dyDescent="0.35">
      <c r="P183" s="62"/>
    </row>
    <row r="184" spans="16:16" x14ac:dyDescent="0.35">
      <c r="P184" s="62"/>
    </row>
    <row r="185" spans="16:16" x14ac:dyDescent="0.35">
      <c r="P185" s="62"/>
    </row>
    <row r="186" spans="16:16" x14ac:dyDescent="0.35">
      <c r="P186" s="62"/>
    </row>
    <row r="187" spans="16:16" x14ac:dyDescent="0.35">
      <c r="P187" s="62"/>
    </row>
    <row r="188" spans="16:16" x14ac:dyDescent="0.35">
      <c r="P188" s="62"/>
    </row>
    <row r="189" spans="16:16" x14ac:dyDescent="0.35">
      <c r="P189" s="62"/>
    </row>
    <row r="190" spans="16:16" x14ac:dyDescent="0.35">
      <c r="P190" s="62"/>
    </row>
    <row r="191" spans="16:16" x14ac:dyDescent="0.35">
      <c r="P191" s="62"/>
    </row>
    <row r="192" spans="16:16" x14ac:dyDescent="0.35">
      <c r="P192" s="62"/>
    </row>
    <row r="193" spans="16:16" x14ac:dyDescent="0.35">
      <c r="P193" s="62"/>
    </row>
    <row r="194" spans="16:16" x14ac:dyDescent="0.35">
      <c r="P194" s="62"/>
    </row>
    <row r="195" spans="16:16" x14ac:dyDescent="0.35">
      <c r="P195" s="62"/>
    </row>
    <row r="196" spans="16:16" x14ac:dyDescent="0.35">
      <c r="P196" s="62"/>
    </row>
    <row r="197" spans="16:16" x14ac:dyDescent="0.35">
      <c r="P197" s="62"/>
    </row>
    <row r="198" spans="16:16" x14ac:dyDescent="0.35">
      <c r="P198" s="62"/>
    </row>
    <row r="199" spans="16:16" x14ac:dyDescent="0.35">
      <c r="P199" s="62"/>
    </row>
    <row r="200" spans="16:16" x14ac:dyDescent="0.35">
      <c r="P200" s="62"/>
    </row>
    <row r="201" spans="16:16" x14ac:dyDescent="0.35">
      <c r="P201" s="62"/>
    </row>
    <row r="202" spans="16:16" x14ac:dyDescent="0.35">
      <c r="P202" s="62"/>
    </row>
    <row r="203" spans="16:16" x14ac:dyDescent="0.35">
      <c r="P203" s="62"/>
    </row>
    <row r="204" spans="16:16" x14ac:dyDescent="0.35">
      <c r="P204" s="62"/>
    </row>
    <row r="205" spans="16:16" x14ac:dyDescent="0.35">
      <c r="P205" s="62"/>
    </row>
    <row r="206" spans="16:16" x14ac:dyDescent="0.35">
      <c r="P206" s="62"/>
    </row>
    <row r="207" spans="16:16" x14ac:dyDescent="0.35">
      <c r="P207" s="62"/>
    </row>
    <row r="208" spans="16:16" x14ac:dyDescent="0.35">
      <c r="P208" s="62"/>
    </row>
    <row r="209" spans="16:16" x14ac:dyDescent="0.35">
      <c r="P209" s="62"/>
    </row>
    <row r="210" spans="16:16" x14ac:dyDescent="0.35">
      <c r="P210" s="62"/>
    </row>
    <row r="211" spans="16:16" x14ac:dyDescent="0.35">
      <c r="P211" s="62"/>
    </row>
    <row r="212" spans="16:16" x14ac:dyDescent="0.35">
      <c r="P212" s="62"/>
    </row>
    <row r="213" spans="16:16" x14ac:dyDescent="0.35">
      <c r="P213" s="62"/>
    </row>
    <row r="214" spans="16:16" x14ac:dyDescent="0.35">
      <c r="P214" s="62"/>
    </row>
    <row r="215" spans="16:16" x14ac:dyDescent="0.35">
      <c r="P215" s="62"/>
    </row>
    <row r="216" spans="16:16" x14ac:dyDescent="0.35">
      <c r="P216" s="62"/>
    </row>
    <row r="217" spans="16:16" x14ac:dyDescent="0.35">
      <c r="P217" s="62"/>
    </row>
    <row r="218" spans="16:16" x14ac:dyDescent="0.35">
      <c r="P218" s="62"/>
    </row>
    <row r="219" spans="16:16" x14ac:dyDescent="0.35">
      <c r="P219" s="62"/>
    </row>
    <row r="220" spans="16:16" x14ac:dyDescent="0.35">
      <c r="P220" s="62"/>
    </row>
    <row r="221" spans="16:16" x14ac:dyDescent="0.35">
      <c r="P221" s="62"/>
    </row>
    <row r="222" spans="16:16" x14ac:dyDescent="0.35">
      <c r="P222" s="62"/>
    </row>
    <row r="223" spans="16:16" x14ac:dyDescent="0.35">
      <c r="P223" s="62"/>
    </row>
    <row r="224" spans="16:16" x14ac:dyDescent="0.35">
      <c r="P224" s="62"/>
    </row>
    <row r="225" spans="16:16" x14ac:dyDescent="0.35">
      <c r="P225" s="62"/>
    </row>
    <row r="226" spans="16:16" x14ac:dyDescent="0.35">
      <c r="P226" s="62"/>
    </row>
    <row r="227" spans="16:16" x14ac:dyDescent="0.35">
      <c r="P227" s="62"/>
    </row>
    <row r="228" spans="16:16" x14ac:dyDescent="0.35">
      <c r="P228" s="62"/>
    </row>
    <row r="229" spans="16:16" x14ac:dyDescent="0.35">
      <c r="P229" s="62"/>
    </row>
    <row r="230" spans="16:16" x14ac:dyDescent="0.35">
      <c r="P230" s="62"/>
    </row>
    <row r="231" spans="16:16" x14ac:dyDescent="0.35">
      <c r="P231" s="62"/>
    </row>
    <row r="232" spans="16:16" x14ac:dyDescent="0.35">
      <c r="P232" s="62"/>
    </row>
    <row r="233" spans="16:16" x14ac:dyDescent="0.35">
      <c r="P233" s="62"/>
    </row>
    <row r="234" spans="16:16" x14ac:dyDescent="0.35">
      <c r="P234" s="62"/>
    </row>
    <row r="235" spans="16:16" x14ac:dyDescent="0.35">
      <c r="P235" s="62"/>
    </row>
    <row r="236" spans="16:16" x14ac:dyDescent="0.35">
      <c r="P236" s="62"/>
    </row>
    <row r="237" spans="16:16" x14ac:dyDescent="0.35">
      <c r="P237" s="62"/>
    </row>
    <row r="238" spans="16:16" x14ac:dyDescent="0.35">
      <c r="P238" s="62"/>
    </row>
    <row r="239" spans="16:16" x14ac:dyDescent="0.35">
      <c r="P239" s="62"/>
    </row>
    <row r="240" spans="16:16" x14ac:dyDescent="0.35">
      <c r="P240" s="62"/>
    </row>
    <row r="241" spans="16:16" x14ac:dyDescent="0.35">
      <c r="P241" s="62"/>
    </row>
    <row r="242" spans="16:16" x14ac:dyDescent="0.35">
      <c r="P242" s="62"/>
    </row>
    <row r="243" spans="16:16" x14ac:dyDescent="0.35">
      <c r="P243" s="62"/>
    </row>
    <row r="244" spans="16:16" x14ac:dyDescent="0.35">
      <c r="P244" s="62"/>
    </row>
    <row r="245" spans="16:16" x14ac:dyDescent="0.35">
      <c r="P245" s="62"/>
    </row>
    <row r="246" spans="16:16" x14ac:dyDescent="0.35">
      <c r="P246" s="62"/>
    </row>
    <row r="247" spans="16:16" x14ac:dyDescent="0.35">
      <c r="P247" s="62"/>
    </row>
    <row r="248" spans="16:16" x14ac:dyDescent="0.35">
      <c r="P248" s="62"/>
    </row>
    <row r="249" spans="16:16" x14ac:dyDescent="0.35">
      <c r="P249" s="62"/>
    </row>
    <row r="250" spans="16:16" x14ac:dyDescent="0.35">
      <c r="P250" s="62"/>
    </row>
    <row r="251" spans="16:16" x14ac:dyDescent="0.35">
      <c r="P251" s="62"/>
    </row>
    <row r="252" spans="16:16" x14ac:dyDescent="0.35">
      <c r="P252" s="62"/>
    </row>
    <row r="253" spans="16:16" x14ac:dyDescent="0.35">
      <c r="P253" s="62"/>
    </row>
    <row r="254" spans="16:16" x14ac:dyDescent="0.35">
      <c r="P254" s="62"/>
    </row>
    <row r="255" spans="16:16" x14ac:dyDescent="0.35">
      <c r="P255" s="62"/>
    </row>
    <row r="256" spans="16:16" x14ac:dyDescent="0.35">
      <c r="P256" s="62"/>
    </row>
    <row r="257" spans="16:16" x14ac:dyDescent="0.35">
      <c r="P257" s="62"/>
    </row>
    <row r="258" spans="16:16" x14ac:dyDescent="0.35">
      <c r="P258" s="62"/>
    </row>
    <row r="259" spans="16:16" x14ac:dyDescent="0.35">
      <c r="P259" s="62"/>
    </row>
    <row r="260" spans="16:16" x14ac:dyDescent="0.35">
      <c r="P260" s="62"/>
    </row>
    <row r="261" spans="16:16" x14ac:dyDescent="0.35">
      <c r="P261" s="62"/>
    </row>
    <row r="262" spans="16:16" x14ac:dyDescent="0.35">
      <c r="P262" s="62"/>
    </row>
    <row r="263" spans="16:16" x14ac:dyDescent="0.35">
      <c r="P263" s="62"/>
    </row>
    <row r="264" spans="16:16" x14ac:dyDescent="0.35">
      <c r="P264" s="62"/>
    </row>
    <row r="265" spans="16:16" x14ac:dyDescent="0.35">
      <c r="P265" s="62"/>
    </row>
    <row r="266" spans="16:16" x14ac:dyDescent="0.35">
      <c r="P266" s="62"/>
    </row>
    <row r="267" spans="16:16" x14ac:dyDescent="0.35">
      <c r="P267" s="62"/>
    </row>
    <row r="268" spans="16:16" x14ac:dyDescent="0.35">
      <c r="P268" s="62"/>
    </row>
    <row r="269" spans="16:16" x14ac:dyDescent="0.35">
      <c r="P269" s="62"/>
    </row>
    <row r="270" spans="16:16" x14ac:dyDescent="0.35">
      <c r="P270" s="62"/>
    </row>
    <row r="271" spans="16:16" x14ac:dyDescent="0.35">
      <c r="P271" s="62"/>
    </row>
    <row r="272" spans="16:16" x14ac:dyDescent="0.35">
      <c r="P272" s="62"/>
    </row>
    <row r="273" spans="16:16" x14ac:dyDescent="0.35">
      <c r="P273" s="62"/>
    </row>
    <row r="274" spans="16:16" x14ac:dyDescent="0.35">
      <c r="P274" s="62"/>
    </row>
    <row r="275" spans="16:16" x14ac:dyDescent="0.35">
      <c r="P275" s="62"/>
    </row>
    <row r="276" spans="16:16" x14ac:dyDescent="0.35">
      <c r="P276" s="62"/>
    </row>
    <row r="277" spans="16:16" x14ac:dyDescent="0.35">
      <c r="P277" s="62"/>
    </row>
    <row r="278" spans="16:16" x14ac:dyDescent="0.35">
      <c r="P278" s="62"/>
    </row>
    <row r="279" spans="16:16" x14ac:dyDescent="0.35">
      <c r="P279" s="62"/>
    </row>
    <row r="280" spans="16:16" x14ac:dyDescent="0.35">
      <c r="P280" s="62"/>
    </row>
    <row r="281" spans="16:16" x14ac:dyDescent="0.35">
      <c r="P281" s="62"/>
    </row>
    <row r="282" spans="16:16" x14ac:dyDescent="0.35">
      <c r="P282" s="62"/>
    </row>
    <row r="283" spans="16:16" x14ac:dyDescent="0.35">
      <c r="P283" s="62"/>
    </row>
    <row r="284" spans="16:16" x14ac:dyDescent="0.35">
      <c r="P284" s="62"/>
    </row>
    <row r="285" spans="16:16" x14ac:dyDescent="0.35">
      <c r="P285" s="62"/>
    </row>
    <row r="286" spans="16:16" x14ac:dyDescent="0.35">
      <c r="P286" s="62"/>
    </row>
    <row r="287" spans="16:16" x14ac:dyDescent="0.35">
      <c r="P287" s="62"/>
    </row>
    <row r="288" spans="16:16" x14ac:dyDescent="0.35">
      <c r="P288" s="62"/>
    </row>
    <row r="289" spans="16:16" x14ac:dyDescent="0.35">
      <c r="P289" s="62"/>
    </row>
    <row r="290" spans="16:16" x14ac:dyDescent="0.35">
      <c r="P290" s="62"/>
    </row>
    <row r="291" spans="16:16" x14ac:dyDescent="0.35">
      <c r="P291" s="62"/>
    </row>
    <row r="292" spans="16:16" x14ac:dyDescent="0.35">
      <c r="P292" s="62"/>
    </row>
    <row r="293" spans="16:16" x14ac:dyDescent="0.35">
      <c r="P293" s="62"/>
    </row>
    <row r="294" spans="16:16" x14ac:dyDescent="0.35">
      <c r="P294" s="62"/>
    </row>
    <row r="295" spans="16:16" x14ac:dyDescent="0.35">
      <c r="P295" s="62"/>
    </row>
    <row r="296" spans="16:16" x14ac:dyDescent="0.35">
      <c r="P296" s="62"/>
    </row>
    <row r="297" spans="16:16" x14ac:dyDescent="0.35">
      <c r="P297" s="62"/>
    </row>
    <row r="298" spans="16:16" x14ac:dyDescent="0.35">
      <c r="P298" s="62"/>
    </row>
    <row r="299" spans="16:16" x14ac:dyDescent="0.35">
      <c r="P299" s="62"/>
    </row>
    <row r="300" spans="16:16" x14ac:dyDescent="0.35">
      <c r="P300" s="62"/>
    </row>
    <row r="301" spans="16:16" x14ac:dyDescent="0.35">
      <c r="P301" s="62"/>
    </row>
    <row r="302" spans="16:16" x14ac:dyDescent="0.35">
      <c r="P302" s="62"/>
    </row>
    <row r="303" spans="16:16" x14ac:dyDescent="0.35">
      <c r="P303" s="62"/>
    </row>
    <row r="304" spans="16:16" x14ac:dyDescent="0.35">
      <c r="P304" s="62"/>
    </row>
    <row r="305" spans="16:16" x14ac:dyDescent="0.35">
      <c r="P305" s="62"/>
    </row>
    <row r="306" spans="16:16" x14ac:dyDescent="0.35">
      <c r="P306" s="62"/>
    </row>
    <row r="307" spans="16:16" x14ac:dyDescent="0.35">
      <c r="P307" s="62"/>
    </row>
    <row r="308" spans="16:16" x14ac:dyDescent="0.35">
      <c r="P308" s="62"/>
    </row>
    <row r="309" spans="16:16" x14ac:dyDescent="0.35">
      <c r="P309" s="62"/>
    </row>
    <row r="310" spans="16:16" x14ac:dyDescent="0.35">
      <c r="P310" s="62"/>
    </row>
    <row r="311" spans="16:16" x14ac:dyDescent="0.35">
      <c r="P311" s="62"/>
    </row>
    <row r="312" spans="16:16" x14ac:dyDescent="0.35">
      <c r="P312" s="62"/>
    </row>
    <row r="313" spans="16:16" x14ac:dyDescent="0.35">
      <c r="P313" s="62"/>
    </row>
    <row r="314" spans="16:16" x14ac:dyDescent="0.35">
      <c r="P314" s="62"/>
    </row>
    <row r="315" spans="16:16" x14ac:dyDescent="0.35">
      <c r="P315" s="62"/>
    </row>
    <row r="316" spans="16:16" x14ac:dyDescent="0.35">
      <c r="P316" s="62"/>
    </row>
    <row r="317" spans="16:16" x14ac:dyDescent="0.35">
      <c r="P317" s="62"/>
    </row>
    <row r="318" spans="16:16" x14ac:dyDescent="0.35">
      <c r="P318" s="62"/>
    </row>
    <row r="319" spans="16:16" x14ac:dyDescent="0.35">
      <c r="P319" s="62"/>
    </row>
    <row r="320" spans="16:16" x14ac:dyDescent="0.35">
      <c r="P320" s="62"/>
    </row>
    <row r="321" spans="16:16" x14ac:dyDescent="0.35">
      <c r="P321" s="62"/>
    </row>
    <row r="322" spans="16:16" x14ac:dyDescent="0.35">
      <c r="P322" s="62"/>
    </row>
    <row r="323" spans="16:16" x14ac:dyDescent="0.35">
      <c r="P323" s="62"/>
    </row>
    <row r="324" spans="16:16" x14ac:dyDescent="0.35">
      <c r="P324" s="62"/>
    </row>
    <row r="325" spans="16:16" x14ac:dyDescent="0.35">
      <c r="P325" s="62"/>
    </row>
    <row r="326" spans="16:16" x14ac:dyDescent="0.35">
      <c r="P326" s="62"/>
    </row>
    <row r="327" spans="16:16" x14ac:dyDescent="0.35">
      <c r="P327" s="62"/>
    </row>
    <row r="328" spans="16:16" x14ac:dyDescent="0.35">
      <c r="P328" s="62"/>
    </row>
    <row r="329" spans="16:16" x14ac:dyDescent="0.35">
      <c r="P329" s="62"/>
    </row>
    <row r="330" spans="16:16" x14ac:dyDescent="0.35">
      <c r="P330" s="62"/>
    </row>
    <row r="331" spans="16:16" x14ac:dyDescent="0.35">
      <c r="P331" s="62"/>
    </row>
    <row r="332" spans="16:16" x14ac:dyDescent="0.35">
      <c r="P332" s="62"/>
    </row>
    <row r="333" spans="16:16" x14ac:dyDescent="0.35">
      <c r="P333" s="62"/>
    </row>
    <row r="334" spans="16:16" x14ac:dyDescent="0.35">
      <c r="P334" s="62"/>
    </row>
    <row r="335" spans="16:16" x14ac:dyDescent="0.35">
      <c r="P335" s="62"/>
    </row>
    <row r="336" spans="16:16" x14ac:dyDescent="0.35">
      <c r="P336" s="62"/>
    </row>
    <row r="337" spans="16:16" x14ac:dyDescent="0.35">
      <c r="P337" s="62"/>
    </row>
    <row r="338" spans="16:16" x14ac:dyDescent="0.35">
      <c r="P338" s="62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EQ8762"/>
  <sheetViews>
    <sheetView tabSelected="1" topLeftCell="AA1" zoomScale="85" zoomScaleNormal="85" workbookViewId="0">
      <selection activeCell="AK2" sqref="AK2:AL2"/>
    </sheetView>
  </sheetViews>
  <sheetFormatPr baseColWidth="10" defaultRowHeight="14.5" x14ac:dyDescent="0.35"/>
  <cols>
    <col min="1" max="1" width="18.7265625" style="5" customWidth="1"/>
    <col min="2" max="2" width="10.90625" style="5"/>
    <col min="3" max="3" width="16.453125" style="5" customWidth="1"/>
    <col min="4" max="4" width="26.54296875" style="5" bestFit="1" customWidth="1"/>
    <col min="5" max="6" width="10.90625" style="5"/>
    <col min="7" max="7" width="26.6328125" style="5" bestFit="1" customWidth="1"/>
    <col min="8" max="9" width="10.90625" style="5"/>
    <col min="10" max="10" width="26.36328125" style="5" bestFit="1" customWidth="1"/>
    <col min="11" max="12" width="10.90625" style="5"/>
    <col min="14" max="14" width="7.1796875" style="5" bestFit="1" customWidth="1"/>
    <col min="15" max="15" width="16.453125" style="65" customWidth="1"/>
    <col min="16" max="16" width="8.36328125" style="65" bestFit="1" customWidth="1"/>
    <col min="17" max="17" width="13.08984375" style="65" bestFit="1" customWidth="1"/>
    <col min="18" max="18" width="8.36328125" style="65" bestFit="1" customWidth="1"/>
    <col min="19" max="19" width="13.08984375" style="65" bestFit="1" customWidth="1"/>
    <col min="20" max="20" width="8.36328125" style="65" bestFit="1" customWidth="1"/>
    <col min="21" max="21" width="16.90625" style="65" bestFit="1" customWidth="1"/>
    <col min="22" max="22" width="8.36328125" style="65" bestFit="1" customWidth="1"/>
    <col min="23" max="23" width="22.6328125" style="65" bestFit="1" customWidth="1"/>
    <col min="24" max="24" width="8.36328125" style="65" bestFit="1" customWidth="1"/>
    <col min="25" max="25" width="16.90625" style="65" bestFit="1" customWidth="1"/>
    <col min="26" max="26" width="8.36328125" style="65" bestFit="1" customWidth="1"/>
    <col min="27" max="27" width="22.6328125" style="65" bestFit="1" customWidth="1"/>
    <col min="28" max="28" width="8.36328125" style="65" bestFit="1" customWidth="1"/>
    <col min="30" max="30" width="7.1796875" style="5" bestFit="1" customWidth="1"/>
    <col min="31" max="31" width="25.36328125" style="65" bestFit="1" customWidth="1"/>
    <col min="32" max="32" width="18" style="65" bestFit="1" customWidth="1"/>
    <col min="33" max="33" width="25.36328125" style="65" bestFit="1" customWidth="1"/>
    <col min="34" max="36" width="9" style="39" bestFit="1" customWidth="1"/>
    <col min="37" max="37" width="25.36328125" style="65" bestFit="1" customWidth="1"/>
    <col min="38" max="38" width="18" style="65" bestFit="1" customWidth="1"/>
    <col min="39" max="40" width="9" style="39" bestFit="1" customWidth="1"/>
    <col min="41" max="41" width="25.36328125" style="65" bestFit="1" customWidth="1"/>
    <col min="42" max="42" width="18" style="65" bestFit="1" customWidth="1"/>
    <col min="43" max="44" width="9" style="39" bestFit="1" customWidth="1"/>
    <col min="45" max="45" width="10.90625" style="5"/>
    <col min="46" max="46" width="15.6328125" style="39" customWidth="1"/>
    <col min="47" max="47" width="8.36328125" style="39" bestFit="1" customWidth="1"/>
    <col min="48" max="48" width="13.6328125" style="39" bestFit="1" customWidth="1"/>
    <col min="49" max="49" width="8.36328125" style="39" bestFit="1" customWidth="1"/>
    <col min="50" max="50" width="13.6328125" style="39" bestFit="1" customWidth="1"/>
    <col min="51" max="51" width="8.36328125" style="39" bestFit="1" customWidth="1"/>
    <col min="52" max="52" width="10.90625" style="5"/>
    <col min="53" max="53" width="12.7265625" style="5" bestFit="1" customWidth="1"/>
    <col min="54" max="54" width="8.36328125" style="39" bestFit="1" customWidth="1"/>
    <col min="55" max="55" width="10.90625" style="5"/>
    <col min="56" max="56" width="14.36328125" style="2" bestFit="1" customWidth="1"/>
    <col min="57" max="57" width="16.81640625" style="5" customWidth="1"/>
    <col min="58" max="58" width="20.1796875" style="2" customWidth="1"/>
    <col min="59" max="59" width="16.36328125" style="5" bestFit="1" customWidth="1"/>
    <col min="60" max="60" width="19.6328125" style="5" bestFit="1" customWidth="1"/>
    <col min="61" max="63" width="16.36328125" style="2" customWidth="1"/>
    <col min="64" max="64" width="12.1796875" style="2" bestFit="1" customWidth="1"/>
    <col min="65" max="65" width="16.36328125" style="5" bestFit="1" customWidth="1"/>
    <col min="66" max="66" width="19.6328125" style="5" bestFit="1" customWidth="1"/>
    <col min="67" max="67" width="34.08984375" style="5" bestFit="1" customWidth="1"/>
    <col min="68" max="68" width="37.08984375" style="5" bestFit="1" customWidth="1"/>
    <col min="69" max="69" width="10.90625" style="5"/>
    <col min="70" max="70" width="11.81640625" style="5" bestFit="1" customWidth="1"/>
    <col min="71" max="71" width="11" style="5" bestFit="1" customWidth="1"/>
    <col min="72" max="73" width="12.26953125" style="5" bestFit="1" customWidth="1"/>
    <col min="74" max="75" width="11" style="5" bestFit="1" customWidth="1"/>
    <col min="76" max="76" width="12.90625" style="5" bestFit="1" customWidth="1"/>
    <col min="77" max="77" width="12.26953125" style="5" bestFit="1" customWidth="1"/>
    <col min="78" max="78" width="12.90625" style="5" bestFit="1" customWidth="1"/>
    <col min="79" max="79" width="12.26953125" style="5" bestFit="1" customWidth="1"/>
    <col min="80" max="80" width="12.90625" style="5" bestFit="1" customWidth="1"/>
    <col min="81" max="81" width="11" style="5" bestFit="1" customWidth="1"/>
    <col min="82" max="82" width="12.90625" style="5" bestFit="1" customWidth="1"/>
    <col min="83" max="83" width="12.26953125" style="5" bestFit="1" customWidth="1"/>
    <col min="84" max="84" width="15.26953125" style="5" bestFit="1" customWidth="1"/>
    <col min="85" max="85" width="13.36328125" style="5" bestFit="1" customWidth="1"/>
    <col min="86" max="86" width="19.36328125" style="5" bestFit="1" customWidth="1"/>
    <col min="87" max="87" width="10.90625" style="5"/>
    <col min="88" max="88" width="11.81640625" style="5" bestFit="1" customWidth="1"/>
    <col min="89" max="89" width="11.1796875" style="5" bestFit="1" customWidth="1"/>
    <col min="90" max="90" width="12.26953125" style="5" bestFit="1" customWidth="1"/>
    <col min="91" max="93" width="11" style="5" bestFit="1" customWidth="1"/>
    <col min="94" max="94" width="12.90625" style="5" bestFit="1" customWidth="1"/>
    <col min="95" max="95" width="12.26953125" style="5" bestFit="1" customWidth="1"/>
    <col min="96" max="96" width="12.90625" style="5" bestFit="1" customWidth="1"/>
    <col min="97" max="97" width="12.26953125" style="5" bestFit="1" customWidth="1"/>
    <col min="98" max="98" width="12.90625" style="5" bestFit="1" customWidth="1"/>
    <col min="99" max="99" width="12.26953125" style="5" bestFit="1" customWidth="1"/>
    <col min="100" max="100" width="12.90625" style="5" bestFit="1" customWidth="1"/>
    <col min="101" max="101" width="12.26953125" style="5" bestFit="1" customWidth="1"/>
    <col min="102" max="102" width="15.26953125" style="5" bestFit="1" customWidth="1"/>
    <col min="103" max="103" width="11" style="5" bestFit="1" customWidth="1"/>
    <col min="104" max="104" width="19.36328125" style="5" bestFit="1" customWidth="1"/>
    <col min="105" max="105" width="10.90625" style="5"/>
    <col min="106" max="106" width="26.90625" style="39" bestFit="1" customWidth="1"/>
    <col min="107" max="107" width="26" style="39" bestFit="1" customWidth="1"/>
    <col min="108" max="108" width="31.6328125" style="39" bestFit="1" customWidth="1"/>
    <col min="109" max="109" width="14" style="39" bestFit="1" customWidth="1"/>
    <col min="110" max="110" width="20.1796875" style="39" bestFit="1" customWidth="1"/>
    <col min="111" max="111" width="26.90625" style="39" bestFit="1" customWidth="1"/>
    <col min="112" max="112" width="24.36328125" style="39" bestFit="1" customWidth="1"/>
    <col min="113" max="113" width="13.7265625" style="5" bestFit="1" customWidth="1"/>
    <col min="114" max="114" width="10.90625" style="5"/>
    <col min="115" max="115" width="47.81640625" style="39" bestFit="1" customWidth="1"/>
    <col min="116" max="116" width="28.36328125" style="39" bestFit="1" customWidth="1"/>
    <col min="117" max="117" width="13.81640625" style="39" bestFit="1" customWidth="1"/>
    <col min="118" max="118" width="19.453125" style="39" bestFit="1" customWidth="1"/>
    <col min="119" max="119" width="19.54296875" style="39" bestFit="1" customWidth="1"/>
    <col min="120" max="120" width="13.90625" style="39" bestFit="1" customWidth="1"/>
    <col min="121" max="121" width="16.08984375" style="39" customWidth="1"/>
    <col min="122" max="122" width="30.54296875" style="39" bestFit="1" customWidth="1"/>
    <col min="123" max="123" width="32.453125" style="39" bestFit="1" customWidth="1"/>
    <col min="124" max="124" width="10.90625" style="2"/>
    <col min="125" max="138" width="12.81640625" style="5" bestFit="1" customWidth="1"/>
    <col min="139" max="139" width="20.6328125" style="5" bestFit="1" customWidth="1"/>
    <col min="140" max="140" width="20.6328125" style="39" bestFit="1" customWidth="1"/>
    <col min="141" max="141" width="23.90625" style="39" bestFit="1" customWidth="1"/>
    <col min="142" max="142" width="13.90625" style="39" bestFit="1" customWidth="1"/>
    <col min="143" max="143" width="20.6328125" style="5" bestFit="1" customWidth="1"/>
    <col min="144" max="144" width="23.1796875" style="5" bestFit="1" customWidth="1"/>
    <col min="145" max="145" width="10.90625" style="5"/>
    <col min="146" max="146" width="10.90625" style="2"/>
    <col min="147" max="16384" width="10.90625" style="5"/>
  </cols>
  <sheetData>
    <row r="1" spans="1:147" ht="32.5" x14ac:dyDescent="0.75">
      <c r="A1" s="64" t="s">
        <v>141</v>
      </c>
      <c r="D1" s="170" t="s">
        <v>225</v>
      </c>
      <c r="E1" s="170"/>
      <c r="G1" s="170" t="s">
        <v>226</v>
      </c>
      <c r="H1" s="170"/>
      <c r="J1" s="170" t="s">
        <v>227</v>
      </c>
      <c r="K1" s="170"/>
      <c r="M1" s="5"/>
      <c r="N1" s="72" t="s">
        <v>174</v>
      </c>
      <c r="O1" s="5"/>
      <c r="AC1" s="5"/>
      <c r="AD1" s="72" t="s">
        <v>232</v>
      </c>
      <c r="AE1" s="5"/>
      <c r="AG1" s="72"/>
      <c r="AK1" s="5"/>
      <c r="AO1" s="72"/>
      <c r="AT1" s="81" t="s">
        <v>228</v>
      </c>
      <c r="BA1" s="81" t="s">
        <v>230</v>
      </c>
      <c r="BD1" s="81" t="s">
        <v>231</v>
      </c>
      <c r="BF1" s="5"/>
      <c r="BG1" s="92" t="s">
        <v>236</v>
      </c>
      <c r="BI1" s="5"/>
      <c r="BJ1" s="5"/>
      <c r="BK1" s="5"/>
      <c r="BL1" s="5"/>
      <c r="BM1" s="92"/>
      <c r="BR1" s="90" t="s">
        <v>237</v>
      </c>
      <c r="BS1" s="90"/>
      <c r="BU1" s="90"/>
      <c r="BW1" s="90"/>
      <c r="BY1" s="94" t="s">
        <v>247</v>
      </c>
      <c r="CA1" s="90"/>
      <c r="CC1" s="90"/>
      <c r="CE1" s="90"/>
      <c r="CG1" s="90"/>
      <c r="CJ1" s="90" t="s">
        <v>248</v>
      </c>
      <c r="CK1" s="90"/>
      <c r="CM1" s="90"/>
      <c r="CO1" s="90"/>
      <c r="CQ1" s="94" t="s">
        <v>249</v>
      </c>
      <c r="CS1" s="90"/>
      <c r="CU1" s="90"/>
      <c r="CW1" s="90"/>
      <c r="CY1" s="90"/>
      <c r="DB1" s="90" t="s">
        <v>268</v>
      </c>
      <c r="DJ1" s="122"/>
      <c r="DK1" s="90" t="s">
        <v>269</v>
      </c>
      <c r="DU1" s="90" t="s">
        <v>298</v>
      </c>
      <c r="DY1" s="90"/>
      <c r="DZ1" s="90"/>
      <c r="EA1" s="90"/>
      <c r="EB1" s="90"/>
      <c r="EC1" s="90"/>
      <c r="EE1" s="90"/>
      <c r="EG1" s="90"/>
      <c r="EM1" s="5" t="s">
        <v>306</v>
      </c>
      <c r="EN1" s="5" t="s">
        <v>307</v>
      </c>
    </row>
    <row r="2" spans="1:147" s="122" customFormat="1" x14ac:dyDescent="0.35">
      <c r="A2" s="171" t="s">
        <v>141</v>
      </c>
      <c r="B2" s="172"/>
      <c r="D2" s="123" t="s">
        <v>195</v>
      </c>
      <c r="E2" s="123">
        <v>24559.65</v>
      </c>
      <c r="G2" s="123" t="s">
        <v>213</v>
      </c>
      <c r="H2" s="123">
        <v>1357</v>
      </c>
      <c r="J2" s="123" t="s">
        <v>175</v>
      </c>
      <c r="K2" s="123">
        <v>414</v>
      </c>
      <c r="N2" s="124" t="s">
        <v>140</v>
      </c>
      <c r="O2" s="88" t="s">
        <v>147</v>
      </c>
      <c r="P2" s="125" t="s">
        <v>154</v>
      </c>
      <c r="Q2" s="126" t="s">
        <v>153</v>
      </c>
      <c r="R2" s="125" t="s">
        <v>154</v>
      </c>
      <c r="S2" s="126" t="s">
        <v>207</v>
      </c>
      <c r="T2" s="125" t="s">
        <v>154</v>
      </c>
      <c r="U2" s="124" t="s">
        <v>148</v>
      </c>
      <c r="V2" s="127" t="s">
        <v>154</v>
      </c>
      <c r="W2" s="124" t="s">
        <v>155</v>
      </c>
      <c r="X2" s="127" t="s">
        <v>171</v>
      </c>
      <c r="Y2" s="124" t="s">
        <v>179</v>
      </c>
      <c r="Z2" s="128" t="s">
        <v>154</v>
      </c>
      <c r="AA2" s="124" t="s">
        <v>189</v>
      </c>
      <c r="AB2" s="128" t="s">
        <v>154</v>
      </c>
      <c r="AD2" s="124" t="s">
        <v>140</v>
      </c>
      <c r="AE2" s="99" t="s">
        <v>197</v>
      </c>
      <c r="AF2" s="100" t="s">
        <v>198</v>
      </c>
      <c r="AG2" s="99" t="s">
        <v>199</v>
      </c>
      <c r="AH2" s="101" t="s">
        <v>173</v>
      </c>
      <c r="AI2" s="129" t="s">
        <v>172</v>
      </c>
      <c r="AJ2" s="101" t="s">
        <v>233</v>
      </c>
      <c r="AK2" s="99" t="s">
        <v>157</v>
      </c>
      <c r="AL2" s="130" t="s">
        <v>158</v>
      </c>
      <c r="AM2" s="102" t="s">
        <v>172</v>
      </c>
      <c r="AN2" s="131" t="s">
        <v>173</v>
      </c>
      <c r="AO2" s="99" t="s">
        <v>178</v>
      </c>
      <c r="AP2" s="100" t="s">
        <v>180</v>
      </c>
      <c r="AQ2" s="132" t="s">
        <v>173</v>
      </c>
      <c r="AR2" s="133" t="s">
        <v>229</v>
      </c>
      <c r="AT2" s="88" t="s">
        <v>165</v>
      </c>
      <c r="AU2" s="125" t="s">
        <v>154</v>
      </c>
      <c r="AV2" s="88" t="s">
        <v>168</v>
      </c>
      <c r="AW2" s="127" t="s">
        <v>154</v>
      </c>
      <c r="AX2" s="88" t="s">
        <v>181</v>
      </c>
      <c r="AY2" s="128" t="s">
        <v>154</v>
      </c>
      <c r="BA2" s="99" t="s">
        <v>176</v>
      </c>
      <c r="BB2" s="128" t="s">
        <v>154</v>
      </c>
      <c r="BC2" s="122" t="s">
        <v>107</v>
      </c>
      <c r="BD2" s="134" t="s">
        <v>210</v>
      </c>
      <c r="BE2" s="99" t="s">
        <v>208</v>
      </c>
      <c r="BF2" s="135" t="s">
        <v>209</v>
      </c>
      <c r="BG2" s="136" t="s">
        <v>234</v>
      </c>
      <c r="BH2" s="137" t="s">
        <v>235</v>
      </c>
      <c r="BI2" s="134" t="s">
        <v>221</v>
      </c>
      <c r="BJ2" s="99" t="s">
        <v>222</v>
      </c>
      <c r="BK2" s="135" t="s">
        <v>223</v>
      </c>
      <c r="BL2" s="134" t="s">
        <v>224</v>
      </c>
      <c r="BM2" s="121" t="s">
        <v>234</v>
      </c>
      <c r="BN2" s="138" t="s">
        <v>235</v>
      </c>
      <c r="BO2" s="139" t="s">
        <v>281</v>
      </c>
      <c r="BP2" s="139" t="s">
        <v>282</v>
      </c>
      <c r="BR2" s="140" t="s">
        <v>238</v>
      </c>
      <c r="BS2" s="139" t="s">
        <v>238</v>
      </c>
      <c r="BT2" s="140" t="s">
        <v>239</v>
      </c>
      <c r="BU2" s="139" t="s">
        <v>239</v>
      </c>
      <c r="BV2" s="140" t="s">
        <v>240</v>
      </c>
      <c r="BW2" s="139" t="s">
        <v>239</v>
      </c>
      <c r="BX2" s="140" t="s">
        <v>241</v>
      </c>
      <c r="BY2" s="139" t="s">
        <v>239</v>
      </c>
      <c r="BZ2" s="140" t="s">
        <v>242</v>
      </c>
      <c r="CA2" s="139" t="s">
        <v>239</v>
      </c>
      <c r="CB2" s="140" t="s">
        <v>243</v>
      </c>
      <c r="CC2" s="139" t="s">
        <v>239</v>
      </c>
      <c r="CD2" s="140" t="s">
        <v>244</v>
      </c>
      <c r="CE2" s="139" t="s">
        <v>239</v>
      </c>
      <c r="CF2" s="140" t="s">
        <v>245</v>
      </c>
      <c r="CG2" s="141" t="s">
        <v>239</v>
      </c>
      <c r="CH2" s="142" t="s">
        <v>246</v>
      </c>
      <c r="CJ2" s="140" t="s">
        <v>238</v>
      </c>
      <c r="CK2" s="139" t="s">
        <v>238</v>
      </c>
      <c r="CL2" s="140" t="s">
        <v>239</v>
      </c>
      <c r="CM2" s="139" t="s">
        <v>239</v>
      </c>
      <c r="CN2" s="140" t="s">
        <v>240</v>
      </c>
      <c r="CO2" s="139" t="s">
        <v>239</v>
      </c>
      <c r="CP2" s="140" t="s">
        <v>241</v>
      </c>
      <c r="CQ2" s="139" t="s">
        <v>239</v>
      </c>
      <c r="CR2" s="140" t="s">
        <v>242</v>
      </c>
      <c r="CS2" s="139" t="s">
        <v>239</v>
      </c>
      <c r="CT2" s="140" t="s">
        <v>243</v>
      </c>
      <c r="CU2" s="139" t="s">
        <v>239</v>
      </c>
      <c r="CV2" s="140" t="s">
        <v>244</v>
      </c>
      <c r="CW2" s="139" t="s">
        <v>239</v>
      </c>
      <c r="CX2" s="140" t="s">
        <v>245</v>
      </c>
      <c r="CY2" s="141" t="s">
        <v>239</v>
      </c>
      <c r="CZ2" s="142" t="s">
        <v>250</v>
      </c>
      <c r="DB2" s="99" t="s">
        <v>270</v>
      </c>
      <c r="DC2" s="99" t="s">
        <v>271</v>
      </c>
      <c r="DD2" s="99" t="s">
        <v>272</v>
      </c>
      <c r="DE2" s="136" t="s">
        <v>273</v>
      </c>
      <c r="DF2" s="121" t="s">
        <v>263</v>
      </c>
      <c r="DG2" s="99" t="s">
        <v>264</v>
      </c>
      <c r="DH2" s="99" t="s">
        <v>265</v>
      </c>
      <c r="DI2" s="143" t="s">
        <v>274</v>
      </c>
      <c r="DK2" s="99" t="s">
        <v>275</v>
      </c>
      <c r="DL2" s="99" t="s">
        <v>276</v>
      </c>
      <c r="DM2" s="136" t="s">
        <v>277</v>
      </c>
      <c r="DN2" s="121" t="s">
        <v>262</v>
      </c>
      <c r="DO2" s="99" t="s">
        <v>280</v>
      </c>
      <c r="DP2" s="99" t="s">
        <v>278</v>
      </c>
      <c r="DQ2" s="144" t="s">
        <v>279</v>
      </c>
      <c r="DR2" s="144" t="s">
        <v>266</v>
      </c>
      <c r="DS2" s="144" t="s">
        <v>267</v>
      </c>
      <c r="DU2" s="17" t="s">
        <v>290</v>
      </c>
      <c r="DV2" s="17" t="s">
        <v>299</v>
      </c>
      <c r="DW2" s="103" t="s">
        <v>291</v>
      </c>
      <c r="DX2" s="167" t="s">
        <v>300</v>
      </c>
      <c r="DY2" s="17" t="s">
        <v>292</v>
      </c>
      <c r="DZ2" s="17" t="s">
        <v>301</v>
      </c>
      <c r="EA2" s="167" t="s">
        <v>293</v>
      </c>
      <c r="EB2" s="103" t="s">
        <v>304</v>
      </c>
      <c r="EC2" s="167" t="s">
        <v>294</v>
      </c>
      <c r="ED2" s="103" t="s">
        <v>303</v>
      </c>
      <c r="EE2" s="167" t="s">
        <v>295</v>
      </c>
      <c r="EF2" s="103" t="s">
        <v>302</v>
      </c>
      <c r="EG2" s="17" t="s">
        <v>290</v>
      </c>
      <c r="EH2" s="17" t="s">
        <v>299</v>
      </c>
      <c r="EI2" s="70" t="s">
        <v>301</v>
      </c>
      <c r="EJ2" s="91" t="s">
        <v>296</v>
      </c>
      <c r="EK2" s="71" t="s">
        <v>297</v>
      </c>
      <c r="EL2" s="70" t="s">
        <v>278</v>
      </c>
      <c r="EM2" s="89" t="s">
        <v>298</v>
      </c>
      <c r="EN2" s="89" t="s">
        <v>305</v>
      </c>
      <c r="EP2" s="173" t="s">
        <v>195</v>
      </c>
    </row>
    <row r="3" spans="1:147" x14ac:dyDescent="0.35">
      <c r="A3" s="85" t="s">
        <v>144</v>
      </c>
      <c r="B3" s="83">
        <v>83000</v>
      </c>
      <c r="D3" s="82" t="s">
        <v>196</v>
      </c>
      <c r="E3" s="82">
        <v>4207.0280000000002</v>
      </c>
      <c r="G3" s="82" t="s">
        <v>214</v>
      </c>
      <c r="H3" s="82">
        <v>468.99599999999998</v>
      </c>
      <c r="J3" s="82" t="s">
        <v>176</v>
      </c>
      <c r="K3" s="82">
        <v>69619.971000000005</v>
      </c>
      <c r="M3" s="5"/>
      <c r="N3" s="66">
        <f>1</f>
        <v>1</v>
      </c>
      <c r="O3" s="78">
        <v>0</v>
      </c>
      <c r="P3" s="77">
        <f>O3/$E$5</f>
        <v>0</v>
      </c>
      <c r="Q3" s="104">
        <v>0</v>
      </c>
      <c r="R3" s="77">
        <f>Q3/$E$8</f>
        <v>0</v>
      </c>
      <c r="S3" s="104">
        <v>0</v>
      </c>
      <c r="T3" s="77">
        <f>S3/$E$17</f>
        <v>0</v>
      </c>
      <c r="U3" s="104">
        <v>0</v>
      </c>
      <c r="V3" s="77">
        <f t="shared" ref="V3:V34" si="0">U3/$B$6</f>
        <v>0</v>
      </c>
      <c r="W3" s="104">
        <v>0</v>
      </c>
      <c r="X3" s="77">
        <f t="shared" ref="X3:X34" si="1">W3/$B$7</f>
        <v>0</v>
      </c>
      <c r="Y3" s="104">
        <v>0</v>
      </c>
      <c r="Z3" s="77">
        <f>Y3/$K$6</f>
        <v>0</v>
      </c>
      <c r="AA3" s="104">
        <v>0</v>
      </c>
      <c r="AB3" s="77">
        <f>AA3/$K$16</f>
        <v>0</v>
      </c>
      <c r="AC3" s="5"/>
      <c r="AD3" s="66">
        <f>1</f>
        <v>1</v>
      </c>
      <c r="AE3" s="78">
        <v>24474.945</v>
      </c>
      <c r="AF3" s="104">
        <v>1267.3</v>
      </c>
      <c r="AG3" s="78">
        <v>275.5</v>
      </c>
      <c r="AH3" s="61">
        <f>AE3/$E$4</f>
        <v>0.27499999999999997</v>
      </c>
      <c r="AI3" s="61">
        <f>AF3/$E$6</f>
        <v>0.55099999999999993</v>
      </c>
      <c r="AJ3" s="61">
        <f>AG3/$E$7</f>
        <v>0.55100000000000005</v>
      </c>
      <c r="AK3" s="77">
        <v>85.272000000000006</v>
      </c>
      <c r="AL3" s="104">
        <v>1385.5884000000001</v>
      </c>
      <c r="AM3" s="61">
        <f t="shared" ref="AM3:AM34" si="2">AK3/$B$9</f>
        <v>0.13200000000000001</v>
      </c>
      <c r="AN3" s="57">
        <f t="shared" ref="AN3:AN34" si="3">AL3/$B$8</f>
        <v>0.11900000000000001</v>
      </c>
      <c r="AO3" s="78">
        <v>15208.6</v>
      </c>
      <c r="AP3" s="104">
        <v>13568.55</v>
      </c>
      <c r="AQ3" s="61">
        <f>AO3/$K$5</f>
        <v>0.34100000000000003</v>
      </c>
      <c r="AR3" s="57">
        <f>AP3/$K$7</f>
        <v>0.57799999999999996</v>
      </c>
      <c r="AS3" s="45"/>
      <c r="AT3" s="78">
        <v>662.45600000000002</v>
      </c>
      <c r="AU3" s="77">
        <f t="shared" ref="AU3:AU34" si="4">AT3/$B$10</f>
        <v>0.2690001867898939</v>
      </c>
      <c r="AV3" s="78">
        <v>863.94200000000001</v>
      </c>
      <c r="AW3" s="77">
        <f t="shared" ref="AW3:AW34" si="5">AV3/$B$11</f>
        <v>0.53761169881767268</v>
      </c>
      <c r="AX3" s="78">
        <v>1121.4780000000001</v>
      </c>
      <c r="AY3" s="77">
        <f>AX3/$K$8</f>
        <v>0.5784392407674851</v>
      </c>
      <c r="AZ3" s="45"/>
      <c r="BA3" s="75">
        <v>51358.995000000003</v>
      </c>
      <c r="BB3" s="77">
        <f>BA3/$K$3</f>
        <v>0.73770491803278682</v>
      </c>
      <c r="BC3" s="45"/>
      <c r="BD3" s="105">
        <v>10455.164000000001</v>
      </c>
      <c r="BE3" s="45">
        <v>0</v>
      </c>
      <c r="BF3" s="106">
        <v>0</v>
      </c>
      <c r="BG3" s="107">
        <f>BD3/$E$20</f>
        <v>0.32071055214723926</v>
      </c>
      <c r="BH3" s="108">
        <f>BE3/$E$18+BF3/$E$19</f>
        <v>0</v>
      </c>
      <c r="BI3" s="106">
        <v>0</v>
      </c>
      <c r="BJ3" s="106">
        <v>0</v>
      </c>
      <c r="BK3" s="106">
        <v>0</v>
      </c>
      <c r="BL3" s="106">
        <v>1409.6679999999999</v>
      </c>
      <c r="BM3" s="107">
        <f>BL3/$H$17</f>
        <v>0.10459029529603799</v>
      </c>
      <c r="BN3" s="108">
        <f>BI3/$H$14+BJ3/$H$15+BK3/$H$16</f>
        <v>0</v>
      </c>
      <c r="BO3" s="45">
        <v>7668</v>
      </c>
      <c r="BP3" s="45">
        <v>648.91951976999997</v>
      </c>
      <c r="BQ3" s="45"/>
      <c r="BR3" s="109">
        <v>-700</v>
      </c>
      <c r="BS3" s="45">
        <f>IF(BR3&gt;0,BR3,0)</f>
        <v>0</v>
      </c>
      <c r="BT3" s="45">
        <v>4485</v>
      </c>
      <c r="BU3" s="45">
        <f>IF(BT3&gt;0,BT3,0)</f>
        <v>4485</v>
      </c>
      <c r="BV3" s="45">
        <v>0</v>
      </c>
      <c r="BW3" s="45">
        <f>IF(BV3&gt;0,BV3,0)</f>
        <v>0</v>
      </c>
      <c r="BX3" s="45">
        <v>-5000</v>
      </c>
      <c r="BY3" s="45">
        <f>IF(BX3&gt;0,BX3,0)</f>
        <v>0</v>
      </c>
      <c r="BZ3" s="45">
        <v>-716.91476567999996</v>
      </c>
      <c r="CA3" s="45">
        <f>IF(BZ3&gt;0,BZ3,0)</f>
        <v>0</v>
      </c>
      <c r="CB3" s="45">
        <v>-4000</v>
      </c>
      <c r="CC3" s="45">
        <f>IF(CB3&gt;0,CB3,0)</f>
        <v>0</v>
      </c>
      <c r="CD3" s="45">
        <v>4800</v>
      </c>
      <c r="CE3" s="45">
        <f>IF(CD3&gt;0,CD3,0)</f>
        <v>4800</v>
      </c>
      <c r="CF3" s="45">
        <v>14492.933186640001</v>
      </c>
      <c r="CG3" s="45">
        <f>IF(CF3&gt;0,CF3,0)</f>
        <v>14492.933186640001</v>
      </c>
      <c r="CH3" s="107">
        <f>BS3+BU3+BW3+BY3+CA3+CC3+CE3+CG3</f>
        <v>23777.933186640003</v>
      </c>
      <c r="CI3" s="45"/>
      <c r="CJ3" s="109">
        <v>-700</v>
      </c>
      <c r="CK3" s="45">
        <f>IF(CJ3&lt;0,-CJ3,0)</f>
        <v>700</v>
      </c>
      <c r="CL3" s="45">
        <v>4485</v>
      </c>
      <c r="CM3" s="45">
        <f>IF(CL3&lt;0,-CL3,0)</f>
        <v>0</v>
      </c>
      <c r="CN3" s="45">
        <v>0</v>
      </c>
      <c r="CO3" s="45">
        <f>IF(CN3&lt;0,-CN3,0)</f>
        <v>0</v>
      </c>
      <c r="CP3" s="45">
        <v>-5000</v>
      </c>
      <c r="CQ3" s="45">
        <f>IF(CP3&lt;0,-CP3,0)</f>
        <v>5000</v>
      </c>
      <c r="CR3" s="45">
        <v>-716.91476567999996</v>
      </c>
      <c r="CS3" s="45">
        <f>IF(CR3&lt;0,-CR3,0)</f>
        <v>716.91476567999996</v>
      </c>
      <c r="CT3" s="45">
        <v>-4000</v>
      </c>
      <c r="CU3" s="45">
        <f>IF(CT3&lt;0,-CT3,0)</f>
        <v>4000</v>
      </c>
      <c r="CV3" s="45">
        <v>4800</v>
      </c>
      <c r="CW3" s="45">
        <f>IF(CV3&lt;0,-CV3,0)</f>
        <v>0</v>
      </c>
      <c r="CX3" s="45">
        <v>14492.933186640001</v>
      </c>
      <c r="CY3" s="45">
        <f>IF(CX3&lt;0,-CX3,0)</f>
        <v>0</v>
      </c>
      <c r="CZ3" s="107">
        <f>CK3+CM3+CO3+CQ3+CS3+CU3+CW3+CY3</f>
        <v>10416.91476568</v>
      </c>
      <c r="DA3" s="45"/>
      <c r="DB3" s="110">
        <v>29610.762999999999</v>
      </c>
      <c r="DC3" s="57">
        <v>2130.9360000000001</v>
      </c>
      <c r="DD3" s="61">
        <v>1169.3201031276001</v>
      </c>
      <c r="DE3" s="61">
        <f>DB3+DC3+DD3</f>
        <v>32911.019103127597</v>
      </c>
      <c r="DF3" s="110">
        <v>7726.7179999999998</v>
      </c>
      <c r="DG3" s="110">
        <v>52192.411</v>
      </c>
      <c r="DH3" s="57">
        <v>6163</v>
      </c>
      <c r="DI3" s="107">
        <f>DG3+DH3</f>
        <v>58355.411</v>
      </c>
      <c r="DJ3" s="45"/>
      <c r="DK3" s="110">
        <v>719.88800000000003</v>
      </c>
      <c r="DL3" s="57">
        <v>10493.065843074541</v>
      </c>
      <c r="DM3" s="57">
        <f>DK3+DL3</f>
        <v>11212.953843074542</v>
      </c>
      <c r="DN3" s="61">
        <v>1194.729528534212</v>
      </c>
      <c r="DO3" s="61">
        <v>2899.4800998655778</v>
      </c>
      <c r="DP3" s="61">
        <v>461.65552213000001</v>
      </c>
      <c r="DQ3" s="57">
        <f>DO3+DP3</f>
        <v>3361.1356219955778</v>
      </c>
      <c r="DR3" s="57">
        <v>161.08222777030991</v>
      </c>
      <c r="DS3" s="57">
        <v>161.08222777030991</v>
      </c>
      <c r="DT3" s="5"/>
      <c r="DU3" s="152">
        <v>0</v>
      </c>
      <c r="DV3" s="154">
        <v>6779.6610170000004</v>
      </c>
      <c r="DW3" s="153">
        <v>1447.7400829999999</v>
      </c>
      <c r="DX3" s="153">
        <v>0</v>
      </c>
      <c r="DY3" s="73">
        <v>0</v>
      </c>
      <c r="DZ3" s="156">
        <v>1553.672292</v>
      </c>
      <c r="EA3" s="73">
        <v>0</v>
      </c>
      <c r="EB3" s="156">
        <v>1271.1864410000001</v>
      </c>
      <c r="EC3" s="152">
        <v>0</v>
      </c>
      <c r="ED3" s="154">
        <v>847.5</v>
      </c>
      <c r="EE3" s="152">
        <v>0</v>
      </c>
      <c r="EF3" s="154">
        <v>7397.5988710000001</v>
      </c>
      <c r="EG3" s="152">
        <v>0</v>
      </c>
      <c r="EH3" s="154">
        <v>6779.6610170000004</v>
      </c>
      <c r="EI3" s="158">
        <v>1553.672292</v>
      </c>
      <c r="EJ3" s="161">
        <v>847.5</v>
      </c>
      <c r="EK3" s="164">
        <v>735.83500000000004</v>
      </c>
      <c r="EL3" s="158">
        <v>461.65552213000001</v>
      </c>
      <c r="EM3" s="158">
        <f>DW3+EB3+ED3+EF3</f>
        <v>10964.025395000001</v>
      </c>
      <c r="EN3" s="158">
        <f>DX3+EA3+EC3+EE3</f>
        <v>0</v>
      </c>
      <c r="EP3" s="2">
        <v>20065.234049999999</v>
      </c>
      <c r="EQ3" s="5">
        <f>EP3/$E$2</f>
        <v>0.81699999999999995</v>
      </c>
    </row>
    <row r="4" spans="1:147" x14ac:dyDescent="0.35">
      <c r="A4" s="86" t="s">
        <v>143</v>
      </c>
      <c r="B4" s="68">
        <v>4805</v>
      </c>
      <c r="D4" s="82" t="s">
        <v>197</v>
      </c>
      <c r="E4" s="82">
        <v>88999.8</v>
      </c>
      <c r="G4" s="82" t="s">
        <v>158</v>
      </c>
      <c r="H4" s="82">
        <v>11643.6</v>
      </c>
      <c r="J4" s="82" t="s">
        <v>177</v>
      </c>
      <c r="K4" s="82">
        <v>1390</v>
      </c>
      <c r="M4" s="5"/>
      <c r="N4" s="66">
        <f>1+N3</f>
        <v>2</v>
      </c>
      <c r="O4" s="78">
        <v>0</v>
      </c>
      <c r="P4" s="77">
        <f t="shared" ref="P4:P67" si="6">O4/$E$5</f>
        <v>0</v>
      </c>
      <c r="Q4" s="104">
        <v>0</v>
      </c>
      <c r="R4" s="77">
        <f t="shared" ref="R4:R67" si="7">Q4/$E$8</f>
        <v>0</v>
      </c>
      <c r="S4" s="104">
        <v>0</v>
      </c>
      <c r="T4" s="77">
        <f t="shared" ref="T4:T67" si="8">S4/$E$17</f>
        <v>0</v>
      </c>
      <c r="U4" s="104">
        <v>0</v>
      </c>
      <c r="V4" s="77">
        <f t="shared" si="0"/>
        <v>0</v>
      </c>
      <c r="W4" s="104">
        <v>0</v>
      </c>
      <c r="X4" s="77">
        <f t="shared" si="1"/>
        <v>0</v>
      </c>
      <c r="Y4" s="104">
        <v>0</v>
      </c>
      <c r="Z4" s="77">
        <f t="shared" ref="Z4:Z67" si="9">Y4/$K$6</f>
        <v>0</v>
      </c>
      <c r="AA4" s="104">
        <v>0</v>
      </c>
      <c r="AB4" s="77">
        <f t="shared" ref="AB4:AB67" si="10">AA4/$K$16</f>
        <v>0</v>
      </c>
      <c r="AC4" s="5"/>
      <c r="AD4" s="66">
        <f>1+AD3</f>
        <v>2</v>
      </c>
      <c r="AE4" s="78">
        <v>26165.941200000001</v>
      </c>
      <c r="AF4" s="104">
        <v>1400.7</v>
      </c>
      <c r="AG4" s="78">
        <v>304.5</v>
      </c>
      <c r="AH4" s="61">
        <f t="shared" ref="AH4:AH67" si="11">AE4/$E$4</f>
        <v>0.29399999999999998</v>
      </c>
      <c r="AI4" s="61">
        <f t="shared" ref="AI4:AI67" si="12">AF4/$E$6</f>
        <v>0.60899999999999999</v>
      </c>
      <c r="AJ4" s="61">
        <f t="shared" ref="AJ4:AJ67" si="13">AG4/$E$7</f>
        <v>0.60899999999999999</v>
      </c>
      <c r="AK4" s="77">
        <v>76.227999999999994</v>
      </c>
      <c r="AL4" s="104">
        <v>1455.45</v>
      </c>
      <c r="AM4" s="61">
        <f t="shared" si="2"/>
        <v>0.11799999999999999</v>
      </c>
      <c r="AN4" s="57">
        <f t="shared" si="3"/>
        <v>0.125</v>
      </c>
      <c r="AO4" s="78">
        <v>16591.2</v>
      </c>
      <c r="AP4" s="104">
        <v>16127.325000000001</v>
      </c>
      <c r="AQ4" s="61">
        <f t="shared" ref="AQ4:AQ67" si="14">AO4/$K$5</f>
        <v>0.372</v>
      </c>
      <c r="AR4" s="57">
        <f t="shared" ref="AR4:AR67" si="15">AP4/$K$7</f>
        <v>0.68700000000000006</v>
      </c>
      <c r="AS4" s="45"/>
      <c r="AT4" s="78">
        <v>657.53</v>
      </c>
      <c r="AU4" s="77">
        <f t="shared" si="4"/>
        <v>0.26699991066570294</v>
      </c>
      <c r="AV4" s="78">
        <v>857.85199999999998</v>
      </c>
      <c r="AW4" s="77">
        <f t="shared" si="5"/>
        <v>0.53382202862476658</v>
      </c>
      <c r="AX4" s="78">
        <v>1121.4780000000001</v>
      </c>
      <c r="AY4" s="77">
        <f t="shared" ref="AY4:AY67" si="16">AX4/$K$8</f>
        <v>0.5784392407674851</v>
      </c>
      <c r="AZ4" s="45"/>
      <c r="BA4" s="75">
        <v>51358.995000000003</v>
      </c>
      <c r="BB4" s="77">
        <f t="shared" ref="BB4:BB67" si="17">BA4/$K$3</f>
        <v>0.73770491803278682</v>
      </c>
      <c r="BC4" s="45"/>
      <c r="BD4" s="105">
        <v>11188.316999999999</v>
      </c>
      <c r="BE4" s="45">
        <v>0</v>
      </c>
      <c r="BF4" s="106">
        <v>0</v>
      </c>
      <c r="BG4" s="107">
        <f t="shared" ref="BG4:BG67" si="18">BD4/$E$20</f>
        <v>0.34319990797546007</v>
      </c>
      <c r="BH4" s="108">
        <f t="shared" ref="BH4:BH67" si="19">BE4/$E$18+BF4/$E$19</f>
        <v>0</v>
      </c>
      <c r="BI4" s="106">
        <v>0</v>
      </c>
      <c r="BJ4" s="106">
        <v>0</v>
      </c>
      <c r="BK4" s="106">
        <v>0</v>
      </c>
      <c r="BL4" s="106">
        <v>1295.2329999999999</v>
      </c>
      <c r="BM4" s="107">
        <f t="shared" ref="BM4:BM67" si="20">BL4/$H$17</f>
        <v>9.6099792254043623E-2</v>
      </c>
      <c r="BN4" s="108">
        <f t="shared" ref="BN4:BN67" si="21">BI4/$H$14+BJ4/$H$15+BK4/$H$16</f>
        <v>0</v>
      </c>
      <c r="BO4" s="45">
        <v>7668</v>
      </c>
      <c r="BP4" s="45">
        <v>648.91951976999997</v>
      </c>
      <c r="BQ4" s="45"/>
      <c r="BR4" s="109">
        <v>-700</v>
      </c>
      <c r="BS4" s="45">
        <f t="shared" ref="BS4:BU67" si="22">IF(BR4&gt;0,BR4,0)</f>
        <v>0</v>
      </c>
      <c r="BT4" s="45">
        <v>4485</v>
      </c>
      <c r="BU4" s="45">
        <f t="shared" si="22"/>
        <v>4485</v>
      </c>
      <c r="BV4" s="45">
        <v>0</v>
      </c>
      <c r="BW4" s="45">
        <f t="shared" ref="BW4:BY4" si="23">IF(BV4&gt;0,BV4,0)</f>
        <v>0</v>
      </c>
      <c r="BX4" s="45">
        <v>-5000</v>
      </c>
      <c r="BY4" s="45">
        <f t="shared" si="23"/>
        <v>0</v>
      </c>
      <c r="BZ4" s="45">
        <v>0</v>
      </c>
      <c r="CA4" s="45">
        <f t="shared" ref="CA4:CC4" si="24">IF(BZ4&gt;0,BZ4,0)</f>
        <v>0</v>
      </c>
      <c r="CB4" s="45">
        <v>-4000</v>
      </c>
      <c r="CC4" s="45">
        <f t="shared" si="24"/>
        <v>0</v>
      </c>
      <c r="CD4" s="45">
        <v>4800</v>
      </c>
      <c r="CE4" s="45">
        <f t="shared" ref="CE4:CG4" si="25">IF(CD4&gt;0,CD4,0)</f>
        <v>4800</v>
      </c>
      <c r="CF4" s="45">
        <v>10757.921540130001</v>
      </c>
      <c r="CG4" s="45">
        <f t="shared" si="25"/>
        <v>10757.921540130001</v>
      </c>
      <c r="CH4" s="107">
        <f t="shared" ref="CH4:CH67" si="26">BS4+BU4+BW4+BY4+CA4+CC4+CE4+CG4</f>
        <v>20042.921540130003</v>
      </c>
      <c r="CI4" s="45"/>
      <c r="CJ4" s="109">
        <v>-700</v>
      </c>
      <c r="CK4" s="45">
        <f t="shared" ref="CK4:CM67" si="27">IF(CJ4&lt;0,-CJ4,0)</f>
        <v>700</v>
      </c>
      <c r="CL4" s="45">
        <v>4485</v>
      </c>
      <c r="CM4" s="45">
        <f t="shared" si="27"/>
        <v>0</v>
      </c>
      <c r="CN4" s="45">
        <v>0</v>
      </c>
      <c r="CO4" s="45">
        <f t="shared" ref="CO4:CQ4" si="28">IF(CN4&lt;0,-CN4,0)</f>
        <v>0</v>
      </c>
      <c r="CP4" s="45">
        <v>-5000</v>
      </c>
      <c r="CQ4" s="45">
        <f t="shared" si="28"/>
        <v>5000</v>
      </c>
      <c r="CR4" s="45">
        <v>0</v>
      </c>
      <c r="CS4" s="45">
        <f t="shared" ref="CS4:CU4" si="29">IF(CR4&lt;0,-CR4,0)</f>
        <v>0</v>
      </c>
      <c r="CT4" s="45">
        <v>-4000</v>
      </c>
      <c r="CU4" s="45">
        <f t="shared" si="29"/>
        <v>4000</v>
      </c>
      <c r="CV4" s="45">
        <v>4800</v>
      </c>
      <c r="CW4" s="45">
        <f t="shared" ref="CW4:CY4" si="30">IF(CV4&lt;0,-CV4,0)</f>
        <v>0</v>
      </c>
      <c r="CX4" s="45">
        <v>10757.921540130001</v>
      </c>
      <c r="CY4" s="45">
        <f t="shared" si="30"/>
        <v>0</v>
      </c>
      <c r="CZ4" s="107">
        <f t="shared" ref="CZ4:CZ67" si="31">CK4+CM4+CO4+CQ4+CS4+CU4+CW4+CY4</f>
        <v>9700</v>
      </c>
      <c r="DA4" s="45"/>
      <c r="DB4" s="110">
        <v>28009.473999999998</v>
      </c>
      <c r="DC4" s="57">
        <v>2090.0889999999999</v>
      </c>
      <c r="DD4" s="61">
        <v>888.66789827310004</v>
      </c>
      <c r="DE4" s="61">
        <f t="shared" ref="DE4:DE67" si="32">DB4+DC4+DD4</f>
        <v>30988.230898273097</v>
      </c>
      <c r="DF4" s="110">
        <v>7402.4830000000002</v>
      </c>
      <c r="DG4" s="110">
        <v>51263.411</v>
      </c>
      <c r="DH4" s="57">
        <v>6232</v>
      </c>
      <c r="DI4" s="107">
        <f t="shared" ref="DI4:DI67" si="33">DG4+DH4</f>
        <v>57495.411</v>
      </c>
      <c r="DJ4" s="45"/>
      <c r="DK4" s="110">
        <v>744.82899999999995</v>
      </c>
      <c r="DL4" s="57">
        <v>10493.065843074541</v>
      </c>
      <c r="DM4" s="57">
        <f t="shared" ref="DM4:DM67" si="34">DK4+DL4</f>
        <v>11237.89484307454</v>
      </c>
      <c r="DN4" s="61">
        <v>1194.729528534212</v>
      </c>
      <c r="DO4" s="61">
        <v>2899.4800998655778</v>
      </c>
      <c r="DP4" s="61">
        <v>461.65552213000001</v>
      </c>
      <c r="DQ4" s="57">
        <f t="shared" ref="DQ4:DQ67" si="35">DO4+DP4</f>
        <v>3361.1356219955778</v>
      </c>
      <c r="DR4" s="57">
        <v>161.08222777030991</v>
      </c>
      <c r="DS4" s="57">
        <v>161.08222777030991</v>
      </c>
      <c r="DT4" s="5"/>
      <c r="DU4" s="73">
        <v>0</v>
      </c>
      <c r="DV4" s="156">
        <v>6779.6610170000004</v>
      </c>
      <c r="DW4" s="155">
        <v>1447.7400829999999</v>
      </c>
      <c r="DX4" s="155">
        <v>0</v>
      </c>
      <c r="DY4" s="73">
        <v>0</v>
      </c>
      <c r="DZ4" s="156">
        <v>1553.672292</v>
      </c>
      <c r="EA4" s="73">
        <v>0</v>
      </c>
      <c r="EB4" s="156">
        <v>1271.1864410000001</v>
      </c>
      <c r="EC4" s="73">
        <v>0</v>
      </c>
      <c r="ED4" s="156">
        <v>847.5</v>
      </c>
      <c r="EE4" s="73">
        <v>0</v>
      </c>
      <c r="EF4" s="156">
        <v>7397.5988710000001</v>
      </c>
      <c r="EG4" s="73">
        <v>0</v>
      </c>
      <c r="EH4" s="156">
        <v>6779.6610170000004</v>
      </c>
      <c r="EI4" s="159">
        <v>1553.672292</v>
      </c>
      <c r="EJ4" s="162">
        <v>847.5</v>
      </c>
      <c r="EK4" s="165">
        <v>735.83500000000004</v>
      </c>
      <c r="EL4" s="159">
        <v>461.65552213000001</v>
      </c>
      <c r="EM4" s="159">
        <f t="shared" ref="EM4:EM67" si="36">DW4+EB4+ED4+EF4</f>
        <v>10964.025395000001</v>
      </c>
      <c r="EN4" s="159">
        <f t="shared" ref="EN4:EN67" si="37">DX4+EA4+EC4+EE4</f>
        <v>0</v>
      </c>
      <c r="EP4" s="2">
        <v>20065.234049999999</v>
      </c>
      <c r="EQ4" s="5">
        <f t="shared" ref="EQ4:EQ67" si="38">EP4/$E$2</f>
        <v>0.81699999999999995</v>
      </c>
    </row>
    <row r="5" spans="1:147" x14ac:dyDescent="0.35">
      <c r="A5" s="87" t="s">
        <v>142</v>
      </c>
      <c r="B5" s="69">
        <v>30000</v>
      </c>
      <c r="D5" s="82" t="s">
        <v>147</v>
      </c>
      <c r="E5" s="82">
        <v>83000</v>
      </c>
      <c r="G5" s="82" t="s">
        <v>148</v>
      </c>
      <c r="H5" s="82">
        <v>14378.2</v>
      </c>
      <c r="J5" s="82" t="s">
        <v>178</v>
      </c>
      <c r="K5" s="82">
        <v>44600</v>
      </c>
      <c r="M5" s="5"/>
      <c r="N5" s="66">
        <f t="shared" ref="N5:N68" si="39">1+N4</f>
        <v>3</v>
      </c>
      <c r="O5" s="78">
        <v>0</v>
      </c>
      <c r="P5" s="77">
        <f t="shared" si="6"/>
        <v>0</v>
      </c>
      <c r="Q5" s="104">
        <v>0</v>
      </c>
      <c r="R5" s="77">
        <f t="shared" si="7"/>
        <v>0</v>
      </c>
      <c r="S5" s="104">
        <v>0</v>
      </c>
      <c r="T5" s="77">
        <f t="shared" si="8"/>
        <v>0</v>
      </c>
      <c r="U5" s="104">
        <v>0</v>
      </c>
      <c r="V5" s="77">
        <f t="shared" si="0"/>
        <v>0</v>
      </c>
      <c r="W5" s="104">
        <v>0</v>
      </c>
      <c r="X5" s="77">
        <f t="shared" si="1"/>
        <v>0</v>
      </c>
      <c r="Y5" s="104">
        <v>0</v>
      </c>
      <c r="Z5" s="77">
        <f t="shared" si="9"/>
        <v>0</v>
      </c>
      <c r="AA5" s="104">
        <v>0</v>
      </c>
      <c r="AB5" s="77">
        <f t="shared" si="10"/>
        <v>0</v>
      </c>
      <c r="AC5" s="5"/>
      <c r="AD5" s="66">
        <f t="shared" ref="AD5:AD68" si="40">1+AD4</f>
        <v>3</v>
      </c>
      <c r="AE5" s="78">
        <v>26610.940200000001</v>
      </c>
      <c r="AF5" s="104">
        <v>1465.1</v>
      </c>
      <c r="AG5" s="78">
        <v>318.5</v>
      </c>
      <c r="AH5" s="61">
        <f t="shared" si="11"/>
        <v>0.29899999999999999</v>
      </c>
      <c r="AI5" s="61">
        <f t="shared" si="12"/>
        <v>0.63700000000000001</v>
      </c>
      <c r="AJ5" s="61">
        <f t="shared" si="13"/>
        <v>0.63700000000000001</v>
      </c>
      <c r="AK5" s="77">
        <v>71.06</v>
      </c>
      <c r="AL5" s="104">
        <v>1595.1732</v>
      </c>
      <c r="AM5" s="61">
        <f t="shared" si="2"/>
        <v>0.11</v>
      </c>
      <c r="AN5" s="57">
        <f t="shared" si="3"/>
        <v>0.13699999999999998</v>
      </c>
      <c r="AO5" s="78">
        <v>18375.2</v>
      </c>
      <c r="AP5" s="104">
        <v>17653.2</v>
      </c>
      <c r="AQ5" s="61">
        <f t="shared" si="14"/>
        <v>0.41200000000000003</v>
      </c>
      <c r="AR5" s="57">
        <f t="shared" si="15"/>
        <v>0.752</v>
      </c>
      <c r="AS5" s="45"/>
      <c r="AT5" s="78">
        <v>652.60500000000002</v>
      </c>
      <c r="AU5" s="77">
        <f t="shared" si="4"/>
        <v>0.26500004060649868</v>
      </c>
      <c r="AV5" s="78">
        <v>856.53800000000001</v>
      </c>
      <c r="AW5" s="77">
        <f t="shared" si="5"/>
        <v>0.53300435594275042</v>
      </c>
      <c r="AX5" s="78">
        <v>1121.4780000000001</v>
      </c>
      <c r="AY5" s="77">
        <f t="shared" si="16"/>
        <v>0.5784392407674851</v>
      </c>
      <c r="AZ5" s="45"/>
      <c r="BA5" s="75">
        <v>51358.995000000003</v>
      </c>
      <c r="BB5" s="77">
        <f t="shared" si="17"/>
        <v>0.73770491803278682</v>
      </c>
      <c r="BC5" s="45"/>
      <c r="BD5" s="105">
        <v>11379.209000000001</v>
      </c>
      <c r="BE5" s="45">
        <v>0</v>
      </c>
      <c r="BF5" s="106">
        <v>0</v>
      </c>
      <c r="BG5" s="107">
        <f t="shared" si="18"/>
        <v>0.34905549079754605</v>
      </c>
      <c r="BH5" s="108">
        <f t="shared" si="19"/>
        <v>0</v>
      </c>
      <c r="BI5" s="106">
        <v>0</v>
      </c>
      <c r="BJ5" s="106">
        <v>0</v>
      </c>
      <c r="BK5" s="106">
        <v>0</v>
      </c>
      <c r="BL5" s="106">
        <v>1219.3710000000001</v>
      </c>
      <c r="BM5" s="107">
        <f t="shared" si="20"/>
        <v>9.047121234604541E-2</v>
      </c>
      <c r="BN5" s="108">
        <f t="shared" si="21"/>
        <v>0</v>
      </c>
      <c r="BO5" s="45">
        <v>7668</v>
      </c>
      <c r="BP5" s="45">
        <v>648.91951976999997</v>
      </c>
      <c r="BQ5" s="45"/>
      <c r="BR5" s="109">
        <v>-700</v>
      </c>
      <c r="BS5" s="45">
        <f t="shared" si="22"/>
        <v>0</v>
      </c>
      <c r="BT5" s="45">
        <v>4485</v>
      </c>
      <c r="BU5" s="45">
        <f t="shared" si="22"/>
        <v>4485</v>
      </c>
      <c r="BV5" s="45">
        <v>0</v>
      </c>
      <c r="BW5" s="45">
        <f t="shared" ref="BW5:BY5" si="41">IF(BV5&gt;0,BV5,0)</f>
        <v>0</v>
      </c>
      <c r="BX5" s="45">
        <v>-5000</v>
      </c>
      <c r="BY5" s="45">
        <f t="shared" si="41"/>
        <v>0</v>
      </c>
      <c r="BZ5" s="45">
        <v>-2222.6190378800002</v>
      </c>
      <c r="CA5" s="45">
        <f t="shared" ref="CA5:CC5" si="42">IF(BZ5&gt;0,BZ5,0)</f>
        <v>0</v>
      </c>
      <c r="CB5" s="45">
        <v>-4000</v>
      </c>
      <c r="CC5" s="45">
        <f t="shared" si="42"/>
        <v>0</v>
      </c>
      <c r="CD5" s="45">
        <v>4800</v>
      </c>
      <c r="CE5" s="45">
        <f t="shared" ref="CE5:CG5" si="43">IF(CD5&gt;0,CD5,0)</f>
        <v>4800</v>
      </c>
      <c r="CF5" s="45">
        <v>10279.41041857</v>
      </c>
      <c r="CG5" s="45">
        <f t="shared" si="43"/>
        <v>10279.41041857</v>
      </c>
      <c r="CH5" s="107">
        <f t="shared" si="26"/>
        <v>19564.410418569998</v>
      </c>
      <c r="CI5" s="45"/>
      <c r="CJ5" s="109">
        <v>-700</v>
      </c>
      <c r="CK5" s="45">
        <f t="shared" si="27"/>
        <v>700</v>
      </c>
      <c r="CL5" s="45">
        <v>4485</v>
      </c>
      <c r="CM5" s="45">
        <f t="shared" si="27"/>
        <v>0</v>
      </c>
      <c r="CN5" s="45">
        <v>0</v>
      </c>
      <c r="CO5" s="45">
        <f t="shared" ref="CO5:CQ5" si="44">IF(CN5&lt;0,-CN5,0)</f>
        <v>0</v>
      </c>
      <c r="CP5" s="45">
        <v>-5000</v>
      </c>
      <c r="CQ5" s="45">
        <f t="shared" si="44"/>
        <v>5000</v>
      </c>
      <c r="CR5" s="45">
        <v>-2222.6190378800002</v>
      </c>
      <c r="CS5" s="45">
        <f t="shared" ref="CS5:CU5" si="45">IF(CR5&lt;0,-CR5,0)</f>
        <v>2222.6190378800002</v>
      </c>
      <c r="CT5" s="45">
        <v>-4000</v>
      </c>
      <c r="CU5" s="45">
        <f t="shared" si="45"/>
        <v>4000</v>
      </c>
      <c r="CV5" s="45">
        <v>4800</v>
      </c>
      <c r="CW5" s="45">
        <f t="shared" ref="CW5:CY5" si="46">IF(CV5&lt;0,-CV5,0)</f>
        <v>0</v>
      </c>
      <c r="CX5" s="45">
        <v>10279.41041857</v>
      </c>
      <c r="CY5" s="45">
        <f t="shared" si="46"/>
        <v>0</v>
      </c>
      <c r="CZ5" s="107">
        <f t="shared" si="31"/>
        <v>11922.61903788</v>
      </c>
      <c r="DA5" s="45"/>
      <c r="DB5" s="110">
        <v>26842.165000000001</v>
      </c>
      <c r="DC5" s="57">
        <v>2042.9949999999999</v>
      </c>
      <c r="DD5" s="61">
        <v>1460.1450066238999</v>
      </c>
      <c r="DE5" s="61">
        <f t="shared" si="32"/>
        <v>30345.305006623901</v>
      </c>
      <c r="DF5" s="110">
        <v>7034.8829999999998</v>
      </c>
      <c r="DG5" s="110">
        <v>49580.411</v>
      </c>
      <c r="DH5" s="57">
        <v>6311</v>
      </c>
      <c r="DI5" s="107">
        <f t="shared" si="33"/>
        <v>55891.411</v>
      </c>
      <c r="DJ5" s="45"/>
      <c r="DK5" s="110">
        <v>804.37300000000005</v>
      </c>
      <c r="DL5" s="57">
        <v>10493.065843074541</v>
      </c>
      <c r="DM5" s="57">
        <f t="shared" si="34"/>
        <v>11297.43884307454</v>
      </c>
      <c r="DN5" s="61">
        <v>1194.729528534212</v>
      </c>
      <c r="DO5" s="61">
        <v>2899.4800998655778</v>
      </c>
      <c r="DP5" s="61">
        <v>461.65552213000001</v>
      </c>
      <c r="DQ5" s="57">
        <f t="shared" si="35"/>
        <v>3361.1356219955778</v>
      </c>
      <c r="DR5" s="57">
        <v>161.08222777030991</v>
      </c>
      <c r="DS5" s="57">
        <v>161.08222777030991</v>
      </c>
      <c r="DT5" s="5"/>
      <c r="DU5" s="73">
        <v>0</v>
      </c>
      <c r="DV5" s="156">
        <v>6779.6610170000004</v>
      </c>
      <c r="DW5" s="155">
        <v>1447.7400829999999</v>
      </c>
      <c r="DX5" s="155">
        <v>0</v>
      </c>
      <c r="DY5" s="73">
        <v>0</v>
      </c>
      <c r="DZ5" s="156">
        <v>1553.672292</v>
      </c>
      <c r="EA5" s="73">
        <v>0</v>
      </c>
      <c r="EB5" s="156">
        <v>1271.1864410000001</v>
      </c>
      <c r="EC5" s="73">
        <v>0</v>
      </c>
      <c r="ED5" s="156">
        <v>847.5</v>
      </c>
      <c r="EE5" s="73">
        <v>0</v>
      </c>
      <c r="EF5" s="156">
        <v>7397.5988710000001</v>
      </c>
      <c r="EG5" s="73">
        <v>0</v>
      </c>
      <c r="EH5" s="156">
        <v>6779.6610170000004</v>
      </c>
      <c r="EI5" s="159">
        <v>1553.672292</v>
      </c>
      <c r="EJ5" s="162">
        <v>847.5</v>
      </c>
      <c r="EK5" s="165">
        <v>735.83500000000004</v>
      </c>
      <c r="EL5" s="159">
        <v>461.65552213000001</v>
      </c>
      <c r="EM5" s="159">
        <f t="shared" si="36"/>
        <v>10964.025395000001</v>
      </c>
      <c r="EN5" s="159">
        <f t="shared" si="37"/>
        <v>0</v>
      </c>
      <c r="EP5" s="2">
        <v>20065.234049999999</v>
      </c>
      <c r="EQ5" s="5">
        <f t="shared" si="38"/>
        <v>0.81699999999999995</v>
      </c>
    </row>
    <row r="6" spans="1:147" x14ac:dyDescent="0.35">
      <c r="A6" s="85" t="s">
        <v>145</v>
      </c>
      <c r="B6" s="83">
        <v>14378.2</v>
      </c>
      <c r="D6" s="82" t="s">
        <v>198</v>
      </c>
      <c r="E6" s="82">
        <v>2300</v>
      </c>
      <c r="G6" s="82" t="s">
        <v>157</v>
      </c>
      <c r="H6" s="82">
        <v>646</v>
      </c>
      <c r="J6" s="82" t="s">
        <v>179</v>
      </c>
      <c r="K6" s="82">
        <v>51420</v>
      </c>
      <c r="M6" s="5"/>
      <c r="N6" s="66">
        <f t="shared" si="39"/>
        <v>4</v>
      </c>
      <c r="O6" s="78">
        <v>0</v>
      </c>
      <c r="P6" s="77">
        <f t="shared" si="6"/>
        <v>0</v>
      </c>
      <c r="Q6" s="104">
        <v>0</v>
      </c>
      <c r="R6" s="77">
        <f t="shared" si="7"/>
        <v>0</v>
      </c>
      <c r="S6" s="104">
        <v>0</v>
      </c>
      <c r="T6" s="77">
        <f t="shared" si="8"/>
        <v>0</v>
      </c>
      <c r="U6" s="104">
        <v>0</v>
      </c>
      <c r="V6" s="77">
        <f t="shared" si="0"/>
        <v>0</v>
      </c>
      <c r="W6" s="104">
        <v>0</v>
      </c>
      <c r="X6" s="77">
        <f t="shared" si="1"/>
        <v>0</v>
      </c>
      <c r="Y6" s="104">
        <v>0</v>
      </c>
      <c r="Z6" s="77">
        <f t="shared" si="9"/>
        <v>0</v>
      </c>
      <c r="AA6" s="104">
        <v>0</v>
      </c>
      <c r="AB6" s="77">
        <f t="shared" si="10"/>
        <v>0</v>
      </c>
      <c r="AC6" s="5"/>
      <c r="AD6" s="66">
        <f t="shared" si="40"/>
        <v>4</v>
      </c>
      <c r="AE6" s="78">
        <v>27322.938600000001</v>
      </c>
      <c r="AF6" s="104">
        <v>1460.5</v>
      </c>
      <c r="AG6" s="78">
        <v>317.5</v>
      </c>
      <c r="AH6" s="61">
        <f t="shared" si="11"/>
        <v>0.307</v>
      </c>
      <c r="AI6" s="61">
        <f t="shared" si="12"/>
        <v>0.63500000000000001</v>
      </c>
      <c r="AJ6" s="61">
        <f t="shared" si="13"/>
        <v>0.63500000000000001</v>
      </c>
      <c r="AK6" s="77">
        <v>67.83</v>
      </c>
      <c r="AL6" s="104">
        <v>1781.4708000000001</v>
      </c>
      <c r="AM6" s="61">
        <f t="shared" si="2"/>
        <v>0.105</v>
      </c>
      <c r="AN6" s="57">
        <f t="shared" si="3"/>
        <v>0.153</v>
      </c>
      <c r="AO6" s="78">
        <v>19534.8</v>
      </c>
      <c r="AP6" s="104">
        <v>18404.400000000001</v>
      </c>
      <c r="AQ6" s="61">
        <f t="shared" si="14"/>
        <v>0.438</v>
      </c>
      <c r="AR6" s="57">
        <f t="shared" si="15"/>
        <v>0.78400000000000003</v>
      </c>
      <c r="AS6" s="45"/>
      <c r="AT6" s="78">
        <v>677.23099999999999</v>
      </c>
      <c r="AU6" s="77">
        <f t="shared" si="4"/>
        <v>0.2749997969675067</v>
      </c>
      <c r="AV6" s="78">
        <v>866.279</v>
      </c>
      <c r="AW6" s="77">
        <f t="shared" si="5"/>
        <v>0.53906596141879282</v>
      </c>
      <c r="AX6" s="78">
        <v>1121.4780000000001</v>
      </c>
      <c r="AY6" s="77">
        <f t="shared" si="16"/>
        <v>0.5784392407674851</v>
      </c>
      <c r="AZ6" s="45"/>
      <c r="BA6" s="75">
        <v>51358.995000000003</v>
      </c>
      <c r="BB6" s="77">
        <f t="shared" si="17"/>
        <v>0.73770491803278682</v>
      </c>
      <c r="BC6" s="45"/>
      <c r="BD6" s="105">
        <v>11664.808999999999</v>
      </c>
      <c r="BE6" s="45">
        <v>0</v>
      </c>
      <c r="BF6" s="106">
        <v>0</v>
      </c>
      <c r="BG6" s="107">
        <f t="shared" si="18"/>
        <v>0.35781622699386501</v>
      </c>
      <c r="BH6" s="108">
        <f t="shared" si="19"/>
        <v>0</v>
      </c>
      <c r="BI6" s="106">
        <v>0</v>
      </c>
      <c r="BJ6" s="106">
        <v>0</v>
      </c>
      <c r="BK6" s="106">
        <v>0</v>
      </c>
      <c r="BL6" s="106">
        <v>1148.32</v>
      </c>
      <c r="BM6" s="107">
        <f t="shared" si="20"/>
        <v>8.5199584508087248E-2</v>
      </c>
      <c r="BN6" s="108">
        <f t="shared" si="21"/>
        <v>0</v>
      </c>
      <c r="BO6" s="45">
        <v>7668</v>
      </c>
      <c r="BP6" s="45">
        <v>648.91951976999997</v>
      </c>
      <c r="BQ6" s="45"/>
      <c r="BR6" s="109">
        <v>-700</v>
      </c>
      <c r="BS6" s="45">
        <f t="shared" si="22"/>
        <v>0</v>
      </c>
      <c r="BT6" s="45">
        <v>4485</v>
      </c>
      <c r="BU6" s="45">
        <f t="shared" si="22"/>
        <v>4485</v>
      </c>
      <c r="BV6" s="45">
        <v>0</v>
      </c>
      <c r="BW6" s="45">
        <f t="shared" ref="BW6:BY6" si="47">IF(BV6&gt;0,BV6,0)</f>
        <v>0</v>
      </c>
      <c r="BX6" s="45">
        <v>-5000</v>
      </c>
      <c r="BY6" s="45">
        <f t="shared" si="47"/>
        <v>0</v>
      </c>
      <c r="BZ6" s="45">
        <v>-1446.1602973500001</v>
      </c>
      <c r="CA6" s="45">
        <f t="shared" ref="CA6:CC6" si="48">IF(BZ6&gt;0,BZ6,0)</f>
        <v>0</v>
      </c>
      <c r="CB6" s="45">
        <v>-4000</v>
      </c>
      <c r="CC6" s="45">
        <f t="shared" si="48"/>
        <v>0</v>
      </c>
      <c r="CD6" s="45">
        <v>4800</v>
      </c>
      <c r="CE6" s="45">
        <f t="shared" ref="CE6:CG6" si="49">IF(CD6&gt;0,CD6,0)</f>
        <v>4800</v>
      </c>
      <c r="CF6" s="45">
        <v>13335.643314000001</v>
      </c>
      <c r="CG6" s="45">
        <f t="shared" si="49"/>
        <v>13335.643314000001</v>
      </c>
      <c r="CH6" s="107">
        <f t="shared" si="26"/>
        <v>22620.643314000001</v>
      </c>
      <c r="CI6" s="45"/>
      <c r="CJ6" s="109">
        <v>-700</v>
      </c>
      <c r="CK6" s="45">
        <f t="shared" si="27"/>
        <v>700</v>
      </c>
      <c r="CL6" s="45">
        <v>4485</v>
      </c>
      <c r="CM6" s="45">
        <f t="shared" si="27"/>
        <v>0</v>
      </c>
      <c r="CN6" s="45">
        <v>0</v>
      </c>
      <c r="CO6" s="45">
        <f t="shared" ref="CO6:CQ6" si="50">IF(CN6&lt;0,-CN6,0)</f>
        <v>0</v>
      </c>
      <c r="CP6" s="45">
        <v>-5000</v>
      </c>
      <c r="CQ6" s="45">
        <f t="shared" si="50"/>
        <v>5000</v>
      </c>
      <c r="CR6" s="45">
        <v>-1446.1602973500001</v>
      </c>
      <c r="CS6" s="45">
        <f t="shared" ref="CS6:CU6" si="51">IF(CR6&lt;0,-CR6,0)</f>
        <v>1446.1602973500001</v>
      </c>
      <c r="CT6" s="45">
        <v>-4000</v>
      </c>
      <c r="CU6" s="45">
        <f t="shared" si="51"/>
        <v>4000</v>
      </c>
      <c r="CV6" s="45">
        <v>4800</v>
      </c>
      <c r="CW6" s="45">
        <f t="shared" ref="CW6:CY6" si="52">IF(CV6&lt;0,-CV6,0)</f>
        <v>0</v>
      </c>
      <c r="CX6" s="45">
        <v>13335.643314000001</v>
      </c>
      <c r="CY6" s="45">
        <f t="shared" si="52"/>
        <v>0</v>
      </c>
      <c r="CZ6" s="107">
        <f t="shared" si="31"/>
        <v>11146.160297350001</v>
      </c>
      <c r="DA6" s="45"/>
      <c r="DB6" s="110">
        <v>26274.437000000002</v>
      </c>
      <c r="DC6" s="57">
        <v>2003.6289999999999</v>
      </c>
      <c r="DD6" s="61">
        <v>2313.9328017737998</v>
      </c>
      <c r="DE6" s="61">
        <f t="shared" si="32"/>
        <v>30591.998801773803</v>
      </c>
      <c r="DF6" s="110">
        <v>6846.2240000000002</v>
      </c>
      <c r="DG6" s="110">
        <v>47905.411</v>
      </c>
      <c r="DH6" s="57">
        <v>6196</v>
      </c>
      <c r="DI6" s="107">
        <f t="shared" si="33"/>
        <v>54101.411</v>
      </c>
      <c r="DJ6" s="45"/>
      <c r="DK6" s="110">
        <v>892.90899999999999</v>
      </c>
      <c r="DL6" s="57">
        <v>10493.065843074541</v>
      </c>
      <c r="DM6" s="57">
        <f t="shared" si="34"/>
        <v>11385.97484307454</v>
      </c>
      <c r="DN6" s="61">
        <v>1194.729528534212</v>
      </c>
      <c r="DO6" s="61">
        <v>2899.4800998655778</v>
      </c>
      <c r="DP6" s="61">
        <v>461.65552213000001</v>
      </c>
      <c r="DQ6" s="57">
        <f t="shared" si="35"/>
        <v>3361.1356219955778</v>
      </c>
      <c r="DR6" s="57">
        <v>161.08222777030991</v>
      </c>
      <c r="DS6" s="57">
        <v>161.08222777030991</v>
      </c>
      <c r="DT6" s="5"/>
      <c r="DU6" s="73">
        <v>0</v>
      </c>
      <c r="DV6" s="156">
        <v>6779.6610170000004</v>
      </c>
      <c r="DW6" s="155">
        <v>1447.7400829999999</v>
      </c>
      <c r="DX6" s="155">
        <v>0</v>
      </c>
      <c r="DY6" s="73">
        <v>0</v>
      </c>
      <c r="DZ6" s="156">
        <v>1553.672292</v>
      </c>
      <c r="EA6" s="73">
        <v>0</v>
      </c>
      <c r="EB6" s="156">
        <v>1271.1864410000001</v>
      </c>
      <c r="EC6" s="73">
        <v>0</v>
      </c>
      <c r="ED6" s="156">
        <v>847.5</v>
      </c>
      <c r="EE6" s="73">
        <v>0</v>
      </c>
      <c r="EF6" s="156">
        <v>7397.5988710000001</v>
      </c>
      <c r="EG6" s="73">
        <v>0</v>
      </c>
      <c r="EH6" s="156">
        <v>6779.6610170000004</v>
      </c>
      <c r="EI6" s="159">
        <v>1553.672292</v>
      </c>
      <c r="EJ6" s="162">
        <v>847.5</v>
      </c>
      <c r="EK6" s="165">
        <v>735.83500000000004</v>
      </c>
      <c r="EL6" s="159">
        <v>461.65552213000001</v>
      </c>
      <c r="EM6" s="159">
        <f t="shared" si="36"/>
        <v>10964.025395000001</v>
      </c>
      <c r="EN6" s="159">
        <f t="shared" si="37"/>
        <v>0</v>
      </c>
      <c r="EP6" s="2">
        <v>20065.234049999999</v>
      </c>
      <c r="EQ6" s="5">
        <f t="shared" si="38"/>
        <v>0.81699999999999995</v>
      </c>
    </row>
    <row r="7" spans="1:147" x14ac:dyDescent="0.35">
      <c r="A7" s="87" t="s">
        <v>146</v>
      </c>
      <c r="B7" s="69">
        <v>9659.9</v>
      </c>
      <c r="D7" s="82" t="s">
        <v>199</v>
      </c>
      <c r="E7" s="82">
        <v>500</v>
      </c>
      <c r="G7" s="82" t="s">
        <v>215</v>
      </c>
      <c r="H7" s="82">
        <v>1607</v>
      </c>
      <c r="J7" s="82" t="s">
        <v>180</v>
      </c>
      <c r="K7" s="82">
        <v>23475</v>
      </c>
      <c r="M7" s="5"/>
      <c r="N7" s="66">
        <f t="shared" si="39"/>
        <v>5</v>
      </c>
      <c r="O7" s="78">
        <v>0</v>
      </c>
      <c r="P7" s="77">
        <f t="shared" si="6"/>
        <v>0</v>
      </c>
      <c r="Q7" s="104">
        <v>0</v>
      </c>
      <c r="R7" s="77">
        <f t="shared" si="7"/>
        <v>0</v>
      </c>
      <c r="S7" s="104">
        <v>0</v>
      </c>
      <c r="T7" s="77">
        <f t="shared" si="8"/>
        <v>0</v>
      </c>
      <c r="U7" s="104">
        <v>0</v>
      </c>
      <c r="V7" s="77">
        <f t="shared" si="0"/>
        <v>0</v>
      </c>
      <c r="W7" s="104">
        <v>0</v>
      </c>
      <c r="X7" s="77">
        <f t="shared" si="1"/>
        <v>0</v>
      </c>
      <c r="Y7" s="104">
        <v>0</v>
      </c>
      <c r="Z7" s="77">
        <f t="shared" si="9"/>
        <v>0</v>
      </c>
      <c r="AA7" s="104">
        <v>0</v>
      </c>
      <c r="AB7" s="77">
        <f t="shared" si="10"/>
        <v>0</v>
      </c>
      <c r="AC7" s="5"/>
      <c r="AD7" s="66">
        <f t="shared" si="40"/>
        <v>5</v>
      </c>
      <c r="AE7" s="78">
        <v>28657.935600000001</v>
      </c>
      <c r="AF7" s="104">
        <v>1428.3</v>
      </c>
      <c r="AG7" s="78">
        <v>310.5</v>
      </c>
      <c r="AH7" s="61">
        <f t="shared" si="11"/>
        <v>0.32200000000000001</v>
      </c>
      <c r="AI7" s="61">
        <f t="shared" si="12"/>
        <v>0.621</v>
      </c>
      <c r="AJ7" s="61">
        <f t="shared" si="13"/>
        <v>0.621</v>
      </c>
      <c r="AK7" s="77">
        <v>65.245999999999995</v>
      </c>
      <c r="AL7" s="104">
        <v>1944.4811999999999</v>
      </c>
      <c r="AM7" s="61">
        <f t="shared" si="2"/>
        <v>0.10099999999999999</v>
      </c>
      <c r="AN7" s="57">
        <f t="shared" si="3"/>
        <v>0.16699999999999998</v>
      </c>
      <c r="AO7" s="78">
        <v>20560.599999999999</v>
      </c>
      <c r="AP7" s="104">
        <v>19132.125</v>
      </c>
      <c r="AQ7" s="61">
        <f t="shared" si="14"/>
        <v>0.46099999999999997</v>
      </c>
      <c r="AR7" s="57">
        <f t="shared" si="15"/>
        <v>0.81499999999999995</v>
      </c>
      <c r="AS7" s="45"/>
      <c r="AT7" s="78">
        <v>687.08199999999999</v>
      </c>
      <c r="AU7" s="77">
        <f t="shared" si="4"/>
        <v>0.27899994315090187</v>
      </c>
      <c r="AV7" s="78">
        <v>871.28399999999999</v>
      </c>
      <c r="AW7" s="77">
        <f t="shared" si="5"/>
        <v>0.54218046048537649</v>
      </c>
      <c r="AX7" s="78">
        <v>1121.4780000000001</v>
      </c>
      <c r="AY7" s="77">
        <f t="shared" si="16"/>
        <v>0.5784392407674851</v>
      </c>
      <c r="AZ7" s="45"/>
      <c r="BA7" s="75">
        <v>51358.995000000003</v>
      </c>
      <c r="BB7" s="77">
        <f t="shared" si="17"/>
        <v>0.73770491803278682</v>
      </c>
      <c r="BC7" s="45"/>
      <c r="BD7" s="105">
        <v>12228.816999999999</v>
      </c>
      <c r="BE7" s="45">
        <v>0</v>
      </c>
      <c r="BF7" s="106">
        <v>0</v>
      </c>
      <c r="BG7" s="107">
        <f t="shared" si="18"/>
        <v>0.37511708588957055</v>
      </c>
      <c r="BH7" s="108">
        <f t="shared" si="19"/>
        <v>0</v>
      </c>
      <c r="BI7" s="106">
        <v>0</v>
      </c>
      <c r="BJ7" s="106">
        <v>0</v>
      </c>
      <c r="BK7" s="106">
        <v>0</v>
      </c>
      <c r="BL7" s="106">
        <v>1097.6030000000001</v>
      </c>
      <c r="BM7" s="107">
        <f t="shared" si="20"/>
        <v>8.1436637483306137E-2</v>
      </c>
      <c r="BN7" s="108">
        <f t="shared" si="21"/>
        <v>0</v>
      </c>
      <c r="BO7" s="45">
        <v>7668</v>
      </c>
      <c r="BP7" s="45">
        <v>649.37940168</v>
      </c>
      <c r="BQ7" s="45"/>
      <c r="BR7" s="109">
        <v>-700</v>
      </c>
      <c r="BS7" s="45">
        <f t="shared" si="22"/>
        <v>0</v>
      </c>
      <c r="BT7" s="45">
        <v>4485</v>
      </c>
      <c r="BU7" s="45">
        <f t="shared" si="22"/>
        <v>4485</v>
      </c>
      <c r="BV7" s="45">
        <v>0</v>
      </c>
      <c r="BW7" s="45">
        <f t="shared" ref="BW7:BY7" si="53">IF(BV7&gt;0,BV7,0)</f>
        <v>0</v>
      </c>
      <c r="BX7" s="45">
        <v>-5000</v>
      </c>
      <c r="BY7" s="45">
        <f t="shared" si="53"/>
        <v>0</v>
      </c>
      <c r="BZ7" s="45">
        <v>-2137.9980652999998</v>
      </c>
      <c r="CA7" s="45">
        <f t="shared" ref="CA7:CC7" si="54">IF(BZ7&gt;0,BZ7,0)</f>
        <v>0</v>
      </c>
      <c r="CB7" s="45">
        <v>-4000</v>
      </c>
      <c r="CC7" s="45">
        <f t="shared" si="54"/>
        <v>0</v>
      </c>
      <c r="CD7" s="45">
        <v>4800</v>
      </c>
      <c r="CE7" s="45">
        <f t="shared" ref="CE7:CG7" si="55">IF(CD7&gt;0,CD7,0)</f>
        <v>4800</v>
      </c>
      <c r="CF7" s="45">
        <v>12475.32154845</v>
      </c>
      <c r="CG7" s="45">
        <f t="shared" si="55"/>
        <v>12475.32154845</v>
      </c>
      <c r="CH7" s="107">
        <f t="shared" si="26"/>
        <v>21760.32154845</v>
      </c>
      <c r="CI7" s="45"/>
      <c r="CJ7" s="109">
        <v>-700</v>
      </c>
      <c r="CK7" s="45">
        <f t="shared" si="27"/>
        <v>700</v>
      </c>
      <c r="CL7" s="45">
        <v>4485</v>
      </c>
      <c r="CM7" s="45">
        <f t="shared" si="27"/>
        <v>0</v>
      </c>
      <c r="CN7" s="45">
        <v>0</v>
      </c>
      <c r="CO7" s="45">
        <f t="shared" ref="CO7:CQ7" si="56">IF(CN7&lt;0,-CN7,0)</f>
        <v>0</v>
      </c>
      <c r="CP7" s="45">
        <v>-5000</v>
      </c>
      <c r="CQ7" s="45">
        <f t="shared" si="56"/>
        <v>5000</v>
      </c>
      <c r="CR7" s="45">
        <v>-2137.9980652999998</v>
      </c>
      <c r="CS7" s="45">
        <f t="shared" ref="CS7:CU7" si="57">IF(CR7&lt;0,-CR7,0)</f>
        <v>2137.9980652999998</v>
      </c>
      <c r="CT7" s="45">
        <v>-4000</v>
      </c>
      <c r="CU7" s="45">
        <f t="shared" si="57"/>
        <v>4000</v>
      </c>
      <c r="CV7" s="45">
        <v>4800</v>
      </c>
      <c r="CW7" s="45">
        <f t="shared" ref="CW7:CY7" si="58">IF(CV7&lt;0,-CV7,0)</f>
        <v>0</v>
      </c>
      <c r="CX7" s="45">
        <v>12475.32154845</v>
      </c>
      <c r="CY7" s="45">
        <f t="shared" si="58"/>
        <v>0</v>
      </c>
      <c r="CZ7" s="107">
        <f t="shared" si="31"/>
        <v>11837.9980653</v>
      </c>
      <c r="DA7" s="45"/>
      <c r="DB7" s="110">
        <v>26537.633000000002</v>
      </c>
      <c r="DC7" s="57">
        <v>1976.586</v>
      </c>
      <c r="DD7" s="61">
        <v>2602.5461510874002</v>
      </c>
      <c r="DE7" s="61">
        <f t="shared" si="32"/>
        <v>31116.765151087402</v>
      </c>
      <c r="DF7" s="110">
        <v>6811.5410000000002</v>
      </c>
      <c r="DG7" s="110">
        <v>47372.411</v>
      </c>
      <c r="DH7" s="57">
        <v>6255</v>
      </c>
      <c r="DI7" s="107">
        <f t="shared" si="33"/>
        <v>53627.411</v>
      </c>
      <c r="DJ7" s="45"/>
      <c r="DK7" s="110">
        <v>1053.7629999999999</v>
      </c>
      <c r="DL7" s="57">
        <v>10508.77584392489</v>
      </c>
      <c r="DM7" s="57">
        <f t="shared" si="34"/>
        <v>11562.538843924889</v>
      </c>
      <c r="DN7" s="61">
        <v>1194.729528534212</v>
      </c>
      <c r="DO7" s="61">
        <v>2907.757974290821</v>
      </c>
      <c r="DP7" s="61">
        <v>453.37764771000002</v>
      </c>
      <c r="DQ7" s="57">
        <f t="shared" si="35"/>
        <v>3361.1356220008211</v>
      </c>
      <c r="DR7" s="57">
        <v>161.54210968282339</v>
      </c>
      <c r="DS7" s="57">
        <v>161.54210968282339</v>
      </c>
      <c r="DT7" s="5"/>
      <c r="DU7" s="73">
        <v>0</v>
      </c>
      <c r="DV7" s="156">
        <v>6779.6610170000004</v>
      </c>
      <c r="DW7" s="155">
        <v>1447.7400829999999</v>
      </c>
      <c r="DX7" s="155">
        <v>0</v>
      </c>
      <c r="DY7" s="73">
        <v>0</v>
      </c>
      <c r="DZ7" s="156">
        <v>1553.672292</v>
      </c>
      <c r="EA7" s="73">
        <v>0</v>
      </c>
      <c r="EB7" s="156">
        <v>1271.1864410000001</v>
      </c>
      <c r="EC7" s="73">
        <v>0</v>
      </c>
      <c r="ED7" s="156">
        <v>847.5</v>
      </c>
      <c r="EE7" s="73">
        <v>0</v>
      </c>
      <c r="EF7" s="156">
        <v>7397.5988710000001</v>
      </c>
      <c r="EG7" s="73">
        <v>0</v>
      </c>
      <c r="EH7" s="156">
        <v>6779.6610170000004</v>
      </c>
      <c r="EI7" s="159">
        <v>1553.672292</v>
      </c>
      <c r="EJ7" s="162">
        <v>847.5</v>
      </c>
      <c r="EK7" s="165">
        <v>735.83500000000004</v>
      </c>
      <c r="EL7" s="159">
        <v>453.37764771000002</v>
      </c>
      <c r="EM7" s="159">
        <f t="shared" si="36"/>
        <v>10964.025395000001</v>
      </c>
      <c r="EN7" s="159">
        <f t="shared" si="37"/>
        <v>0</v>
      </c>
      <c r="EP7" s="2">
        <v>20065.234049999999</v>
      </c>
      <c r="EQ7" s="5">
        <f t="shared" si="38"/>
        <v>0.81699999999999995</v>
      </c>
    </row>
    <row r="8" spans="1:147" x14ac:dyDescent="0.35">
      <c r="A8" s="85" t="s">
        <v>158</v>
      </c>
      <c r="B8" s="83">
        <v>11643.6</v>
      </c>
      <c r="D8" s="82" t="s">
        <v>153</v>
      </c>
      <c r="E8" s="82">
        <v>4805</v>
      </c>
      <c r="G8" s="82" t="s">
        <v>216</v>
      </c>
      <c r="H8" s="82">
        <v>508.3</v>
      </c>
      <c r="J8" s="82" t="s">
        <v>181</v>
      </c>
      <c r="K8" s="82">
        <v>1938.8</v>
      </c>
      <c r="M8" s="5"/>
      <c r="N8" s="66">
        <f t="shared" si="39"/>
        <v>6</v>
      </c>
      <c r="O8" s="78">
        <v>0</v>
      </c>
      <c r="P8" s="77">
        <f t="shared" si="6"/>
        <v>0</v>
      </c>
      <c r="Q8" s="104">
        <v>0</v>
      </c>
      <c r="R8" s="77">
        <f t="shared" si="7"/>
        <v>0</v>
      </c>
      <c r="S8" s="104">
        <v>0</v>
      </c>
      <c r="T8" s="77">
        <f t="shared" si="8"/>
        <v>0</v>
      </c>
      <c r="U8" s="104">
        <v>0</v>
      </c>
      <c r="V8" s="77">
        <f t="shared" si="0"/>
        <v>0</v>
      </c>
      <c r="W8" s="104">
        <v>0</v>
      </c>
      <c r="X8" s="77">
        <f t="shared" si="1"/>
        <v>0</v>
      </c>
      <c r="Y8" s="104">
        <v>0</v>
      </c>
      <c r="Z8" s="77">
        <f t="shared" si="9"/>
        <v>0</v>
      </c>
      <c r="AA8" s="104">
        <v>0</v>
      </c>
      <c r="AB8" s="77">
        <f t="shared" si="10"/>
        <v>0</v>
      </c>
      <c r="AC8" s="5"/>
      <c r="AD8" s="66">
        <f t="shared" si="40"/>
        <v>6</v>
      </c>
      <c r="AE8" s="78">
        <v>28835.9352</v>
      </c>
      <c r="AF8" s="104">
        <v>1393.8</v>
      </c>
      <c r="AG8" s="78">
        <v>303</v>
      </c>
      <c r="AH8" s="61">
        <f t="shared" si="11"/>
        <v>0.32400000000000001</v>
      </c>
      <c r="AI8" s="61">
        <f t="shared" si="12"/>
        <v>0.60599999999999998</v>
      </c>
      <c r="AJ8" s="61">
        <f t="shared" si="13"/>
        <v>0.60599999999999998</v>
      </c>
      <c r="AK8" s="77">
        <v>62.661999999999999</v>
      </c>
      <c r="AL8" s="104">
        <v>2072.5608000000002</v>
      </c>
      <c r="AM8" s="61">
        <f t="shared" si="2"/>
        <v>9.7000000000000003E-2</v>
      </c>
      <c r="AN8" s="57">
        <f t="shared" si="3"/>
        <v>0.17800000000000002</v>
      </c>
      <c r="AO8" s="78">
        <v>21363.4</v>
      </c>
      <c r="AP8" s="104">
        <v>19578.150000000001</v>
      </c>
      <c r="AQ8" s="61">
        <f t="shared" si="14"/>
        <v>0.47900000000000004</v>
      </c>
      <c r="AR8" s="57">
        <f t="shared" si="15"/>
        <v>0.83400000000000007</v>
      </c>
      <c r="AS8" s="45"/>
      <c r="AT8" s="78">
        <v>716.63400000000001</v>
      </c>
      <c r="AU8" s="77">
        <f t="shared" si="4"/>
        <v>0.2909999756361008</v>
      </c>
      <c r="AV8" s="78">
        <v>890.92200000000003</v>
      </c>
      <c r="AW8" s="77">
        <f t="shared" si="5"/>
        <v>0.55440074673304296</v>
      </c>
      <c r="AX8" s="78">
        <v>1121.4780000000001</v>
      </c>
      <c r="AY8" s="77">
        <f t="shared" si="16"/>
        <v>0.5784392407674851</v>
      </c>
      <c r="AZ8" s="45"/>
      <c r="BA8" s="75">
        <v>51358.995000000003</v>
      </c>
      <c r="BB8" s="77">
        <f t="shared" si="17"/>
        <v>0.73770491803278682</v>
      </c>
      <c r="BC8" s="45"/>
      <c r="BD8" s="105">
        <v>12302.136</v>
      </c>
      <c r="BE8" s="45">
        <v>0</v>
      </c>
      <c r="BF8" s="106">
        <v>0</v>
      </c>
      <c r="BG8" s="107">
        <f t="shared" si="18"/>
        <v>0.37736613496932514</v>
      </c>
      <c r="BH8" s="108">
        <f t="shared" si="19"/>
        <v>0</v>
      </c>
      <c r="BI8" s="106">
        <v>0</v>
      </c>
      <c r="BJ8" s="106">
        <v>0</v>
      </c>
      <c r="BK8" s="106">
        <v>0</v>
      </c>
      <c r="BL8" s="106">
        <v>1069.221</v>
      </c>
      <c r="BM8" s="107">
        <f t="shared" si="20"/>
        <v>7.9330835435524563E-2</v>
      </c>
      <c r="BN8" s="108">
        <f t="shared" si="21"/>
        <v>0</v>
      </c>
      <c r="BO8" s="45">
        <v>7668</v>
      </c>
      <c r="BP8" s="45">
        <v>650.29916550999997</v>
      </c>
      <c r="BQ8" s="45"/>
      <c r="BR8" s="109">
        <v>-700</v>
      </c>
      <c r="BS8" s="45">
        <f t="shared" si="22"/>
        <v>0</v>
      </c>
      <c r="BT8" s="45">
        <v>4485</v>
      </c>
      <c r="BU8" s="45">
        <f t="shared" si="22"/>
        <v>4485</v>
      </c>
      <c r="BV8" s="45">
        <v>0</v>
      </c>
      <c r="BW8" s="45">
        <f t="shared" ref="BW8:BY8" si="59">IF(BV8&gt;0,BV8,0)</f>
        <v>0</v>
      </c>
      <c r="BX8" s="45">
        <v>-5000</v>
      </c>
      <c r="BY8" s="45">
        <f t="shared" si="59"/>
        <v>0</v>
      </c>
      <c r="BZ8" s="45">
        <v>0</v>
      </c>
      <c r="CA8" s="45">
        <f t="shared" ref="CA8:CC8" si="60">IF(BZ8&gt;0,BZ8,0)</f>
        <v>0</v>
      </c>
      <c r="CB8" s="45">
        <v>-4000</v>
      </c>
      <c r="CC8" s="45">
        <f t="shared" si="60"/>
        <v>0</v>
      </c>
      <c r="CD8" s="45">
        <v>4800</v>
      </c>
      <c r="CE8" s="45">
        <f t="shared" ref="CE8:CG8" si="61">IF(CD8&gt;0,CD8,0)</f>
        <v>4800</v>
      </c>
      <c r="CF8" s="45">
        <v>16766.796405789999</v>
      </c>
      <c r="CG8" s="45">
        <f t="shared" si="61"/>
        <v>16766.796405789999</v>
      </c>
      <c r="CH8" s="107">
        <f t="shared" si="26"/>
        <v>26051.796405789999</v>
      </c>
      <c r="CI8" s="45"/>
      <c r="CJ8" s="109">
        <v>-700</v>
      </c>
      <c r="CK8" s="45">
        <f t="shared" si="27"/>
        <v>700</v>
      </c>
      <c r="CL8" s="45">
        <v>4485</v>
      </c>
      <c r="CM8" s="45">
        <f t="shared" si="27"/>
        <v>0</v>
      </c>
      <c r="CN8" s="45">
        <v>0</v>
      </c>
      <c r="CO8" s="45">
        <f t="shared" ref="CO8:CQ8" si="62">IF(CN8&lt;0,-CN8,0)</f>
        <v>0</v>
      </c>
      <c r="CP8" s="45">
        <v>-5000</v>
      </c>
      <c r="CQ8" s="45">
        <f t="shared" si="62"/>
        <v>5000</v>
      </c>
      <c r="CR8" s="45">
        <v>0</v>
      </c>
      <c r="CS8" s="45">
        <f t="shared" ref="CS8:CU8" si="63">IF(CR8&lt;0,-CR8,0)</f>
        <v>0</v>
      </c>
      <c r="CT8" s="45">
        <v>-4000</v>
      </c>
      <c r="CU8" s="45">
        <f t="shared" si="63"/>
        <v>4000</v>
      </c>
      <c r="CV8" s="45">
        <v>4800</v>
      </c>
      <c r="CW8" s="45">
        <f t="shared" ref="CW8:CY8" si="64">IF(CV8&lt;0,-CV8,0)</f>
        <v>0</v>
      </c>
      <c r="CX8" s="45">
        <v>16766.796405789999</v>
      </c>
      <c r="CY8" s="45">
        <f t="shared" si="64"/>
        <v>0</v>
      </c>
      <c r="CZ8" s="107">
        <f t="shared" si="31"/>
        <v>9700</v>
      </c>
      <c r="DA8" s="45"/>
      <c r="DB8" s="110">
        <v>27552.059000000001</v>
      </c>
      <c r="DC8" s="57">
        <v>1965.6310000000001</v>
      </c>
      <c r="DD8" s="61">
        <v>2801.3606452398999</v>
      </c>
      <c r="DE8" s="61">
        <f t="shared" si="32"/>
        <v>32319.050645239902</v>
      </c>
      <c r="DF8" s="110">
        <v>6946.607</v>
      </c>
      <c r="DG8" s="110">
        <v>47878.411</v>
      </c>
      <c r="DH8" s="57">
        <v>6340</v>
      </c>
      <c r="DI8" s="107">
        <f t="shared" si="33"/>
        <v>54218.411</v>
      </c>
      <c r="DJ8" s="45"/>
      <c r="DK8" s="110">
        <v>1230.7260000000001</v>
      </c>
      <c r="DL8" s="57">
        <v>10540.1958456256</v>
      </c>
      <c r="DM8" s="57">
        <f t="shared" si="34"/>
        <v>11770.9218456256</v>
      </c>
      <c r="DN8" s="61">
        <v>1292.686005011112</v>
      </c>
      <c r="DO8" s="61">
        <v>2924.3137231413061</v>
      </c>
      <c r="DP8" s="61">
        <v>436.82189885999998</v>
      </c>
      <c r="DQ8" s="57">
        <f t="shared" si="35"/>
        <v>3361.1356220013063</v>
      </c>
      <c r="DR8" s="57">
        <v>162.46187350785041</v>
      </c>
      <c r="DS8" s="57">
        <v>162.46187350785041</v>
      </c>
      <c r="DT8" s="5"/>
      <c r="DU8" s="73">
        <v>0</v>
      </c>
      <c r="DV8" s="156">
        <v>6779.6610170000004</v>
      </c>
      <c r="DW8" s="155">
        <v>1447.7400829999999</v>
      </c>
      <c r="DX8" s="155">
        <v>0</v>
      </c>
      <c r="DY8" s="73">
        <v>0</v>
      </c>
      <c r="DZ8" s="156">
        <v>1553.672292</v>
      </c>
      <c r="EA8" s="73">
        <v>0</v>
      </c>
      <c r="EB8" s="156">
        <v>1271.1864410000001</v>
      </c>
      <c r="EC8" s="73">
        <v>0</v>
      </c>
      <c r="ED8" s="156">
        <v>847.5</v>
      </c>
      <c r="EE8" s="73">
        <v>0</v>
      </c>
      <c r="EF8" s="156">
        <v>7397.5988710000001</v>
      </c>
      <c r="EG8" s="73">
        <v>0</v>
      </c>
      <c r="EH8" s="156">
        <v>6779.6610170000004</v>
      </c>
      <c r="EI8" s="159">
        <v>1553.672292</v>
      </c>
      <c r="EJ8" s="162">
        <v>847.5</v>
      </c>
      <c r="EK8" s="165">
        <v>735.83500000000004</v>
      </c>
      <c r="EL8" s="159">
        <v>436.82189885999998</v>
      </c>
      <c r="EM8" s="159">
        <f t="shared" si="36"/>
        <v>10964.025395000001</v>
      </c>
      <c r="EN8" s="159">
        <f t="shared" si="37"/>
        <v>0</v>
      </c>
      <c r="EP8" s="2">
        <v>20065.234049999999</v>
      </c>
      <c r="EQ8" s="5">
        <f t="shared" si="38"/>
        <v>0.81699999999999995</v>
      </c>
    </row>
    <row r="9" spans="1:147" x14ac:dyDescent="0.35">
      <c r="A9" s="87" t="s">
        <v>157</v>
      </c>
      <c r="B9" s="69">
        <v>646</v>
      </c>
      <c r="D9" s="82" t="s">
        <v>165</v>
      </c>
      <c r="E9" s="82">
        <v>2462.66</v>
      </c>
      <c r="G9" s="82" t="s">
        <v>217</v>
      </c>
      <c r="H9" s="82">
        <v>3135.5</v>
      </c>
      <c r="J9" s="82" t="s">
        <v>182</v>
      </c>
      <c r="K9" s="82">
        <v>11600</v>
      </c>
      <c r="M9" s="5"/>
      <c r="N9" s="66">
        <f t="shared" si="39"/>
        <v>7</v>
      </c>
      <c r="O9" s="78">
        <v>0</v>
      </c>
      <c r="P9" s="77">
        <f t="shared" si="6"/>
        <v>0</v>
      </c>
      <c r="Q9" s="104">
        <v>0</v>
      </c>
      <c r="R9" s="77">
        <f t="shared" si="7"/>
        <v>0</v>
      </c>
      <c r="S9" s="104">
        <v>0</v>
      </c>
      <c r="T9" s="77">
        <f t="shared" si="8"/>
        <v>0</v>
      </c>
      <c r="U9" s="104">
        <v>0</v>
      </c>
      <c r="V9" s="77">
        <f t="shared" si="0"/>
        <v>0</v>
      </c>
      <c r="W9" s="104">
        <v>0</v>
      </c>
      <c r="X9" s="77">
        <f t="shared" si="1"/>
        <v>0</v>
      </c>
      <c r="Y9" s="104">
        <v>0</v>
      </c>
      <c r="Z9" s="77">
        <f t="shared" si="9"/>
        <v>0</v>
      </c>
      <c r="AA9" s="104">
        <v>0</v>
      </c>
      <c r="AB9" s="77">
        <f t="shared" si="10"/>
        <v>0</v>
      </c>
      <c r="AC9" s="5"/>
      <c r="AD9" s="66">
        <f t="shared" si="40"/>
        <v>7</v>
      </c>
      <c r="AE9" s="78">
        <v>26966.939399999999</v>
      </c>
      <c r="AF9" s="104">
        <v>1324.8</v>
      </c>
      <c r="AG9" s="78">
        <v>288</v>
      </c>
      <c r="AH9" s="61">
        <f t="shared" si="11"/>
        <v>0.30299999999999999</v>
      </c>
      <c r="AI9" s="61">
        <f t="shared" si="12"/>
        <v>0.57599999999999996</v>
      </c>
      <c r="AJ9" s="61">
        <f t="shared" si="13"/>
        <v>0.57599999999999996</v>
      </c>
      <c r="AK9" s="77">
        <v>59.432000000000002</v>
      </c>
      <c r="AL9" s="104">
        <v>2130.7788</v>
      </c>
      <c r="AM9" s="61">
        <f t="shared" si="2"/>
        <v>9.1999999999999998E-2</v>
      </c>
      <c r="AN9" s="57">
        <f t="shared" si="3"/>
        <v>0.183</v>
      </c>
      <c r="AO9" s="78">
        <v>21809.4</v>
      </c>
      <c r="AP9" s="104">
        <v>19742.474999999999</v>
      </c>
      <c r="AQ9" s="61">
        <f t="shared" si="14"/>
        <v>0.48900000000000005</v>
      </c>
      <c r="AR9" s="57">
        <f t="shared" si="15"/>
        <v>0.84099999999999997</v>
      </c>
      <c r="AS9" s="45"/>
      <c r="AT9" s="78">
        <v>807.75199999999995</v>
      </c>
      <c r="AU9" s="77">
        <f t="shared" si="4"/>
        <v>0.32799980508880644</v>
      </c>
      <c r="AV9" s="78">
        <v>907.654</v>
      </c>
      <c r="AW9" s="77">
        <f t="shared" si="5"/>
        <v>0.56481269446172988</v>
      </c>
      <c r="AX9" s="78">
        <v>1121.4780000000001</v>
      </c>
      <c r="AY9" s="77">
        <f t="shared" si="16"/>
        <v>0.5784392407674851</v>
      </c>
      <c r="AZ9" s="45"/>
      <c r="BA9" s="75">
        <v>51358.995000000003</v>
      </c>
      <c r="BB9" s="77">
        <f t="shared" si="17"/>
        <v>0.73770491803278682</v>
      </c>
      <c r="BC9" s="45"/>
      <c r="BD9" s="105">
        <v>11503.817999999999</v>
      </c>
      <c r="BE9" s="45">
        <v>0</v>
      </c>
      <c r="BF9" s="106">
        <v>0</v>
      </c>
      <c r="BG9" s="107">
        <f t="shared" si="18"/>
        <v>0.35287785276073619</v>
      </c>
      <c r="BH9" s="108">
        <f t="shared" si="19"/>
        <v>0</v>
      </c>
      <c r="BI9" s="106">
        <v>0</v>
      </c>
      <c r="BJ9" s="106">
        <v>0</v>
      </c>
      <c r="BK9" s="106">
        <v>0</v>
      </c>
      <c r="BL9" s="106">
        <v>1034.4000000000001</v>
      </c>
      <c r="BM9" s="107">
        <f t="shared" si="20"/>
        <v>7.6747291883068711E-2</v>
      </c>
      <c r="BN9" s="108">
        <f t="shared" si="21"/>
        <v>0</v>
      </c>
      <c r="BO9" s="45">
        <v>7668</v>
      </c>
      <c r="BP9" s="45">
        <v>650.75904741999989</v>
      </c>
      <c r="BQ9" s="45"/>
      <c r="BR9" s="109">
        <v>-700</v>
      </c>
      <c r="BS9" s="45">
        <f t="shared" si="22"/>
        <v>0</v>
      </c>
      <c r="BT9" s="45">
        <v>4485</v>
      </c>
      <c r="BU9" s="45">
        <f t="shared" si="22"/>
        <v>4485</v>
      </c>
      <c r="BV9" s="45">
        <v>0</v>
      </c>
      <c r="BW9" s="45">
        <f t="shared" ref="BW9:BY9" si="65">IF(BV9&gt;0,BV9,0)</f>
        <v>0</v>
      </c>
      <c r="BX9" s="45">
        <v>-5000</v>
      </c>
      <c r="BY9" s="45">
        <f t="shared" si="65"/>
        <v>0</v>
      </c>
      <c r="BZ9" s="45">
        <v>-1692.9680953100001</v>
      </c>
      <c r="CA9" s="45">
        <f t="shared" ref="CA9:CC9" si="66">IF(BZ9&gt;0,BZ9,0)</f>
        <v>0</v>
      </c>
      <c r="CB9" s="45">
        <v>-4000</v>
      </c>
      <c r="CC9" s="45">
        <f t="shared" si="66"/>
        <v>0</v>
      </c>
      <c r="CD9" s="45">
        <v>4800</v>
      </c>
      <c r="CE9" s="45">
        <f t="shared" ref="CE9:CG9" si="67">IF(CD9&gt;0,CD9,0)</f>
        <v>4800</v>
      </c>
      <c r="CF9" s="45">
        <v>11390.79910111</v>
      </c>
      <c r="CG9" s="45">
        <f t="shared" si="67"/>
        <v>11390.79910111</v>
      </c>
      <c r="CH9" s="107">
        <f t="shared" si="26"/>
        <v>20675.799101110002</v>
      </c>
      <c r="CI9" s="45"/>
      <c r="CJ9" s="109">
        <v>-700</v>
      </c>
      <c r="CK9" s="45">
        <f t="shared" si="27"/>
        <v>700</v>
      </c>
      <c r="CL9" s="45">
        <v>4485</v>
      </c>
      <c r="CM9" s="45">
        <f t="shared" si="27"/>
        <v>0</v>
      </c>
      <c r="CN9" s="45">
        <v>0</v>
      </c>
      <c r="CO9" s="45">
        <f t="shared" ref="CO9:CQ9" si="68">IF(CN9&lt;0,-CN9,0)</f>
        <v>0</v>
      </c>
      <c r="CP9" s="45">
        <v>-5000</v>
      </c>
      <c r="CQ9" s="45">
        <f t="shared" si="68"/>
        <v>5000</v>
      </c>
      <c r="CR9" s="45">
        <v>-1692.9680953100001</v>
      </c>
      <c r="CS9" s="45">
        <f t="shared" ref="CS9:CU9" si="69">IF(CR9&lt;0,-CR9,0)</f>
        <v>1692.9680953100001</v>
      </c>
      <c r="CT9" s="45">
        <v>-4000</v>
      </c>
      <c r="CU9" s="45">
        <f t="shared" si="69"/>
        <v>4000</v>
      </c>
      <c r="CV9" s="45">
        <v>4800</v>
      </c>
      <c r="CW9" s="45">
        <f t="shared" ref="CW9:CY9" si="70">IF(CV9&lt;0,-CV9,0)</f>
        <v>0</v>
      </c>
      <c r="CX9" s="45">
        <v>11390.79910111</v>
      </c>
      <c r="CY9" s="45">
        <f t="shared" si="70"/>
        <v>0</v>
      </c>
      <c r="CZ9" s="107">
        <f t="shared" si="31"/>
        <v>11392.96809531</v>
      </c>
      <c r="DA9" s="45"/>
      <c r="DB9" s="110">
        <v>29332.198</v>
      </c>
      <c r="DC9" s="57">
        <v>1971.125</v>
      </c>
      <c r="DD9" s="61">
        <v>3547.0086195078002</v>
      </c>
      <c r="DE9" s="61">
        <f t="shared" si="32"/>
        <v>34850.3316195078</v>
      </c>
      <c r="DF9" s="110">
        <v>7154.4179999999997</v>
      </c>
      <c r="DG9" s="110">
        <v>48168.411</v>
      </c>
      <c r="DH9" s="57">
        <v>6425</v>
      </c>
      <c r="DI9" s="107">
        <f t="shared" si="33"/>
        <v>54593.411</v>
      </c>
      <c r="DJ9" s="45"/>
      <c r="DK9" s="110">
        <v>1295.18</v>
      </c>
      <c r="DL9" s="57">
        <v>10555.905846475949</v>
      </c>
      <c r="DM9" s="57">
        <f t="shared" si="34"/>
        <v>11851.085846475949</v>
      </c>
      <c r="DN9" s="61">
        <v>1390.642481488012</v>
      </c>
      <c r="DO9" s="61">
        <v>2932.5915975665489</v>
      </c>
      <c r="DP9" s="61">
        <v>428.54402442999998</v>
      </c>
      <c r="DQ9" s="57">
        <f t="shared" si="35"/>
        <v>3361.1356219965487</v>
      </c>
      <c r="DR9" s="57">
        <v>162.92175542036381</v>
      </c>
      <c r="DS9" s="57">
        <v>162.92175542036381</v>
      </c>
      <c r="DT9" s="5"/>
      <c r="DU9" s="73">
        <v>0</v>
      </c>
      <c r="DV9" s="156">
        <v>6779.6610170000004</v>
      </c>
      <c r="DW9" s="155">
        <v>1447.7400829999999</v>
      </c>
      <c r="DX9" s="155">
        <v>0</v>
      </c>
      <c r="DY9" s="73">
        <v>0</v>
      </c>
      <c r="DZ9" s="156">
        <v>1553.672292</v>
      </c>
      <c r="EA9" s="73">
        <v>0</v>
      </c>
      <c r="EB9" s="156">
        <v>1271.1864410000001</v>
      </c>
      <c r="EC9" s="73">
        <v>0</v>
      </c>
      <c r="ED9" s="156">
        <v>847.5</v>
      </c>
      <c r="EE9" s="73">
        <v>0</v>
      </c>
      <c r="EF9" s="156">
        <v>7397.5988710000001</v>
      </c>
      <c r="EG9" s="73">
        <v>0</v>
      </c>
      <c r="EH9" s="156">
        <v>6779.6610170000004</v>
      </c>
      <c r="EI9" s="159">
        <v>1553.672292</v>
      </c>
      <c r="EJ9" s="162">
        <v>847.5</v>
      </c>
      <c r="EK9" s="165">
        <v>735.83500000000004</v>
      </c>
      <c r="EL9" s="159">
        <v>428.54402442999998</v>
      </c>
      <c r="EM9" s="159">
        <f t="shared" si="36"/>
        <v>10964.025395000001</v>
      </c>
      <c r="EN9" s="159">
        <f t="shared" si="37"/>
        <v>0</v>
      </c>
      <c r="EP9" s="2">
        <v>20065.234049999999</v>
      </c>
      <c r="EQ9" s="5">
        <f t="shared" si="38"/>
        <v>0.81699999999999995</v>
      </c>
    </row>
    <row r="10" spans="1:147" x14ac:dyDescent="0.35">
      <c r="A10" s="88" t="s">
        <v>166</v>
      </c>
      <c r="B10" s="84">
        <v>2462.66</v>
      </c>
      <c r="D10" s="82" t="s">
        <v>200</v>
      </c>
      <c r="E10" s="82">
        <v>3117.92</v>
      </c>
      <c r="G10" s="82" t="s">
        <v>218</v>
      </c>
      <c r="H10" s="82">
        <v>4469.3999999999996</v>
      </c>
      <c r="J10" s="82" t="s">
        <v>183</v>
      </c>
      <c r="K10" s="82">
        <v>9849.0400000000009</v>
      </c>
      <c r="M10" s="5"/>
      <c r="N10" s="66">
        <f t="shared" si="39"/>
        <v>8</v>
      </c>
      <c r="O10" s="78">
        <v>0</v>
      </c>
      <c r="P10" s="77">
        <f t="shared" si="6"/>
        <v>0</v>
      </c>
      <c r="Q10" s="104">
        <v>0</v>
      </c>
      <c r="R10" s="77">
        <f t="shared" si="7"/>
        <v>0</v>
      </c>
      <c r="S10" s="104">
        <v>0</v>
      </c>
      <c r="T10" s="77">
        <f t="shared" si="8"/>
        <v>0</v>
      </c>
      <c r="U10" s="104">
        <v>0</v>
      </c>
      <c r="V10" s="77">
        <f t="shared" si="0"/>
        <v>0</v>
      </c>
      <c r="W10" s="104">
        <v>0</v>
      </c>
      <c r="X10" s="77">
        <f t="shared" si="1"/>
        <v>0</v>
      </c>
      <c r="Y10" s="104">
        <v>0</v>
      </c>
      <c r="Z10" s="77">
        <f t="shared" si="9"/>
        <v>0</v>
      </c>
      <c r="AA10" s="104">
        <v>0</v>
      </c>
      <c r="AB10" s="77">
        <f t="shared" si="10"/>
        <v>0</v>
      </c>
      <c r="AC10" s="5"/>
      <c r="AD10" s="66">
        <f t="shared" si="40"/>
        <v>8</v>
      </c>
      <c r="AE10" s="78">
        <v>21804.951000000001</v>
      </c>
      <c r="AF10" s="104">
        <v>1258.0999999999999</v>
      </c>
      <c r="AG10" s="78">
        <v>273.5</v>
      </c>
      <c r="AH10" s="61">
        <f t="shared" si="11"/>
        <v>0.245</v>
      </c>
      <c r="AI10" s="61">
        <f t="shared" si="12"/>
        <v>0.54699999999999993</v>
      </c>
      <c r="AJ10" s="61">
        <f t="shared" si="13"/>
        <v>0.54700000000000004</v>
      </c>
      <c r="AK10" s="77">
        <v>58.786000000000001</v>
      </c>
      <c r="AL10" s="104">
        <v>2130.7788</v>
      </c>
      <c r="AM10" s="61">
        <f t="shared" si="2"/>
        <v>9.0999999999999998E-2</v>
      </c>
      <c r="AN10" s="57">
        <f t="shared" si="3"/>
        <v>0.183</v>
      </c>
      <c r="AO10" s="78">
        <v>22121.599999999999</v>
      </c>
      <c r="AP10" s="104">
        <v>19930.275000000001</v>
      </c>
      <c r="AQ10" s="61">
        <f t="shared" si="14"/>
        <v>0.49599999999999994</v>
      </c>
      <c r="AR10" s="57">
        <f t="shared" si="15"/>
        <v>0.84900000000000009</v>
      </c>
      <c r="AS10" s="45"/>
      <c r="AT10" s="78">
        <v>881.63199999999995</v>
      </c>
      <c r="AU10" s="77">
        <f t="shared" si="4"/>
        <v>0.35799988630180374</v>
      </c>
      <c r="AV10" s="78">
        <v>914.14400000000001</v>
      </c>
      <c r="AW10" s="77">
        <f t="shared" si="5"/>
        <v>0.56885127566894833</v>
      </c>
      <c r="AX10" s="78">
        <v>1121.4780000000001</v>
      </c>
      <c r="AY10" s="77">
        <f t="shared" si="16"/>
        <v>0.5784392407674851</v>
      </c>
      <c r="AZ10" s="45"/>
      <c r="BA10" s="75">
        <v>51358.995000000003</v>
      </c>
      <c r="BB10" s="77">
        <f t="shared" si="17"/>
        <v>0.73770491803278682</v>
      </c>
      <c r="BC10" s="45"/>
      <c r="BD10" s="105">
        <v>9322.5859999999993</v>
      </c>
      <c r="BE10" s="45">
        <v>0</v>
      </c>
      <c r="BF10" s="106">
        <v>0</v>
      </c>
      <c r="BG10" s="107">
        <f t="shared" si="18"/>
        <v>0.28596889570552148</v>
      </c>
      <c r="BH10" s="108">
        <f t="shared" si="19"/>
        <v>0</v>
      </c>
      <c r="BI10" s="106">
        <v>0</v>
      </c>
      <c r="BJ10" s="106">
        <v>0</v>
      </c>
      <c r="BK10" s="106">
        <v>0</v>
      </c>
      <c r="BL10" s="106">
        <v>1038.8150000000001</v>
      </c>
      <c r="BM10" s="107">
        <f t="shared" si="20"/>
        <v>7.7074862739278827E-2</v>
      </c>
      <c r="BN10" s="108">
        <f t="shared" si="21"/>
        <v>0</v>
      </c>
      <c r="BO10" s="45">
        <v>7668</v>
      </c>
      <c r="BP10" s="45">
        <v>651.21892933000004</v>
      </c>
      <c r="BQ10" s="45"/>
      <c r="BR10" s="109">
        <v>-700</v>
      </c>
      <c r="BS10" s="45">
        <f t="shared" si="22"/>
        <v>0</v>
      </c>
      <c r="BT10" s="45">
        <v>4485</v>
      </c>
      <c r="BU10" s="45">
        <f t="shared" si="22"/>
        <v>4485</v>
      </c>
      <c r="BV10" s="45">
        <v>0</v>
      </c>
      <c r="BW10" s="45">
        <f t="shared" ref="BW10:BY10" si="71">IF(BV10&gt;0,BV10,0)</f>
        <v>0</v>
      </c>
      <c r="BX10" s="45">
        <v>-5000</v>
      </c>
      <c r="BY10" s="45">
        <f t="shared" si="71"/>
        <v>0</v>
      </c>
      <c r="BZ10" s="45">
        <v>-1588.07461242</v>
      </c>
      <c r="CA10" s="45">
        <f t="shared" ref="CA10:CC10" si="72">IF(BZ10&gt;0,BZ10,0)</f>
        <v>0</v>
      </c>
      <c r="CB10" s="45">
        <v>-4000</v>
      </c>
      <c r="CC10" s="45">
        <f t="shared" si="72"/>
        <v>0</v>
      </c>
      <c r="CD10" s="45">
        <v>4800</v>
      </c>
      <c r="CE10" s="45">
        <f t="shared" ref="CE10:CG10" si="73">IF(CD10&gt;0,CD10,0)</f>
        <v>4800</v>
      </c>
      <c r="CF10" s="45">
        <v>11792.66902114</v>
      </c>
      <c r="CG10" s="45">
        <f t="shared" si="73"/>
        <v>11792.66902114</v>
      </c>
      <c r="CH10" s="107">
        <f t="shared" si="26"/>
        <v>21077.669021139998</v>
      </c>
      <c r="CI10" s="45"/>
      <c r="CJ10" s="109">
        <v>-700</v>
      </c>
      <c r="CK10" s="45">
        <f t="shared" si="27"/>
        <v>700</v>
      </c>
      <c r="CL10" s="45">
        <v>4485</v>
      </c>
      <c r="CM10" s="45">
        <f t="shared" si="27"/>
        <v>0</v>
      </c>
      <c r="CN10" s="45">
        <v>0</v>
      </c>
      <c r="CO10" s="45">
        <f t="shared" ref="CO10:CQ10" si="74">IF(CN10&lt;0,-CN10,0)</f>
        <v>0</v>
      </c>
      <c r="CP10" s="45">
        <v>-5000</v>
      </c>
      <c r="CQ10" s="45">
        <f t="shared" si="74"/>
        <v>5000</v>
      </c>
      <c r="CR10" s="45">
        <v>-1588.07461242</v>
      </c>
      <c r="CS10" s="45">
        <f t="shared" ref="CS10:CU10" si="75">IF(CR10&lt;0,-CR10,0)</f>
        <v>1588.07461242</v>
      </c>
      <c r="CT10" s="45">
        <v>-4000</v>
      </c>
      <c r="CU10" s="45">
        <f t="shared" si="75"/>
        <v>4000</v>
      </c>
      <c r="CV10" s="45">
        <v>4800</v>
      </c>
      <c r="CW10" s="45">
        <f t="shared" ref="CW10:CY10" si="76">IF(CV10&lt;0,-CV10,0)</f>
        <v>0</v>
      </c>
      <c r="CX10" s="45">
        <v>11792.66902114</v>
      </c>
      <c r="CY10" s="45">
        <f t="shared" si="76"/>
        <v>0</v>
      </c>
      <c r="CZ10" s="107">
        <f t="shared" si="31"/>
        <v>11288.07461242</v>
      </c>
      <c r="DA10" s="45"/>
      <c r="DB10" s="110">
        <v>31087.021000000001</v>
      </c>
      <c r="DC10" s="57">
        <v>1985.193</v>
      </c>
      <c r="DD10" s="61">
        <v>3967.9018050702002</v>
      </c>
      <c r="DE10" s="61">
        <f t="shared" si="32"/>
        <v>37040.1158050702</v>
      </c>
      <c r="DF10" s="110">
        <v>7300.0959999999995</v>
      </c>
      <c r="DG10" s="110">
        <v>48105.411</v>
      </c>
      <c r="DH10" s="57">
        <v>6568</v>
      </c>
      <c r="DI10" s="107">
        <f t="shared" si="33"/>
        <v>54673.411</v>
      </c>
      <c r="DJ10" s="45"/>
      <c r="DK10" s="110">
        <v>1287.586</v>
      </c>
      <c r="DL10" s="57">
        <v>10571.615847326309</v>
      </c>
      <c r="DM10" s="57">
        <f t="shared" si="34"/>
        <v>11859.201847326309</v>
      </c>
      <c r="DN10" s="61">
        <v>1483.443353939811</v>
      </c>
      <c r="DO10" s="61">
        <v>2940.8694719917921</v>
      </c>
      <c r="DP10" s="61">
        <v>420.26615000999999</v>
      </c>
      <c r="DQ10" s="57">
        <f t="shared" si="35"/>
        <v>3361.1356220017919</v>
      </c>
      <c r="DR10" s="57">
        <v>163.38163733287729</v>
      </c>
      <c r="DS10" s="57">
        <v>163.38163733287729</v>
      </c>
      <c r="DT10" s="5"/>
      <c r="DU10" s="73">
        <v>0</v>
      </c>
      <c r="DV10" s="156">
        <v>6779.6610170000004</v>
      </c>
      <c r="DW10" s="155">
        <v>1447.7400829999999</v>
      </c>
      <c r="DX10" s="155">
        <v>0</v>
      </c>
      <c r="DY10" s="73">
        <v>0</v>
      </c>
      <c r="DZ10" s="156">
        <v>1553.672292</v>
      </c>
      <c r="EA10" s="73">
        <v>0</v>
      </c>
      <c r="EB10" s="156">
        <v>1271.1864410000001</v>
      </c>
      <c r="EC10" s="73">
        <v>0</v>
      </c>
      <c r="ED10" s="156">
        <v>847.5</v>
      </c>
      <c r="EE10" s="73">
        <v>0</v>
      </c>
      <c r="EF10" s="156">
        <v>7397.5988710000001</v>
      </c>
      <c r="EG10" s="73">
        <v>0</v>
      </c>
      <c r="EH10" s="156">
        <v>6779.6610170000004</v>
      </c>
      <c r="EI10" s="159">
        <v>1553.672292</v>
      </c>
      <c r="EJ10" s="162">
        <v>847.5</v>
      </c>
      <c r="EK10" s="165">
        <v>735.83500000000004</v>
      </c>
      <c r="EL10" s="159">
        <v>420.26615000999999</v>
      </c>
      <c r="EM10" s="159">
        <f t="shared" si="36"/>
        <v>10964.025395000001</v>
      </c>
      <c r="EN10" s="159">
        <f t="shared" si="37"/>
        <v>0</v>
      </c>
      <c r="EP10" s="2">
        <v>20065.234049999999</v>
      </c>
      <c r="EQ10" s="5">
        <f t="shared" si="38"/>
        <v>0.81699999999999995</v>
      </c>
    </row>
    <row r="11" spans="1:147" x14ac:dyDescent="0.35">
      <c r="A11" s="87" t="s">
        <v>167</v>
      </c>
      <c r="B11" s="69">
        <v>1607</v>
      </c>
      <c r="D11" s="82" t="s">
        <v>201</v>
      </c>
      <c r="E11" s="82">
        <v>11536.3</v>
      </c>
      <c r="G11" s="82" t="s">
        <v>219</v>
      </c>
      <c r="H11" s="82">
        <v>3837</v>
      </c>
      <c r="J11" s="82" t="s">
        <v>184</v>
      </c>
      <c r="K11" s="82">
        <v>3304.57</v>
      </c>
      <c r="M11" s="5"/>
      <c r="N11" s="66">
        <f t="shared" si="39"/>
        <v>9</v>
      </c>
      <c r="O11" s="78">
        <v>0</v>
      </c>
      <c r="P11" s="77">
        <f t="shared" si="6"/>
        <v>0</v>
      </c>
      <c r="Q11" s="104">
        <v>0</v>
      </c>
      <c r="R11" s="77">
        <f t="shared" si="7"/>
        <v>0</v>
      </c>
      <c r="S11" s="104">
        <v>0</v>
      </c>
      <c r="T11" s="77">
        <f t="shared" si="8"/>
        <v>0</v>
      </c>
      <c r="U11" s="104">
        <v>0</v>
      </c>
      <c r="V11" s="77">
        <f t="shared" si="0"/>
        <v>0</v>
      </c>
      <c r="W11" s="104">
        <v>0</v>
      </c>
      <c r="X11" s="77">
        <f t="shared" si="1"/>
        <v>0</v>
      </c>
      <c r="Y11" s="104">
        <v>0</v>
      </c>
      <c r="Z11" s="77">
        <f t="shared" si="9"/>
        <v>0</v>
      </c>
      <c r="AA11" s="104">
        <v>0</v>
      </c>
      <c r="AB11" s="77">
        <f t="shared" si="10"/>
        <v>0</v>
      </c>
      <c r="AC11" s="5"/>
      <c r="AD11" s="66">
        <f t="shared" si="40"/>
        <v>9</v>
      </c>
      <c r="AE11" s="78">
        <v>16998.961800000001</v>
      </c>
      <c r="AF11" s="104">
        <v>1207.5</v>
      </c>
      <c r="AG11" s="78">
        <v>262.5</v>
      </c>
      <c r="AH11" s="61">
        <f t="shared" si="11"/>
        <v>0.191</v>
      </c>
      <c r="AI11" s="61">
        <f t="shared" si="12"/>
        <v>0.52500000000000002</v>
      </c>
      <c r="AJ11" s="61">
        <f t="shared" si="13"/>
        <v>0.52500000000000002</v>
      </c>
      <c r="AK11" s="77">
        <v>57.494</v>
      </c>
      <c r="AL11" s="104">
        <v>2002.6992</v>
      </c>
      <c r="AM11" s="61">
        <f t="shared" si="2"/>
        <v>8.8999999999999996E-2</v>
      </c>
      <c r="AN11" s="57">
        <f t="shared" si="3"/>
        <v>0.17199999999999999</v>
      </c>
      <c r="AO11" s="78">
        <v>22077</v>
      </c>
      <c r="AP11" s="104">
        <v>20446.724999999999</v>
      </c>
      <c r="AQ11" s="61">
        <f t="shared" si="14"/>
        <v>0.495</v>
      </c>
      <c r="AR11" s="57">
        <f t="shared" si="15"/>
        <v>0.87099999999999989</v>
      </c>
      <c r="AS11" s="45"/>
      <c r="AT11" s="78">
        <v>913.64700000000005</v>
      </c>
      <c r="AU11" s="77">
        <f t="shared" si="4"/>
        <v>0.37100005684909815</v>
      </c>
      <c r="AV11" s="78">
        <v>911.74300000000005</v>
      </c>
      <c r="AW11" s="77">
        <f t="shared" si="5"/>
        <v>0.5673571873055383</v>
      </c>
      <c r="AX11" s="78">
        <v>1121.4780000000001</v>
      </c>
      <c r="AY11" s="77">
        <f t="shared" si="16"/>
        <v>0.5784392407674851</v>
      </c>
      <c r="AZ11" s="45"/>
      <c r="BA11" s="75">
        <v>51358.995000000003</v>
      </c>
      <c r="BB11" s="77">
        <f t="shared" si="17"/>
        <v>0.73770491803278682</v>
      </c>
      <c r="BC11" s="45"/>
      <c r="BD11" s="105">
        <v>7455.5240000000003</v>
      </c>
      <c r="BE11" s="45">
        <v>0</v>
      </c>
      <c r="BF11" s="106">
        <v>0</v>
      </c>
      <c r="BG11" s="107">
        <f t="shared" si="18"/>
        <v>0.22869705521472394</v>
      </c>
      <c r="BH11" s="108">
        <f t="shared" si="19"/>
        <v>0</v>
      </c>
      <c r="BI11" s="106">
        <v>0</v>
      </c>
      <c r="BJ11" s="106">
        <v>0</v>
      </c>
      <c r="BK11" s="106">
        <v>0</v>
      </c>
      <c r="BL11" s="106">
        <v>1038.2049999999999</v>
      </c>
      <c r="BM11" s="107">
        <f t="shared" si="20"/>
        <v>7.7029603798783194E-2</v>
      </c>
      <c r="BN11" s="108">
        <f t="shared" si="21"/>
        <v>0</v>
      </c>
      <c r="BO11" s="45">
        <v>7668</v>
      </c>
      <c r="BP11" s="45">
        <v>651.21892933000004</v>
      </c>
      <c r="BQ11" s="45"/>
      <c r="BR11" s="109">
        <v>-700</v>
      </c>
      <c r="BS11" s="45">
        <f t="shared" si="22"/>
        <v>0</v>
      </c>
      <c r="BT11" s="45">
        <v>4485</v>
      </c>
      <c r="BU11" s="45">
        <f t="shared" si="22"/>
        <v>4485</v>
      </c>
      <c r="BV11" s="45">
        <v>0</v>
      </c>
      <c r="BW11" s="45">
        <f t="shared" ref="BW11:BY11" si="77">IF(BV11&gt;0,BV11,0)</f>
        <v>0</v>
      </c>
      <c r="BX11" s="45">
        <v>-5000</v>
      </c>
      <c r="BY11" s="45">
        <f t="shared" si="77"/>
        <v>0</v>
      </c>
      <c r="BZ11" s="45">
        <v>-773.81716131999997</v>
      </c>
      <c r="CA11" s="45">
        <f t="shared" ref="CA11:CC11" si="78">IF(BZ11&gt;0,BZ11,0)</f>
        <v>0</v>
      </c>
      <c r="CB11" s="45">
        <v>-4000</v>
      </c>
      <c r="CC11" s="45">
        <f t="shared" si="78"/>
        <v>0</v>
      </c>
      <c r="CD11" s="45">
        <v>4800</v>
      </c>
      <c r="CE11" s="45">
        <f t="shared" ref="CE11:CG11" si="79">IF(CD11&gt;0,CD11,0)</f>
        <v>4800</v>
      </c>
      <c r="CF11" s="45">
        <v>12546.92561097</v>
      </c>
      <c r="CG11" s="45">
        <f t="shared" si="79"/>
        <v>12546.92561097</v>
      </c>
      <c r="CH11" s="107">
        <f t="shared" si="26"/>
        <v>21831.92561097</v>
      </c>
      <c r="CI11" s="45"/>
      <c r="CJ11" s="109">
        <v>-700</v>
      </c>
      <c r="CK11" s="45">
        <f t="shared" si="27"/>
        <v>700</v>
      </c>
      <c r="CL11" s="45">
        <v>4485</v>
      </c>
      <c r="CM11" s="45">
        <f t="shared" si="27"/>
        <v>0</v>
      </c>
      <c r="CN11" s="45">
        <v>0</v>
      </c>
      <c r="CO11" s="45">
        <f t="shared" ref="CO11:CQ11" si="80">IF(CN11&lt;0,-CN11,0)</f>
        <v>0</v>
      </c>
      <c r="CP11" s="45">
        <v>-5000</v>
      </c>
      <c r="CQ11" s="45">
        <f t="shared" si="80"/>
        <v>5000</v>
      </c>
      <c r="CR11" s="45">
        <v>-773.81716131999997</v>
      </c>
      <c r="CS11" s="45">
        <f t="shared" ref="CS11:CU11" si="81">IF(CR11&lt;0,-CR11,0)</f>
        <v>773.81716131999997</v>
      </c>
      <c r="CT11" s="45">
        <v>-4000</v>
      </c>
      <c r="CU11" s="45">
        <f t="shared" si="81"/>
        <v>4000</v>
      </c>
      <c r="CV11" s="45">
        <v>4800</v>
      </c>
      <c r="CW11" s="45">
        <f t="shared" ref="CW11:CY11" si="82">IF(CV11&lt;0,-CV11,0)</f>
        <v>0</v>
      </c>
      <c r="CX11" s="45">
        <v>12546.92561097</v>
      </c>
      <c r="CY11" s="45">
        <f t="shared" si="82"/>
        <v>0</v>
      </c>
      <c r="CZ11" s="107">
        <f t="shared" si="31"/>
        <v>10473.817161319999</v>
      </c>
      <c r="DA11" s="45"/>
      <c r="DB11" s="110">
        <v>32115.912</v>
      </c>
      <c r="DC11" s="57">
        <v>1952.7260000000001</v>
      </c>
      <c r="DD11" s="61">
        <v>3830.0583072968002</v>
      </c>
      <c r="DE11" s="61">
        <f t="shared" si="32"/>
        <v>37898.696307296799</v>
      </c>
      <c r="DF11" s="110">
        <v>7380.4189999999999</v>
      </c>
      <c r="DG11" s="110">
        <v>48050.411</v>
      </c>
      <c r="DH11" s="57">
        <v>7092</v>
      </c>
      <c r="DI11" s="107">
        <f t="shared" si="33"/>
        <v>55142.411</v>
      </c>
      <c r="DJ11" s="45"/>
      <c r="DK11" s="110">
        <v>1211.2670000000001</v>
      </c>
      <c r="DL11" s="57">
        <v>10571.615847326309</v>
      </c>
      <c r="DM11" s="57">
        <f t="shared" si="34"/>
        <v>11782.882847326309</v>
      </c>
      <c r="DN11" s="61">
        <v>1581.399830416711</v>
      </c>
      <c r="DO11" s="61">
        <v>2940.8694719917921</v>
      </c>
      <c r="DP11" s="61">
        <v>420.26615000999999</v>
      </c>
      <c r="DQ11" s="57">
        <f t="shared" si="35"/>
        <v>3361.1356220017919</v>
      </c>
      <c r="DR11" s="57">
        <v>163.38163733287729</v>
      </c>
      <c r="DS11" s="57">
        <v>163.38163733287729</v>
      </c>
      <c r="DT11" s="5"/>
      <c r="DU11" s="73">
        <v>0</v>
      </c>
      <c r="DV11" s="156">
        <v>6779.6610170000004</v>
      </c>
      <c r="DW11" s="155">
        <v>1447.7400829999999</v>
      </c>
      <c r="DX11" s="155">
        <v>0</v>
      </c>
      <c r="DY11" s="73">
        <v>0</v>
      </c>
      <c r="DZ11" s="156">
        <v>1553.672292</v>
      </c>
      <c r="EA11" s="73">
        <v>0</v>
      </c>
      <c r="EB11" s="156">
        <v>1271.1864410000001</v>
      </c>
      <c r="EC11" s="73">
        <v>0</v>
      </c>
      <c r="ED11" s="156">
        <v>847.5</v>
      </c>
      <c r="EE11" s="73">
        <v>0</v>
      </c>
      <c r="EF11" s="156">
        <v>7397.5988710000001</v>
      </c>
      <c r="EG11" s="73">
        <v>0</v>
      </c>
      <c r="EH11" s="156">
        <v>6779.6610170000004</v>
      </c>
      <c r="EI11" s="159">
        <v>1553.672292</v>
      </c>
      <c r="EJ11" s="162">
        <v>847.5</v>
      </c>
      <c r="EK11" s="165">
        <v>735.83500000000004</v>
      </c>
      <c r="EL11" s="159">
        <v>420.26615000999999</v>
      </c>
      <c r="EM11" s="159">
        <f t="shared" si="36"/>
        <v>10964.025395000001</v>
      </c>
      <c r="EN11" s="159">
        <f t="shared" si="37"/>
        <v>0</v>
      </c>
      <c r="EP11" s="2">
        <v>20065.234049999999</v>
      </c>
      <c r="EQ11" s="5">
        <f t="shared" si="38"/>
        <v>0.81699999999999995</v>
      </c>
    </row>
    <row r="12" spans="1:147" x14ac:dyDescent="0.35">
      <c r="D12" s="82" t="s">
        <v>202</v>
      </c>
      <c r="E12" s="82">
        <v>3156.57</v>
      </c>
      <c r="G12" s="82" t="s">
        <v>220</v>
      </c>
      <c r="H12" s="82">
        <v>279.8</v>
      </c>
      <c r="J12" s="82" t="s">
        <v>185</v>
      </c>
      <c r="K12" s="82">
        <v>3304.57</v>
      </c>
      <c r="M12" s="5"/>
      <c r="N12" s="66">
        <f t="shared" si="39"/>
        <v>10</v>
      </c>
      <c r="O12" s="78">
        <v>10126</v>
      </c>
      <c r="P12" s="77">
        <f t="shared" si="6"/>
        <v>0.122</v>
      </c>
      <c r="Q12" s="104">
        <v>341.15499999999997</v>
      </c>
      <c r="R12" s="77">
        <f t="shared" si="7"/>
        <v>7.0999999999999994E-2</v>
      </c>
      <c r="S12" s="104">
        <v>3930</v>
      </c>
      <c r="T12" s="77">
        <f t="shared" si="8"/>
        <v>0.13100000000000001</v>
      </c>
      <c r="U12" s="104">
        <v>1063.9867999999999</v>
      </c>
      <c r="V12" s="77">
        <f t="shared" si="0"/>
        <v>7.3999999999999996E-2</v>
      </c>
      <c r="W12" s="104">
        <v>367.07619999999997</v>
      </c>
      <c r="X12" s="77">
        <f t="shared" si="1"/>
        <v>3.7999999999999999E-2</v>
      </c>
      <c r="Y12" s="104">
        <v>3290.88</v>
      </c>
      <c r="Z12" s="77">
        <f t="shared" si="9"/>
        <v>6.4000000000000001E-2</v>
      </c>
      <c r="AA12" s="104">
        <v>2316.04</v>
      </c>
      <c r="AB12" s="77">
        <f t="shared" si="10"/>
        <v>4.9999999999999996E-2</v>
      </c>
      <c r="AC12" s="5"/>
      <c r="AD12" s="66">
        <f t="shared" si="40"/>
        <v>10</v>
      </c>
      <c r="AE12" s="78">
        <v>14684.967000000001</v>
      </c>
      <c r="AF12" s="104">
        <v>1145.4000000000001</v>
      </c>
      <c r="AG12" s="78">
        <v>249</v>
      </c>
      <c r="AH12" s="61">
        <f t="shared" si="11"/>
        <v>0.16500000000000001</v>
      </c>
      <c r="AI12" s="61">
        <f t="shared" si="12"/>
        <v>0.49800000000000005</v>
      </c>
      <c r="AJ12" s="61">
        <f t="shared" si="13"/>
        <v>0.498</v>
      </c>
      <c r="AK12" s="77">
        <v>57.494</v>
      </c>
      <c r="AL12" s="104">
        <v>1560.2424000000001</v>
      </c>
      <c r="AM12" s="61">
        <f t="shared" si="2"/>
        <v>8.8999999999999996E-2</v>
      </c>
      <c r="AN12" s="57">
        <f t="shared" si="3"/>
        <v>0.13400000000000001</v>
      </c>
      <c r="AO12" s="78">
        <v>20114.599999999999</v>
      </c>
      <c r="AP12" s="104">
        <v>20423.25</v>
      </c>
      <c r="AQ12" s="61">
        <f t="shared" si="14"/>
        <v>0.45099999999999996</v>
      </c>
      <c r="AR12" s="57">
        <f t="shared" si="15"/>
        <v>0.87</v>
      </c>
      <c r="AS12" s="45"/>
      <c r="AT12" s="78">
        <v>962.9</v>
      </c>
      <c r="AU12" s="77">
        <f t="shared" si="4"/>
        <v>0.39099997563610084</v>
      </c>
      <c r="AV12" s="78">
        <v>911.59100000000001</v>
      </c>
      <c r="AW12" s="77">
        <f t="shared" si="5"/>
        <v>0.56726260112009952</v>
      </c>
      <c r="AX12" s="78">
        <v>1121.4780000000001</v>
      </c>
      <c r="AY12" s="77">
        <f t="shared" si="16"/>
        <v>0.5784392407674851</v>
      </c>
      <c r="AZ12" s="45"/>
      <c r="BA12" s="75">
        <v>51358.995000000003</v>
      </c>
      <c r="BB12" s="77">
        <f t="shared" si="17"/>
        <v>0.73770491803278682</v>
      </c>
      <c r="BC12" s="45"/>
      <c r="BD12" s="105">
        <v>11070.761</v>
      </c>
      <c r="BE12" s="45">
        <v>0</v>
      </c>
      <c r="BF12" s="106">
        <v>0</v>
      </c>
      <c r="BG12" s="107">
        <f t="shared" si="18"/>
        <v>0.33959389570552151</v>
      </c>
      <c r="BH12" s="108">
        <f t="shared" si="19"/>
        <v>0</v>
      </c>
      <c r="BI12" s="106">
        <v>0</v>
      </c>
      <c r="BJ12" s="106">
        <v>0</v>
      </c>
      <c r="BK12" s="106">
        <v>0</v>
      </c>
      <c r="BL12" s="106">
        <v>1716.028</v>
      </c>
      <c r="BM12" s="107">
        <f t="shared" si="20"/>
        <v>0.12732067072265915</v>
      </c>
      <c r="BN12" s="108">
        <f t="shared" si="21"/>
        <v>0</v>
      </c>
      <c r="BO12" s="45">
        <v>7668</v>
      </c>
      <c r="BP12" s="45">
        <v>651.21892933000004</v>
      </c>
      <c r="BQ12" s="45"/>
      <c r="BR12" s="109">
        <v>-700</v>
      </c>
      <c r="BS12" s="45">
        <f t="shared" si="22"/>
        <v>0</v>
      </c>
      <c r="BT12" s="45">
        <v>4485</v>
      </c>
      <c r="BU12" s="45">
        <f t="shared" si="22"/>
        <v>4485</v>
      </c>
      <c r="BV12" s="45">
        <v>0</v>
      </c>
      <c r="BW12" s="45">
        <f t="shared" ref="BW12:BY12" si="83">IF(BV12&gt;0,BV12,0)</f>
        <v>0</v>
      </c>
      <c r="BX12" s="45">
        <v>-1595.9713999999999</v>
      </c>
      <c r="BY12" s="45">
        <f t="shared" si="83"/>
        <v>0</v>
      </c>
      <c r="BZ12" s="45">
        <v>-1389.4593902900001</v>
      </c>
      <c r="CA12" s="45">
        <f t="shared" ref="CA12:CC12" si="84">IF(BZ12&gt;0,BZ12,0)</f>
        <v>0</v>
      </c>
      <c r="CB12" s="45">
        <v>-4000</v>
      </c>
      <c r="CC12" s="45">
        <f t="shared" si="84"/>
        <v>0</v>
      </c>
      <c r="CD12" s="45">
        <v>4800</v>
      </c>
      <c r="CE12" s="45">
        <f t="shared" ref="CE12:CG12" si="85">IF(CD12&gt;0,CD12,0)</f>
        <v>4800</v>
      </c>
      <c r="CF12" s="45">
        <v>10791.92056735</v>
      </c>
      <c r="CG12" s="45">
        <f t="shared" si="85"/>
        <v>10791.92056735</v>
      </c>
      <c r="CH12" s="107">
        <f t="shared" si="26"/>
        <v>20076.92056735</v>
      </c>
      <c r="CI12" s="45"/>
      <c r="CJ12" s="109">
        <v>-700</v>
      </c>
      <c r="CK12" s="45">
        <f t="shared" si="27"/>
        <v>700</v>
      </c>
      <c r="CL12" s="45">
        <v>4485</v>
      </c>
      <c r="CM12" s="45">
        <f t="shared" si="27"/>
        <v>0</v>
      </c>
      <c r="CN12" s="45">
        <v>0</v>
      </c>
      <c r="CO12" s="45">
        <f t="shared" ref="CO12:CQ12" si="86">IF(CN12&lt;0,-CN12,0)</f>
        <v>0</v>
      </c>
      <c r="CP12" s="45">
        <v>-1595.9713999999999</v>
      </c>
      <c r="CQ12" s="45">
        <f t="shared" si="86"/>
        <v>1595.9713999999999</v>
      </c>
      <c r="CR12" s="45">
        <v>-1389.4593902900001</v>
      </c>
      <c r="CS12" s="45">
        <f t="shared" ref="CS12:CU12" si="87">IF(CR12&lt;0,-CR12,0)</f>
        <v>1389.4593902900001</v>
      </c>
      <c r="CT12" s="45">
        <v>-4000</v>
      </c>
      <c r="CU12" s="45">
        <f t="shared" si="87"/>
        <v>4000</v>
      </c>
      <c r="CV12" s="45">
        <v>4800</v>
      </c>
      <c r="CW12" s="45">
        <f t="shared" ref="CW12:CY12" si="88">IF(CV12&lt;0,-CV12,0)</f>
        <v>0</v>
      </c>
      <c r="CX12" s="45">
        <v>10791.92056735</v>
      </c>
      <c r="CY12" s="45">
        <f t="shared" si="88"/>
        <v>0</v>
      </c>
      <c r="CZ12" s="107">
        <f t="shared" si="31"/>
        <v>7685.43079029</v>
      </c>
      <c r="DA12" s="45"/>
      <c r="DB12" s="110">
        <v>33632.042000000001</v>
      </c>
      <c r="DC12" s="57">
        <v>1727.3910000000001</v>
      </c>
      <c r="DD12" s="61">
        <v>2387.8914877632001</v>
      </c>
      <c r="DE12" s="61">
        <f t="shared" si="32"/>
        <v>37747.324487763202</v>
      </c>
      <c r="DF12" s="110">
        <v>8177.7539999999999</v>
      </c>
      <c r="DG12" s="110">
        <v>48376.411</v>
      </c>
      <c r="DH12" s="57">
        <v>7618</v>
      </c>
      <c r="DI12" s="107">
        <f t="shared" si="33"/>
        <v>55994.411</v>
      </c>
      <c r="DJ12" s="45"/>
      <c r="DK12" s="110">
        <v>1132.873</v>
      </c>
      <c r="DL12" s="57">
        <v>10571.615847326309</v>
      </c>
      <c r="DM12" s="57">
        <f t="shared" si="34"/>
        <v>11704.488847326309</v>
      </c>
      <c r="DN12" s="61">
        <v>1581.399830416711</v>
      </c>
      <c r="DO12" s="61">
        <v>2940.8694719917921</v>
      </c>
      <c r="DP12" s="61">
        <v>420.26615000999999</v>
      </c>
      <c r="DQ12" s="57">
        <f t="shared" si="35"/>
        <v>3361.1356220017919</v>
      </c>
      <c r="DR12" s="57">
        <v>163.38163733287729</v>
      </c>
      <c r="DS12" s="57">
        <v>163.38163733287729</v>
      </c>
      <c r="DT12" s="5"/>
      <c r="DU12" s="73">
        <v>0</v>
      </c>
      <c r="DV12" s="156">
        <v>6779.6610170000004</v>
      </c>
      <c r="DW12" s="155">
        <v>1447.7400829999999</v>
      </c>
      <c r="DX12" s="155">
        <v>0</v>
      </c>
      <c r="DY12" s="73">
        <v>0</v>
      </c>
      <c r="DZ12" s="156">
        <v>1553.672292</v>
      </c>
      <c r="EA12" s="73">
        <v>0</v>
      </c>
      <c r="EB12" s="156">
        <v>1271.1864410000001</v>
      </c>
      <c r="EC12" s="73">
        <v>0</v>
      </c>
      <c r="ED12" s="156">
        <v>847.5</v>
      </c>
      <c r="EE12" s="73">
        <v>0</v>
      </c>
      <c r="EF12" s="156">
        <v>7397.5988710000001</v>
      </c>
      <c r="EG12" s="73">
        <v>0</v>
      </c>
      <c r="EH12" s="156">
        <v>6779.6610170000004</v>
      </c>
      <c r="EI12" s="159">
        <v>1553.672292</v>
      </c>
      <c r="EJ12" s="162">
        <v>847.5</v>
      </c>
      <c r="EK12" s="165">
        <v>735.83500000000004</v>
      </c>
      <c r="EL12" s="159">
        <v>420.26615000999999</v>
      </c>
      <c r="EM12" s="159">
        <f t="shared" si="36"/>
        <v>10964.025395000001</v>
      </c>
      <c r="EN12" s="159">
        <f t="shared" si="37"/>
        <v>0</v>
      </c>
      <c r="EP12" s="2">
        <v>20065.234049999999</v>
      </c>
      <c r="EQ12" s="5">
        <f t="shared" si="38"/>
        <v>0.81699999999999995</v>
      </c>
    </row>
    <row r="13" spans="1:147" x14ac:dyDescent="0.35">
      <c r="D13" s="82" t="s">
        <v>203</v>
      </c>
      <c r="E13" s="82">
        <v>2897.4</v>
      </c>
      <c r="G13" s="82" t="s">
        <v>155</v>
      </c>
      <c r="H13" s="82">
        <v>9659.9</v>
      </c>
      <c r="J13" s="82" t="s">
        <v>186</v>
      </c>
      <c r="K13" s="82">
        <v>1895.43</v>
      </c>
      <c r="M13" s="5"/>
      <c r="N13" s="66">
        <f t="shared" si="39"/>
        <v>11</v>
      </c>
      <c r="O13" s="78">
        <v>25979</v>
      </c>
      <c r="P13" s="77">
        <f t="shared" si="6"/>
        <v>0.313</v>
      </c>
      <c r="Q13" s="104">
        <v>903.34</v>
      </c>
      <c r="R13" s="77">
        <f t="shared" si="7"/>
        <v>0.188</v>
      </c>
      <c r="S13" s="104">
        <v>9150</v>
      </c>
      <c r="T13" s="77">
        <f t="shared" si="8"/>
        <v>0.30499999999999999</v>
      </c>
      <c r="U13" s="104">
        <v>3810.223</v>
      </c>
      <c r="V13" s="77">
        <f t="shared" si="0"/>
        <v>0.26499999999999996</v>
      </c>
      <c r="W13" s="104">
        <v>1371.7058</v>
      </c>
      <c r="X13" s="77">
        <f t="shared" si="1"/>
        <v>0.14199999999999999</v>
      </c>
      <c r="Y13" s="104">
        <v>7095.96</v>
      </c>
      <c r="Z13" s="77">
        <f t="shared" si="9"/>
        <v>0.13800000000000001</v>
      </c>
      <c r="AA13" s="104">
        <v>5187.9296000000004</v>
      </c>
      <c r="AB13" s="77">
        <f t="shared" si="10"/>
        <v>0.112</v>
      </c>
      <c r="AC13" s="5"/>
      <c r="AD13" s="66">
        <f t="shared" si="40"/>
        <v>11</v>
      </c>
      <c r="AE13" s="78">
        <v>13883.968800000001</v>
      </c>
      <c r="AF13" s="104">
        <v>1071.8</v>
      </c>
      <c r="AG13" s="78">
        <v>233</v>
      </c>
      <c r="AH13" s="61">
        <f t="shared" si="11"/>
        <v>0.156</v>
      </c>
      <c r="AI13" s="61">
        <f t="shared" si="12"/>
        <v>0.46599999999999997</v>
      </c>
      <c r="AJ13" s="61">
        <f t="shared" si="13"/>
        <v>0.46600000000000003</v>
      </c>
      <c r="AK13" s="77">
        <v>54.91</v>
      </c>
      <c r="AL13" s="104">
        <v>838.33920000000001</v>
      </c>
      <c r="AM13" s="61">
        <f t="shared" si="2"/>
        <v>8.4999999999999992E-2</v>
      </c>
      <c r="AN13" s="57">
        <f t="shared" si="3"/>
        <v>7.1999999999999995E-2</v>
      </c>
      <c r="AO13" s="78">
        <v>18241.400000000001</v>
      </c>
      <c r="AP13" s="104">
        <v>19672.05</v>
      </c>
      <c r="AQ13" s="61">
        <f t="shared" si="14"/>
        <v>0.40900000000000003</v>
      </c>
      <c r="AR13" s="57">
        <f t="shared" si="15"/>
        <v>0.83799999999999997</v>
      </c>
      <c r="AS13" s="45"/>
      <c r="AT13" s="78">
        <v>982.601</v>
      </c>
      <c r="AU13" s="77">
        <f t="shared" si="4"/>
        <v>0.39899986193790454</v>
      </c>
      <c r="AV13" s="78">
        <v>918.27</v>
      </c>
      <c r="AW13" s="77">
        <f t="shared" si="5"/>
        <v>0.57141879278158059</v>
      </c>
      <c r="AX13" s="78">
        <v>1121.4780000000001</v>
      </c>
      <c r="AY13" s="77">
        <f t="shared" si="16"/>
        <v>0.5784392407674851</v>
      </c>
      <c r="AZ13" s="45"/>
      <c r="BA13" s="75">
        <v>51358.995000000003</v>
      </c>
      <c r="BB13" s="77">
        <f t="shared" si="17"/>
        <v>0.73770491803278682</v>
      </c>
      <c r="BC13" s="45"/>
      <c r="BD13" s="105">
        <v>17654</v>
      </c>
      <c r="BE13" s="45">
        <v>0</v>
      </c>
      <c r="BF13" s="106">
        <v>0</v>
      </c>
      <c r="BG13" s="107">
        <f t="shared" si="18"/>
        <v>0.54153374233128837</v>
      </c>
      <c r="BH13" s="108">
        <f t="shared" si="19"/>
        <v>0</v>
      </c>
      <c r="BI13" s="106">
        <v>0</v>
      </c>
      <c r="BJ13" s="106">
        <v>0</v>
      </c>
      <c r="BK13" s="106">
        <v>0</v>
      </c>
      <c r="BL13" s="106">
        <v>3518.203</v>
      </c>
      <c r="BM13" s="107">
        <f t="shared" si="20"/>
        <v>0.26103301676806645</v>
      </c>
      <c r="BN13" s="108">
        <f t="shared" si="21"/>
        <v>0</v>
      </c>
      <c r="BO13" s="45">
        <v>7668</v>
      </c>
      <c r="BP13" s="45">
        <v>0</v>
      </c>
      <c r="BQ13" s="45"/>
      <c r="BR13" s="109">
        <v>-700</v>
      </c>
      <c r="BS13" s="45">
        <f t="shared" si="22"/>
        <v>0</v>
      </c>
      <c r="BT13" s="45">
        <v>4485</v>
      </c>
      <c r="BU13" s="45">
        <f t="shared" si="22"/>
        <v>4485</v>
      </c>
      <c r="BV13" s="45">
        <v>0</v>
      </c>
      <c r="BW13" s="45">
        <f t="shared" ref="BW13:BY13" si="89">IF(BV13&gt;0,BV13,0)</f>
        <v>0</v>
      </c>
      <c r="BX13" s="45">
        <v>0</v>
      </c>
      <c r="BY13" s="45">
        <f t="shared" si="89"/>
        <v>0</v>
      </c>
      <c r="BZ13" s="45">
        <v>-5300</v>
      </c>
      <c r="CA13" s="45">
        <f t="shared" ref="CA13:CC13" si="90">IF(BZ13&gt;0,BZ13,0)</f>
        <v>0</v>
      </c>
      <c r="CB13" s="45">
        <v>-4000</v>
      </c>
      <c r="CC13" s="45">
        <f t="shared" si="90"/>
        <v>0</v>
      </c>
      <c r="CD13" s="45">
        <v>4800</v>
      </c>
      <c r="CE13" s="45">
        <f t="shared" ref="CE13:CG13" si="91">IF(CD13&gt;0,CD13,0)</f>
        <v>4800</v>
      </c>
      <c r="CF13" s="45">
        <v>9336.1176897999994</v>
      </c>
      <c r="CG13" s="45">
        <f t="shared" si="91"/>
        <v>9336.1176897999994</v>
      </c>
      <c r="CH13" s="107">
        <f t="shared" si="26"/>
        <v>18621.117689799998</v>
      </c>
      <c r="CI13" s="45"/>
      <c r="CJ13" s="109">
        <v>-700</v>
      </c>
      <c r="CK13" s="45">
        <f t="shared" si="27"/>
        <v>700</v>
      </c>
      <c r="CL13" s="45">
        <v>4485</v>
      </c>
      <c r="CM13" s="45">
        <f t="shared" si="27"/>
        <v>0</v>
      </c>
      <c r="CN13" s="45">
        <v>0</v>
      </c>
      <c r="CO13" s="45">
        <f t="shared" ref="CO13:CQ13" si="92">IF(CN13&lt;0,-CN13,0)</f>
        <v>0</v>
      </c>
      <c r="CP13" s="45">
        <v>0</v>
      </c>
      <c r="CQ13" s="45">
        <f t="shared" si="92"/>
        <v>0</v>
      </c>
      <c r="CR13" s="45">
        <v>-5300</v>
      </c>
      <c r="CS13" s="45">
        <f t="shared" ref="CS13:CU13" si="93">IF(CR13&lt;0,-CR13,0)</f>
        <v>5300</v>
      </c>
      <c r="CT13" s="45">
        <v>-4000</v>
      </c>
      <c r="CU13" s="45">
        <f t="shared" si="93"/>
        <v>4000</v>
      </c>
      <c r="CV13" s="45">
        <v>4800</v>
      </c>
      <c r="CW13" s="45">
        <f t="shared" ref="CW13:CY13" si="94">IF(CV13&lt;0,-CV13,0)</f>
        <v>0</v>
      </c>
      <c r="CX13" s="45">
        <v>9336.1176897999994</v>
      </c>
      <c r="CY13" s="45">
        <f t="shared" si="94"/>
        <v>0</v>
      </c>
      <c r="CZ13" s="107">
        <f t="shared" si="31"/>
        <v>10000</v>
      </c>
      <c r="DA13" s="45"/>
      <c r="DB13" s="110">
        <v>34203.631999999998</v>
      </c>
      <c r="DC13" s="57">
        <v>1568.24</v>
      </c>
      <c r="DD13" s="61">
        <v>1889.8543081624</v>
      </c>
      <c r="DE13" s="61">
        <f t="shared" si="32"/>
        <v>37661.726308162397</v>
      </c>
      <c r="DF13" s="110">
        <v>9857.1650000000009</v>
      </c>
      <c r="DG13" s="110">
        <v>49873.411</v>
      </c>
      <c r="DH13" s="57">
        <v>7409</v>
      </c>
      <c r="DI13" s="107">
        <f t="shared" si="33"/>
        <v>57282.411</v>
      </c>
      <c r="DJ13" s="45"/>
      <c r="DK13" s="110">
        <v>1061.0630000000001</v>
      </c>
      <c r="DL13" s="57">
        <v>10571.615847326309</v>
      </c>
      <c r="DM13" s="57">
        <f t="shared" si="34"/>
        <v>11632.67884732631</v>
      </c>
      <c r="DN13" s="61">
        <v>1632.955870667711</v>
      </c>
      <c r="DO13" s="61">
        <v>2940.8694719917921</v>
      </c>
      <c r="DP13" s="61">
        <v>420.26615000999999</v>
      </c>
      <c r="DQ13" s="57">
        <f t="shared" si="35"/>
        <v>3361.1356220017919</v>
      </c>
      <c r="DR13" s="57">
        <v>163.38163733287729</v>
      </c>
      <c r="DS13" s="57">
        <v>163.38163733287729</v>
      </c>
      <c r="DT13" s="5"/>
      <c r="DU13" s="73">
        <v>0</v>
      </c>
      <c r="DV13" s="156">
        <v>6779.6610170000004</v>
      </c>
      <c r="DW13" s="155">
        <v>1447.7400829999999</v>
      </c>
      <c r="DX13" s="155">
        <v>0</v>
      </c>
      <c r="DY13" s="73">
        <v>0</v>
      </c>
      <c r="DZ13" s="156">
        <v>1553.672292</v>
      </c>
      <c r="EA13" s="73">
        <v>0</v>
      </c>
      <c r="EB13" s="156">
        <v>1271.1864410000001</v>
      </c>
      <c r="EC13" s="73">
        <v>0</v>
      </c>
      <c r="ED13" s="156">
        <v>847.5</v>
      </c>
      <c r="EE13" s="73">
        <v>0</v>
      </c>
      <c r="EF13" s="156">
        <v>7397.5988710000001</v>
      </c>
      <c r="EG13" s="73">
        <v>0</v>
      </c>
      <c r="EH13" s="156">
        <v>6779.6610170000004</v>
      </c>
      <c r="EI13" s="159">
        <v>1553.672292</v>
      </c>
      <c r="EJ13" s="162">
        <v>847.5</v>
      </c>
      <c r="EK13" s="165">
        <v>735.83500000000004</v>
      </c>
      <c r="EL13" s="159">
        <v>420.26615000999999</v>
      </c>
      <c r="EM13" s="159">
        <f t="shared" si="36"/>
        <v>10964.025395000001</v>
      </c>
      <c r="EN13" s="159">
        <f t="shared" si="37"/>
        <v>0</v>
      </c>
      <c r="EP13" s="2">
        <v>19131.967349999999</v>
      </c>
      <c r="EQ13" s="5">
        <f t="shared" si="38"/>
        <v>0.77899999999999991</v>
      </c>
    </row>
    <row r="14" spans="1:147" x14ac:dyDescent="0.35">
      <c r="D14" s="82" t="s">
        <v>204</v>
      </c>
      <c r="E14" s="82">
        <v>10447.41</v>
      </c>
      <c r="G14" s="82" t="s">
        <v>221</v>
      </c>
      <c r="H14" s="82">
        <v>12584.9</v>
      </c>
      <c r="J14" s="82" t="s">
        <v>187</v>
      </c>
      <c r="K14" s="82">
        <v>1895.43</v>
      </c>
      <c r="M14" s="5"/>
      <c r="N14" s="66">
        <f t="shared" si="39"/>
        <v>12</v>
      </c>
      <c r="O14" s="78">
        <v>31457</v>
      </c>
      <c r="P14" s="77">
        <f t="shared" si="6"/>
        <v>0.379</v>
      </c>
      <c r="Q14" s="104">
        <v>1489.55</v>
      </c>
      <c r="R14" s="77">
        <f t="shared" si="7"/>
        <v>0.31</v>
      </c>
      <c r="S14" s="104">
        <v>13260</v>
      </c>
      <c r="T14" s="77">
        <f t="shared" si="8"/>
        <v>0.442</v>
      </c>
      <c r="U14" s="104">
        <v>6355.1643999999997</v>
      </c>
      <c r="V14" s="77">
        <f t="shared" si="0"/>
        <v>0.44199999999999995</v>
      </c>
      <c r="W14" s="104">
        <v>2424.6349</v>
      </c>
      <c r="X14" s="77">
        <f t="shared" si="1"/>
        <v>0.251</v>
      </c>
      <c r="Y14" s="104">
        <v>10181.16</v>
      </c>
      <c r="Z14" s="77">
        <f t="shared" si="9"/>
        <v>0.19800000000000001</v>
      </c>
      <c r="AA14" s="104">
        <v>7503.9696000000004</v>
      </c>
      <c r="AB14" s="77">
        <f t="shared" si="10"/>
        <v>0.16200000000000001</v>
      </c>
      <c r="AC14" s="5"/>
      <c r="AD14" s="66">
        <f t="shared" si="40"/>
        <v>12</v>
      </c>
      <c r="AE14" s="78">
        <v>14684.967000000001</v>
      </c>
      <c r="AF14" s="104">
        <v>1005.1</v>
      </c>
      <c r="AG14" s="78">
        <v>218.5</v>
      </c>
      <c r="AH14" s="61">
        <f t="shared" si="11"/>
        <v>0.16500000000000001</v>
      </c>
      <c r="AI14" s="61">
        <f t="shared" si="12"/>
        <v>0.437</v>
      </c>
      <c r="AJ14" s="61">
        <f t="shared" si="13"/>
        <v>0.437</v>
      </c>
      <c r="AK14" s="77">
        <v>52.972000000000001</v>
      </c>
      <c r="AL14" s="104">
        <v>442.45679999999999</v>
      </c>
      <c r="AM14" s="61">
        <f t="shared" si="2"/>
        <v>8.2000000000000003E-2</v>
      </c>
      <c r="AN14" s="57">
        <f t="shared" si="3"/>
        <v>3.7999999999999999E-2</v>
      </c>
      <c r="AO14" s="78">
        <v>16011.4</v>
      </c>
      <c r="AP14" s="104">
        <v>19014.75</v>
      </c>
      <c r="AQ14" s="61">
        <f t="shared" si="14"/>
        <v>0.35899999999999999</v>
      </c>
      <c r="AR14" s="57">
        <f t="shared" si="15"/>
        <v>0.81</v>
      </c>
      <c r="AS14" s="45"/>
      <c r="AT14" s="78">
        <v>997.37699999999995</v>
      </c>
      <c r="AU14" s="77">
        <f t="shared" si="4"/>
        <v>0.40499987818050404</v>
      </c>
      <c r="AV14" s="78">
        <v>914.43200000000002</v>
      </c>
      <c r="AW14" s="77">
        <f t="shared" si="5"/>
        <v>0.56903049159925323</v>
      </c>
      <c r="AX14" s="78">
        <v>1121.4780000000001</v>
      </c>
      <c r="AY14" s="77">
        <f t="shared" si="16"/>
        <v>0.5784392407674851</v>
      </c>
      <c r="AZ14" s="45"/>
      <c r="BA14" s="75">
        <v>51358.995000000003</v>
      </c>
      <c r="BB14" s="77">
        <f t="shared" si="17"/>
        <v>0.73770491803278682</v>
      </c>
      <c r="BC14" s="45"/>
      <c r="BD14" s="105">
        <v>21855.530999999999</v>
      </c>
      <c r="BE14" s="45">
        <v>0</v>
      </c>
      <c r="BF14" s="106">
        <v>0</v>
      </c>
      <c r="BG14" s="107">
        <f t="shared" si="18"/>
        <v>0.6704150613496932</v>
      </c>
      <c r="BH14" s="108">
        <f t="shared" si="19"/>
        <v>0</v>
      </c>
      <c r="BI14" s="106">
        <v>0</v>
      </c>
      <c r="BJ14" s="106">
        <v>0</v>
      </c>
      <c r="BK14" s="106">
        <v>0</v>
      </c>
      <c r="BL14" s="106">
        <v>5291.8940000000002</v>
      </c>
      <c r="BM14" s="107">
        <f t="shared" si="20"/>
        <v>0.39263199287728151</v>
      </c>
      <c r="BN14" s="108">
        <f t="shared" si="21"/>
        <v>0</v>
      </c>
      <c r="BO14" s="45">
        <v>7668</v>
      </c>
      <c r="BP14" s="45">
        <v>0</v>
      </c>
      <c r="BQ14" s="45"/>
      <c r="BR14" s="109">
        <v>-700</v>
      </c>
      <c r="BS14" s="45">
        <f t="shared" si="22"/>
        <v>0</v>
      </c>
      <c r="BT14" s="45">
        <v>4485</v>
      </c>
      <c r="BU14" s="45">
        <f t="shared" si="22"/>
        <v>4485</v>
      </c>
      <c r="BV14" s="45">
        <v>0</v>
      </c>
      <c r="BW14" s="45">
        <f t="shared" ref="BW14:BY14" si="95">IF(BV14&gt;0,BV14,0)</f>
        <v>0</v>
      </c>
      <c r="BX14" s="45">
        <v>0</v>
      </c>
      <c r="BY14" s="45">
        <f t="shared" si="95"/>
        <v>0</v>
      </c>
      <c r="BZ14" s="45">
        <v>-5300</v>
      </c>
      <c r="CA14" s="45">
        <f t="shared" ref="CA14:CC14" si="96">IF(BZ14&gt;0,BZ14,0)</f>
        <v>0</v>
      </c>
      <c r="CB14" s="45">
        <v>-4000</v>
      </c>
      <c r="CC14" s="45">
        <f t="shared" si="96"/>
        <v>0</v>
      </c>
      <c r="CD14" s="45">
        <v>4800</v>
      </c>
      <c r="CE14" s="45">
        <f t="shared" ref="CE14:CG14" si="97">IF(CD14&gt;0,CD14,0)</f>
        <v>4800</v>
      </c>
      <c r="CF14" s="45">
        <v>9373.2597054100006</v>
      </c>
      <c r="CG14" s="45">
        <f t="shared" si="97"/>
        <v>9373.2597054100006</v>
      </c>
      <c r="CH14" s="107">
        <f t="shared" si="26"/>
        <v>18658.259705410001</v>
      </c>
      <c r="CI14" s="45"/>
      <c r="CJ14" s="109">
        <v>-700</v>
      </c>
      <c r="CK14" s="45">
        <f t="shared" si="27"/>
        <v>700</v>
      </c>
      <c r="CL14" s="45">
        <v>4485</v>
      </c>
      <c r="CM14" s="45">
        <f t="shared" si="27"/>
        <v>0</v>
      </c>
      <c r="CN14" s="45">
        <v>0</v>
      </c>
      <c r="CO14" s="45">
        <f t="shared" ref="CO14:CQ14" si="98">IF(CN14&lt;0,-CN14,0)</f>
        <v>0</v>
      </c>
      <c r="CP14" s="45">
        <v>0</v>
      </c>
      <c r="CQ14" s="45">
        <f t="shared" si="98"/>
        <v>0</v>
      </c>
      <c r="CR14" s="45">
        <v>-5300</v>
      </c>
      <c r="CS14" s="45">
        <f t="shared" ref="CS14:CU14" si="99">IF(CR14&lt;0,-CR14,0)</f>
        <v>5300</v>
      </c>
      <c r="CT14" s="45">
        <v>-4000</v>
      </c>
      <c r="CU14" s="45">
        <f t="shared" si="99"/>
        <v>4000</v>
      </c>
      <c r="CV14" s="45">
        <v>4800</v>
      </c>
      <c r="CW14" s="45">
        <f t="shared" ref="CW14:CY14" si="100">IF(CV14&lt;0,-CV14,0)</f>
        <v>0</v>
      </c>
      <c r="CX14" s="45">
        <v>9373.2597054100006</v>
      </c>
      <c r="CY14" s="45">
        <f t="shared" si="100"/>
        <v>0</v>
      </c>
      <c r="CZ14" s="107">
        <f t="shared" si="31"/>
        <v>10000</v>
      </c>
      <c r="DA14" s="45"/>
      <c r="DB14" s="110">
        <v>34988.68</v>
      </c>
      <c r="DC14" s="57">
        <v>1570.1769999999999</v>
      </c>
      <c r="DD14" s="61">
        <v>2380.3125980932</v>
      </c>
      <c r="DE14" s="61">
        <f t="shared" si="32"/>
        <v>38939.169598093205</v>
      </c>
      <c r="DF14" s="110">
        <v>11506.75</v>
      </c>
      <c r="DG14" s="110">
        <v>52512.411</v>
      </c>
      <c r="DH14" s="57">
        <v>7066</v>
      </c>
      <c r="DI14" s="107">
        <f t="shared" si="33"/>
        <v>59578.411</v>
      </c>
      <c r="DJ14" s="45"/>
      <c r="DK14" s="110">
        <v>1007.947</v>
      </c>
      <c r="DL14" s="57">
        <v>10555.905846475949</v>
      </c>
      <c r="DM14" s="57">
        <f t="shared" si="34"/>
        <v>11563.852846475949</v>
      </c>
      <c r="DN14" s="61">
        <v>1632.955870667711</v>
      </c>
      <c r="DO14" s="61">
        <v>2932.5915975665489</v>
      </c>
      <c r="DP14" s="61">
        <v>428.54402442999998</v>
      </c>
      <c r="DQ14" s="57">
        <f t="shared" si="35"/>
        <v>3361.1356219965487</v>
      </c>
      <c r="DR14" s="57">
        <v>162.92175542036381</v>
      </c>
      <c r="DS14" s="57">
        <v>162.92175542036381</v>
      </c>
      <c r="DT14" s="5"/>
      <c r="DU14" s="73">
        <v>0</v>
      </c>
      <c r="DV14" s="156">
        <v>6779.6610170000004</v>
      </c>
      <c r="DW14" s="155">
        <v>1447.7400829999999</v>
      </c>
      <c r="DX14" s="155">
        <v>0</v>
      </c>
      <c r="DY14" s="73">
        <v>0</v>
      </c>
      <c r="DZ14" s="156">
        <v>1521.4124100900001</v>
      </c>
      <c r="EA14" s="73">
        <v>0</v>
      </c>
      <c r="EB14" s="156">
        <v>1271.1864410000001</v>
      </c>
      <c r="EC14" s="73">
        <v>0</v>
      </c>
      <c r="ED14" s="156">
        <v>847.5</v>
      </c>
      <c r="EE14" s="73">
        <v>0</v>
      </c>
      <c r="EF14" s="156">
        <v>7397.5988710000001</v>
      </c>
      <c r="EG14" s="73">
        <v>0</v>
      </c>
      <c r="EH14" s="156">
        <v>6779.6610170000004</v>
      </c>
      <c r="EI14" s="159">
        <v>1521.4124100900001</v>
      </c>
      <c r="EJ14" s="162">
        <v>847.5</v>
      </c>
      <c r="EK14" s="165">
        <v>735.83500000000004</v>
      </c>
      <c r="EL14" s="159">
        <v>428.54402442999998</v>
      </c>
      <c r="EM14" s="159">
        <f t="shared" si="36"/>
        <v>10964.025395000001</v>
      </c>
      <c r="EN14" s="159">
        <f t="shared" si="37"/>
        <v>0</v>
      </c>
      <c r="EP14" s="2">
        <v>19598.600699999999</v>
      </c>
      <c r="EQ14" s="5">
        <f t="shared" si="38"/>
        <v>0.79799999999999993</v>
      </c>
    </row>
    <row r="15" spans="1:147" x14ac:dyDescent="0.35">
      <c r="D15" s="82" t="s">
        <v>205</v>
      </c>
      <c r="E15" s="82">
        <v>10423.35</v>
      </c>
      <c r="G15" s="82" t="s">
        <v>222</v>
      </c>
      <c r="H15" s="82">
        <v>8954</v>
      </c>
      <c r="J15" s="82" t="s">
        <v>188</v>
      </c>
      <c r="K15" s="82">
        <v>7270</v>
      </c>
      <c r="M15" s="5"/>
      <c r="N15" s="66">
        <f t="shared" si="39"/>
        <v>13</v>
      </c>
      <c r="O15" s="78">
        <v>32453</v>
      </c>
      <c r="P15" s="77">
        <f t="shared" si="6"/>
        <v>0.39100000000000001</v>
      </c>
      <c r="Q15" s="104">
        <v>1869.145</v>
      </c>
      <c r="R15" s="77">
        <f t="shared" si="7"/>
        <v>0.38900000000000001</v>
      </c>
      <c r="S15" s="104">
        <v>15300</v>
      </c>
      <c r="T15" s="77">
        <f t="shared" si="8"/>
        <v>0.51</v>
      </c>
      <c r="U15" s="104">
        <v>7879.2536</v>
      </c>
      <c r="V15" s="77">
        <f t="shared" si="0"/>
        <v>0.54799999999999993</v>
      </c>
      <c r="W15" s="104">
        <v>3120.1477</v>
      </c>
      <c r="X15" s="77">
        <f t="shared" si="1"/>
        <v>0.32300000000000001</v>
      </c>
      <c r="Y15" s="104">
        <v>11003.88</v>
      </c>
      <c r="Z15" s="77">
        <f t="shared" si="9"/>
        <v>0.214</v>
      </c>
      <c r="AA15" s="104">
        <v>8245.1023999999998</v>
      </c>
      <c r="AB15" s="77">
        <f t="shared" si="10"/>
        <v>0.17799999999999999</v>
      </c>
      <c r="AC15" s="5"/>
      <c r="AD15" s="66">
        <f t="shared" si="40"/>
        <v>13</v>
      </c>
      <c r="AE15" s="78">
        <v>16909.962</v>
      </c>
      <c r="AF15" s="104">
        <v>979.8</v>
      </c>
      <c r="AG15" s="78">
        <v>213</v>
      </c>
      <c r="AH15" s="61">
        <f t="shared" si="11"/>
        <v>0.19</v>
      </c>
      <c r="AI15" s="61">
        <f t="shared" si="12"/>
        <v>0.42599999999999999</v>
      </c>
      <c r="AJ15" s="61">
        <f t="shared" si="13"/>
        <v>0.42599999999999999</v>
      </c>
      <c r="AK15" s="77">
        <v>50.387999999999998</v>
      </c>
      <c r="AL15" s="104">
        <v>430.81319999999999</v>
      </c>
      <c r="AM15" s="61">
        <f t="shared" si="2"/>
        <v>7.8E-2</v>
      </c>
      <c r="AN15" s="57">
        <f t="shared" si="3"/>
        <v>3.6999999999999998E-2</v>
      </c>
      <c r="AO15" s="78">
        <v>15877.6</v>
      </c>
      <c r="AP15" s="104">
        <v>18803.474999999999</v>
      </c>
      <c r="AQ15" s="61">
        <f t="shared" si="14"/>
        <v>0.35599999999999998</v>
      </c>
      <c r="AR15" s="57">
        <f t="shared" si="15"/>
        <v>0.80099999999999993</v>
      </c>
      <c r="AS15" s="45"/>
      <c r="AT15" s="78">
        <v>994.91499999999996</v>
      </c>
      <c r="AU15" s="77">
        <f t="shared" si="4"/>
        <v>0.40400014618339519</v>
      </c>
      <c r="AV15" s="78">
        <v>916.05899999999997</v>
      </c>
      <c r="AW15" s="77">
        <f t="shared" si="5"/>
        <v>0.5700429371499689</v>
      </c>
      <c r="AX15" s="78">
        <v>1121.4780000000001</v>
      </c>
      <c r="AY15" s="77">
        <f t="shared" si="16"/>
        <v>0.5784392407674851</v>
      </c>
      <c r="AZ15" s="45"/>
      <c r="BA15" s="75">
        <v>51358.995000000003</v>
      </c>
      <c r="BB15" s="77">
        <f t="shared" si="17"/>
        <v>0.73770491803278682</v>
      </c>
      <c r="BC15" s="45"/>
      <c r="BD15" s="105">
        <v>24329.670999999998</v>
      </c>
      <c r="BE15" s="45">
        <v>0</v>
      </c>
      <c r="BF15" s="106">
        <v>0</v>
      </c>
      <c r="BG15" s="107">
        <f t="shared" si="18"/>
        <v>0.74630892638036805</v>
      </c>
      <c r="BH15" s="108">
        <f t="shared" si="19"/>
        <v>0</v>
      </c>
      <c r="BI15" s="106">
        <v>0</v>
      </c>
      <c r="BJ15" s="106">
        <v>0</v>
      </c>
      <c r="BK15" s="106">
        <v>0</v>
      </c>
      <c r="BL15" s="106">
        <v>6406.0810000000001</v>
      </c>
      <c r="BM15" s="107">
        <f t="shared" si="20"/>
        <v>0.47529907998219323</v>
      </c>
      <c r="BN15" s="108">
        <f t="shared" si="21"/>
        <v>0</v>
      </c>
      <c r="BO15" s="45">
        <v>7668</v>
      </c>
      <c r="BP15" s="45">
        <v>0</v>
      </c>
      <c r="BQ15" s="45"/>
      <c r="BR15" s="109">
        <v>-700</v>
      </c>
      <c r="BS15" s="45">
        <f t="shared" si="22"/>
        <v>0</v>
      </c>
      <c r="BT15" s="45">
        <v>4485</v>
      </c>
      <c r="BU15" s="45">
        <f t="shared" si="22"/>
        <v>4485</v>
      </c>
      <c r="BV15" s="45">
        <v>0</v>
      </c>
      <c r="BW15" s="45">
        <f t="shared" ref="BW15:BY15" si="101">IF(BV15&gt;0,BV15,0)</f>
        <v>0</v>
      </c>
      <c r="BX15" s="45">
        <v>1310.5749978700001</v>
      </c>
      <c r="BY15" s="45">
        <f t="shared" si="101"/>
        <v>1310.5749978700001</v>
      </c>
      <c r="BZ15" s="45">
        <v>-5300</v>
      </c>
      <c r="CA15" s="45">
        <f t="shared" ref="CA15:CC15" si="102">IF(BZ15&gt;0,BZ15,0)</f>
        <v>0</v>
      </c>
      <c r="CB15" s="45">
        <v>-4000</v>
      </c>
      <c r="CC15" s="45">
        <f t="shared" si="102"/>
        <v>0</v>
      </c>
      <c r="CD15" s="45">
        <v>4800</v>
      </c>
      <c r="CE15" s="45">
        <f t="shared" ref="CE15:CG15" si="103">IF(CD15&gt;0,CD15,0)</f>
        <v>4800</v>
      </c>
      <c r="CF15" s="45">
        <v>10307.71668231</v>
      </c>
      <c r="CG15" s="45">
        <f t="shared" si="103"/>
        <v>10307.71668231</v>
      </c>
      <c r="CH15" s="107">
        <f t="shared" si="26"/>
        <v>20903.291680180002</v>
      </c>
      <c r="CI15" s="45"/>
      <c r="CJ15" s="109">
        <v>-700</v>
      </c>
      <c r="CK15" s="45">
        <f t="shared" si="27"/>
        <v>700</v>
      </c>
      <c r="CL15" s="45">
        <v>4485</v>
      </c>
      <c r="CM15" s="45">
        <f t="shared" si="27"/>
        <v>0</v>
      </c>
      <c r="CN15" s="45">
        <v>0</v>
      </c>
      <c r="CO15" s="45">
        <f t="shared" ref="CO15:CQ15" si="104">IF(CN15&lt;0,-CN15,0)</f>
        <v>0</v>
      </c>
      <c r="CP15" s="45">
        <v>1310.5749978700001</v>
      </c>
      <c r="CQ15" s="45">
        <f t="shared" si="104"/>
        <v>0</v>
      </c>
      <c r="CR15" s="45">
        <v>-5300</v>
      </c>
      <c r="CS15" s="45">
        <f t="shared" ref="CS15:CU15" si="105">IF(CR15&lt;0,-CR15,0)</f>
        <v>5300</v>
      </c>
      <c r="CT15" s="45">
        <v>-4000</v>
      </c>
      <c r="CU15" s="45">
        <f t="shared" si="105"/>
        <v>4000</v>
      </c>
      <c r="CV15" s="45">
        <v>4800</v>
      </c>
      <c r="CW15" s="45">
        <f t="shared" ref="CW15:CY15" si="106">IF(CV15&lt;0,-CV15,0)</f>
        <v>0</v>
      </c>
      <c r="CX15" s="45">
        <v>10307.71668231</v>
      </c>
      <c r="CY15" s="45">
        <f t="shared" si="106"/>
        <v>0</v>
      </c>
      <c r="CZ15" s="107">
        <f t="shared" si="31"/>
        <v>10000</v>
      </c>
      <c r="DA15" s="45"/>
      <c r="DB15" s="110">
        <v>35871.457000000002</v>
      </c>
      <c r="DC15" s="57">
        <v>1571.902</v>
      </c>
      <c r="DD15" s="61">
        <v>2602.6944411569998</v>
      </c>
      <c r="DE15" s="61">
        <f t="shared" si="32"/>
        <v>40046.053441157004</v>
      </c>
      <c r="DF15" s="110">
        <v>12788.484</v>
      </c>
      <c r="DG15" s="110">
        <v>54490.411</v>
      </c>
      <c r="DH15" s="57">
        <v>6774</v>
      </c>
      <c r="DI15" s="107">
        <f t="shared" si="33"/>
        <v>61264.411</v>
      </c>
      <c r="DJ15" s="45"/>
      <c r="DK15" s="110">
        <v>983.52599999999995</v>
      </c>
      <c r="DL15" s="57">
        <v>10540.1958456256</v>
      </c>
      <c r="DM15" s="57">
        <f t="shared" si="34"/>
        <v>11523.7218456256</v>
      </c>
      <c r="DN15" s="61">
        <v>1581.399830416711</v>
      </c>
      <c r="DO15" s="61">
        <v>2924.3137231413061</v>
      </c>
      <c r="DP15" s="61">
        <v>436.82189885999998</v>
      </c>
      <c r="DQ15" s="57">
        <f t="shared" si="35"/>
        <v>3361.1356220013063</v>
      </c>
      <c r="DR15" s="57">
        <v>162.46187350785041</v>
      </c>
      <c r="DS15" s="57">
        <v>162.46187350785041</v>
      </c>
      <c r="DT15" s="5"/>
      <c r="DU15" s="73">
        <v>0</v>
      </c>
      <c r="DV15" s="156">
        <v>6779.6610170000004</v>
      </c>
      <c r="DW15" s="155">
        <v>1447.7400829999999</v>
      </c>
      <c r="DX15" s="155">
        <v>0</v>
      </c>
      <c r="DY15" s="73">
        <v>0</v>
      </c>
      <c r="DZ15" s="156">
        <v>504.93229200000002</v>
      </c>
      <c r="EA15" s="73">
        <v>0</v>
      </c>
      <c r="EB15" s="156">
        <v>1271.1864410000001</v>
      </c>
      <c r="EC15" s="73">
        <v>0</v>
      </c>
      <c r="ED15" s="156">
        <v>847.5</v>
      </c>
      <c r="EE15" s="73">
        <v>0</v>
      </c>
      <c r="EF15" s="156">
        <v>7397.5988710000001</v>
      </c>
      <c r="EG15" s="73">
        <v>0</v>
      </c>
      <c r="EH15" s="156">
        <v>6779.6610170000004</v>
      </c>
      <c r="EI15" s="159">
        <v>504.93229200000002</v>
      </c>
      <c r="EJ15" s="162">
        <v>847.5</v>
      </c>
      <c r="EK15" s="165">
        <v>735.83500000000004</v>
      </c>
      <c r="EL15" s="159">
        <v>436.82189885999998</v>
      </c>
      <c r="EM15" s="159">
        <f t="shared" si="36"/>
        <v>10964.025395000001</v>
      </c>
      <c r="EN15" s="159">
        <f t="shared" si="37"/>
        <v>0</v>
      </c>
      <c r="EP15" s="2">
        <v>19598.600699999999</v>
      </c>
      <c r="EQ15" s="5">
        <f t="shared" si="38"/>
        <v>0.79799999999999993</v>
      </c>
    </row>
    <row r="16" spans="1:147" x14ac:dyDescent="0.35">
      <c r="D16" s="82" t="s">
        <v>206</v>
      </c>
      <c r="E16" s="82">
        <v>3500</v>
      </c>
      <c r="G16" s="82" t="s">
        <v>223</v>
      </c>
      <c r="H16" s="82">
        <v>968</v>
      </c>
      <c r="J16" s="82" t="s">
        <v>189</v>
      </c>
      <c r="K16" s="82">
        <v>46320.800000000003</v>
      </c>
      <c r="M16" s="5"/>
      <c r="N16" s="66">
        <f t="shared" si="39"/>
        <v>14</v>
      </c>
      <c r="O16" s="78">
        <v>32287</v>
      </c>
      <c r="P16" s="77">
        <f t="shared" si="6"/>
        <v>0.38900000000000001</v>
      </c>
      <c r="Q16" s="104">
        <v>1917.1949999999999</v>
      </c>
      <c r="R16" s="77">
        <f t="shared" si="7"/>
        <v>0.39899999999999997</v>
      </c>
      <c r="S16" s="104">
        <v>15330</v>
      </c>
      <c r="T16" s="77">
        <f t="shared" si="8"/>
        <v>0.51100000000000001</v>
      </c>
      <c r="U16" s="104">
        <v>8353.7342000000008</v>
      </c>
      <c r="V16" s="77">
        <f t="shared" si="0"/>
        <v>0.58100000000000007</v>
      </c>
      <c r="W16" s="104">
        <v>3361.6451999999999</v>
      </c>
      <c r="X16" s="77">
        <f t="shared" si="1"/>
        <v>0.34800000000000003</v>
      </c>
      <c r="Y16" s="104">
        <v>10078.32</v>
      </c>
      <c r="Z16" s="77">
        <f t="shared" si="9"/>
        <v>0.19600000000000001</v>
      </c>
      <c r="AA16" s="104">
        <v>7596.6112000000003</v>
      </c>
      <c r="AB16" s="77">
        <f t="shared" si="10"/>
        <v>0.16400000000000001</v>
      </c>
      <c r="AC16" s="5"/>
      <c r="AD16" s="66">
        <f t="shared" si="40"/>
        <v>14</v>
      </c>
      <c r="AE16" s="78">
        <v>18422.958600000002</v>
      </c>
      <c r="AF16" s="104">
        <v>954.5</v>
      </c>
      <c r="AG16" s="78">
        <v>207.5</v>
      </c>
      <c r="AH16" s="61">
        <f t="shared" si="11"/>
        <v>0.20700000000000002</v>
      </c>
      <c r="AI16" s="61">
        <f t="shared" si="12"/>
        <v>0.41499999999999998</v>
      </c>
      <c r="AJ16" s="61">
        <f t="shared" si="13"/>
        <v>0.41499999999999998</v>
      </c>
      <c r="AK16" s="77">
        <v>51.68</v>
      </c>
      <c r="AL16" s="104">
        <v>500.6748</v>
      </c>
      <c r="AM16" s="61">
        <f t="shared" si="2"/>
        <v>0.08</v>
      </c>
      <c r="AN16" s="57">
        <f t="shared" si="3"/>
        <v>4.2999999999999997E-2</v>
      </c>
      <c r="AO16" s="78">
        <v>16100.6</v>
      </c>
      <c r="AP16" s="104">
        <v>18709.575000000001</v>
      </c>
      <c r="AQ16" s="61">
        <f t="shared" si="14"/>
        <v>0.36099999999999999</v>
      </c>
      <c r="AR16" s="57">
        <f t="shared" si="15"/>
        <v>0.79700000000000004</v>
      </c>
      <c r="AS16" s="45"/>
      <c r="AT16" s="78">
        <v>999.84</v>
      </c>
      <c r="AU16" s="77">
        <f t="shared" si="4"/>
        <v>0.40600001624259952</v>
      </c>
      <c r="AV16" s="78">
        <v>911.99199999999996</v>
      </c>
      <c r="AW16" s="77">
        <f t="shared" si="5"/>
        <v>0.5675121344119477</v>
      </c>
      <c r="AX16" s="78">
        <v>1121.4780000000001</v>
      </c>
      <c r="AY16" s="77">
        <f t="shared" si="16"/>
        <v>0.5784392407674851</v>
      </c>
      <c r="AZ16" s="45"/>
      <c r="BA16" s="75">
        <v>51358.995000000003</v>
      </c>
      <c r="BB16" s="77">
        <f t="shared" si="17"/>
        <v>0.73770491803278682</v>
      </c>
      <c r="BC16" s="45"/>
      <c r="BD16" s="105">
        <v>24980.846000000001</v>
      </c>
      <c r="BE16" s="45">
        <v>0</v>
      </c>
      <c r="BF16" s="106">
        <v>0</v>
      </c>
      <c r="BG16" s="107">
        <f t="shared" si="18"/>
        <v>0.76628361963190184</v>
      </c>
      <c r="BH16" s="108">
        <f t="shared" si="19"/>
        <v>0</v>
      </c>
      <c r="BI16" s="106">
        <v>0</v>
      </c>
      <c r="BJ16" s="106">
        <v>0</v>
      </c>
      <c r="BK16" s="106">
        <v>0</v>
      </c>
      <c r="BL16" s="106">
        <v>6829.7910000000002</v>
      </c>
      <c r="BM16" s="107">
        <f t="shared" si="20"/>
        <v>0.50673623683039026</v>
      </c>
      <c r="BN16" s="108">
        <f t="shared" si="21"/>
        <v>0</v>
      </c>
      <c r="BO16" s="45">
        <v>7668</v>
      </c>
      <c r="BP16" s="45">
        <v>0</v>
      </c>
      <c r="BQ16" s="45"/>
      <c r="BR16" s="109">
        <v>-700</v>
      </c>
      <c r="BS16" s="45">
        <f t="shared" si="22"/>
        <v>0</v>
      </c>
      <c r="BT16" s="45">
        <v>4485</v>
      </c>
      <c r="BU16" s="45">
        <f t="shared" si="22"/>
        <v>4485</v>
      </c>
      <c r="BV16" s="45">
        <v>0</v>
      </c>
      <c r="BW16" s="45">
        <f t="shared" ref="BW16:BY16" si="107">IF(BV16&gt;0,BV16,0)</f>
        <v>0</v>
      </c>
      <c r="BX16" s="45">
        <v>5000</v>
      </c>
      <c r="BY16" s="45">
        <f t="shared" si="107"/>
        <v>5000</v>
      </c>
      <c r="BZ16" s="45">
        <v>-5300</v>
      </c>
      <c r="CA16" s="45">
        <f t="shared" ref="CA16:CC16" si="108">IF(BZ16&gt;0,BZ16,0)</f>
        <v>0</v>
      </c>
      <c r="CB16" s="45">
        <v>-4000</v>
      </c>
      <c r="CC16" s="45">
        <f t="shared" si="108"/>
        <v>0</v>
      </c>
      <c r="CD16" s="45">
        <v>4800</v>
      </c>
      <c r="CE16" s="45">
        <f t="shared" ref="CE16:CG16" si="109">IF(CD16&gt;0,CD16,0)</f>
        <v>4800</v>
      </c>
      <c r="CF16" s="45">
        <v>9058.23317021</v>
      </c>
      <c r="CG16" s="45">
        <f t="shared" si="109"/>
        <v>9058.23317021</v>
      </c>
      <c r="CH16" s="107">
        <f t="shared" si="26"/>
        <v>23343.233170209998</v>
      </c>
      <c r="CI16" s="45"/>
      <c r="CJ16" s="109">
        <v>-700</v>
      </c>
      <c r="CK16" s="45">
        <f t="shared" si="27"/>
        <v>700</v>
      </c>
      <c r="CL16" s="45">
        <v>4485</v>
      </c>
      <c r="CM16" s="45">
        <f t="shared" si="27"/>
        <v>0</v>
      </c>
      <c r="CN16" s="45">
        <v>0</v>
      </c>
      <c r="CO16" s="45">
        <f t="shared" ref="CO16:CQ16" si="110">IF(CN16&lt;0,-CN16,0)</f>
        <v>0</v>
      </c>
      <c r="CP16" s="45">
        <v>5000</v>
      </c>
      <c r="CQ16" s="45">
        <f t="shared" si="110"/>
        <v>0</v>
      </c>
      <c r="CR16" s="45">
        <v>-5300</v>
      </c>
      <c r="CS16" s="45">
        <f t="shared" ref="CS16:CU16" si="111">IF(CR16&lt;0,-CR16,0)</f>
        <v>5300</v>
      </c>
      <c r="CT16" s="45">
        <v>-4000</v>
      </c>
      <c r="CU16" s="45">
        <f t="shared" si="111"/>
        <v>4000</v>
      </c>
      <c r="CV16" s="45">
        <v>4800</v>
      </c>
      <c r="CW16" s="45">
        <f t="shared" ref="CW16:CY16" si="112">IF(CV16&lt;0,-CV16,0)</f>
        <v>0</v>
      </c>
      <c r="CX16" s="45">
        <v>9058.23317021</v>
      </c>
      <c r="CY16" s="45">
        <f t="shared" si="112"/>
        <v>0</v>
      </c>
      <c r="CZ16" s="107">
        <f t="shared" si="31"/>
        <v>10000</v>
      </c>
      <c r="DA16" s="45"/>
      <c r="DB16" s="110">
        <v>36210.646999999997</v>
      </c>
      <c r="DC16" s="57">
        <v>1573.49</v>
      </c>
      <c r="DD16" s="61">
        <v>2314.1030445305</v>
      </c>
      <c r="DE16" s="61">
        <f t="shared" si="32"/>
        <v>40098.240044530496</v>
      </c>
      <c r="DF16" s="110">
        <v>12777.052</v>
      </c>
      <c r="DG16" s="110">
        <v>52294.411</v>
      </c>
      <c r="DH16" s="57">
        <v>6546</v>
      </c>
      <c r="DI16" s="107">
        <f t="shared" si="33"/>
        <v>58840.411</v>
      </c>
      <c r="DJ16" s="45"/>
      <c r="DK16" s="110">
        <v>966.90200000000004</v>
      </c>
      <c r="DL16" s="57">
        <v>10540.1958456256</v>
      </c>
      <c r="DM16" s="57">
        <f t="shared" si="34"/>
        <v>11507.0978456256</v>
      </c>
      <c r="DN16" s="61">
        <v>1607.177850542211</v>
      </c>
      <c r="DO16" s="61">
        <v>2924.3137231413061</v>
      </c>
      <c r="DP16" s="61">
        <v>436.82189885999998</v>
      </c>
      <c r="DQ16" s="57">
        <f t="shared" si="35"/>
        <v>3361.1356220013063</v>
      </c>
      <c r="DR16" s="57">
        <v>162.46187350785041</v>
      </c>
      <c r="DS16" s="57">
        <v>162.46187350785041</v>
      </c>
      <c r="DT16" s="5"/>
      <c r="DU16" s="73">
        <v>0</v>
      </c>
      <c r="DV16" s="156">
        <v>6779.6610170000004</v>
      </c>
      <c r="DW16" s="155">
        <v>1447.7400829999999</v>
      </c>
      <c r="DX16" s="155">
        <v>0</v>
      </c>
      <c r="DY16" s="73">
        <v>0</v>
      </c>
      <c r="DZ16" s="156">
        <v>757.72198806999995</v>
      </c>
      <c r="EA16" s="73">
        <v>0</v>
      </c>
      <c r="EB16" s="156">
        <v>1271.1864410000001</v>
      </c>
      <c r="EC16" s="73">
        <v>0</v>
      </c>
      <c r="ED16" s="156">
        <v>847.5</v>
      </c>
      <c r="EE16" s="73">
        <v>0</v>
      </c>
      <c r="EF16" s="156">
        <v>7397.5988710000001</v>
      </c>
      <c r="EG16" s="73">
        <v>0</v>
      </c>
      <c r="EH16" s="156">
        <v>6779.6610170000004</v>
      </c>
      <c r="EI16" s="159">
        <v>757.72198806999995</v>
      </c>
      <c r="EJ16" s="162">
        <v>847.5</v>
      </c>
      <c r="EK16" s="165">
        <v>735.83500000000004</v>
      </c>
      <c r="EL16" s="159">
        <v>436.82189885999998</v>
      </c>
      <c r="EM16" s="159">
        <f t="shared" si="36"/>
        <v>10964.025395000001</v>
      </c>
      <c r="EN16" s="159">
        <f t="shared" si="37"/>
        <v>0</v>
      </c>
      <c r="EP16" s="2">
        <v>20065.234049999999</v>
      </c>
      <c r="EQ16" s="5">
        <f t="shared" si="38"/>
        <v>0.81699999999999995</v>
      </c>
    </row>
    <row r="17" spans="4:147" x14ac:dyDescent="0.35">
      <c r="D17" s="82" t="s">
        <v>207</v>
      </c>
      <c r="E17" s="82">
        <v>30000</v>
      </c>
      <c r="G17" s="82" t="s">
        <v>224</v>
      </c>
      <c r="H17" s="82">
        <v>13478</v>
      </c>
      <c r="J17" s="82" t="s">
        <v>190</v>
      </c>
      <c r="K17" s="82">
        <v>158</v>
      </c>
      <c r="M17" s="5"/>
      <c r="N17" s="66">
        <f t="shared" si="39"/>
        <v>15</v>
      </c>
      <c r="O17" s="78">
        <v>31374</v>
      </c>
      <c r="P17" s="77">
        <f t="shared" si="6"/>
        <v>0.378</v>
      </c>
      <c r="Q17" s="104">
        <v>1672.14</v>
      </c>
      <c r="R17" s="77">
        <f t="shared" si="7"/>
        <v>0.34800000000000003</v>
      </c>
      <c r="S17" s="104">
        <v>13530</v>
      </c>
      <c r="T17" s="77">
        <f t="shared" si="8"/>
        <v>0.45100000000000001</v>
      </c>
      <c r="U17" s="104">
        <v>7792.9844000000003</v>
      </c>
      <c r="V17" s="77">
        <f t="shared" si="0"/>
        <v>0.54200000000000004</v>
      </c>
      <c r="W17" s="104">
        <v>3120.1477</v>
      </c>
      <c r="X17" s="77">
        <f t="shared" si="1"/>
        <v>0.32300000000000001</v>
      </c>
      <c r="Y17" s="104">
        <v>7764.42</v>
      </c>
      <c r="Z17" s="77">
        <f t="shared" si="9"/>
        <v>0.151</v>
      </c>
      <c r="AA17" s="104">
        <v>5790.1</v>
      </c>
      <c r="AB17" s="77">
        <f t="shared" si="10"/>
        <v>0.125</v>
      </c>
      <c r="AC17" s="5"/>
      <c r="AD17" s="66">
        <f t="shared" si="40"/>
        <v>15</v>
      </c>
      <c r="AE17" s="78">
        <v>19045.957200000001</v>
      </c>
      <c r="AF17" s="104">
        <v>945.3</v>
      </c>
      <c r="AG17" s="78">
        <v>205.5</v>
      </c>
      <c r="AH17" s="61">
        <f t="shared" si="11"/>
        <v>0.214</v>
      </c>
      <c r="AI17" s="61">
        <f t="shared" si="12"/>
        <v>0.41099999999999998</v>
      </c>
      <c r="AJ17" s="61">
        <f t="shared" si="13"/>
        <v>0.41099999999999998</v>
      </c>
      <c r="AK17" s="77">
        <v>56.847999999999999</v>
      </c>
      <c r="AL17" s="104">
        <v>582.17999999999995</v>
      </c>
      <c r="AM17" s="61">
        <f t="shared" si="2"/>
        <v>8.7999999999999995E-2</v>
      </c>
      <c r="AN17" s="57">
        <f t="shared" si="3"/>
        <v>4.9999999999999996E-2</v>
      </c>
      <c r="AO17" s="78">
        <v>17171</v>
      </c>
      <c r="AP17" s="104">
        <v>18780</v>
      </c>
      <c r="AQ17" s="61">
        <f t="shared" si="14"/>
        <v>0.38500000000000001</v>
      </c>
      <c r="AR17" s="57">
        <f t="shared" si="15"/>
        <v>0.8</v>
      </c>
      <c r="AS17" s="45"/>
      <c r="AT17" s="78">
        <v>1004.765</v>
      </c>
      <c r="AU17" s="77">
        <f t="shared" si="4"/>
        <v>0.40799988630180378</v>
      </c>
      <c r="AV17" s="78">
        <v>906.76800000000003</v>
      </c>
      <c r="AW17" s="77">
        <f t="shared" si="5"/>
        <v>0.56426135656502807</v>
      </c>
      <c r="AX17" s="78">
        <v>1121.4780000000001</v>
      </c>
      <c r="AY17" s="77">
        <f t="shared" si="16"/>
        <v>0.5784392407674851</v>
      </c>
      <c r="AZ17" s="45"/>
      <c r="BA17" s="75">
        <v>51358.995000000003</v>
      </c>
      <c r="BB17" s="77">
        <f t="shared" si="17"/>
        <v>0.73770491803278682</v>
      </c>
      <c r="BC17" s="45"/>
      <c r="BD17" s="105">
        <v>23893.52</v>
      </c>
      <c r="BE17" s="45">
        <v>0</v>
      </c>
      <c r="BF17" s="106">
        <v>0</v>
      </c>
      <c r="BG17" s="107">
        <f t="shared" si="18"/>
        <v>0.7329300613496933</v>
      </c>
      <c r="BH17" s="108">
        <f t="shared" si="19"/>
        <v>0</v>
      </c>
      <c r="BI17" s="106">
        <v>0</v>
      </c>
      <c r="BJ17" s="106">
        <v>0</v>
      </c>
      <c r="BK17" s="106">
        <v>0</v>
      </c>
      <c r="BL17" s="106">
        <v>6512.1450000000004</v>
      </c>
      <c r="BM17" s="107">
        <f t="shared" si="20"/>
        <v>0.48316849680961571</v>
      </c>
      <c r="BN17" s="108">
        <f t="shared" si="21"/>
        <v>0</v>
      </c>
      <c r="BO17" s="45">
        <v>7668</v>
      </c>
      <c r="BP17" s="45">
        <v>0</v>
      </c>
      <c r="BQ17" s="45"/>
      <c r="BR17" s="109">
        <v>-700</v>
      </c>
      <c r="BS17" s="45">
        <f t="shared" si="22"/>
        <v>0</v>
      </c>
      <c r="BT17" s="45">
        <v>4485</v>
      </c>
      <c r="BU17" s="45">
        <f t="shared" si="22"/>
        <v>4485</v>
      </c>
      <c r="BV17" s="45">
        <v>0</v>
      </c>
      <c r="BW17" s="45">
        <f t="shared" ref="BW17:BY17" si="113">IF(BV17&gt;0,BV17,0)</f>
        <v>0</v>
      </c>
      <c r="BX17" s="45">
        <v>5000</v>
      </c>
      <c r="BY17" s="45">
        <f t="shared" si="113"/>
        <v>5000</v>
      </c>
      <c r="BZ17" s="45">
        <v>-5300</v>
      </c>
      <c r="CA17" s="45">
        <f t="shared" ref="CA17:CC17" si="114">IF(BZ17&gt;0,BZ17,0)</f>
        <v>0</v>
      </c>
      <c r="CB17" s="45">
        <v>-4000</v>
      </c>
      <c r="CC17" s="45">
        <f t="shared" si="114"/>
        <v>0</v>
      </c>
      <c r="CD17" s="45">
        <v>4800</v>
      </c>
      <c r="CE17" s="45">
        <f t="shared" ref="CE17:CG17" si="115">IF(CD17&gt;0,CD17,0)</f>
        <v>4800</v>
      </c>
      <c r="CF17" s="45">
        <v>11163.3032766</v>
      </c>
      <c r="CG17" s="45">
        <f t="shared" si="115"/>
        <v>11163.3032766</v>
      </c>
      <c r="CH17" s="107">
        <f t="shared" si="26"/>
        <v>25448.3032766</v>
      </c>
      <c r="CI17" s="45"/>
      <c r="CJ17" s="109">
        <v>-700</v>
      </c>
      <c r="CK17" s="45">
        <f t="shared" si="27"/>
        <v>700</v>
      </c>
      <c r="CL17" s="45">
        <v>4485</v>
      </c>
      <c r="CM17" s="45">
        <f t="shared" si="27"/>
        <v>0</v>
      </c>
      <c r="CN17" s="45">
        <v>0</v>
      </c>
      <c r="CO17" s="45">
        <f t="shared" ref="CO17:CQ17" si="116">IF(CN17&lt;0,-CN17,0)</f>
        <v>0</v>
      </c>
      <c r="CP17" s="45">
        <v>5000</v>
      </c>
      <c r="CQ17" s="45">
        <f t="shared" si="116"/>
        <v>0</v>
      </c>
      <c r="CR17" s="45">
        <v>-5300</v>
      </c>
      <c r="CS17" s="45">
        <f t="shared" ref="CS17:CU17" si="117">IF(CR17&lt;0,-CR17,0)</f>
        <v>5300</v>
      </c>
      <c r="CT17" s="45">
        <v>-4000</v>
      </c>
      <c r="CU17" s="45">
        <f t="shared" si="117"/>
        <v>4000</v>
      </c>
      <c r="CV17" s="45">
        <v>4800</v>
      </c>
      <c r="CW17" s="45">
        <f t="shared" ref="CW17:CY17" si="118">IF(CV17&lt;0,-CV17,0)</f>
        <v>0</v>
      </c>
      <c r="CX17" s="45">
        <v>11163.3032766</v>
      </c>
      <c r="CY17" s="45">
        <f t="shared" si="118"/>
        <v>0</v>
      </c>
      <c r="CZ17" s="107">
        <f t="shared" si="31"/>
        <v>10000</v>
      </c>
      <c r="DA17" s="45"/>
      <c r="DB17" s="110">
        <v>35437.512000000002</v>
      </c>
      <c r="DC17" s="57">
        <v>1574.3240000000001</v>
      </c>
      <c r="DD17" s="61">
        <v>1735.9122407733</v>
      </c>
      <c r="DE17" s="61">
        <f t="shared" si="32"/>
        <v>38747.748240773304</v>
      </c>
      <c r="DF17" s="110">
        <v>12124.716</v>
      </c>
      <c r="DG17" s="110">
        <v>51166.411</v>
      </c>
      <c r="DH17" s="57">
        <v>6399</v>
      </c>
      <c r="DI17" s="107">
        <f t="shared" si="33"/>
        <v>57565.411</v>
      </c>
      <c r="DJ17" s="45"/>
      <c r="DK17" s="110">
        <v>965.66200000000003</v>
      </c>
      <c r="DL17" s="57">
        <v>10555.905846475949</v>
      </c>
      <c r="DM17" s="57">
        <f t="shared" si="34"/>
        <v>11521.567846475949</v>
      </c>
      <c r="DN17" s="61">
        <v>1581.399830416711</v>
      </c>
      <c r="DO17" s="61">
        <v>2932.5915975665489</v>
      </c>
      <c r="DP17" s="61">
        <v>428.54402442999998</v>
      </c>
      <c r="DQ17" s="57">
        <f t="shared" si="35"/>
        <v>3361.1356219965487</v>
      </c>
      <c r="DR17" s="57">
        <v>162.92175542036381</v>
      </c>
      <c r="DS17" s="57">
        <v>162.92175542036381</v>
      </c>
      <c r="DT17" s="5"/>
      <c r="DU17" s="73">
        <v>0</v>
      </c>
      <c r="DV17" s="156">
        <v>6779.6610170000004</v>
      </c>
      <c r="DW17" s="155">
        <v>1447.7400829999999</v>
      </c>
      <c r="DX17" s="155">
        <v>0</v>
      </c>
      <c r="DY17" s="73">
        <v>0</v>
      </c>
      <c r="DZ17" s="156">
        <v>1521.4124100900001</v>
      </c>
      <c r="EA17" s="73">
        <v>0</v>
      </c>
      <c r="EB17" s="156">
        <v>1271.1864410000001</v>
      </c>
      <c r="EC17" s="73">
        <v>0</v>
      </c>
      <c r="ED17" s="156">
        <v>847.5</v>
      </c>
      <c r="EE17" s="73">
        <v>0</v>
      </c>
      <c r="EF17" s="156">
        <v>7397.5988710000001</v>
      </c>
      <c r="EG17" s="73">
        <v>0</v>
      </c>
      <c r="EH17" s="156">
        <v>6779.6610170000004</v>
      </c>
      <c r="EI17" s="159">
        <v>1521.4124100900001</v>
      </c>
      <c r="EJ17" s="162">
        <v>847.5</v>
      </c>
      <c r="EK17" s="165">
        <v>735.83500000000004</v>
      </c>
      <c r="EL17" s="159">
        <v>428.54402442999998</v>
      </c>
      <c r="EM17" s="159">
        <f t="shared" si="36"/>
        <v>10964.025395000001</v>
      </c>
      <c r="EN17" s="159">
        <f t="shared" si="37"/>
        <v>0</v>
      </c>
      <c r="EP17" s="2">
        <v>20065.234049999999</v>
      </c>
      <c r="EQ17" s="5">
        <f t="shared" si="38"/>
        <v>0.81699999999999995</v>
      </c>
    </row>
    <row r="18" spans="4:147" x14ac:dyDescent="0.35">
      <c r="D18" s="82" t="s">
        <v>208</v>
      </c>
      <c r="E18" s="82">
        <v>37999.68</v>
      </c>
      <c r="J18" s="82" t="s">
        <v>191</v>
      </c>
      <c r="K18" s="82">
        <v>847.5</v>
      </c>
      <c r="M18" s="5"/>
      <c r="N18" s="66">
        <f t="shared" si="39"/>
        <v>16</v>
      </c>
      <c r="O18" s="78">
        <v>29465</v>
      </c>
      <c r="P18" s="77">
        <f t="shared" si="6"/>
        <v>0.35499999999999998</v>
      </c>
      <c r="Q18" s="104">
        <v>1215.665</v>
      </c>
      <c r="R18" s="77">
        <f t="shared" si="7"/>
        <v>0.253</v>
      </c>
      <c r="S18" s="104">
        <v>10470</v>
      </c>
      <c r="T18" s="77">
        <f t="shared" si="8"/>
        <v>0.34899999999999998</v>
      </c>
      <c r="U18" s="104">
        <v>6340.7861999999996</v>
      </c>
      <c r="V18" s="77">
        <f t="shared" si="0"/>
        <v>0.44099999999999995</v>
      </c>
      <c r="W18" s="104">
        <v>2424.6349</v>
      </c>
      <c r="X18" s="77">
        <f t="shared" si="1"/>
        <v>0.251</v>
      </c>
      <c r="Y18" s="104">
        <v>4936.32</v>
      </c>
      <c r="Z18" s="77">
        <f t="shared" si="9"/>
        <v>9.5999999999999988E-2</v>
      </c>
      <c r="AA18" s="104">
        <v>3566.7015999999999</v>
      </c>
      <c r="AB18" s="77">
        <f t="shared" si="10"/>
        <v>7.6999999999999999E-2</v>
      </c>
      <c r="AC18" s="5"/>
      <c r="AD18" s="66">
        <f t="shared" si="40"/>
        <v>16</v>
      </c>
      <c r="AE18" s="78">
        <v>19134.956999999999</v>
      </c>
      <c r="AF18" s="104">
        <v>947.6</v>
      </c>
      <c r="AG18" s="78">
        <v>206</v>
      </c>
      <c r="AH18" s="61">
        <f t="shared" si="11"/>
        <v>0.21499999999999997</v>
      </c>
      <c r="AI18" s="61">
        <f t="shared" si="12"/>
        <v>0.41200000000000003</v>
      </c>
      <c r="AJ18" s="61">
        <f t="shared" si="13"/>
        <v>0.41199999999999998</v>
      </c>
      <c r="AK18" s="77">
        <v>65.245999999999995</v>
      </c>
      <c r="AL18" s="104">
        <v>663.68520000000001</v>
      </c>
      <c r="AM18" s="61">
        <f t="shared" si="2"/>
        <v>0.10099999999999999</v>
      </c>
      <c r="AN18" s="57">
        <f t="shared" si="3"/>
        <v>5.7000000000000002E-2</v>
      </c>
      <c r="AO18" s="78">
        <v>19802.400000000001</v>
      </c>
      <c r="AP18" s="104">
        <v>19061.7</v>
      </c>
      <c r="AQ18" s="61">
        <f t="shared" si="14"/>
        <v>0.44400000000000001</v>
      </c>
      <c r="AR18" s="57">
        <f t="shared" si="15"/>
        <v>0.81200000000000006</v>
      </c>
      <c r="AS18" s="45"/>
      <c r="AT18" s="78">
        <v>1002.303</v>
      </c>
      <c r="AU18" s="77">
        <f t="shared" si="4"/>
        <v>0.40700015430469494</v>
      </c>
      <c r="AV18" s="78">
        <v>900.34500000000003</v>
      </c>
      <c r="AW18" s="77">
        <f t="shared" si="5"/>
        <v>0.5602644679527069</v>
      </c>
      <c r="AX18" s="78">
        <v>1121.4780000000001</v>
      </c>
      <c r="AY18" s="77">
        <f t="shared" si="16"/>
        <v>0.5784392407674851</v>
      </c>
      <c r="AZ18" s="45"/>
      <c r="BA18" s="75">
        <v>51358.995000000003</v>
      </c>
      <c r="BB18" s="77">
        <f t="shared" si="17"/>
        <v>0.73770491803278682</v>
      </c>
      <c r="BC18" s="45"/>
      <c r="BD18" s="105">
        <v>21529.504000000001</v>
      </c>
      <c r="BE18" s="45">
        <v>0</v>
      </c>
      <c r="BF18" s="106">
        <v>0</v>
      </c>
      <c r="BG18" s="107">
        <f t="shared" si="18"/>
        <v>0.6604142331288344</v>
      </c>
      <c r="BH18" s="108">
        <f t="shared" si="19"/>
        <v>0</v>
      </c>
      <c r="BI18" s="106">
        <v>0</v>
      </c>
      <c r="BJ18" s="106">
        <v>0</v>
      </c>
      <c r="BK18" s="106">
        <v>0</v>
      </c>
      <c r="BL18" s="106">
        <v>5504.8130000000001</v>
      </c>
      <c r="BM18" s="107">
        <f t="shared" si="20"/>
        <v>0.40842951476480188</v>
      </c>
      <c r="BN18" s="108">
        <f t="shared" si="21"/>
        <v>0</v>
      </c>
      <c r="BO18" s="45">
        <v>7668</v>
      </c>
      <c r="BP18" s="45">
        <v>0</v>
      </c>
      <c r="BQ18" s="45"/>
      <c r="BR18" s="109">
        <v>-700</v>
      </c>
      <c r="BS18" s="45">
        <f t="shared" si="22"/>
        <v>0</v>
      </c>
      <c r="BT18" s="45">
        <v>4485</v>
      </c>
      <c r="BU18" s="45">
        <f t="shared" si="22"/>
        <v>4485</v>
      </c>
      <c r="BV18" s="45">
        <v>0</v>
      </c>
      <c r="BW18" s="45">
        <f t="shared" ref="BW18:BY18" si="119">IF(BV18&gt;0,BV18,0)</f>
        <v>0</v>
      </c>
      <c r="BX18" s="45">
        <v>5000</v>
      </c>
      <c r="BY18" s="45">
        <f t="shared" si="119"/>
        <v>5000</v>
      </c>
      <c r="BZ18" s="45">
        <v>-5300</v>
      </c>
      <c r="CA18" s="45">
        <f t="shared" ref="CA18:CC18" si="120">IF(BZ18&gt;0,BZ18,0)</f>
        <v>0</v>
      </c>
      <c r="CB18" s="45">
        <v>-4000</v>
      </c>
      <c r="CC18" s="45">
        <f t="shared" si="120"/>
        <v>0</v>
      </c>
      <c r="CD18" s="45">
        <v>4800</v>
      </c>
      <c r="CE18" s="45">
        <f t="shared" ref="CE18:CG18" si="121">IF(CD18&gt;0,CD18,0)</f>
        <v>4800</v>
      </c>
      <c r="CF18" s="45">
        <v>12619.90597383</v>
      </c>
      <c r="CG18" s="45">
        <f t="shared" si="121"/>
        <v>12619.90597383</v>
      </c>
      <c r="CH18" s="107">
        <f t="shared" si="26"/>
        <v>26904.905973829998</v>
      </c>
      <c r="CI18" s="45"/>
      <c r="CJ18" s="109">
        <v>-700</v>
      </c>
      <c r="CK18" s="45">
        <f t="shared" si="27"/>
        <v>700</v>
      </c>
      <c r="CL18" s="45">
        <v>4485</v>
      </c>
      <c r="CM18" s="45">
        <f t="shared" si="27"/>
        <v>0</v>
      </c>
      <c r="CN18" s="45">
        <v>0</v>
      </c>
      <c r="CO18" s="45">
        <f t="shared" ref="CO18:CQ18" si="122">IF(CN18&lt;0,-CN18,0)</f>
        <v>0</v>
      </c>
      <c r="CP18" s="45">
        <v>5000</v>
      </c>
      <c r="CQ18" s="45">
        <f t="shared" si="122"/>
        <v>0</v>
      </c>
      <c r="CR18" s="45">
        <v>-5300</v>
      </c>
      <c r="CS18" s="45">
        <f t="shared" ref="CS18:CU18" si="123">IF(CR18&lt;0,-CR18,0)</f>
        <v>5300</v>
      </c>
      <c r="CT18" s="45">
        <v>-4000</v>
      </c>
      <c r="CU18" s="45">
        <f t="shared" si="123"/>
        <v>4000</v>
      </c>
      <c r="CV18" s="45">
        <v>4800</v>
      </c>
      <c r="CW18" s="45">
        <f t="shared" ref="CW18:CY18" si="124">IF(CV18&lt;0,-CV18,0)</f>
        <v>0</v>
      </c>
      <c r="CX18" s="45">
        <v>12619.90597383</v>
      </c>
      <c r="CY18" s="45">
        <f t="shared" si="124"/>
        <v>0</v>
      </c>
      <c r="CZ18" s="107">
        <f t="shared" si="31"/>
        <v>10000</v>
      </c>
      <c r="DA18" s="45"/>
      <c r="DB18" s="110">
        <v>35147.108999999997</v>
      </c>
      <c r="DC18" s="57">
        <v>1572.316</v>
      </c>
      <c r="DD18" s="61">
        <v>1480.2774786436</v>
      </c>
      <c r="DE18" s="61">
        <f t="shared" si="32"/>
        <v>38199.702478643594</v>
      </c>
      <c r="DF18" s="110">
        <v>11305.368</v>
      </c>
      <c r="DG18" s="110">
        <v>50740.411</v>
      </c>
      <c r="DH18" s="57">
        <v>6816</v>
      </c>
      <c r="DI18" s="107">
        <f t="shared" si="33"/>
        <v>57556.411</v>
      </c>
      <c r="DJ18" s="45"/>
      <c r="DK18" s="110">
        <v>972.73599999999999</v>
      </c>
      <c r="DL18" s="57">
        <v>10571.615847326309</v>
      </c>
      <c r="DM18" s="57">
        <f t="shared" si="34"/>
        <v>11544.35184732631</v>
      </c>
      <c r="DN18" s="61">
        <v>1581.399830416711</v>
      </c>
      <c r="DO18" s="61">
        <v>2940.8694719917921</v>
      </c>
      <c r="DP18" s="61">
        <v>420.26615000999999</v>
      </c>
      <c r="DQ18" s="57">
        <f t="shared" si="35"/>
        <v>3361.1356220017919</v>
      </c>
      <c r="DR18" s="57">
        <v>163.38163733287729</v>
      </c>
      <c r="DS18" s="57">
        <v>163.38163733287729</v>
      </c>
      <c r="DT18" s="5"/>
      <c r="DU18" s="73">
        <v>0</v>
      </c>
      <c r="DV18" s="156">
        <v>6779.6610170000004</v>
      </c>
      <c r="DW18" s="155">
        <v>1447.7400829999999</v>
      </c>
      <c r="DX18" s="155">
        <v>0</v>
      </c>
      <c r="DY18" s="73">
        <v>0</v>
      </c>
      <c r="DZ18" s="156">
        <v>1553.672292</v>
      </c>
      <c r="EA18" s="73">
        <v>0</v>
      </c>
      <c r="EB18" s="156">
        <v>1271.1864410000001</v>
      </c>
      <c r="EC18" s="73">
        <v>0</v>
      </c>
      <c r="ED18" s="156">
        <v>847.5</v>
      </c>
      <c r="EE18" s="73">
        <v>0</v>
      </c>
      <c r="EF18" s="156">
        <v>7397.5988710000001</v>
      </c>
      <c r="EG18" s="73">
        <v>0</v>
      </c>
      <c r="EH18" s="156">
        <v>6779.6610170000004</v>
      </c>
      <c r="EI18" s="159">
        <v>1553.672292</v>
      </c>
      <c r="EJ18" s="162">
        <v>847.5</v>
      </c>
      <c r="EK18" s="165">
        <v>735.83500000000004</v>
      </c>
      <c r="EL18" s="159">
        <v>420.26615000999999</v>
      </c>
      <c r="EM18" s="159">
        <f t="shared" si="36"/>
        <v>10964.025395000001</v>
      </c>
      <c r="EN18" s="159">
        <f t="shared" si="37"/>
        <v>0</v>
      </c>
      <c r="EP18" s="2">
        <v>20065.234049999999</v>
      </c>
      <c r="EQ18" s="5">
        <f t="shared" si="38"/>
        <v>0.81699999999999995</v>
      </c>
    </row>
    <row r="19" spans="4:147" x14ac:dyDescent="0.35">
      <c r="D19" s="82" t="s">
        <v>209</v>
      </c>
      <c r="E19" s="82">
        <v>37999.68</v>
      </c>
      <c r="J19" s="82" t="s">
        <v>192</v>
      </c>
      <c r="K19" s="82">
        <v>847.5</v>
      </c>
      <c r="M19" s="5"/>
      <c r="N19" s="66">
        <f t="shared" si="39"/>
        <v>17</v>
      </c>
      <c r="O19" s="78">
        <v>20916</v>
      </c>
      <c r="P19" s="77">
        <f t="shared" si="6"/>
        <v>0.252</v>
      </c>
      <c r="Q19" s="104">
        <v>615.04</v>
      </c>
      <c r="R19" s="77">
        <f t="shared" si="7"/>
        <v>0.128</v>
      </c>
      <c r="S19" s="104">
        <v>6210</v>
      </c>
      <c r="T19" s="77">
        <f t="shared" si="8"/>
        <v>0.20699999999999999</v>
      </c>
      <c r="U19" s="104">
        <v>4227.1908000000003</v>
      </c>
      <c r="V19" s="77">
        <f t="shared" si="0"/>
        <v>0.29399999999999998</v>
      </c>
      <c r="W19" s="104">
        <v>1468.3047999999999</v>
      </c>
      <c r="X19" s="77">
        <f t="shared" si="1"/>
        <v>0.152</v>
      </c>
      <c r="Y19" s="104">
        <v>1799.7</v>
      </c>
      <c r="Z19" s="77">
        <f t="shared" si="9"/>
        <v>3.5000000000000003E-2</v>
      </c>
      <c r="AA19" s="104">
        <v>1204.3407999999999</v>
      </c>
      <c r="AB19" s="77">
        <f t="shared" si="10"/>
        <v>2.5999999999999999E-2</v>
      </c>
      <c r="AC19" s="5"/>
      <c r="AD19" s="66">
        <f t="shared" si="40"/>
        <v>17</v>
      </c>
      <c r="AE19" s="78">
        <v>18333.9588</v>
      </c>
      <c r="AF19" s="104">
        <v>926.9</v>
      </c>
      <c r="AG19" s="78">
        <v>201.5</v>
      </c>
      <c r="AH19" s="61">
        <f t="shared" si="11"/>
        <v>0.20599999999999999</v>
      </c>
      <c r="AI19" s="61">
        <f t="shared" si="12"/>
        <v>0.40299999999999997</v>
      </c>
      <c r="AJ19" s="61">
        <f t="shared" si="13"/>
        <v>0.40300000000000002</v>
      </c>
      <c r="AK19" s="77">
        <v>71.706000000000003</v>
      </c>
      <c r="AL19" s="104">
        <v>675.3288</v>
      </c>
      <c r="AM19" s="61">
        <f t="shared" si="2"/>
        <v>0.111</v>
      </c>
      <c r="AN19" s="57">
        <f t="shared" si="3"/>
        <v>5.7999999999999996E-2</v>
      </c>
      <c r="AO19" s="78">
        <v>23905.599999999999</v>
      </c>
      <c r="AP19" s="104">
        <v>19366.875</v>
      </c>
      <c r="AQ19" s="61">
        <f t="shared" si="14"/>
        <v>0.53599999999999992</v>
      </c>
      <c r="AR19" s="57">
        <f t="shared" si="15"/>
        <v>0.82499999999999996</v>
      </c>
      <c r="AS19" s="45"/>
      <c r="AT19" s="78">
        <v>1009.691</v>
      </c>
      <c r="AU19" s="77">
        <f t="shared" si="4"/>
        <v>0.41000016242599469</v>
      </c>
      <c r="AV19" s="78">
        <v>889.62300000000005</v>
      </c>
      <c r="AW19" s="77">
        <f t="shared" si="5"/>
        <v>0.55359240821406352</v>
      </c>
      <c r="AX19" s="78">
        <v>1121.4780000000001</v>
      </c>
      <c r="AY19" s="77">
        <f t="shared" si="16"/>
        <v>0.5784392407674851</v>
      </c>
      <c r="AZ19" s="45"/>
      <c r="BA19" s="75">
        <v>51358.995000000003</v>
      </c>
      <c r="BB19" s="77">
        <f t="shared" si="17"/>
        <v>0.73770491803278682</v>
      </c>
      <c r="BC19" s="45"/>
      <c r="BD19" s="105">
        <v>16552.667000000001</v>
      </c>
      <c r="BE19" s="45">
        <v>0</v>
      </c>
      <c r="BF19" s="106">
        <v>0</v>
      </c>
      <c r="BG19" s="107">
        <f t="shared" si="18"/>
        <v>0.50775052147239264</v>
      </c>
      <c r="BH19" s="108">
        <f t="shared" si="19"/>
        <v>0</v>
      </c>
      <c r="BI19" s="106">
        <v>0</v>
      </c>
      <c r="BJ19" s="106">
        <v>0</v>
      </c>
      <c r="BK19" s="106">
        <v>0</v>
      </c>
      <c r="BL19" s="106">
        <v>3977.0909999999999</v>
      </c>
      <c r="BM19" s="107">
        <f t="shared" si="20"/>
        <v>0.295080204778157</v>
      </c>
      <c r="BN19" s="108">
        <f t="shared" si="21"/>
        <v>0</v>
      </c>
      <c r="BO19" s="45">
        <v>7668</v>
      </c>
      <c r="BP19" s="45">
        <v>356.94</v>
      </c>
      <c r="BQ19" s="45"/>
      <c r="BR19" s="109">
        <v>-700</v>
      </c>
      <c r="BS19" s="45">
        <f t="shared" si="22"/>
        <v>0</v>
      </c>
      <c r="BT19" s="45">
        <v>4485</v>
      </c>
      <c r="BU19" s="45">
        <f t="shared" si="22"/>
        <v>4485</v>
      </c>
      <c r="BV19" s="45">
        <v>0</v>
      </c>
      <c r="BW19" s="45">
        <f t="shared" ref="BW19:BY19" si="125">IF(BV19&gt;0,BV19,0)</f>
        <v>0</v>
      </c>
      <c r="BX19" s="45">
        <v>5000</v>
      </c>
      <c r="BY19" s="45">
        <f t="shared" si="125"/>
        <v>5000</v>
      </c>
      <c r="BZ19" s="45">
        <v>-5300</v>
      </c>
      <c r="CA19" s="45">
        <f t="shared" ref="CA19:CC19" si="126">IF(BZ19&gt;0,BZ19,0)</f>
        <v>0</v>
      </c>
      <c r="CB19" s="45">
        <v>-4000</v>
      </c>
      <c r="CC19" s="45">
        <f t="shared" si="126"/>
        <v>0</v>
      </c>
      <c r="CD19" s="45">
        <v>4800</v>
      </c>
      <c r="CE19" s="45">
        <f t="shared" ref="CE19:CG19" si="127">IF(CD19&gt;0,CD19,0)</f>
        <v>4800</v>
      </c>
      <c r="CF19" s="45">
        <v>8186.3133576500004</v>
      </c>
      <c r="CG19" s="45">
        <f t="shared" si="127"/>
        <v>8186.3133576500004</v>
      </c>
      <c r="CH19" s="107">
        <f t="shared" si="26"/>
        <v>22471.31335765</v>
      </c>
      <c r="CI19" s="45"/>
      <c r="CJ19" s="109">
        <v>-700</v>
      </c>
      <c r="CK19" s="45">
        <f t="shared" si="27"/>
        <v>700</v>
      </c>
      <c r="CL19" s="45">
        <v>4485</v>
      </c>
      <c r="CM19" s="45">
        <f t="shared" si="27"/>
        <v>0</v>
      </c>
      <c r="CN19" s="45">
        <v>0</v>
      </c>
      <c r="CO19" s="45">
        <f t="shared" ref="CO19:CQ19" si="128">IF(CN19&lt;0,-CN19,0)</f>
        <v>0</v>
      </c>
      <c r="CP19" s="45">
        <v>5000</v>
      </c>
      <c r="CQ19" s="45">
        <f t="shared" si="128"/>
        <v>0</v>
      </c>
      <c r="CR19" s="45">
        <v>-5300</v>
      </c>
      <c r="CS19" s="45">
        <f t="shared" ref="CS19:CU19" si="129">IF(CR19&lt;0,-CR19,0)</f>
        <v>5300</v>
      </c>
      <c r="CT19" s="45">
        <v>-4000</v>
      </c>
      <c r="CU19" s="45">
        <f t="shared" si="129"/>
        <v>4000</v>
      </c>
      <c r="CV19" s="45">
        <v>4800</v>
      </c>
      <c r="CW19" s="45">
        <f t="shared" ref="CW19:CY19" si="130">IF(CV19&lt;0,-CV19,0)</f>
        <v>0</v>
      </c>
      <c r="CX19" s="45">
        <v>8186.3133576500004</v>
      </c>
      <c r="CY19" s="45">
        <f t="shared" si="130"/>
        <v>0</v>
      </c>
      <c r="CZ19" s="107">
        <f t="shared" si="31"/>
        <v>10000</v>
      </c>
      <c r="DA19" s="45"/>
      <c r="DB19" s="110">
        <v>35595.012999999999</v>
      </c>
      <c r="DC19" s="57">
        <v>1914.402</v>
      </c>
      <c r="DD19" s="61">
        <v>1494.4245101833001</v>
      </c>
      <c r="DE19" s="61">
        <f t="shared" si="32"/>
        <v>39003.839510183301</v>
      </c>
      <c r="DF19" s="110">
        <v>10324.808000000001</v>
      </c>
      <c r="DG19" s="110">
        <v>51969.411</v>
      </c>
      <c r="DH19" s="57">
        <v>6649</v>
      </c>
      <c r="DI19" s="107">
        <f t="shared" si="33"/>
        <v>58618.411</v>
      </c>
      <c r="DJ19" s="45"/>
      <c r="DK19" s="110">
        <v>968.74</v>
      </c>
      <c r="DL19" s="57">
        <v>10571.615847326309</v>
      </c>
      <c r="DM19" s="57">
        <f t="shared" si="34"/>
        <v>11540.355847326309</v>
      </c>
      <c r="DN19" s="61">
        <v>1581.399830416711</v>
      </c>
      <c r="DO19" s="61">
        <v>2940.8694719917921</v>
      </c>
      <c r="DP19" s="61">
        <v>420.26615000999999</v>
      </c>
      <c r="DQ19" s="57">
        <f t="shared" si="35"/>
        <v>3361.1356220017919</v>
      </c>
      <c r="DR19" s="57">
        <v>163.38163733287729</v>
      </c>
      <c r="DS19" s="57">
        <v>163.38163733287729</v>
      </c>
      <c r="DT19" s="5"/>
      <c r="DU19" s="73">
        <v>0</v>
      </c>
      <c r="DV19" s="156">
        <v>6779.6610170000004</v>
      </c>
      <c r="DW19" s="155">
        <v>1447.7400829999999</v>
      </c>
      <c r="DX19" s="155">
        <v>0</v>
      </c>
      <c r="DY19" s="73">
        <v>0</v>
      </c>
      <c r="DZ19" s="156">
        <v>1553.672292</v>
      </c>
      <c r="EA19" s="73">
        <v>0</v>
      </c>
      <c r="EB19" s="156">
        <v>1271.1864410000001</v>
      </c>
      <c r="EC19" s="73">
        <v>0</v>
      </c>
      <c r="ED19" s="156">
        <v>847.5</v>
      </c>
      <c r="EE19" s="73">
        <v>0</v>
      </c>
      <c r="EF19" s="156">
        <v>7397.5988710000001</v>
      </c>
      <c r="EG19" s="73">
        <v>0</v>
      </c>
      <c r="EH19" s="156">
        <v>6779.6610170000004</v>
      </c>
      <c r="EI19" s="159">
        <v>1553.672292</v>
      </c>
      <c r="EJ19" s="162">
        <v>847.5</v>
      </c>
      <c r="EK19" s="165">
        <v>735.83500000000004</v>
      </c>
      <c r="EL19" s="159">
        <v>420.26615000999999</v>
      </c>
      <c r="EM19" s="159">
        <f t="shared" si="36"/>
        <v>10964.025395000001</v>
      </c>
      <c r="EN19" s="159">
        <f t="shared" si="37"/>
        <v>0</v>
      </c>
      <c r="EP19" s="2">
        <v>20065.234049999999</v>
      </c>
      <c r="EQ19" s="5">
        <f t="shared" si="38"/>
        <v>0.81699999999999995</v>
      </c>
    </row>
    <row r="20" spans="4:147" x14ac:dyDescent="0.35">
      <c r="D20" s="82" t="s">
        <v>210</v>
      </c>
      <c r="E20" s="82">
        <v>32600</v>
      </c>
      <c r="J20" s="82" t="s">
        <v>193</v>
      </c>
      <c r="K20" s="82">
        <v>735.83500000000004</v>
      </c>
      <c r="M20" s="5"/>
      <c r="N20" s="66">
        <f t="shared" si="39"/>
        <v>18</v>
      </c>
      <c r="O20" s="78">
        <v>4565</v>
      </c>
      <c r="P20" s="77">
        <f t="shared" si="6"/>
        <v>5.5E-2</v>
      </c>
      <c r="Q20" s="104">
        <v>62.465000000000003</v>
      </c>
      <c r="R20" s="77">
        <f t="shared" si="7"/>
        <v>1.3000000000000001E-2</v>
      </c>
      <c r="S20" s="104">
        <v>1560</v>
      </c>
      <c r="T20" s="77">
        <f t="shared" si="8"/>
        <v>5.1999999999999998E-2</v>
      </c>
      <c r="U20" s="104">
        <v>1739.7621999999999</v>
      </c>
      <c r="V20" s="77">
        <f t="shared" si="0"/>
        <v>0.12099999999999998</v>
      </c>
      <c r="W20" s="104">
        <v>511.97469999999998</v>
      </c>
      <c r="X20" s="77">
        <f t="shared" si="1"/>
        <v>5.2999999999999999E-2</v>
      </c>
      <c r="Y20" s="104">
        <v>0</v>
      </c>
      <c r="Z20" s="77">
        <f t="shared" si="9"/>
        <v>0</v>
      </c>
      <c r="AA20" s="104">
        <v>0</v>
      </c>
      <c r="AB20" s="77">
        <f t="shared" si="10"/>
        <v>0</v>
      </c>
      <c r="AC20" s="5"/>
      <c r="AD20" s="66">
        <f t="shared" si="40"/>
        <v>18</v>
      </c>
      <c r="AE20" s="78">
        <v>15307.9656</v>
      </c>
      <c r="AF20" s="104">
        <v>901.6</v>
      </c>
      <c r="AG20" s="78">
        <v>196</v>
      </c>
      <c r="AH20" s="61">
        <f t="shared" si="11"/>
        <v>0.17199999999999999</v>
      </c>
      <c r="AI20" s="61">
        <f t="shared" si="12"/>
        <v>0.39200000000000002</v>
      </c>
      <c r="AJ20" s="61">
        <f t="shared" si="13"/>
        <v>0.39200000000000002</v>
      </c>
      <c r="AK20" s="77">
        <v>80.75</v>
      </c>
      <c r="AL20" s="104">
        <v>803.40840000000003</v>
      </c>
      <c r="AM20" s="61">
        <f t="shared" si="2"/>
        <v>0.125</v>
      </c>
      <c r="AN20" s="57">
        <f t="shared" si="3"/>
        <v>6.9000000000000006E-2</v>
      </c>
      <c r="AO20" s="78">
        <v>27473.599999999999</v>
      </c>
      <c r="AP20" s="104">
        <v>19578.150000000001</v>
      </c>
      <c r="AQ20" s="61">
        <f t="shared" si="14"/>
        <v>0.61599999999999999</v>
      </c>
      <c r="AR20" s="57">
        <f t="shared" si="15"/>
        <v>0.83400000000000007</v>
      </c>
      <c r="AS20" s="45"/>
      <c r="AT20" s="78">
        <v>1049.0930000000001</v>
      </c>
      <c r="AU20" s="77">
        <f t="shared" si="4"/>
        <v>0.42599993502960221</v>
      </c>
      <c r="AV20" s="78">
        <v>875.74099999999999</v>
      </c>
      <c r="AW20" s="77">
        <f t="shared" si="5"/>
        <v>0.54495395146235215</v>
      </c>
      <c r="AX20" s="78">
        <v>1121.4780000000001</v>
      </c>
      <c r="AY20" s="77">
        <f t="shared" si="16"/>
        <v>0.5784392407674851</v>
      </c>
      <c r="AZ20" s="45"/>
      <c r="BA20" s="75">
        <v>51358.995000000003</v>
      </c>
      <c r="BB20" s="77">
        <f t="shared" si="17"/>
        <v>0.73770491803278682</v>
      </c>
      <c r="BC20" s="45"/>
      <c r="BD20" s="105">
        <v>8563.5049999999992</v>
      </c>
      <c r="BE20" s="45">
        <v>0</v>
      </c>
      <c r="BF20" s="106">
        <v>0</v>
      </c>
      <c r="BG20" s="107">
        <f t="shared" si="18"/>
        <v>0.26268420245398771</v>
      </c>
      <c r="BH20" s="108">
        <f t="shared" si="19"/>
        <v>0</v>
      </c>
      <c r="BI20" s="106">
        <v>0</v>
      </c>
      <c r="BJ20" s="106">
        <v>0</v>
      </c>
      <c r="BK20" s="106">
        <v>0</v>
      </c>
      <c r="BL20" s="106">
        <v>2359.0790000000002</v>
      </c>
      <c r="BM20" s="107">
        <f t="shared" si="20"/>
        <v>0.17503182964831579</v>
      </c>
      <c r="BN20" s="108">
        <f t="shared" si="21"/>
        <v>0</v>
      </c>
      <c r="BO20" s="45">
        <v>7668</v>
      </c>
      <c r="BP20" s="45">
        <v>651.21892933000004</v>
      </c>
      <c r="BQ20" s="45"/>
      <c r="BR20" s="109">
        <v>-700</v>
      </c>
      <c r="BS20" s="45">
        <f t="shared" si="22"/>
        <v>0</v>
      </c>
      <c r="BT20" s="45">
        <v>4485</v>
      </c>
      <c r="BU20" s="45">
        <f t="shared" si="22"/>
        <v>4485</v>
      </c>
      <c r="BV20" s="45">
        <v>0</v>
      </c>
      <c r="BW20" s="45">
        <f t="shared" ref="BW20:BY20" si="131">IF(BV20&gt;0,BV20,0)</f>
        <v>0</v>
      </c>
      <c r="BX20" s="45">
        <v>5000</v>
      </c>
      <c r="BY20" s="45">
        <f t="shared" si="131"/>
        <v>5000</v>
      </c>
      <c r="BZ20" s="45">
        <v>-5300</v>
      </c>
      <c r="CA20" s="45">
        <f t="shared" ref="CA20:CC20" si="132">IF(BZ20&gt;0,BZ20,0)</f>
        <v>0</v>
      </c>
      <c r="CB20" s="45">
        <v>-4000</v>
      </c>
      <c r="CC20" s="45">
        <f t="shared" si="132"/>
        <v>0</v>
      </c>
      <c r="CD20" s="45">
        <v>4800</v>
      </c>
      <c r="CE20" s="45">
        <f t="shared" ref="CE20:CG20" si="133">IF(CD20&gt;0,CD20,0)</f>
        <v>4800</v>
      </c>
      <c r="CF20" s="45">
        <v>9515.0866049600008</v>
      </c>
      <c r="CG20" s="45">
        <f t="shared" si="133"/>
        <v>9515.0866049600008</v>
      </c>
      <c r="CH20" s="107">
        <f t="shared" si="26"/>
        <v>23800.086604960001</v>
      </c>
      <c r="CI20" s="45"/>
      <c r="CJ20" s="109">
        <v>-700</v>
      </c>
      <c r="CK20" s="45">
        <f t="shared" si="27"/>
        <v>700</v>
      </c>
      <c r="CL20" s="45">
        <v>4485</v>
      </c>
      <c r="CM20" s="45">
        <f t="shared" si="27"/>
        <v>0</v>
      </c>
      <c r="CN20" s="45">
        <v>0</v>
      </c>
      <c r="CO20" s="45">
        <f t="shared" ref="CO20:CQ20" si="134">IF(CN20&lt;0,-CN20,0)</f>
        <v>0</v>
      </c>
      <c r="CP20" s="45">
        <v>5000</v>
      </c>
      <c r="CQ20" s="45">
        <f t="shared" si="134"/>
        <v>0</v>
      </c>
      <c r="CR20" s="45">
        <v>-5300</v>
      </c>
      <c r="CS20" s="45">
        <f t="shared" ref="CS20:CU20" si="135">IF(CR20&lt;0,-CR20,0)</f>
        <v>5300</v>
      </c>
      <c r="CT20" s="45">
        <v>-4000</v>
      </c>
      <c r="CU20" s="45">
        <f t="shared" si="135"/>
        <v>4000</v>
      </c>
      <c r="CV20" s="45">
        <v>4800</v>
      </c>
      <c r="CW20" s="45">
        <f t="shared" ref="CW20:CY20" si="136">IF(CV20&lt;0,-CV20,0)</f>
        <v>0</v>
      </c>
      <c r="CX20" s="45">
        <v>9515.0866049600008</v>
      </c>
      <c r="CY20" s="45">
        <f t="shared" si="136"/>
        <v>0</v>
      </c>
      <c r="CZ20" s="107">
        <f t="shared" si="31"/>
        <v>10000</v>
      </c>
      <c r="DA20" s="45"/>
      <c r="DB20" s="110">
        <v>37848.421000000002</v>
      </c>
      <c r="DC20" s="57">
        <v>2170.46</v>
      </c>
      <c r="DD20" s="61">
        <v>1594.9169902076001</v>
      </c>
      <c r="DE20" s="61">
        <f t="shared" si="32"/>
        <v>41613.797990207604</v>
      </c>
      <c r="DF20" s="110">
        <v>9622.509</v>
      </c>
      <c r="DG20" s="110">
        <v>54666.411</v>
      </c>
      <c r="DH20" s="57">
        <v>6747</v>
      </c>
      <c r="DI20" s="107">
        <f t="shared" si="33"/>
        <v>61413.411</v>
      </c>
      <c r="DJ20" s="45"/>
      <c r="DK20" s="110">
        <v>947.26800000000003</v>
      </c>
      <c r="DL20" s="57">
        <v>10571.615847326309</v>
      </c>
      <c r="DM20" s="57">
        <f t="shared" si="34"/>
        <v>11518.883847326309</v>
      </c>
      <c r="DN20" s="61">
        <v>1581.399830416711</v>
      </c>
      <c r="DO20" s="61">
        <v>2940.8694719917921</v>
      </c>
      <c r="DP20" s="61">
        <v>0</v>
      </c>
      <c r="DQ20" s="57">
        <f t="shared" si="35"/>
        <v>2940.8694719917921</v>
      </c>
      <c r="DR20" s="57">
        <v>163.38163733287729</v>
      </c>
      <c r="DS20" s="57">
        <v>163.38163733287729</v>
      </c>
      <c r="DT20" s="5"/>
      <c r="DU20" s="73">
        <v>0</v>
      </c>
      <c r="DV20" s="156">
        <v>5734.7610169999998</v>
      </c>
      <c r="DW20" s="155">
        <v>1196.160083</v>
      </c>
      <c r="DX20" s="155">
        <v>0</v>
      </c>
      <c r="DY20" s="73">
        <v>0</v>
      </c>
      <c r="DZ20" s="156">
        <v>1553.672292</v>
      </c>
      <c r="EA20" s="73">
        <v>0</v>
      </c>
      <c r="EB20" s="156">
        <v>898.13259101000006</v>
      </c>
      <c r="EC20" s="73">
        <v>0</v>
      </c>
      <c r="ED20" s="156">
        <v>847.5</v>
      </c>
      <c r="EE20" s="73">
        <v>0</v>
      </c>
      <c r="EF20" s="156">
        <v>7397.5988710000001</v>
      </c>
      <c r="EG20" s="73">
        <v>0</v>
      </c>
      <c r="EH20" s="156">
        <v>5734.7610169999998</v>
      </c>
      <c r="EI20" s="159">
        <v>1553.672292</v>
      </c>
      <c r="EJ20" s="162">
        <v>847.5</v>
      </c>
      <c r="EK20" s="165">
        <v>735.83500000000004</v>
      </c>
      <c r="EL20" s="159">
        <v>0</v>
      </c>
      <c r="EM20" s="159">
        <f t="shared" si="36"/>
        <v>10339.391545009999</v>
      </c>
      <c r="EN20" s="159">
        <f t="shared" si="37"/>
        <v>0</v>
      </c>
      <c r="EP20" s="2">
        <v>20531.867399999999</v>
      </c>
      <c r="EQ20" s="5">
        <f t="shared" si="38"/>
        <v>0.83599999999999997</v>
      </c>
    </row>
    <row r="21" spans="4:147" x14ac:dyDescent="0.35">
      <c r="D21" s="82" t="s">
        <v>211</v>
      </c>
      <c r="E21" s="82">
        <v>1100.37359042</v>
      </c>
      <c r="J21" s="82" t="s">
        <v>194</v>
      </c>
      <c r="K21" s="82">
        <v>735.83500000000004</v>
      </c>
      <c r="M21" s="5"/>
      <c r="N21" s="66">
        <f t="shared" si="39"/>
        <v>19</v>
      </c>
      <c r="O21" s="78">
        <v>0</v>
      </c>
      <c r="P21" s="77">
        <f t="shared" si="6"/>
        <v>0</v>
      </c>
      <c r="Q21" s="104">
        <v>0</v>
      </c>
      <c r="R21" s="77">
        <f t="shared" si="7"/>
        <v>0</v>
      </c>
      <c r="S21" s="104">
        <v>0</v>
      </c>
      <c r="T21" s="77">
        <f t="shared" si="8"/>
        <v>0</v>
      </c>
      <c r="U21" s="104">
        <v>0</v>
      </c>
      <c r="V21" s="77">
        <f t="shared" si="0"/>
        <v>0</v>
      </c>
      <c r="W21" s="104">
        <v>0</v>
      </c>
      <c r="X21" s="77">
        <f t="shared" si="1"/>
        <v>0</v>
      </c>
      <c r="Y21" s="104">
        <v>0</v>
      </c>
      <c r="Z21" s="77">
        <f t="shared" si="9"/>
        <v>0</v>
      </c>
      <c r="AA21" s="104">
        <v>0</v>
      </c>
      <c r="AB21" s="77">
        <f t="shared" si="10"/>
        <v>0</v>
      </c>
      <c r="AC21" s="5"/>
      <c r="AD21" s="66">
        <f t="shared" si="40"/>
        <v>19</v>
      </c>
      <c r="AE21" s="78">
        <v>14150.968199999999</v>
      </c>
      <c r="AF21" s="104">
        <v>867.1</v>
      </c>
      <c r="AG21" s="78">
        <v>188.5</v>
      </c>
      <c r="AH21" s="61">
        <f t="shared" si="11"/>
        <v>0.15899999999999997</v>
      </c>
      <c r="AI21" s="61">
        <f t="shared" si="12"/>
        <v>0.377</v>
      </c>
      <c r="AJ21" s="61">
        <f t="shared" si="13"/>
        <v>0.377</v>
      </c>
      <c r="AK21" s="77">
        <v>90.44</v>
      </c>
      <c r="AL21" s="104">
        <v>1117.7855999999999</v>
      </c>
      <c r="AM21" s="61">
        <f t="shared" si="2"/>
        <v>0.13999999999999999</v>
      </c>
      <c r="AN21" s="57">
        <f t="shared" si="3"/>
        <v>9.5999999999999988E-2</v>
      </c>
      <c r="AO21" s="78">
        <v>29703.599999999999</v>
      </c>
      <c r="AP21" s="104">
        <v>19742.474999999999</v>
      </c>
      <c r="AQ21" s="61">
        <f t="shared" si="14"/>
        <v>0.66599999999999993</v>
      </c>
      <c r="AR21" s="57">
        <f t="shared" si="15"/>
        <v>0.84099999999999997</v>
      </c>
      <c r="AS21" s="45"/>
      <c r="AT21" s="78">
        <v>1044.1679999999999</v>
      </c>
      <c r="AU21" s="77">
        <f t="shared" si="4"/>
        <v>0.42400006497039783</v>
      </c>
      <c r="AV21" s="78">
        <v>870.74099999999999</v>
      </c>
      <c r="AW21" s="77">
        <f t="shared" si="5"/>
        <v>0.54184256378344742</v>
      </c>
      <c r="AX21" s="78">
        <v>1121.4780000000001</v>
      </c>
      <c r="AY21" s="77">
        <f t="shared" si="16"/>
        <v>0.5784392407674851</v>
      </c>
      <c r="AZ21" s="45"/>
      <c r="BA21" s="75">
        <v>51358.995000000003</v>
      </c>
      <c r="BB21" s="77">
        <f t="shared" si="17"/>
        <v>0.73770491803278682</v>
      </c>
      <c r="BC21" s="45"/>
      <c r="BD21" s="105">
        <v>6041.09</v>
      </c>
      <c r="BE21" s="45">
        <v>0</v>
      </c>
      <c r="BF21" s="106">
        <v>0</v>
      </c>
      <c r="BG21" s="107">
        <f t="shared" si="18"/>
        <v>0.18530950920245398</v>
      </c>
      <c r="BH21" s="108">
        <f t="shared" si="19"/>
        <v>0</v>
      </c>
      <c r="BI21" s="106">
        <v>0</v>
      </c>
      <c r="BJ21" s="106">
        <v>0</v>
      </c>
      <c r="BK21" s="106">
        <v>0</v>
      </c>
      <c r="BL21" s="106">
        <v>1396.289</v>
      </c>
      <c r="BM21" s="107">
        <f t="shared" si="20"/>
        <v>0.10359764059949547</v>
      </c>
      <c r="BN21" s="108">
        <f t="shared" si="21"/>
        <v>0</v>
      </c>
      <c r="BO21" s="45">
        <v>7668</v>
      </c>
      <c r="BP21" s="45">
        <v>650.75904741999989</v>
      </c>
      <c r="BQ21" s="45"/>
      <c r="BR21" s="109">
        <v>-700</v>
      </c>
      <c r="BS21" s="45">
        <f t="shared" si="22"/>
        <v>0</v>
      </c>
      <c r="BT21" s="45">
        <v>4485</v>
      </c>
      <c r="BU21" s="45">
        <f t="shared" si="22"/>
        <v>4485</v>
      </c>
      <c r="BV21" s="45">
        <v>0</v>
      </c>
      <c r="BW21" s="45">
        <f t="shared" ref="BW21:BY21" si="137">IF(BV21&gt;0,BV21,0)</f>
        <v>0</v>
      </c>
      <c r="BX21" s="45">
        <v>5000</v>
      </c>
      <c r="BY21" s="45">
        <f t="shared" si="137"/>
        <v>5000</v>
      </c>
      <c r="BZ21" s="45">
        <v>-5300</v>
      </c>
      <c r="CA21" s="45">
        <f t="shared" ref="CA21:CC21" si="138">IF(BZ21&gt;0,BZ21,0)</f>
        <v>0</v>
      </c>
      <c r="CB21" s="45">
        <v>-4000</v>
      </c>
      <c r="CC21" s="45">
        <f t="shared" si="138"/>
        <v>0</v>
      </c>
      <c r="CD21" s="45">
        <v>4800</v>
      </c>
      <c r="CE21" s="45">
        <f t="shared" ref="CE21:CG21" si="139">IF(CD21&gt;0,CD21,0)</f>
        <v>4800</v>
      </c>
      <c r="CF21" s="45">
        <v>9516.3936855899992</v>
      </c>
      <c r="CG21" s="45">
        <f t="shared" si="139"/>
        <v>9516.3936855899992</v>
      </c>
      <c r="CH21" s="107">
        <f t="shared" si="26"/>
        <v>23801.393685589999</v>
      </c>
      <c r="CI21" s="45"/>
      <c r="CJ21" s="109">
        <v>-700</v>
      </c>
      <c r="CK21" s="45">
        <f t="shared" si="27"/>
        <v>700</v>
      </c>
      <c r="CL21" s="45">
        <v>4485</v>
      </c>
      <c r="CM21" s="45">
        <f t="shared" si="27"/>
        <v>0</v>
      </c>
      <c r="CN21" s="45">
        <v>0</v>
      </c>
      <c r="CO21" s="45">
        <f t="shared" ref="CO21:CQ21" si="140">IF(CN21&lt;0,-CN21,0)</f>
        <v>0</v>
      </c>
      <c r="CP21" s="45">
        <v>5000</v>
      </c>
      <c r="CQ21" s="45">
        <f t="shared" si="140"/>
        <v>0</v>
      </c>
      <c r="CR21" s="45">
        <v>-5300</v>
      </c>
      <c r="CS21" s="45">
        <f t="shared" ref="CS21:CU21" si="141">IF(CR21&lt;0,-CR21,0)</f>
        <v>5300</v>
      </c>
      <c r="CT21" s="45">
        <v>-4000</v>
      </c>
      <c r="CU21" s="45">
        <f t="shared" si="141"/>
        <v>4000</v>
      </c>
      <c r="CV21" s="45">
        <v>4800</v>
      </c>
      <c r="CW21" s="45">
        <f t="shared" ref="CW21:CY21" si="142">IF(CV21&lt;0,-CV21,0)</f>
        <v>0</v>
      </c>
      <c r="CX21" s="45">
        <v>9516.3936855899992</v>
      </c>
      <c r="CY21" s="45">
        <f t="shared" si="142"/>
        <v>0</v>
      </c>
      <c r="CZ21" s="107">
        <f t="shared" si="31"/>
        <v>10000</v>
      </c>
      <c r="DA21" s="45"/>
      <c r="DB21" s="110">
        <v>39546.004000000001</v>
      </c>
      <c r="DC21" s="57">
        <v>2273.2370000000001</v>
      </c>
      <c r="DD21" s="61">
        <v>1721.6878511989</v>
      </c>
      <c r="DE21" s="61">
        <f t="shared" si="32"/>
        <v>43540.9288511989</v>
      </c>
      <c r="DF21" s="110">
        <v>9376.7790000000005</v>
      </c>
      <c r="DG21" s="110">
        <v>56199.411</v>
      </c>
      <c r="DH21" s="57">
        <v>6343</v>
      </c>
      <c r="DI21" s="107">
        <f t="shared" si="33"/>
        <v>62542.411</v>
      </c>
      <c r="DJ21" s="45"/>
      <c r="DK21" s="110">
        <v>936.72299999999996</v>
      </c>
      <c r="DL21" s="57">
        <v>10555.905846475949</v>
      </c>
      <c r="DM21" s="57">
        <f t="shared" si="34"/>
        <v>11492.628846475949</v>
      </c>
      <c r="DN21" s="61">
        <v>1581.399830416711</v>
      </c>
      <c r="DO21" s="61">
        <v>2932.5915975665489</v>
      </c>
      <c r="DP21" s="61">
        <v>0</v>
      </c>
      <c r="DQ21" s="57">
        <f t="shared" si="35"/>
        <v>2932.5915975665489</v>
      </c>
      <c r="DR21" s="57">
        <v>162.92175542036381</v>
      </c>
      <c r="DS21" s="57">
        <v>162.92175542036381</v>
      </c>
      <c r="DT21" s="5"/>
      <c r="DU21" s="73">
        <v>0</v>
      </c>
      <c r="DV21" s="156">
        <v>4690.3208989100003</v>
      </c>
      <c r="DW21" s="155">
        <v>944.58008299999995</v>
      </c>
      <c r="DX21" s="155">
        <v>0</v>
      </c>
      <c r="DY21" s="73">
        <v>0</v>
      </c>
      <c r="DZ21" s="156">
        <v>1553.672292</v>
      </c>
      <c r="EA21" s="73">
        <v>0</v>
      </c>
      <c r="EB21" s="156">
        <v>226.67657588</v>
      </c>
      <c r="EC21" s="73">
        <v>0</v>
      </c>
      <c r="ED21" s="156">
        <v>847.5</v>
      </c>
      <c r="EE21" s="73">
        <v>0</v>
      </c>
      <c r="EF21" s="156">
        <v>7284.4726424700002</v>
      </c>
      <c r="EG21" s="73">
        <v>0</v>
      </c>
      <c r="EH21" s="156">
        <v>4690.3208989100003</v>
      </c>
      <c r="EI21" s="159">
        <v>1553.672292</v>
      </c>
      <c r="EJ21" s="162">
        <v>847.5</v>
      </c>
      <c r="EK21" s="165">
        <v>735.83500000000004</v>
      </c>
      <c r="EL21" s="159">
        <v>0</v>
      </c>
      <c r="EM21" s="159">
        <f t="shared" si="36"/>
        <v>9303.2293013500002</v>
      </c>
      <c r="EN21" s="159">
        <f t="shared" si="37"/>
        <v>0</v>
      </c>
      <c r="EP21" s="2">
        <v>20998.500749999999</v>
      </c>
      <c r="EQ21" s="5">
        <f t="shared" si="38"/>
        <v>0.85499999999999987</v>
      </c>
    </row>
    <row r="22" spans="4:147" x14ac:dyDescent="0.35">
      <c r="D22" s="82" t="s">
        <v>212</v>
      </c>
      <c r="E22" s="82">
        <v>1517.77579117</v>
      </c>
      <c r="M22" s="5"/>
      <c r="N22" s="66">
        <f t="shared" si="39"/>
        <v>20</v>
      </c>
      <c r="O22" s="78">
        <v>0</v>
      </c>
      <c r="P22" s="77">
        <f t="shared" si="6"/>
        <v>0</v>
      </c>
      <c r="Q22" s="104">
        <v>0</v>
      </c>
      <c r="R22" s="77">
        <f t="shared" si="7"/>
        <v>0</v>
      </c>
      <c r="S22" s="104">
        <v>0</v>
      </c>
      <c r="T22" s="77">
        <f t="shared" si="8"/>
        <v>0</v>
      </c>
      <c r="U22" s="104">
        <v>0</v>
      </c>
      <c r="V22" s="77">
        <f t="shared" si="0"/>
        <v>0</v>
      </c>
      <c r="W22" s="104">
        <v>0</v>
      </c>
      <c r="X22" s="77">
        <f t="shared" si="1"/>
        <v>0</v>
      </c>
      <c r="Y22" s="104">
        <v>0</v>
      </c>
      <c r="Z22" s="77">
        <f t="shared" si="9"/>
        <v>0</v>
      </c>
      <c r="AA22" s="104">
        <v>0</v>
      </c>
      <c r="AB22" s="77">
        <f t="shared" si="10"/>
        <v>0</v>
      </c>
      <c r="AC22" s="5"/>
      <c r="AD22" s="66">
        <f t="shared" si="40"/>
        <v>20</v>
      </c>
      <c r="AE22" s="78">
        <v>13794.968999999999</v>
      </c>
      <c r="AF22" s="104">
        <v>825.7</v>
      </c>
      <c r="AG22" s="78">
        <v>179.5</v>
      </c>
      <c r="AH22" s="61">
        <f t="shared" si="11"/>
        <v>0.155</v>
      </c>
      <c r="AI22" s="61">
        <f t="shared" si="12"/>
        <v>0.35900000000000004</v>
      </c>
      <c r="AJ22" s="61">
        <f t="shared" si="13"/>
        <v>0.35899999999999999</v>
      </c>
      <c r="AK22" s="77">
        <v>96.254000000000005</v>
      </c>
      <c r="AL22" s="104">
        <v>1315.7267999999999</v>
      </c>
      <c r="AM22" s="61">
        <f t="shared" si="2"/>
        <v>0.14900000000000002</v>
      </c>
      <c r="AN22" s="57">
        <f t="shared" si="3"/>
        <v>0.11299999999999999</v>
      </c>
      <c r="AO22" s="78">
        <v>30684.799999999999</v>
      </c>
      <c r="AP22" s="104">
        <v>19601.625</v>
      </c>
      <c r="AQ22" s="61">
        <f t="shared" si="14"/>
        <v>0.68799999999999994</v>
      </c>
      <c r="AR22" s="57">
        <f t="shared" si="15"/>
        <v>0.83499999999999996</v>
      </c>
      <c r="AS22" s="45"/>
      <c r="AT22" s="78">
        <v>1044.1679999999999</v>
      </c>
      <c r="AU22" s="77">
        <f t="shared" si="4"/>
        <v>0.42400006497039783</v>
      </c>
      <c r="AV22" s="78">
        <v>871.05899999999997</v>
      </c>
      <c r="AW22" s="77">
        <f t="shared" si="5"/>
        <v>0.54204044803982576</v>
      </c>
      <c r="AX22" s="78">
        <v>1121.4780000000001</v>
      </c>
      <c r="AY22" s="77">
        <f t="shared" si="16"/>
        <v>0.5784392407674851</v>
      </c>
      <c r="AZ22" s="45"/>
      <c r="BA22" s="75">
        <v>51358.995000000003</v>
      </c>
      <c r="BB22" s="77">
        <f t="shared" si="17"/>
        <v>0.73770491803278682</v>
      </c>
      <c r="BC22" s="45"/>
      <c r="BD22" s="105">
        <v>5887.6229999999996</v>
      </c>
      <c r="BE22" s="45">
        <v>0</v>
      </c>
      <c r="BF22" s="106">
        <v>0</v>
      </c>
      <c r="BG22" s="107">
        <f t="shared" si="18"/>
        <v>0.1806019325153374</v>
      </c>
      <c r="BH22" s="108">
        <f t="shared" si="19"/>
        <v>0</v>
      </c>
      <c r="BI22" s="106">
        <v>0</v>
      </c>
      <c r="BJ22" s="106">
        <v>0</v>
      </c>
      <c r="BK22" s="106">
        <v>0</v>
      </c>
      <c r="BL22" s="106">
        <v>1465.329</v>
      </c>
      <c r="BM22" s="107">
        <f t="shared" si="20"/>
        <v>0.10872006232378691</v>
      </c>
      <c r="BN22" s="108">
        <f t="shared" si="21"/>
        <v>0</v>
      </c>
      <c r="BO22" s="45">
        <v>7668</v>
      </c>
      <c r="BP22" s="45">
        <v>650.29916550999997</v>
      </c>
      <c r="BQ22" s="45"/>
      <c r="BR22" s="109">
        <v>-700</v>
      </c>
      <c r="BS22" s="45">
        <f t="shared" si="22"/>
        <v>0</v>
      </c>
      <c r="BT22" s="45">
        <v>4485</v>
      </c>
      <c r="BU22" s="45">
        <f t="shared" si="22"/>
        <v>4485</v>
      </c>
      <c r="BV22" s="45">
        <v>0</v>
      </c>
      <c r="BW22" s="45">
        <f t="shared" ref="BW22:BY22" si="143">IF(BV22&gt;0,BV22,0)</f>
        <v>0</v>
      </c>
      <c r="BX22" s="45">
        <v>5000</v>
      </c>
      <c r="BY22" s="45">
        <f t="shared" si="143"/>
        <v>5000</v>
      </c>
      <c r="BZ22" s="45">
        <v>-5300</v>
      </c>
      <c r="CA22" s="45">
        <f t="shared" ref="CA22:CC22" si="144">IF(BZ22&gt;0,BZ22,0)</f>
        <v>0</v>
      </c>
      <c r="CB22" s="45">
        <v>-4000</v>
      </c>
      <c r="CC22" s="45">
        <f t="shared" si="144"/>
        <v>0</v>
      </c>
      <c r="CD22" s="45">
        <v>4504.8368282000001</v>
      </c>
      <c r="CE22" s="45">
        <f t="shared" ref="CE22:CG22" si="145">IF(CD22&gt;0,CD22,0)</f>
        <v>4504.8368282000001</v>
      </c>
      <c r="CF22" s="45">
        <v>18059.16525527</v>
      </c>
      <c r="CG22" s="45">
        <f t="shared" si="145"/>
        <v>18059.16525527</v>
      </c>
      <c r="CH22" s="107">
        <f t="shared" si="26"/>
        <v>32049.002083470001</v>
      </c>
      <c r="CI22" s="45"/>
      <c r="CJ22" s="109">
        <v>-700</v>
      </c>
      <c r="CK22" s="45">
        <f t="shared" si="27"/>
        <v>700</v>
      </c>
      <c r="CL22" s="45">
        <v>4485</v>
      </c>
      <c r="CM22" s="45">
        <f t="shared" si="27"/>
        <v>0</v>
      </c>
      <c r="CN22" s="45">
        <v>0</v>
      </c>
      <c r="CO22" s="45">
        <f t="shared" ref="CO22:CQ22" si="146">IF(CN22&lt;0,-CN22,0)</f>
        <v>0</v>
      </c>
      <c r="CP22" s="45">
        <v>5000</v>
      </c>
      <c r="CQ22" s="45">
        <f t="shared" si="146"/>
        <v>0</v>
      </c>
      <c r="CR22" s="45">
        <v>-5300</v>
      </c>
      <c r="CS22" s="45">
        <f t="shared" ref="CS22:CU22" si="147">IF(CR22&lt;0,-CR22,0)</f>
        <v>5300</v>
      </c>
      <c r="CT22" s="45">
        <v>-4000</v>
      </c>
      <c r="CU22" s="45">
        <f t="shared" si="147"/>
        <v>4000</v>
      </c>
      <c r="CV22" s="45">
        <v>4504.8368282000001</v>
      </c>
      <c r="CW22" s="45">
        <f t="shared" ref="CW22:CY22" si="148">IF(CV22&lt;0,-CV22,0)</f>
        <v>0</v>
      </c>
      <c r="CX22" s="45">
        <v>18059.16525527</v>
      </c>
      <c r="CY22" s="45">
        <f t="shared" si="148"/>
        <v>0</v>
      </c>
      <c r="CZ22" s="107">
        <f t="shared" si="31"/>
        <v>10000</v>
      </c>
      <c r="DA22" s="45"/>
      <c r="DB22" s="110">
        <v>39969.786999999997</v>
      </c>
      <c r="DC22" s="57">
        <v>2306.6689999999999</v>
      </c>
      <c r="DD22" s="61">
        <v>1856.2611563997</v>
      </c>
      <c r="DE22" s="61">
        <f t="shared" si="32"/>
        <v>44132.717156399696</v>
      </c>
      <c r="DF22" s="110">
        <v>9472</v>
      </c>
      <c r="DG22" s="110">
        <v>56362.411</v>
      </c>
      <c r="DH22" s="57">
        <v>5867</v>
      </c>
      <c r="DI22" s="107">
        <f t="shared" si="33"/>
        <v>62229.411</v>
      </c>
      <c r="DJ22" s="45"/>
      <c r="DK22" s="110">
        <v>925.00199999999995</v>
      </c>
      <c r="DL22" s="57">
        <v>10540.1958456256</v>
      </c>
      <c r="DM22" s="57">
        <f t="shared" si="34"/>
        <v>11465.1978456256</v>
      </c>
      <c r="DN22" s="61">
        <v>1426.7317096637109</v>
      </c>
      <c r="DO22" s="61">
        <v>2924.3137231413061</v>
      </c>
      <c r="DP22" s="61">
        <v>0</v>
      </c>
      <c r="DQ22" s="57">
        <f t="shared" si="35"/>
        <v>2924.3137231413061</v>
      </c>
      <c r="DR22" s="57">
        <v>162.46187350785041</v>
      </c>
      <c r="DS22" s="57">
        <v>162.46187350785041</v>
      </c>
      <c r="DT22" s="5"/>
      <c r="DU22" s="73">
        <v>0</v>
      </c>
      <c r="DV22" s="156">
        <v>3645.8807808299998</v>
      </c>
      <c r="DW22" s="155">
        <v>693.00008300000002</v>
      </c>
      <c r="DX22" s="155">
        <v>0</v>
      </c>
      <c r="DY22" s="73">
        <v>0</v>
      </c>
      <c r="DZ22" s="156">
        <v>1553.672292</v>
      </c>
      <c r="EA22" s="73">
        <v>0</v>
      </c>
      <c r="EB22" s="156">
        <v>0</v>
      </c>
      <c r="EC22" s="73">
        <v>0</v>
      </c>
      <c r="ED22" s="156">
        <v>847.5</v>
      </c>
      <c r="EE22" s="73">
        <v>0</v>
      </c>
      <c r="EF22" s="156">
        <v>6726.5669746800004</v>
      </c>
      <c r="EG22" s="73">
        <v>0</v>
      </c>
      <c r="EH22" s="156">
        <v>3645.8807808299998</v>
      </c>
      <c r="EI22" s="159">
        <v>1553.672292</v>
      </c>
      <c r="EJ22" s="162">
        <v>847.5</v>
      </c>
      <c r="EK22" s="165">
        <v>735.83500000000004</v>
      </c>
      <c r="EL22" s="159">
        <v>0</v>
      </c>
      <c r="EM22" s="159">
        <f t="shared" si="36"/>
        <v>8267.0670576800003</v>
      </c>
      <c r="EN22" s="159">
        <f t="shared" si="37"/>
        <v>0</v>
      </c>
      <c r="EP22" s="2">
        <v>20998.500749999999</v>
      </c>
      <c r="EQ22" s="5">
        <f t="shared" si="38"/>
        <v>0.85499999999999987</v>
      </c>
    </row>
    <row r="23" spans="4:147" x14ac:dyDescent="0.35">
      <c r="M23" s="5"/>
      <c r="N23" s="66">
        <f t="shared" si="39"/>
        <v>21</v>
      </c>
      <c r="O23" s="78">
        <v>0</v>
      </c>
      <c r="P23" s="77">
        <f t="shared" si="6"/>
        <v>0</v>
      </c>
      <c r="Q23" s="104">
        <v>0</v>
      </c>
      <c r="R23" s="77">
        <f t="shared" si="7"/>
        <v>0</v>
      </c>
      <c r="S23" s="104">
        <v>0</v>
      </c>
      <c r="T23" s="77">
        <f t="shared" si="8"/>
        <v>0</v>
      </c>
      <c r="U23" s="104">
        <v>0</v>
      </c>
      <c r="V23" s="77">
        <f t="shared" si="0"/>
        <v>0</v>
      </c>
      <c r="W23" s="104">
        <v>0</v>
      </c>
      <c r="X23" s="77">
        <f t="shared" si="1"/>
        <v>0</v>
      </c>
      <c r="Y23" s="104">
        <v>0</v>
      </c>
      <c r="Z23" s="77">
        <f t="shared" si="9"/>
        <v>0</v>
      </c>
      <c r="AA23" s="104">
        <v>0</v>
      </c>
      <c r="AB23" s="77">
        <f t="shared" si="10"/>
        <v>0</v>
      </c>
      <c r="AC23" s="5"/>
      <c r="AD23" s="66">
        <f t="shared" si="40"/>
        <v>21</v>
      </c>
      <c r="AE23" s="78">
        <v>13883.968800000001</v>
      </c>
      <c r="AF23" s="104">
        <v>786.6</v>
      </c>
      <c r="AG23" s="78">
        <v>171</v>
      </c>
      <c r="AH23" s="61">
        <f t="shared" si="11"/>
        <v>0.156</v>
      </c>
      <c r="AI23" s="61">
        <f t="shared" si="12"/>
        <v>0.34200000000000003</v>
      </c>
      <c r="AJ23" s="61">
        <f t="shared" si="13"/>
        <v>0.34200000000000003</v>
      </c>
      <c r="AK23" s="77">
        <v>98.837999999999994</v>
      </c>
      <c r="AL23" s="104">
        <v>1327.3704</v>
      </c>
      <c r="AM23" s="61">
        <f t="shared" si="2"/>
        <v>0.153</v>
      </c>
      <c r="AN23" s="57">
        <f t="shared" si="3"/>
        <v>0.114</v>
      </c>
      <c r="AO23" s="78">
        <v>30551</v>
      </c>
      <c r="AP23" s="104">
        <v>19507.724999999999</v>
      </c>
      <c r="AQ23" s="61">
        <f t="shared" si="14"/>
        <v>0.68500000000000005</v>
      </c>
      <c r="AR23" s="57">
        <f t="shared" si="15"/>
        <v>0.83099999999999996</v>
      </c>
      <c r="AS23" s="45"/>
      <c r="AT23" s="78">
        <v>1049.0930000000001</v>
      </c>
      <c r="AU23" s="77">
        <f t="shared" si="4"/>
        <v>0.42599993502960221</v>
      </c>
      <c r="AV23" s="78">
        <v>872.11800000000005</v>
      </c>
      <c r="AW23" s="77">
        <f t="shared" si="5"/>
        <v>0.54269943995021785</v>
      </c>
      <c r="AX23" s="78">
        <v>1121.4780000000001</v>
      </c>
      <c r="AY23" s="77">
        <f t="shared" si="16"/>
        <v>0.5784392407674851</v>
      </c>
      <c r="AZ23" s="45"/>
      <c r="BA23" s="75">
        <v>51358.995000000003</v>
      </c>
      <c r="BB23" s="77">
        <f t="shared" si="17"/>
        <v>0.73770491803278682</v>
      </c>
      <c r="BC23" s="45"/>
      <c r="BD23" s="105">
        <v>5945.5720000000001</v>
      </c>
      <c r="BE23" s="45">
        <v>0</v>
      </c>
      <c r="BF23" s="106">
        <v>0</v>
      </c>
      <c r="BG23" s="107">
        <f t="shared" si="18"/>
        <v>0.18237950920245399</v>
      </c>
      <c r="BH23" s="108">
        <f t="shared" si="19"/>
        <v>0</v>
      </c>
      <c r="BI23" s="106">
        <v>0</v>
      </c>
      <c r="BJ23" s="106">
        <v>0</v>
      </c>
      <c r="BK23" s="106">
        <v>0</v>
      </c>
      <c r="BL23" s="106">
        <v>1508.2539999999999</v>
      </c>
      <c r="BM23" s="107">
        <f t="shared" si="20"/>
        <v>0.11190488202997477</v>
      </c>
      <c r="BN23" s="108">
        <f t="shared" si="21"/>
        <v>0</v>
      </c>
      <c r="BO23" s="45">
        <v>7668</v>
      </c>
      <c r="BP23" s="45">
        <v>649.83928358999992</v>
      </c>
      <c r="BQ23" s="45"/>
      <c r="BR23" s="109">
        <v>-700</v>
      </c>
      <c r="BS23" s="45">
        <f t="shared" si="22"/>
        <v>0</v>
      </c>
      <c r="BT23" s="45">
        <v>4485</v>
      </c>
      <c r="BU23" s="45">
        <f t="shared" si="22"/>
        <v>4485</v>
      </c>
      <c r="BV23" s="45">
        <v>0</v>
      </c>
      <c r="BW23" s="45">
        <f t="shared" ref="BW23:BY23" si="149">IF(BV23&gt;0,BV23,0)</f>
        <v>0</v>
      </c>
      <c r="BX23" s="45">
        <v>5000</v>
      </c>
      <c r="BY23" s="45">
        <f t="shared" si="149"/>
        <v>5000</v>
      </c>
      <c r="BZ23" s="45">
        <v>-5300</v>
      </c>
      <c r="CA23" s="45">
        <f t="shared" ref="CA23:CC23" si="150">IF(BZ23&gt;0,BZ23,0)</f>
        <v>0</v>
      </c>
      <c r="CB23" s="45">
        <v>-4000</v>
      </c>
      <c r="CC23" s="45">
        <f t="shared" si="150"/>
        <v>0</v>
      </c>
      <c r="CD23" s="45">
        <v>2042.3663779999999</v>
      </c>
      <c r="CE23" s="45">
        <f t="shared" ref="CE23:CG23" si="151">IF(CD23&gt;0,CD23,0)</f>
        <v>2042.3663779999999</v>
      </c>
      <c r="CF23" s="45">
        <v>9657.8253464900008</v>
      </c>
      <c r="CG23" s="45">
        <f t="shared" si="151"/>
        <v>9657.8253464900008</v>
      </c>
      <c r="CH23" s="107">
        <f t="shared" si="26"/>
        <v>21185.191724490003</v>
      </c>
      <c r="CI23" s="45"/>
      <c r="CJ23" s="109">
        <v>-700</v>
      </c>
      <c r="CK23" s="45">
        <f t="shared" si="27"/>
        <v>700</v>
      </c>
      <c r="CL23" s="45">
        <v>4485</v>
      </c>
      <c r="CM23" s="45">
        <f t="shared" si="27"/>
        <v>0</v>
      </c>
      <c r="CN23" s="45">
        <v>0</v>
      </c>
      <c r="CO23" s="45">
        <f t="shared" ref="CO23:CQ23" si="152">IF(CN23&lt;0,-CN23,0)</f>
        <v>0</v>
      </c>
      <c r="CP23" s="45">
        <v>5000</v>
      </c>
      <c r="CQ23" s="45">
        <f t="shared" si="152"/>
        <v>0</v>
      </c>
      <c r="CR23" s="45">
        <v>-5300</v>
      </c>
      <c r="CS23" s="45">
        <f t="shared" ref="CS23:CU23" si="153">IF(CR23&lt;0,-CR23,0)</f>
        <v>5300</v>
      </c>
      <c r="CT23" s="45">
        <v>-4000</v>
      </c>
      <c r="CU23" s="45">
        <f t="shared" si="153"/>
        <v>4000</v>
      </c>
      <c r="CV23" s="45">
        <v>2042.3663779999999</v>
      </c>
      <c r="CW23" s="45">
        <f t="shared" ref="CW23:CY23" si="154">IF(CV23&lt;0,-CV23,0)</f>
        <v>0</v>
      </c>
      <c r="CX23" s="45">
        <v>9657.8253464900008</v>
      </c>
      <c r="CY23" s="45">
        <f t="shared" si="154"/>
        <v>0</v>
      </c>
      <c r="CZ23" s="107">
        <f t="shared" si="31"/>
        <v>10000</v>
      </c>
      <c r="DA23" s="45"/>
      <c r="DB23" s="110">
        <v>39444.449999999997</v>
      </c>
      <c r="DC23" s="57">
        <v>2243.4639999999999</v>
      </c>
      <c r="DD23" s="61">
        <v>1829.2845996880999</v>
      </c>
      <c r="DE23" s="61">
        <f t="shared" si="32"/>
        <v>43517.198599688098</v>
      </c>
      <c r="DF23" s="110">
        <v>9191.0499999999993</v>
      </c>
      <c r="DG23" s="110">
        <v>54642.411</v>
      </c>
      <c r="DH23" s="57">
        <v>5831</v>
      </c>
      <c r="DI23" s="107">
        <f t="shared" si="33"/>
        <v>60473.411</v>
      </c>
      <c r="DJ23" s="45"/>
      <c r="DK23" s="110">
        <v>870.59100000000001</v>
      </c>
      <c r="DL23" s="57">
        <v>10524.485844775239</v>
      </c>
      <c r="DM23" s="57">
        <f t="shared" si="34"/>
        <v>11395.07684477524</v>
      </c>
      <c r="DN23" s="61">
        <v>1323.6196291617121</v>
      </c>
      <c r="DO23" s="61">
        <v>2916.0358487160638</v>
      </c>
      <c r="DP23" s="61">
        <v>0</v>
      </c>
      <c r="DQ23" s="57">
        <f t="shared" si="35"/>
        <v>2916.0358487160638</v>
      </c>
      <c r="DR23" s="57">
        <v>162.0019915953369</v>
      </c>
      <c r="DS23" s="57">
        <v>162.0019915953369</v>
      </c>
      <c r="DT23" s="5"/>
      <c r="DU23" s="73">
        <v>0</v>
      </c>
      <c r="DV23" s="156">
        <v>2601.4406627399999</v>
      </c>
      <c r="DW23" s="155">
        <v>441.42008299999998</v>
      </c>
      <c r="DX23" s="155">
        <v>0</v>
      </c>
      <c r="DY23" s="73">
        <v>0</v>
      </c>
      <c r="DZ23" s="156">
        <v>1553.672292</v>
      </c>
      <c r="EA23" s="73">
        <v>0</v>
      </c>
      <c r="EB23" s="156">
        <v>0</v>
      </c>
      <c r="EC23" s="73">
        <v>0</v>
      </c>
      <c r="ED23" s="156">
        <v>847.5</v>
      </c>
      <c r="EE23" s="73">
        <v>0</v>
      </c>
      <c r="EF23" s="156">
        <v>5941.9847310200003</v>
      </c>
      <c r="EG23" s="73">
        <v>0</v>
      </c>
      <c r="EH23" s="156">
        <v>2601.4406627399999</v>
      </c>
      <c r="EI23" s="159">
        <v>1553.672292</v>
      </c>
      <c r="EJ23" s="162">
        <v>847.5</v>
      </c>
      <c r="EK23" s="165">
        <v>735.83500000000004</v>
      </c>
      <c r="EL23" s="159">
        <v>0</v>
      </c>
      <c r="EM23" s="159">
        <f t="shared" si="36"/>
        <v>7230.9048140200002</v>
      </c>
      <c r="EN23" s="159">
        <f t="shared" si="37"/>
        <v>0</v>
      </c>
      <c r="EP23" s="2">
        <v>21465.134099999999</v>
      </c>
      <c r="EQ23" s="5">
        <f t="shared" si="38"/>
        <v>0.87399999999999989</v>
      </c>
    </row>
    <row r="24" spans="4:147" x14ac:dyDescent="0.35">
      <c r="M24" s="5"/>
      <c r="N24" s="66">
        <f t="shared" si="39"/>
        <v>22</v>
      </c>
      <c r="O24" s="78">
        <v>0</v>
      </c>
      <c r="P24" s="77">
        <f t="shared" si="6"/>
        <v>0</v>
      </c>
      <c r="Q24" s="104">
        <v>0</v>
      </c>
      <c r="R24" s="77">
        <f t="shared" si="7"/>
        <v>0</v>
      </c>
      <c r="S24" s="104">
        <v>0</v>
      </c>
      <c r="T24" s="77">
        <f t="shared" si="8"/>
        <v>0</v>
      </c>
      <c r="U24" s="104">
        <v>0</v>
      </c>
      <c r="V24" s="77">
        <f t="shared" si="0"/>
        <v>0</v>
      </c>
      <c r="W24" s="104">
        <v>0</v>
      </c>
      <c r="X24" s="77">
        <f t="shared" si="1"/>
        <v>0</v>
      </c>
      <c r="Y24" s="104">
        <v>0</v>
      </c>
      <c r="Z24" s="77">
        <f t="shared" si="9"/>
        <v>0</v>
      </c>
      <c r="AA24" s="104">
        <v>0</v>
      </c>
      <c r="AB24" s="77">
        <f t="shared" si="10"/>
        <v>0</v>
      </c>
      <c r="AC24" s="5"/>
      <c r="AD24" s="66">
        <f t="shared" si="40"/>
        <v>22</v>
      </c>
      <c r="AE24" s="78">
        <v>14417.9676</v>
      </c>
      <c r="AF24" s="104">
        <v>765.9</v>
      </c>
      <c r="AG24" s="78">
        <v>166.5</v>
      </c>
      <c r="AH24" s="61">
        <f t="shared" si="11"/>
        <v>0.16200000000000001</v>
      </c>
      <c r="AI24" s="61">
        <f t="shared" si="12"/>
        <v>0.33299999999999996</v>
      </c>
      <c r="AJ24" s="61">
        <f t="shared" si="13"/>
        <v>0.33300000000000002</v>
      </c>
      <c r="AK24" s="77">
        <v>99.483999999999995</v>
      </c>
      <c r="AL24" s="104">
        <v>1327.3704</v>
      </c>
      <c r="AM24" s="61">
        <f t="shared" si="2"/>
        <v>0.154</v>
      </c>
      <c r="AN24" s="57">
        <f t="shared" si="3"/>
        <v>0.114</v>
      </c>
      <c r="AO24" s="78">
        <v>30149.599999999999</v>
      </c>
      <c r="AP24" s="104">
        <v>19202.55</v>
      </c>
      <c r="AQ24" s="61">
        <f t="shared" si="14"/>
        <v>0.67599999999999993</v>
      </c>
      <c r="AR24" s="57">
        <f t="shared" si="15"/>
        <v>0.81799999999999995</v>
      </c>
      <c r="AS24" s="45"/>
      <c r="AT24" s="78">
        <v>1004.765</v>
      </c>
      <c r="AU24" s="77">
        <f t="shared" si="4"/>
        <v>0.40799988630180378</v>
      </c>
      <c r="AV24" s="78">
        <v>872.95899999999995</v>
      </c>
      <c r="AW24" s="77">
        <f t="shared" si="5"/>
        <v>0.5432227753578095</v>
      </c>
      <c r="AX24" s="78">
        <v>1121.4780000000001</v>
      </c>
      <c r="AY24" s="77">
        <f t="shared" si="16"/>
        <v>0.5784392407674851</v>
      </c>
      <c r="AZ24" s="45"/>
      <c r="BA24" s="75">
        <v>51358.995000000003</v>
      </c>
      <c r="BB24" s="77">
        <f t="shared" si="17"/>
        <v>0.73770491803278682</v>
      </c>
      <c r="BC24" s="45"/>
      <c r="BD24" s="105">
        <v>6146.2820000000002</v>
      </c>
      <c r="BE24" s="45">
        <v>0</v>
      </c>
      <c r="BF24" s="106">
        <v>0</v>
      </c>
      <c r="BG24" s="107">
        <f t="shared" si="18"/>
        <v>0.18853625766871165</v>
      </c>
      <c r="BH24" s="108">
        <f t="shared" si="19"/>
        <v>0</v>
      </c>
      <c r="BI24" s="106">
        <v>0</v>
      </c>
      <c r="BJ24" s="106">
        <v>0</v>
      </c>
      <c r="BK24" s="106">
        <v>0</v>
      </c>
      <c r="BL24" s="106">
        <v>1535.356</v>
      </c>
      <c r="BM24" s="107">
        <f t="shared" si="20"/>
        <v>0.11391571449769995</v>
      </c>
      <c r="BN24" s="108">
        <f t="shared" si="21"/>
        <v>0</v>
      </c>
      <c r="BO24" s="45">
        <v>7668</v>
      </c>
      <c r="BP24" s="45">
        <v>649.37940168</v>
      </c>
      <c r="BQ24" s="45"/>
      <c r="BR24" s="109">
        <v>-700</v>
      </c>
      <c r="BS24" s="45">
        <f t="shared" si="22"/>
        <v>0</v>
      </c>
      <c r="BT24" s="45">
        <v>4485</v>
      </c>
      <c r="BU24" s="45">
        <f t="shared" si="22"/>
        <v>4485</v>
      </c>
      <c r="BV24" s="45">
        <v>0</v>
      </c>
      <c r="BW24" s="45">
        <f t="shared" ref="BW24:BY24" si="155">IF(BV24&gt;0,BV24,0)</f>
        <v>0</v>
      </c>
      <c r="BX24" s="45">
        <v>5000</v>
      </c>
      <c r="BY24" s="45">
        <f t="shared" si="155"/>
        <v>5000</v>
      </c>
      <c r="BZ24" s="45">
        <v>-5300</v>
      </c>
      <c r="CA24" s="45">
        <f t="shared" ref="CA24:CC24" si="156">IF(BZ24&gt;0,BZ24,0)</f>
        <v>0</v>
      </c>
      <c r="CB24" s="45">
        <v>-4000</v>
      </c>
      <c r="CC24" s="45">
        <f t="shared" si="156"/>
        <v>0</v>
      </c>
      <c r="CD24" s="45">
        <v>0</v>
      </c>
      <c r="CE24" s="45">
        <f t="shared" ref="CE24:CG24" si="157">IF(CD24&gt;0,CD24,0)</f>
        <v>0</v>
      </c>
      <c r="CF24" s="45">
        <v>9732.1485416300002</v>
      </c>
      <c r="CG24" s="45">
        <f t="shared" si="157"/>
        <v>9732.1485416300002</v>
      </c>
      <c r="CH24" s="107">
        <f t="shared" si="26"/>
        <v>19217.148541629998</v>
      </c>
      <c r="CI24" s="45"/>
      <c r="CJ24" s="109">
        <v>-700</v>
      </c>
      <c r="CK24" s="45">
        <f t="shared" si="27"/>
        <v>700</v>
      </c>
      <c r="CL24" s="45">
        <v>4485</v>
      </c>
      <c r="CM24" s="45">
        <f t="shared" si="27"/>
        <v>0</v>
      </c>
      <c r="CN24" s="45">
        <v>0</v>
      </c>
      <c r="CO24" s="45">
        <f t="shared" ref="CO24:CQ24" si="158">IF(CN24&lt;0,-CN24,0)</f>
        <v>0</v>
      </c>
      <c r="CP24" s="45">
        <v>5000</v>
      </c>
      <c r="CQ24" s="45">
        <f t="shared" si="158"/>
        <v>0</v>
      </c>
      <c r="CR24" s="45">
        <v>-5300</v>
      </c>
      <c r="CS24" s="45">
        <f t="shared" ref="CS24:CU24" si="159">IF(CR24&lt;0,-CR24,0)</f>
        <v>5300</v>
      </c>
      <c r="CT24" s="45">
        <v>-4000</v>
      </c>
      <c r="CU24" s="45">
        <f t="shared" si="159"/>
        <v>4000</v>
      </c>
      <c r="CV24" s="45">
        <v>0</v>
      </c>
      <c r="CW24" s="45">
        <f t="shared" ref="CW24:CY24" si="160">IF(CV24&lt;0,-CV24,0)</f>
        <v>0</v>
      </c>
      <c r="CX24" s="45">
        <v>9732.1485416300002</v>
      </c>
      <c r="CY24" s="45">
        <f t="shared" si="160"/>
        <v>0</v>
      </c>
      <c r="CZ24" s="107">
        <f t="shared" si="31"/>
        <v>10000</v>
      </c>
      <c r="DA24" s="45"/>
      <c r="DB24" s="110">
        <v>37823.044999999998</v>
      </c>
      <c r="DC24" s="57">
        <v>2313.4409999999998</v>
      </c>
      <c r="DD24" s="61">
        <v>1756.4523769007999</v>
      </c>
      <c r="DE24" s="61">
        <f t="shared" si="32"/>
        <v>41892.938376900798</v>
      </c>
      <c r="DF24" s="110">
        <v>8729.9030000000002</v>
      </c>
      <c r="DG24" s="110">
        <v>53281.411</v>
      </c>
      <c r="DH24" s="57">
        <v>5512</v>
      </c>
      <c r="DI24" s="107">
        <f t="shared" si="33"/>
        <v>58793.411</v>
      </c>
      <c r="DJ24" s="45"/>
      <c r="DK24" s="110">
        <v>752.79300000000001</v>
      </c>
      <c r="DL24" s="57">
        <v>10508.77584392489</v>
      </c>
      <c r="DM24" s="57">
        <f t="shared" si="34"/>
        <v>11261.56884392489</v>
      </c>
      <c r="DN24" s="61">
        <v>1246.285568785212</v>
      </c>
      <c r="DO24" s="61">
        <v>2907.757974290821</v>
      </c>
      <c r="DP24" s="61">
        <v>0</v>
      </c>
      <c r="DQ24" s="57">
        <f t="shared" si="35"/>
        <v>2907.757974290821</v>
      </c>
      <c r="DR24" s="57">
        <v>161.54210968282339</v>
      </c>
      <c r="DS24" s="57">
        <v>161.54210968282339</v>
      </c>
      <c r="DT24" s="5"/>
      <c r="DU24" s="73">
        <v>0</v>
      </c>
      <c r="DV24" s="156">
        <v>1557.0005446499999</v>
      </c>
      <c r="DW24" s="155">
        <v>292.95783934000002</v>
      </c>
      <c r="DX24" s="155">
        <v>0</v>
      </c>
      <c r="DY24" s="73">
        <v>0</v>
      </c>
      <c r="DZ24" s="156">
        <v>1553.672292</v>
      </c>
      <c r="EA24" s="73">
        <v>0</v>
      </c>
      <c r="EB24" s="156">
        <v>0</v>
      </c>
      <c r="EC24" s="73">
        <v>0</v>
      </c>
      <c r="ED24" s="156">
        <v>847.5</v>
      </c>
      <c r="EE24" s="73">
        <v>0</v>
      </c>
      <c r="EF24" s="156">
        <v>5054.2847310200004</v>
      </c>
      <c r="EG24" s="73">
        <v>0</v>
      </c>
      <c r="EH24" s="156">
        <v>1557.0005446499999</v>
      </c>
      <c r="EI24" s="159">
        <v>1553.672292</v>
      </c>
      <c r="EJ24" s="162">
        <v>847.5</v>
      </c>
      <c r="EK24" s="165">
        <v>735.83500000000004</v>
      </c>
      <c r="EL24" s="159">
        <v>0</v>
      </c>
      <c r="EM24" s="159">
        <f t="shared" si="36"/>
        <v>6194.7425703600002</v>
      </c>
      <c r="EN24" s="159">
        <f t="shared" si="37"/>
        <v>0</v>
      </c>
      <c r="EP24" s="2">
        <v>21931.767449999999</v>
      </c>
      <c r="EQ24" s="5">
        <f t="shared" si="38"/>
        <v>0.8929999999999999</v>
      </c>
    </row>
    <row r="25" spans="4:147" x14ac:dyDescent="0.35">
      <c r="M25" s="5"/>
      <c r="N25" s="66">
        <f t="shared" si="39"/>
        <v>23</v>
      </c>
      <c r="O25" s="78">
        <v>0</v>
      </c>
      <c r="P25" s="77">
        <f t="shared" si="6"/>
        <v>0</v>
      </c>
      <c r="Q25" s="104">
        <v>0</v>
      </c>
      <c r="R25" s="77">
        <f t="shared" si="7"/>
        <v>0</v>
      </c>
      <c r="S25" s="104">
        <v>0</v>
      </c>
      <c r="T25" s="77">
        <f t="shared" si="8"/>
        <v>0</v>
      </c>
      <c r="U25" s="104">
        <v>0</v>
      </c>
      <c r="V25" s="77">
        <f t="shared" si="0"/>
        <v>0</v>
      </c>
      <c r="W25" s="104">
        <v>0</v>
      </c>
      <c r="X25" s="77">
        <f t="shared" si="1"/>
        <v>0</v>
      </c>
      <c r="Y25" s="104">
        <v>0</v>
      </c>
      <c r="Z25" s="77">
        <f t="shared" si="9"/>
        <v>0</v>
      </c>
      <c r="AA25" s="104">
        <v>0</v>
      </c>
      <c r="AB25" s="77">
        <f t="shared" si="10"/>
        <v>0</v>
      </c>
      <c r="AC25" s="5"/>
      <c r="AD25" s="66">
        <f t="shared" si="40"/>
        <v>23</v>
      </c>
      <c r="AE25" s="78">
        <v>15396.965399999999</v>
      </c>
      <c r="AF25" s="104">
        <v>795.8</v>
      </c>
      <c r="AG25" s="78">
        <v>173</v>
      </c>
      <c r="AH25" s="61">
        <f t="shared" si="11"/>
        <v>0.17299999999999999</v>
      </c>
      <c r="AI25" s="61">
        <f t="shared" si="12"/>
        <v>0.34599999999999997</v>
      </c>
      <c r="AJ25" s="61">
        <f t="shared" si="13"/>
        <v>0.34599999999999997</v>
      </c>
      <c r="AK25" s="77">
        <v>94.962000000000003</v>
      </c>
      <c r="AL25" s="104">
        <v>1490.3807999999999</v>
      </c>
      <c r="AM25" s="61">
        <f t="shared" si="2"/>
        <v>0.14699999999999999</v>
      </c>
      <c r="AN25" s="57">
        <f t="shared" si="3"/>
        <v>0.12799999999999997</v>
      </c>
      <c r="AO25" s="78">
        <v>29569.8</v>
      </c>
      <c r="AP25" s="104">
        <v>18920.849999999999</v>
      </c>
      <c r="AQ25" s="61">
        <f t="shared" si="14"/>
        <v>0.66300000000000003</v>
      </c>
      <c r="AR25" s="57">
        <f t="shared" si="15"/>
        <v>0.80599999999999994</v>
      </c>
      <c r="AS25" s="45"/>
      <c r="AT25" s="78">
        <v>1012.153</v>
      </c>
      <c r="AU25" s="77">
        <f t="shared" si="4"/>
        <v>0.41099989442310353</v>
      </c>
      <c r="AV25" s="78">
        <v>880.58399999999995</v>
      </c>
      <c r="AW25" s="77">
        <f t="shared" si="5"/>
        <v>0.54796764156813937</v>
      </c>
      <c r="AX25" s="78">
        <v>1121.4780000000001</v>
      </c>
      <c r="AY25" s="77">
        <f t="shared" si="16"/>
        <v>0.5784392407674851</v>
      </c>
      <c r="AZ25" s="45"/>
      <c r="BA25" s="75">
        <v>51358.995000000003</v>
      </c>
      <c r="BB25" s="77">
        <f t="shared" si="17"/>
        <v>0.73770491803278682</v>
      </c>
      <c r="BC25" s="45"/>
      <c r="BD25" s="105">
        <v>6571.3689999999997</v>
      </c>
      <c r="BE25" s="45">
        <v>0</v>
      </c>
      <c r="BF25" s="106">
        <v>0</v>
      </c>
      <c r="BG25" s="107">
        <f t="shared" si="18"/>
        <v>0.20157573619631902</v>
      </c>
      <c r="BH25" s="108">
        <f t="shared" si="19"/>
        <v>0</v>
      </c>
      <c r="BI25" s="106">
        <v>0</v>
      </c>
      <c r="BJ25" s="106">
        <v>0</v>
      </c>
      <c r="BK25" s="106">
        <v>0</v>
      </c>
      <c r="BL25" s="106">
        <v>1480.5350000000001</v>
      </c>
      <c r="BM25" s="107">
        <f t="shared" si="20"/>
        <v>0.10984827125686304</v>
      </c>
      <c r="BN25" s="108">
        <f t="shared" si="21"/>
        <v>0</v>
      </c>
      <c r="BO25" s="45">
        <v>7668</v>
      </c>
      <c r="BP25" s="45">
        <v>648.91951976999997</v>
      </c>
      <c r="BQ25" s="45"/>
      <c r="BR25" s="109">
        <v>-700</v>
      </c>
      <c r="BS25" s="45">
        <f t="shared" si="22"/>
        <v>0</v>
      </c>
      <c r="BT25" s="45">
        <v>4485</v>
      </c>
      <c r="BU25" s="45">
        <f t="shared" si="22"/>
        <v>4485</v>
      </c>
      <c r="BV25" s="45">
        <v>0</v>
      </c>
      <c r="BW25" s="45">
        <f t="shared" ref="BW25:BY25" si="161">IF(BV25&gt;0,BV25,0)</f>
        <v>0</v>
      </c>
      <c r="BX25" s="45">
        <v>0</v>
      </c>
      <c r="BY25" s="45">
        <f t="shared" si="161"/>
        <v>0</v>
      </c>
      <c r="BZ25" s="45">
        <v>-5300</v>
      </c>
      <c r="CA25" s="45">
        <f t="shared" ref="CA25:CC25" si="162">IF(BZ25&gt;0,BZ25,0)</f>
        <v>0</v>
      </c>
      <c r="CB25" s="45">
        <v>-4000</v>
      </c>
      <c r="CC25" s="45">
        <f t="shared" si="162"/>
        <v>0</v>
      </c>
      <c r="CD25" s="45">
        <v>0</v>
      </c>
      <c r="CE25" s="45">
        <f t="shared" ref="CE25:CG25" si="163">IF(CD25&gt;0,CD25,0)</f>
        <v>0</v>
      </c>
      <c r="CF25" s="45">
        <v>10546.37620977</v>
      </c>
      <c r="CG25" s="45">
        <f t="shared" si="163"/>
        <v>10546.37620977</v>
      </c>
      <c r="CH25" s="107">
        <f t="shared" si="26"/>
        <v>15031.37620977</v>
      </c>
      <c r="CI25" s="45"/>
      <c r="CJ25" s="109">
        <v>-700</v>
      </c>
      <c r="CK25" s="45">
        <f t="shared" si="27"/>
        <v>700</v>
      </c>
      <c r="CL25" s="45">
        <v>4485</v>
      </c>
      <c r="CM25" s="45">
        <f t="shared" si="27"/>
        <v>0</v>
      </c>
      <c r="CN25" s="45">
        <v>0</v>
      </c>
      <c r="CO25" s="45">
        <f t="shared" ref="CO25:CQ25" si="164">IF(CN25&lt;0,-CN25,0)</f>
        <v>0</v>
      </c>
      <c r="CP25" s="45">
        <v>0</v>
      </c>
      <c r="CQ25" s="45">
        <f t="shared" si="164"/>
        <v>0</v>
      </c>
      <c r="CR25" s="45">
        <v>-5300</v>
      </c>
      <c r="CS25" s="45">
        <f t="shared" ref="CS25:CU25" si="165">IF(CR25&lt;0,-CR25,0)</f>
        <v>5300</v>
      </c>
      <c r="CT25" s="45">
        <v>-4000</v>
      </c>
      <c r="CU25" s="45">
        <f t="shared" si="165"/>
        <v>4000</v>
      </c>
      <c r="CV25" s="45">
        <v>0</v>
      </c>
      <c r="CW25" s="45">
        <f t="shared" ref="CW25:CY25" si="166">IF(CV25&lt;0,-CV25,0)</f>
        <v>0</v>
      </c>
      <c r="CX25" s="45">
        <v>10546.37620977</v>
      </c>
      <c r="CY25" s="45">
        <f t="shared" si="166"/>
        <v>0</v>
      </c>
      <c r="CZ25" s="107">
        <f t="shared" si="31"/>
        <v>10000</v>
      </c>
      <c r="DA25" s="45"/>
      <c r="DB25" s="110">
        <v>35535.332000000002</v>
      </c>
      <c r="DC25" s="57">
        <v>2244.5859999999998</v>
      </c>
      <c r="DD25" s="61">
        <v>1767.0647649206001</v>
      </c>
      <c r="DE25" s="61">
        <f t="shared" si="32"/>
        <v>39546.982764920605</v>
      </c>
      <c r="DF25" s="110">
        <v>8735.6959999999999</v>
      </c>
      <c r="DG25" s="110">
        <v>60671.411</v>
      </c>
      <c r="DH25" s="57">
        <v>5654</v>
      </c>
      <c r="DI25" s="107">
        <f t="shared" si="33"/>
        <v>66325.410999999993</v>
      </c>
      <c r="DJ25" s="45"/>
      <c r="DK25" s="110">
        <v>677.21799999999996</v>
      </c>
      <c r="DL25" s="57">
        <v>10493.065843074541</v>
      </c>
      <c r="DM25" s="57">
        <f t="shared" si="34"/>
        <v>11170.283843074541</v>
      </c>
      <c r="DN25" s="61">
        <v>1194.729528534212</v>
      </c>
      <c r="DO25" s="61">
        <v>2899.4800998655778</v>
      </c>
      <c r="DP25" s="61">
        <v>0</v>
      </c>
      <c r="DQ25" s="57">
        <f t="shared" si="35"/>
        <v>2899.4800998655778</v>
      </c>
      <c r="DR25" s="57">
        <v>161.08222777030991</v>
      </c>
      <c r="DS25" s="57">
        <v>161.08222777030991</v>
      </c>
      <c r="DT25" s="5"/>
      <c r="DU25" s="73">
        <v>0</v>
      </c>
      <c r="DV25" s="156">
        <v>2412.11279491</v>
      </c>
      <c r="DW25" s="155">
        <v>544.53783934</v>
      </c>
      <c r="DX25" s="155">
        <v>0</v>
      </c>
      <c r="DY25" s="73">
        <v>0</v>
      </c>
      <c r="DZ25" s="156">
        <v>1553.672292</v>
      </c>
      <c r="EA25" s="73">
        <v>0</v>
      </c>
      <c r="EB25" s="156">
        <v>0</v>
      </c>
      <c r="EC25" s="73">
        <v>0</v>
      </c>
      <c r="ED25" s="156">
        <v>847.5</v>
      </c>
      <c r="EE25" s="73">
        <v>0</v>
      </c>
      <c r="EF25" s="156">
        <v>5666.09485571</v>
      </c>
      <c r="EG25" s="73">
        <v>0</v>
      </c>
      <c r="EH25" s="156">
        <v>2412.11279491</v>
      </c>
      <c r="EI25" s="159">
        <v>1553.672292</v>
      </c>
      <c r="EJ25" s="162">
        <v>847.5</v>
      </c>
      <c r="EK25" s="165">
        <v>735.83500000000004</v>
      </c>
      <c r="EL25" s="159">
        <v>0</v>
      </c>
      <c r="EM25" s="159">
        <f t="shared" si="36"/>
        <v>7058.1326950500006</v>
      </c>
      <c r="EN25" s="159">
        <f t="shared" si="37"/>
        <v>0</v>
      </c>
      <c r="EP25" s="2">
        <v>21931.767449999999</v>
      </c>
      <c r="EQ25" s="5">
        <f t="shared" si="38"/>
        <v>0.8929999999999999</v>
      </c>
    </row>
    <row r="26" spans="4:147" x14ac:dyDescent="0.35">
      <c r="M26" s="5"/>
      <c r="N26" s="66">
        <f t="shared" si="39"/>
        <v>24</v>
      </c>
      <c r="O26" s="78">
        <v>0</v>
      </c>
      <c r="P26" s="77">
        <f t="shared" si="6"/>
        <v>0</v>
      </c>
      <c r="Q26" s="104">
        <v>0</v>
      </c>
      <c r="R26" s="77">
        <f t="shared" si="7"/>
        <v>0</v>
      </c>
      <c r="S26" s="104">
        <v>0</v>
      </c>
      <c r="T26" s="77">
        <f t="shared" si="8"/>
        <v>0</v>
      </c>
      <c r="U26" s="104">
        <v>0</v>
      </c>
      <c r="V26" s="77">
        <f t="shared" si="0"/>
        <v>0</v>
      </c>
      <c r="W26" s="104">
        <v>0</v>
      </c>
      <c r="X26" s="77">
        <f t="shared" si="1"/>
        <v>0</v>
      </c>
      <c r="Y26" s="104">
        <v>0</v>
      </c>
      <c r="Z26" s="77">
        <f t="shared" si="9"/>
        <v>0</v>
      </c>
      <c r="AA26" s="104">
        <v>0</v>
      </c>
      <c r="AB26" s="77">
        <f t="shared" si="10"/>
        <v>0</v>
      </c>
      <c r="AC26" s="5"/>
      <c r="AD26" s="66">
        <f t="shared" si="40"/>
        <v>24</v>
      </c>
      <c r="AE26" s="78">
        <v>16286.963400000001</v>
      </c>
      <c r="AF26" s="104">
        <v>811.9</v>
      </c>
      <c r="AG26" s="78">
        <v>176.5</v>
      </c>
      <c r="AH26" s="61">
        <f t="shared" si="11"/>
        <v>0.183</v>
      </c>
      <c r="AI26" s="61">
        <f t="shared" si="12"/>
        <v>0.35299999999999998</v>
      </c>
      <c r="AJ26" s="61">
        <f t="shared" si="13"/>
        <v>0.35299999999999998</v>
      </c>
      <c r="AK26" s="77">
        <v>88.501999999999995</v>
      </c>
      <c r="AL26" s="104">
        <v>1816.4015999999999</v>
      </c>
      <c r="AM26" s="61">
        <f t="shared" si="2"/>
        <v>0.13699999999999998</v>
      </c>
      <c r="AN26" s="57">
        <f t="shared" si="3"/>
        <v>0.156</v>
      </c>
      <c r="AO26" s="78">
        <v>29391.4</v>
      </c>
      <c r="AP26" s="104">
        <v>18897.375</v>
      </c>
      <c r="AQ26" s="61">
        <f t="shared" si="14"/>
        <v>0.65900000000000003</v>
      </c>
      <c r="AR26" s="57">
        <f t="shared" si="15"/>
        <v>0.80500000000000005</v>
      </c>
      <c r="AS26" s="45"/>
      <c r="AT26" s="78">
        <v>1004.765</v>
      </c>
      <c r="AU26" s="77">
        <f t="shared" si="4"/>
        <v>0.40799988630180378</v>
      </c>
      <c r="AV26" s="78">
        <v>890.72900000000004</v>
      </c>
      <c r="AW26" s="77">
        <f t="shared" si="5"/>
        <v>0.55428064716863723</v>
      </c>
      <c r="AX26" s="78">
        <v>1121.4780000000001</v>
      </c>
      <c r="AY26" s="77">
        <f t="shared" si="16"/>
        <v>0.5784392407674851</v>
      </c>
      <c r="AZ26" s="45"/>
      <c r="BA26" s="75">
        <v>51358.995000000003</v>
      </c>
      <c r="BB26" s="77">
        <f t="shared" si="17"/>
        <v>0.73770491803278682</v>
      </c>
      <c r="BC26" s="45"/>
      <c r="BD26" s="105">
        <v>6957.915</v>
      </c>
      <c r="BE26" s="45">
        <v>0</v>
      </c>
      <c r="BF26" s="106">
        <v>0</v>
      </c>
      <c r="BG26" s="107">
        <f t="shared" si="18"/>
        <v>0.21343297546012269</v>
      </c>
      <c r="BH26" s="108">
        <f t="shared" si="19"/>
        <v>0</v>
      </c>
      <c r="BI26" s="106">
        <v>0</v>
      </c>
      <c r="BJ26" s="106">
        <v>0</v>
      </c>
      <c r="BK26" s="106">
        <v>0</v>
      </c>
      <c r="BL26" s="106">
        <v>1406.877</v>
      </c>
      <c r="BM26" s="107">
        <f t="shared" si="20"/>
        <v>0.1043832170945244</v>
      </c>
      <c r="BN26" s="108">
        <f t="shared" si="21"/>
        <v>0</v>
      </c>
      <c r="BO26" s="45">
        <v>7668</v>
      </c>
      <c r="BP26" s="45">
        <v>648.91951976999997</v>
      </c>
      <c r="BQ26" s="45"/>
      <c r="BR26" s="109">
        <v>-700</v>
      </c>
      <c r="BS26" s="45">
        <f t="shared" si="22"/>
        <v>0</v>
      </c>
      <c r="BT26" s="45">
        <v>4485</v>
      </c>
      <c r="BU26" s="45">
        <f t="shared" si="22"/>
        <v>4485</v>
      </c>
      <c r="BV26" s="45">
        <v>0</v>
      </c>
      <c r="BW26" s="45">
        <f t="shared" ref="BW26:BY26" si="167">IF(BV26&gt;0,BV26,0)</f>
        <v>0</v>
      </c>
      <c r="BX26" s="45">
        <v>-4810.0725000000002</v>
      </c>
      <c r="BY26" s="45">
        <f t="shared" si="167"/>
        <v>0</v>
      </c>
      <c r="BZ26" s="45">
        <v>-5300</v>
      </c>
      <c r="CA26" s="45">
        <f t="shared" ref="CA26:CC26" si="168">IF(BZ26&gt;0,BZ26,0)</f>
        <v>0</v>
      </c>
      <c r="CB26" s="45">
        <v>-4000</v>
      </c>
      <c r="CC26" s="45">
        <f t="shared" si="168"/>
        <v>0</v>
      </c>
      <c r="CD26" s="45">
        <v>-4800</v>
      </c>
      <c r="CE26" s="45">
        <f t="shared" ref="CE26:CG26" si="169">IF(CD26&gt;0,CD26,0)</f>
        <v>0</v>
      </c>
      <c r="CF26" s="45">
        <v>10858.56195757</v>
      </c>
      <c r="CG26" s="45">
        <f t="shared" si="169"/>
        <v>10858.56195757</v>
      </c>
      <c r="CH26" s="107">
        <f t="shared" si="26"/>
        <v>15343.56195757</v>
      </c>
      <c r="CI26" s="45"/>
      <c r="CJ26" s="109">
        <v>-700</v>
      </c>
      <c r="CK26" s="45">
        <f t="shared" si="27"/>
        <v>700</v>
      </c>
      <c r="CL26" s="45">
        <v>4485</v>
      </c>
      <c r="CM26" s="45">
        <f t="shared" si="27"/>
        <v>0</v>
      </c>
      <c r="CN26" s="45">
        <v>0</v>
      </c>
      <c r="CO26" s="45">
        <f t="shared" ref="CO26:CQ26" si="170">IF(CN26&lt;0,-CN26,0)</f>
        <v>0</v>
      </c>
      <c r="CP26" s="45">
        <v>-4810.0725000000002</v>
      </c>
      <c r="CQ26" s="45">
        <f t="shared" si="170"/>
        <v>4810.0725000000002</v>
      </c>
      <c r="CR26" s="45">
        <v>-5300</v>
      </c>
      <c r="CS26" s="45">
        <f t="shared" ref="CS26:CU26" si="171">IF(CR26&lt;0,-CR26,0)</f>
        <v>5300</v>
      </c>
      <c r="CT26" s="45">
        <v>-4000</v>
      </c>
      <c r="CU26" s="45">
        <f t="shared" si="171"/>
        <v>4000</v>
      </c>
      <c r="CV26" s="45">
        <v>-4800</v>
      </c>
      <c r="CW26" s="45">
        <f t="shared" ref="CW26:CY26" si="172">IF(CV26&lt;0,-CV26,0)</f>
        <v>4800</v>
      </c>
      <c r="CX26" s="45">
        <v>10858.56195757</v>
      </c>
      <c r="CY26" s="45">
        <f t="shared" si="172"/>
        <v>0</v>
      </c>
      <c r="CZ26" s="107">
        <f t="shared" si="31"/>
        <v>19610.072500000002</v>
      </c>
      <c r="DA26" s="45"/>
      <c r="DB26" s="110">
        <v>33040.881000000001</v>
      </c>
      <c r="DC26" s="57">
        <v>2151.8310000000001</v>
      </c>
      <c r="DD26" s="61">
        <v>1471.6367999372001</v>
      </c>
      <c r="DE26" s="61">
        <f t="shared" si="32"/>
        <v>36664.348799937201</v>
      </c>
      <c r="DF26" s="110">
        <v>8425.4889999999996</v>
      </c>
      <c r="DG26" s="110">
        <v>58109.411</v>
      </c>
      <c r="DH26" s="57">
        <v>5743</v>
      </c>
      <c r="DI26" s="107">
        <f t="shared" si="33"/>
        <v>63852.411</v>
      </c>
      <c r="DJ26" s="45"/>
      <c r="DK26" s="110">
        <v>646.51700000000005</v>
      </c>
      <c r="DL26" s="57">
        <v>10493.065843074541</v>
      </c>
      <c r="DM26" s="57">
        <f t="shared" si="34"/>
        <v>11139.582843074541</v>
      </c>
      <c r="DN26" s="61">
        <v>1194.729528534212</v>
      </c>
      <c r="DO26" s="61">
        <v>2899.4800998655778</v>
      </c>
      <c r="DP26" s="61">
        <v>0</v>
      </c>
      <c r="DQ26" s="57">
        <f t="shared" si="35"/>
        <v>2899.4800998655778</v>
      </c>
      <c r="DR26" s="57">
        <v>161.08222777030991</v>
      </c>
      <c r="DS26" s="57">
        <v>161.08222777030991</v>
      </c>
      <c r="DT26" s="5"/>
      <c r="DU26" s="73">
        <v>0</v>
      </c>
      <c r="DV26" s="156">
        <v>3457.0127949100001</v>
      </c>
      <c r="DW26" s="155">
        <v>796.11783934000005</v>
      </c>
      <c r="DX26" s="155">
        <v>0</v>
      </c>
      <c r="DY26" s="73">
        <v>0</v>
      </c>
      <c r="DZ26" s="156">
        <v>1553.672292</v>
      </c>
      <c r="EA26" s="73">
        <v>0</v>
      </c>
      <c r="EB26" s="156">
        <v>0</v>
      </c>
      <c r="EC26" s="73">
        <v>0</v>
      </c>
      <c r="ED26" s="156">
        <v>847.5</v>
      </c>
      <c r="EE26" s="73">
        <v>0</v>
      </c>
      <c r="EF26" s="156">
        <v>6459.4148557099998</v>
      </c>
      <c r="EG26" s="73">
        <v>0</v>
      </c>
      <c r="EH26" s="156">
        <v>3457.0127949100001</v>
      </c>
      <c r="EI26" s="159">
        <v>1553.672292</v>
      </c>
      <c r="EJ26" s="162">
        <v>847.5</v>
      </c>
      <c r="EK26" s="165">
        <v>735.83500000000004</v>
      </c>
      <c r="EL26" s="159">
        <v>0</v>
      </c>
      <c r="EM26" s="159">
        <f t="shared" si="36"/>
        <v>8103.0326950500003</v>
      </c>
      <c r="EN26" s="159">
        <f t="shared" si="37"/>
        <v>0</v>
      </c>
      <c r="EP26" s="2">
        <v>21465.134099999999</v>
      </c>
      <c r="EQ26" s="5">
        <f t="shared" si="38"/>
        <v>0.87399999999999989</v>
      </c>
    </row>
    <row r="27" spans="4:147" x14ac:dyDescent="0.35">
      <c r="M27" s="5"/>
      <c r="N27" s="66">
        <f t="shared" si="39"/>
        <v>25</v>
      </c>
      <c r="O27" s="78">
        <v>0</v>
      </c>
      <c r="P27" s="77">
        <f t="shared" si="6"/>
        <v>0</v>
      </c>
      <c r="Q27" s="104">
        <v>0</v>
      </c>
      <c r="R27" s="77">
        <f t="shared" si="7"/>
        <v>0</v>
      </c>
      <c r="S27" s="104">
        <v>0</v>
      </c>
      <c r="T27" s="77">
        <f t="shared" si="8"/>
        <v>0</v>
      </c>
      <c r="U27" s="104">
        <v>0</v>
      </c>
      <c r="V27" s="77">
        <f t="shared" si="0"/>
        <v>0</v>
      </c>
      <c r="W27" s="104">
        <v>0</v>
      </c>
      <c r="X27" s="77">
        <f t="shared" si="1"/>
        <v>0</v>
      </c>
      <c r="Y27" s="104">
        <v>0</v>
      </c>
      <c r="Z27" s="77">
        <f t="shared" si="9"/>
        <v>0</v>
      </c>
      <c r="AA27" s="104">
        <v>0</v>
      </c>
      <c r="AB27" s="77">
        <f t="shared" si="10"/>
        <v>0</v>
      </c>
      <c r="AC27" s="5"/>
      <c r="AD27" s="66">
        <f t="shared" si="40"/>
        <v>25</v>
      </c>
      <c r="AE27" s="78">
        <v>16998.961800000001</v>
      </c>
      <c r="AF27" s="104">
        <v>814.2</v>
      </c>
      <c r="AG27" s="78">
        <v>177</v>
      </c>
      <c r="AH27" s="61">
        <f t="shared" si="11"/>
        <v>0.191</v>
      </c>
      <c r="AI27" s="61">
        <f t="shared" si="12"/>
        <v>0.35400000000000004</v>
      </c>
      <c r="AJ27" s="61">
        <f t="shared" si="13"/>
        <v>0.35399999999999998</v>
      </c>
      <c r="AK27" s="77">
        <v>80.75</v>
      </c>
      <c r="AL27" s="104">
        <v>2060.9171999999999</v>
      </c>
      <c r="AM27" s="61">
        <f t="shared" si="2"/>
        <v>0.125</v>
      </c>
      <c r="AN27" s="57">
        <f t="shared" si="3"/>
        <v>0.17699999999999999</v>
      </c>
      <c r="AO27" s="78">
        <v>28410.2</v>
      </c>
      <c r="AP27" s="104">
        <v>18967.8</v>
      </c>
      <c r="AQ27" s="61">
        <f t="shared" si="14"/>
        <v>0.63700000000000001</v>
      </c>
      <c r="AR27" s="57">
        <f t="shared" si="15"/>
        <v>0.80799999999999994</v>
      </c>
      <c r="AS27" s="45"/>
      <c r="AT27" s="78">
        <v>962.9</v>
      </c>
      <c r="AU27" s="77">
        <f t="shared" si="4"/>
        <v>0.39099997563610084</v>
      </c>
      <c r="AV27" s="78">
        <v>891.79700000000003</v>
      </c>
      <c r="AW27" s="77">
        <f t="shared" si="5"/>
        <v>0.55494523957685127</v>
      </c>
      <c r="AX27" s="78">
        <v>1121.4780000000001</v>
      </c>
      <c r="AY27" s="77">
        <f t="shared" si="16"/>
        <v>0.5784392407674851</v>
      </c>
      <c r="AZ27" s="45"/>
      <c r="BA27" s="75">
        <v>51358.995000000003</v>
      </c>
      <c r="BB27" s="77">
        <f t="shared" si="17"/>
        <v>0.73770491803278682</v>
      </c>
      <c r="BC27" s="45"/>
      <c r="BD27" s="105">
        <v>7269.6490000000003</v>
      </c>
      <c r="BE27" s="45">
        <v>0</v>
      </c>
      <c r="BF27" s="106">
        <v>0</v>
      </c>
      <c r="BG27" s="107">
        <f t="shared" si="18"/>
        <v>0.22299536809815951</v>
      </c>
      <c r="BH27" s="108">
        <f t="shared" si="19"/>
        <v>0</v>
      </c>
      <c r="BI27" s="106">
        <v>0</v>
      </c>
      <c r="BJ27" s="106">
        <v>0</v>
      </c>
      <c r="BK27" s="106">
        <v>0</v>
      </c>
      <c r="BL27" s="106">
        <v>1319.4259999999999</v>
      </c>
      <c r="BM27" s="107">
        <f t="shared" si="20"/>
        <v>9.7894791512093779E-2</v>
      </c>
      <c r="BN27" s="108">
        <f t="shared" si="21"/>
        <v>0</v>
      </c>
      <c r="BO27" s="45">
        <v>7668</v>
      </c>
      <c r="BP27" s="45">
        <v>648.91853372000003</v>
      </c>
      <c r="BQ27" s="45"/>
      <c r="BR27" s="109">
        <v>-700</v>
      </c>
      <c r="BS27" s="45">
        <f t="shared" si="22"/>
        <v>0</v>
      </c>
      <c r="BT27" s="45">
        <v>4485</v>
      </c>
      <c r="BU27" s="45">
        <f t="shared" si="22"/>
        <v>4485</v>
      </c>
      <c r="BV27" s="45">
        <v>0</v>
      </c>
      <c r="BW27" s="45">
        <f t="shared" ref="BW27:BY27" si="173">IF(BV27&gt;0,BV27,0)</f>
        <v>0</v>
      </c>
      <c r="BX27" s="45">
        <v>-5000</v>
      </c>
      <c r="BY27" s="45">
        <f t="shared" si="173"/>
        <v>0</v>
      </c>
      <c r="BZ27" s="45">
        <v>-5300</v>
      </c>
      <c r="CA27" s="45">
        <f t="shared" ref="CA27:CC27" si="174">IF(BZ27&gt;0,BZ27,0)</f>
        <v>0</v>
      </c>
      <c r="CB27" s="45">
        <v>-4000</v>
      </c>
      <c r="CC27" s="45">
        <f t="shared" si="174"/>
        <v>0</v>
      </c>
      <c r="CD27" s="45">
        <v>-4800</v>
      </c>
      <c r="CE27" s="45">
        <f t="shared" ref="CE27:CG27" si="175">IF(CD27&gt;0,CD27,0)</f>
        <v>0</v>
      </c>
      <c r="CF27" s="45">
        <v>10465.69935228</v>
      </c>
      <c r="CG27" s="45">
        <f t="shared" si="175"/>
        <v>10465.69935228</v>
      </c>
      <c r="CH27" s="107">
        <f t="shared" si="26"/>
        <v>14950.69935228</v>
      </c>
      <c r="CI27" s="45"/>
      <c r="CJ27" s="109">
        <v>-700</v>
      </c>
      <c r="CK27" s="45">
        <f t="shared" si="27"/>
        <v>700</v>
      </c>
      <c r="CL27" s="45">
        <v>4485</v>
      </c>
      <c r="CM27" s="45">
        <f t="shared" si="27"/>
        <v>0</v>
      </c>
      <c r="CN27" s="45">
        <v>0</v>
      </c>
      <c r="CO27" s="45">
        <f t="shared" ref="CO27:CQ27" si="176">IF(CN27&lt;0,-CN27,0)</f>
        <v>0</v>
      </c>
      <c r="CP27" s="45">
        <v>-5000</v>
      </c>
      <c r="CQ27" s="45">
        <f t="shared" si="176"/>
        <v>5000</v>
      </c>
      <c r="CR27" s="45">
        <v>-5300</v>
      </c>
      <c r="CS27" s="45">
        <f t="shared" ref="CS27:CU27" si="177">IF(CR27&lt;0,-CR27,0)</f>
        <v>5300</v>
      </c>
      <c r="CT27" s="45">
        <v>-4000</v>
      </c>
      <c r="CU27" s="45">
        <f t="shared" si="177"/>
        <v>4000</v>
      </c>
      <c r="CV27" s="45">
        <v>-4800</v>
      </c>
      <c r="CW27" s="45">
        <f t="shared" ref="CW27:CY27" si="178">IF(CV27&lt;0,-CV27,0)</f>
        <v>4800</v>
      </c>
      <c r="CX27" s="45">
        <v>10465.69935228</v>
      </c>
      <c r="CY27" s="45">
        <f t="shared" si="178"/>
        <v>0</v>
      </c>
      <c r="CZ27" s="107">
        <f t="shared" si="31"/>
        <v>19800</v>
      </c>
      <c r="DA27" s="45"/>
      <c r="DB27" s="110">
        <v>31786.223000000002</v>
      </c>
      <c r="DC27" s="57">
        <v>2078.2950000000001</v>
      </c>
      <c r="DD27" s="61">
        <v>1181.2321244955001</v>
      </c>
      <c r="DE27" s="61">
        <f t="shared" si="32"/>
        <v>35045.750124495506</v>
      </c>
      <c r="DF27" s="110">
        <v>8278.491</v>
      </c>
      <c r="DG27" s="110">
        <v>51910.411</v>
      </c>
      <c r="DH27" s="57">
        <v>5751</v>
      </c>
      <c r="DI27" s="107">
        <f t="shared" si="33"/>
        <v>57661.411</v>
      </c>
      <c r="DJ27" s="45"/>
      <c r="DK27" s="110">
        <v>683.41</v>
      </c>
      <c r="DL27" s="57">
        <v>10493.065843074541</v>
      </c>
      <c r="DM27" s="57">
        <f t="shared" si="34"/>
        <v>11176.475843074541</v>
      </c>
      <c r="DN27" s="61">
        <v>1184.791349728639</v>
      </c>
      <c r="DO27" s="61">
        <v>2899.4623509651742</v>
      </c>
      <c r="DP27" s="61">
        <v>0</v>
      </c>
      <c r="DQ27" s="57">
        <f t="shared" si="35"/>
        <v>2899.4623509651742</v>
      </c>
      <c r="DR27" s="57">
        <v>161.08124172028741</v>
      </c>
      <c r="DS27" s="57">
        <v>161.08124172028741</v>
      </c>
      <c r="DT27" s="5"/>
      <c r="DU27" s="73">
        <v>0</v>
      </c>
      <c r="DV27" s="156">
        <v>4501.9137809599997</v>
      </c>
      <c r="DW27" s="155">
        <v>804.05041492999999</v>
      </c>
      <c r="DX27" s="155">
        <v>0</v>
      </c>
      <c r="DY27" s="73">
        <v>0</v>
      </c>
      <c r="DZ27" s="156">
        <v>1553.672292</v>
      </c>
      <c r="EA27" s="73">
        <v>0</v>
      </c>
      <c r="EB27" s="156">
        <v>149.28615934999999</v>
      </c>
      <c r="EC27" s="73">
        <v>0</v>
      </c>
      <c r="ED27" s="156">
        <v>847.5</v>
      </c>
      <c r="EE27" s="73">
        <v>0</v>
      </c>
      <c r="EF27" s="156">
        <v>7347.1148557099996</v>
      </c>
      <c r="EG27" s="73">
        <v>0</v>
      </c>
      <c r="EH27" s="156">
        <v>4501.9137809599997</v>
      </c>
      <c r="EI27" s="159">
        <v>1553.672292</v>
      </c>
      <c r="EJ27" s="162">
        <v>847.5</v>
      </c>
      <c r="EK27" s="165">
        <v>735.83500000000004</v>
      </c>
      <c r="EL27" s="159">
        <v>0</v>
      </c>
      <c r="EM27" s="159">
        <f t="shared" si="36"/>
        <v>9147.9514299900002</v>
      </c>
      <c r="EN27" s="159">
        <f t="shared" si="37"/>
        <v>0</v>
      </c>
      <c r="EP27" s="2">
        <v>20998.500749999999</v>
      </c>
      <c r="EQ27" s="5">
        <f t="shared" si="38"/>
        <v>0.85499999999999987</v>
      </c>
    </row>
    <row r="28" spans="4:147" x14ac:dyDescent="0.35">
      <c r="M28" s="5"/>
      <c r="N28" s="66">
        <f t="shared" si="39"/>
        <v>26</v>
      </c>
      <c r="O28" s="78">
        <v>0</v>
      </c>
      <c r="P28" s="77">
        <f t="shared" si="6"/>
        <v>0</v>
      </c>
      <c r="Q28" s="104">
        <v>0</v>
      </c>
      <c r="R28" s="77">
        <f t="shared" si="7"/>
        <v>0</v>
      </c>
      <c r="S28" s="104">
        <v>0</v>
      </c>
      <c r="T28" s="77">
        <f t="shared" si="8"/>
        <v>0</v>
      </c>
      <c r="U28" s="104">
        <v>0</v>
      </c>
      <c r="V28" s="77">
        <f t="shared" si="0"/>
        <v>0</v>
      </c>
      <c r="W28" s="104">
        <v>0</v>
      </c>
      <c r="X28" s="77">
        <f t="shared" si="1"/>
        <v>0</v>
      </c>
      <c r="Y28" s="104">
        <v>0</v>
      </c>
      <c r="Z28" s="77">
        <f t="shared" si="9"/>
        <v>0</v>
      </c>
      <c r="AA28" s="104">
        <v>0</v>
      </c>
      <c r="AB28" s="77">
        <f t="shared" si="10"/>
        <v>0</v>
      </c>
      <c r="AC28" s="5"/>
      <c r="AD28" s="66">
        <f t="shared" si="40"/>
        <v>26</v>
      </c>
      <c r="AE28" s="78">
        <v>16464.963</v>
      </c>
      <c r="AF28" s="104">
        <v>795.8</v>
      </c>
      <c r="AG28" s="78">
        <v>173</v>
      </c>
      <c r="AH28" s="61">
        <f t="shared" si="11"/>
        <v>0.185</v>
      </c>
      <c r="AI28" s="61">
        <f t="shared" si="12"/>
        <v>0.34599999999999997</v>
      </c>
      <c r="AJ28" s="61">
        <f t="shared" si="13"/>
        <v>0.34599999999999997</v>
      </c>
      <c r="AK28" s="77">
        <v>72.998000000000005</v>
      </c>
      <c r="AL28" s="104">
        <v>2130.7788</v>
      </c>
      <c r="AM28" s="61">
        <f t="shared" si="2"/>
        <v>0.113</v>
      </c>
      <c r="AN28" s="57">
        <f t="shared" si="3"/>
        <v>0.183</v>
      </c>
      <c r="AO28" s="78">
        <v>28544</v>
      </c>
      <c r="AP28" s="104">
        <v>19460.775000000001</v>
      </c>
      <c r="AQ28" s="61">
        <f t="shared" si="14"/>
        <v>0.64</v>
      </c>
      <c r="AR28" s="57">
        <f t="shared" si="15"/>
        <v>0.82900000000000007</v>
      </c>
      <c r="AS28" s="45"/>
      <c r="AT28" s="78">
        <v>953.04899999999998</v>
      </c>
      <c r="AU28" s="77">
        <f t="shared" si="4"/>
        <v>0.38699982945270561</v>
      </c>
      <c r="AV28" s="78">
        <v>890.97</v>
      </c>
      <c r="AW28" s="77">
        <f t="shared" si="5"/>
        <v>0.55443061605476041</v>
      </c>
      <c r="AX28" s="78">
        <v>1121.4780000000001</v>
      </c>
      <c r="AY28" s="77">
        <f t="shared" si="16"/>
        <v>0.5784392407674851</v>
      </c>
      <c r="AZ28" s="45"/>
      <c r="BA28" s="75">
        <v>51358.995000000003</v>
      </c>
      <c r="BB28" s="77">
        <f t="shared" si="17"/>
        <v>0.73770491803278682</v>
      </c>
      <c r="BC28" s="45"/>
      <c r="BD28" s="105">
        <v>7015.8770000000004</v>
      </c>
      <c r="BE28" s="45">
        <v>0</v>
      </c>
      <c r="BF28" s="106">
        <v>0</v>
      </c>
      <c r="BG28" s="107">
        <f t="shared" si="18"/>
        <v>0.21521095092024542</v>
      </c>
      <c r="BH28" s="108">
        <f t="shared" si="19"/>
        <v>0</v>
      </c>
      <c r="BI28" s="106">
        <v>0</v>
      </c>
      <c r="BJ28" s="106">
        <v>0</v>
      </c>
      <c r="BK28" s="106">
        <v>0</v>
      </c>
      <c r="BL28" s="106">
        <v>1240.171</v>
      </c>
      <c r="BM28" s="107">
        <f t="shared" si="20"/>
        <v>9.2014468021961712E-2</v>
      </c>
      <c r="BN28" s="108">
        <f t="shared" si="21"/>
        <v>0</v>
      </c>
      <c r="BO28" s="45">
        <v>7668</v>
      </c>
      <c r="BP28" s="45">
        <v>648.91853372000003</v>
      </c>
      <c r="BQ28" s="45"/>
      <c r="BR28" s="109">
        <v>-700</v>
      </c>
      <c r="BS28" s="45">
        <f t="shared" si="22"/>
        <v>0</v>
      </c>
      <c r="BT28" s="45">
        <v>4485</v>
      </c>
      <c r="BU28" s="45">
        <f t="shared" si="22"/>
        <v>4485</v>
      </c>
      <c r="BV28" s="45">
        <v>0</v>
      </c>
      <c r="BW28" s="45">
        <f t="shared" ref="BW28:BY28" si="179">IF(BV28&gt;0,BV28,0)</f>
        <v>0</v>
      </c>
      <c r="BX28" s="45">
        <v>-5000</v>
      </c>
      <c r="BY28" s="45">
        <f t="shared" si="179"/>
        <v>0</v>
      </c>
      <c r="BZ28" s="45">
        <v>-5300</v>
      </c>
      <c r="CA28" s="45">
        <f t="shared" ref="CA28:CC28" si="180">IF(BZ28&gt;0,BZ28,0)</f>
        <v>0</v>
      </c>
      <c r="CB28" s="45">
        <v>-4000</v>
      </c>
      <c r="CC28" s="45">
        <f t="shared" si="180"/>
        <v>0</v>
      </c>
      <c r="CD28" s="45">
        <v>-4800</v>
      </c>
      <c r="CE28" s="45">
        <f t="shared" ref="CE28:CG28" si="181">IF(CD28&gt;0,CD28,0)</f>
        <v>0</v>
      </c>
      <c r="CF28" s="45">
        <v>10670.129944279999</v>
      </c>
      <c r="CG28" s="45">
        <f t="shared" si="181"/>
        <v>10670.129944279999</v>
      </c>
      <c r="CH28" s="107">
        <f t="shared" si="26"/>
        <v>15155.129944279999</v>
      </c>
      <c r="CI28" s="45"/>
      <c r="CJ28" s="109">
        <v>-700</v>
      </c>
      <c r="CK28" s="45">
        <f t="shared" si="27"/>
        <v>700</v>
      </c>
      <c r="CL28" s="45">
        <v>4485</v>
      </c>
      <c r="CM28" s="45">
        <f t="shared" si="27"/>
        <v>0</v>
      </c>
      <c r="CN28" s="45">
        <v>0</v>
      </c>
      <c r="CO28" s="45">
        <f t="shared" ref="CO28:CQ28" si="182">IF(CN28&lt;0,-CN28,0)</f>
        <v>0</v>
      </c>
      <c r="CP28" s="45">
        <v>-5000</v>
      </c>
      <c r="CQ28" s="45">
        <f t="shared" si="182"/>
        <v>5000</v>
      </c>
      <c r="CR28" s="45">
        <v>-5300</v>
      </c>
      <c r="CS28" s="45">
        <f t="shared" ref="CS28:CU28" si="183">IF(CR28&lt;0,-CR28,0)</f>
        <v>5300</v>
      </c>
      <c r="CT28" s="45">
        <v>-4000</v>
      </c>
      <c r="CU28" s="45">
        <f t="shared" si="183"/>
        <v>4000</v>
      </c>
      <c r="CV28" s="45">
        <v>-4800</v>
      </c>
      <c r="CW28" s="45">
        <f t="shared" ref="CW28:CY28" si="184">IF(CV28&lt;0,-CV28,0)</f>
        <v>4800</v>
      </c>
      <c r="CX28" s="45">
        <v>10670.129944279999</v>
      </c>
      <c r="CY28" s="45">
        <f t="shared" si="184"/>
        <v>0</v>
      </c>
      <c r="CZ28" s="107">
        <f t="shared" si="31"/>
        <v>19800</v>
      </c>
      <c r="DA28" s="45"/>
      <c r="DB28" s="110">
        <v>30001.379000000001</v>
      </c>
      <c r="DC28" s="57">
        <v>2007.146</v>
      </c>
      <c r="DD28" s="61">
        <v>902.25761518069999</v>
      </c>
      <c r="DE28" s="61">
        <f t="shared" si="32"/>
        <v>32910.782615180702</v>
      </c>
      <c r="DF28" s="110">
        <v>7875.8549999999996</v>
      </c>
      <c r="DG28" s="110">
        <v>51609.411</v>
      </c>
      <c r="DH28" s="57">
        <v>5689</v>
      </c>
      <c r="DI28" s="107">
        <f t="shared" si="33"/>
        <v>57298.411</v>
      </c>
      <c r="DJ28" s="45"/>
      <c r="DK28" s="110">
        <v>705.69399999999996</v>
      </c>
      <c r="DL28" s="57">
        <v>10493.065843074541</v>
      </c>
      <c r="DM28" s="57">
        <f t="shared" si="34"/>
        <v>11198.75984307454</v>
      </c>
      <c r="DN28" s="61">
        <v>1184.791349728639</v>
      </c>
      <c r="DO28" s="61">
        <v>2899.4623509651742</v>
      </c>
      <c r="DP28" s="61">
        <v>0</v>
      </c>
      <c r="DQ28" s="57">
        <f t="shared" si="35"/>
        <v>2899.4623509651742</v>
      </c>
      <c r="DR28" s="57">
        <v>161.08124172028741</v>
      </c>
      <c r="DS28" s="57">
        <v>161.08124172028741</v>
      </c>
      <c r="DT28" s="5"/>
      <c r="DU28" s="73">
        <v>0</v>
      </c>
      <c r="DV28" s="156">
        <v>5546.8137809600003</v>
      </c>
      <c r="DW28" s="155">
        <v>927.68639963999999</v>
      </c>
      <c r="DX28" s="155">
        <v>0</v>
      </c>
      <c r="DY28" s="73">
        <v>0</v>
      </c>
      <c r="DZ28" s="156">
        <v>1553.672292</v>
      </c>
      <c r="EA28" s="73">
        <v>0</v>
      </c>
      <c r="EB28" s="156">
        <v>1020.06615935</v>
      </c>
      <c r="EC28" s="73">
        <v>0</v>
      </c>
      <c r="ED28" s="156">
        <v>847.5</v>
      </c>
      <c r="EE28" s="73">
        <v>0</v>
      </c>
      <c r="EF28" s="156">
        <v>7397.5988710000001</v>
      </c>
      <c r="EG28" s="73">
        <v>0</v>
      </c>
      <c r="EH28" s="156">
        <v>5546.8137809600003</v>
      </c>
      <c r="EI28" s="159">
        <v>1553.672292</v>
      </c>
      <c r="EJ28" s="162">
        <v>847.5</v>
      </c>
      <c r="EK28" s="165">
        <v>735.83500000000004</v>
      </c>
      <c r="EL28" s="159">
        <v>0</v>
      </c>
      <c r="EM28" s="159">
        <f t="shared" si="36"/>
        <v>10192.85142999</v>
      </c>
      <c r="EN28" s="159">
        <f t="shared" si="37"/>
        <v>0</v>
      </c>
      <c r="EP28" s="2">
        <v>20998.500749999999</v>
      </c>
      <c r="EQ28" s="5">
        <f t="shared" si="38"/>
        <v>0.85499999999999987</v>
      </c>
    </row>
    <row r="29" spans="4:147" x14ac:dyDescent="0.35">
      <c r="M29" s="5"/>
      <c r="N29" s="66">
        <f t="shared" si="39"/>
        <v>27</v>
      </c>
      <c r="O29" s="78">
        <v>0</v>
      </c>
      <c r="P29" s="77">
        <f t="shared" si="6"/>
        <v>0</v>
      </c>
      <c r="Q29" s="104">
        <v>0</v>
      </c>
      <c r="R29" s="77">
        <f t="shared" si="7"/>
        <v>0</v>
      </c>
      <c r="S29" s="104">
        <v>0</v>
      </c>
      <c r="T29" s="77">
        <f t="shared" si="8"/>
        <v>0</v>
      </c>
      <c r="U29" s="104">
        <v>0</v>
      </c>
      <c r="V29" s="77">
        <f t="shared" si="0"/>
        <v>0</v>
      </c>
      <c r="W29" s="104">
        <v>0</v>
      </c>
      <c r="X29" s="77">
        <f t="shared" si="1"/>
        <v>0</v>
      </c>
      <c r="Y29" s="104">
        <v>0</v>
      </c>
      <c r="Z29" s="77">
        <f t="shared" si="9"/>
        <v>0</v>
      </c>
      <c r="AA29" s="104">
        <v>0</v>
      </c>
      <c r="AB29" s="77">
        <f t="shared" si="10"/>
        <v>0</v>
      </c>
      <c r="AC29" s="5"/>
      <c r="AD29" s="66">
        <f t="shared" si="40"/>
        <v>27</v>
      </c>
      <c r="AE29" s="78">
        <v>15574.965</v>
      </c>
      <c r="AF29" s="104">
        <v>763.6</v>
      </c>
      <c r="AG29" s="78">
        <v>166</v>
      </c>
      <c r="AH29" s="61">
        <f t="shared" si="11"/>
        <v>0.17499999999999999</v>
      </c>
      <c r="AI29" s="61">
        <f t="shared" si="12"/>
        <v>0.33200000000000002</v>
      </c>
      <c r="AJ29" s="61">
        <f t="shared" si="13"/>
        <v>0.33200000000000002</v>
      </c>
      <c r="AK29" s="77">
        <v>65.245999999999995</v>
      </c>
      <c r="AL29" s="104">
        <v>2130.7788</v>
      </c>
      <c r="AM29" s="61">
        <f t="shared" si="2"/>
        <v>0.10099999999999999</v>
      </c>
      <c r="AN29" s="57">
        <f t="shared" si="3"/>
        <v>0.183</v>
      </c>
      <c r="AO29" s="78">
        <v>28767</v>
      </c>
      <c r="AP29" s="104">
        <v>20141.55</v>
      </c>
      <c r="AQ29" s="61">
        <f t="shared" si="14"/>
        <v>0.64500000000000002</v>
      </c>
      <c r="AR29" s="57">
        <f t="shared" si="15"/>
        <v>0.85799999999999998</v>
      </c>
      <c r="AS29" s="45"/>
      <c r="AT29" s="78">
        <v>953.04899999999998</v>
      </c>
      <c r="AU29" s="77">
        <f t="shared" si="4"/>
        <v>0.38699982945270561</v>
      </c>
      <c r="AV29" s="78">
        <v>889.76499999999999</v>
      </c>
      <c r="AW29" s="77">
        <f t="shared" si="5"/>
        <v>0.55368077162414431</v>
      </c>
      <c r="AX29" s="78">
        <v>1121.4780000000001</v>
      </c>
      <c r="AY29" s="77">
        <f t="shared" si="16"/>
        <v>0.5784392407674851</v>
      </c>
      <c r="AZ29" s="45"/>
      <c r="BA29" s="75">
        <v>51358.995000000003</v>
      </c>
      <c r="BB29" s="77">
        <f t="shared" si="17"/>
        <v>0.73770491803278682</v>
      </c>
      <c r="BC29" s="45"/>
      <c r="BD29" s="105">
        <v>6657.67</v>
      </c>
      <c r="BE29" s="45">
        <v>0</v>
      </c>
      <c r="BF29" s="106">
        <v>0</v>
      </c>
      <c r="BG29" s="107">
        <f t="shared" si="18"/>
        <v>0.20422300613496933</v>
      </c>
      <c r="BH29" s="108">
        <f t="shared" si="19"/>
        <v>0</v>
      </c>
      <c r="BI29" s="106">
        <v>0</v>
      </c>
      <c r="BJ29" s="106">
        <v>0</v>
      </c>
      <c r="BK29" s="106">
        <v>0</v>
      </c>
      <c r="BL29" s="106">
        <v>1148.8399999999999</v>
      </c>
      <c r="BM29" s="107">
        <f t="shared" si="20"/>
        <v>8.523816589998516E-2</v>
      </c>
      <c r="BN29" s="108">
        <f t="shared" si="21"/>
        <v>0</v>
      </c>
      <c r="BO29" s="45">
        <v>7668</v>
      </c>
      <c r="BP29" s="45">
        <v>648.91853372000003</v>
      </c>
      <c r="BQ29" s="45"/>
      <c r="BR29" s="109">
        <v>-700</v>
      </c>
      <c r="BS29" s="45">
        <f t="shared" si="22"/>
        <v>0</v>
      </c>
      <c r="BT29" s="45">
        <v>4485</v>
      </c>
      <c r="BU29" s="45">
        <f t="shared" si="22"/>
        <v>4485</v>
      </c>
      <c r="BV29" s="45">
        <v>0</v>
      </c>
      <c r="BW29" s="45">
        <f t="shared" ref="BW29:BY29" si="185">IF(BV29&gt;0,BV29,0)</f>
        <v>0</v>
      </c>
      <c r="BX29" s="45">
        <v>-5000</v>
      </c>
      <c r="BY29" s="45">
        <f t="shared" si="185"/>
        <v>0</v>
      </c>
      <c r="BZ29" s="45">
        <v>-5300</v>
      </c>
      <c r="CA29" s="45">
        <f t="shared" ref="CA29:CC29" si="186">IF(BZ29&gt;0,BZ29,0)</f>
        <v>0</v>
      </c>
      <c r="CB29" s="45">
        <v>-4000</v>
      </c>
      <c r="CC29" s="45">
        <f t="shared" si="186"/>
        <v>0</v>
      </c>
      <c r="CD29" s="45">
        <v>-4800</v>
      </c>
      <c r="CE29" s="45">
        <f t="shared" ref="CE29:CG29" si="187">IF(CD29&gt;0,CD29,0)</f>
        <v>0</v>
      </c>
      <c r="CF29" s="45">
        <v>9896.0287262700003</v>
      </c>
      <c r="CG29" s="45">
        <f t="shared" si="187"/>
        <v>9896.0287262700003</v>
      </c>
      <c r="CH29" s="107">
        <f t="shared" si="26"/>
        <v>14381.02872627</v>
      </c>
      <c r="CI29" s="45"/>
      <c r="CJ29" s="109">
        <v>-700</v>
      </c>
      <c r="CK29" s="45">
        <f t="shared" si="27"/>
        <v>700</v>
      </c>
      <c r="CL29" s="45">
        <v>4485</v>
      </c>
      <c r="CM29" s="45">
        <f t="shared" si="27"/>
        <v>0</v>
      </c>
      <c r="CN29" s="45">
        <v>0</v>
      </c>
      <c r="CO29" s="45">
        <f t="shared" ref="CO29:CQ29" si="188">IF(CN29&lt;0,-CN29,0)</f>
        <v>0</v>
      </c>
      <c r="CP29" s="45">
        <v>-5000</v>
      </c>
      <c r="CQ29" s="45">
        <f t="shared" si="188"/>
        <v>5000</v>
      </c>
      <c r="CR29" s="45">
        <v>-5300</v>
      </c>
      <c r="CS29" s="45">
        <f t="shared" ref="CS29:CU29" si="189">IF(CR29&lt;0,-CR29,0)</f>
        <v>5300</v>
      </c>
      <c r="CT29" s="45">
        <v>-4000</v>
      </c>
      <c r="CU29" s="45">
        <f t="shared" si="189"/>
        <v>4000</v>
      </c>
      <c r="CV29" s="45">
        <v>-4800</v>
      </c>
      <c r="CW29" s="45">
        <f t="shared" ref="CW29:CY29" si="190">IF(CV29&lt;0,-CV29,0)</f>
        <v>4800</v>
      </c>
      <c r="CX29" s="45">
        <v>9896.0287262700003</v>
      </c>
      <c r="CY29" s="45">
        <f t="shared" si="190"/>
        <v>0</v>
      </c>
      <c r="CZ29" s="107">
        <f t="shared" si="31"/>
        <v>19800</v>
      </c>
      <c r="DA29" s="45"/>
      <c r="DB29" s="110">
        <v>28988.097000000002</v>
      </c>
      <c r="DC29" s="57">
        <v>1969.221</v>
      </c>
      <c r="DD29" s="61">
        <v>1468.1492867814</v>
      </c>
      <c r="DE29" s="61">
        <f t="shared" si="32"/>
        <v>32425.467286781404</v>
      </c>
      <c r="DF29" s="110">
        <v>7514.9930000000004</v>
      </c>
      <c r="DG29" s="110">
        <v>49514.411</v>
      </c>
      <c r="DH29" s="57">
        <v>5648</v>
      </c>
      <c r="DI29" s="107">
        <f t="shared" si="33"/>
        <v>55162.411</v>
      </c>
      <c r="DJ29" s="45"/>
      <c r="DK29" s="110">
        <v>746.85</v>
      </c>
      <c r="DL29" s="57">
        <v>10493.065843074541</v>
      </c>
      <c r="DM29" s="57">
        <f t="shared" si="34"/>
        <v>11239.915843074541</v>
      </c>
      <c r="DN29" s="61">
        <v>1184.791349728639</v>
      </c>
      <c r="DO29" s="61">
        <v>2899.4623509651742</v>
      </c>
      <c r="DP29" s="61">
        <v>0</v>
      </c>
      <c r="DQ29" s="57">
        <f t="shared" si="35"/>
        <v>2899.4623509651742</v>
      </c>
      <c r="DR29" s="57">
        <v>161.08124172028741</v>
      </c>
      <c r="DS29" s="57">
        <v>161.08124172028741</v>
      </c>
      <c r="DT29" s="5"/>
      <c r="DU29" s="73">
        <v>0</v>
      </c>
      <c r="DV29" s="156">
        <v>5747.0736735</v>
      </c>
      <c r="DW29" s="155">
        <v>876.82601053999997</v>
      </c>
      <c r="DX29" s="155">
        <v>0</v>
      </c>
      <c r="DY29" s="73">
        <v>0</v>
      </c>
      <c r="DZ29" s="156">
        <v>1553.672292</v>
      </c>
      <c r="EA29" s="73">
        <v>0</v>
      </c>
      <c r="EB29" s="156">
        <v>1271.1864410000001</v>
      </c>
      <c r="EC29" s="73">
        <v>0</v>
      </c>
      <c r="ED29" s="156">
        <v>847.5</v>
      </c>
      <c r="EE29" s="73">
        <v>0</v>
      </c>
      <c r="EF29" s="156">
        <v>7397.5988710000001</v>
      </c>
      <c r="EG29" s="73">
        <v>0</v>
      </c>
      <c r="EH29" s="156">
        <v>5747.0736735</v>
      </c>
      <c r="EI29" s="159">
        <v>1553.672292</v>
      </c>
      <c r="EJ29" s="162">
        <v>847.5</v>
      </c>
      <c r="EK29" s="165">
        <v>735.83500000000004</v>
      </c>
      <c r="EL29" s="159">
        <v>0</v>
      </c>
      <c r="EM29" s="159">
        <f t="shared" si="36"/>
        <v>10393.11132254</v>
      </c>
      <c r="EN29" s="159">
        <f t="shared" si="37"/>
        <v>0</v>
      </c>
      <c r="EP29" s="2">
        <v>20998.500749999999</v>
      </c>
      <c r="EQ29" s="5">
        <f t="shared" si="38"/>
        <v>0.85499999999999987</v>
      </c>
    </row>
    <row r="30" spans="4:147" x14ac:dyDescent="0.35">
      <c r="M30" s="5"/>
      <c r="N30" s="66">
        <f t="shared" si="39"/>
        <v>28</v>
      </c>
      <c r="O30" s="78">
        <v>0</v>
      </c>
      <c r="P30" s="77">
        <f t="shared" si="6"/>
        <v>0</v>
      </c>
      <c r="Q30" s="104">
        <v>0</v>
      </c>
      <c r="R30" s="77">
        <f t="shared" si="7"/>
        <v>0</v>
      </c>
      <c r="S30" s="104">
        <v>0</v>
      </c>
      <c r="T30" s="77">
        <f t="shared" si="8"/>
        <v>0</v>
      </c>
      <c r="U30" s="104">
        <v>0</v>
      </c>
      <c r="V30" s="77">
        <f t="shared" si="0"/>
        <v>0</v>
      </c>
      <c r="W30" s="104">
        <v>0</v>
      </c>
      <c r="X30" s="77">
        <f t="shared" si="1"/>
        <v>0</v>
      </c>
      <c r="Y30" s="104">
        <v>0</v>
      </c>
      <c r="Z30" s="77">
        <f t="shared" si="9"/>
        <v>0</v>
      </c>
      <c r="AA30" s="104">
        <v>0</v>
      </c>
      <c r="AB30" s="77">
        <f t="shared" si="10"/>
        <v>0</v>
      </c>
      <c r="AC30" s="5"/>
      <c r="AD30" s="66">
        <f t="shared" si="40"/>
        <v>28</v>
      </c>
      <c r="AE30" s="78">
        <v>14595.967199999999</v>
      </c>
      <c r="AF30" s="104">
        <v>763.6</v>
      </c>
      <c r="AG30" s="78">
        <v>166</v>
      </c>
      <c r="AH30" s="61">
        <f t="shared" si="11"/>
        <v>0.16399999999999998</v>
      </c>
      <c r="AI30" s="61">
        <f t="shared" si="12"/>
        <v>0.33200000000000002</v>
      </c>
      <c r="AJ30" s="61">
        <f t="shared" si="13"/>
        <v>0.33200000000000002</v>
      </c>
      <c r="AK30" s="77">
        <v>59.432000000000002</v>
      </c>
      <c r="AL30" s="104">
        <v>2095.848</v>
      </c>
      <c r="AM30" s="61">
        <f t="shared" si="2"/>
        <v>9.1999999999999998E-2</v>
      </c>
      <c r="AN30" s="57">
        <f t="shared" si="3"/>
        <v>0.18</v>
      </c>
      <c r="AO30" s="78">
        <v>29525.200000000001</v>
      </c>
      <c r="AP30" s="104">
        <v>20892.75</v>
      </c>
      <c r="AQ30" s="61">
        <f t="shared" si="14"/>
        <v>0.66200000000000003</v>
      </c>
      <c r="AR30" s="57">
        <f t="shared" si="15"/>
        <v>0.89</v>
      </c>
      <c r="AS30" s="45"/>
      <c r="AT30" s="78">
        <v>953.04899999999998</v>
      </c>
      <c r="AU30" s="77">
        <f t="shared" si="4"/>
        <v>0.38699982945270561</v>
      </c>
      <c r="AV30" s="78">
        <v>883.24699999999996</v>
      </c>
      <c r="AW30" s="77">
        <f t="shared" si="5"/>
        <v>0.54962476664592408</v>
      </c>
      <c r="AX30" s="78">
        <v>1121.4780000000001</v>
      </c>
      <c r="AY30" s="77">
        <f t="shared" si="16"/>
        <v>0.5784392407674851</v>
      </c>
      <c r="AZ30" s="45"/>
      <c r="BA30" s="75">
        <v>51358.995000000003</v>
      </c>
      <c r="BB30" s="77">
        <f t="shared" si="17"/>
        <v>0.73770491803278682</v>
      </c>
      <c r="BC30" s="45"/>
      <c r="BD30" s="105">
        <v>6235.2839999999997</v>
      </c>
      <c r="BE30" s="45">
        <v>0</v>
      </c>
      <c r="BF30" s="106">
        <v>0</v>
      </c>
      <c r="BG30" s="107">
        <f t="shared" si="18"/>
        <v>0.19126638036809815</v>
      </c>
      <c r="BH30" s="108">
        <f t="shared" si="19"/>
        <v>0</v>
      </c>
      <c r="BI30" s="106">
        <v>0</v>
      </c>
      <c r="BJ30" s="106">
        <v>0</v>
      </c>
      <c r="BK30" s="106">
        <v>0</v>
      </c>
      <c r="BL30" s="106">
        <v>1068.1690000000001</v>
      </c>
      <c r="BM30" s="107">
        <f t="shared" si="20"/>
        <v>7.9252782311915723E-2</v>
      </c>
      <c r="BN30" s="108">
        <f t="shared" si="21"/>
        <v>0</v>
      </c>
      <c r="BO30" s="45">
        <v>7668</v>
      </c>
      <c r="BP30" s="45">
        <v>648.91853372000003</v>
      </c>
      <c r="BQ30" s="45"/>
      <c r="BR30" s="109">
        <v>-700</v>
      </c>
      <c r="BS30" s="45">
        <f t="shared" si="22"/>
        <v>0</v>
      </c>
      <c r="BT30" s="45">
        <v>4485</v>
      </c>
      <c r="BU30" s="45">
        <f t="shared" si="22"/>
        <v>4485</v>
      </c>
      <c r="BV30" s="45">
        <v>0</v>
      </c>
      <c r="BW30" s="45">
        <f t="shared" ref="BW30:BY30" si="191">IF(BV30&gt;0,BV30,0)</f>
        <v>0</v>
      </c>
      <c r="BX30" s="45">
        <v>-5000</v>
      </c>
      <c r="BY30" s="45">
        <f t="shared" si="191"/>
        <v>0</v>
      </c>
      <c r="BZ30" s="45">
        <v>-5300</v>
      </c>
      <c r="CA30" s="45">
        <f t="shared" ref="CA30:CC30" si="192">IF(BZ30&gt;0,BZ30,0)</f>
        <v>0</v>
      </c>
      <c r="CB30" s="45">
        <v>-4000</v>
      </c>
      <c r="CC30" s="45">
        <f t="shared" si="192"/>
        <v>0</v>
      </c>
      <c r="CD30" s="45">
        <v>-4800</v>
      </c>
      <c r="CE30" s="45">
        <f t="shared" ref="CE30:CG30" si="193">IF(CD30&gt;0,CD30,0)</f>
        <v>0</v>
      </c>
      <c r="CF30" s="45">
        <v>9871.5660639800008</v>
      </c>
      <c r="CG30" s="45">
        <f t="shared" si="193"/>
        <v>9871.5660639800008</v>
      </c>
      <c r="CH30" s="107">
        <f t="shared" si="26"/>
        <v>14356.566063980001</v>
      </c>
      <c r="CI30" s="45"/>
      <c r="CJ30" s="109">
        <v>-700</v>
      </c>
      <c r="CK30" s="45">
        <f t="shared" si="27"/>
        <v>700</v>
      </c>
      <c r="CL30" s="45">
        <v>4485</v>
      </c>
      <c r="CM30" s="45">
        <f t="shared" si="27"/>
        <v>0</v>
      </c>
      <c r="CN30" s="45">
        <v>0</v>
      </c>
      <c r="CO30" s="45">
        <f t="shared" ref="CO30:CQ30" si="194">IF(CN30&lt;0,-CN30,0)</f>
        <v>0</v>
      </c>
      <c r="CP30" s="45">
        <v>-5000</v>
      </c>
      <c r="CQ30" s="45">
        <f t="shared" si="194"/>
        <v>5000</v>
      </c>
      <c r="CR30" s="45">
        <v>-5300</v>
      </c>
      <c r="CS30" s="45">
        <f t="shared" ref="CS30:CU30" si="195">IF(CR30&lt;0,-CR30,0)</f>
        <v>5300</v>
      </c>
      <c r="CT30" s="45">
        <v>-4000</v>
      </c>
      <c r="CU30" s="45">
        <f t="shared" si="195"/>
        <v>4000</v>
      </c>
      <c r="CV30" s="45">
        <v>-4800</v>
      </c>
      <c r="CW30" s="45">
        <f t="shared" ref="CW30:CY30" si="196">IF(CV30&lt;0,-CV30,0)</f>
        <v>4800</v>
      </c>
      <c r="CX30" s="45">
        <v>9871.5660639800008</v>
      </c>
      <c r="CY30" s="45">
        <f t="shared" si="196"/>
        <v>0</v>
      </c>
      <c r="CZ30" s="107">
        <f t="shared" si="31"/>
        <v>19800</v>
      </c>
      <c r="DA30" s="45"/>
      <c r="DB30" s="110">
        <v>28649.393</v>
      </c>
      <c r="DC30" s="57">
        <v>1950.8879999999999</v>
      </c>
      <c r="DD30" s="61">
        <v>2313.1030811792002</v>
      </c>
      <c r="DE30" s="61">
        <f t="shared" si="32"/>
        <v>32913.384081179196</v>
      </c>
      <c r="DF30" s="110">
        <v>7359.5990000000002</v>
      </c>
      <c r="DG30" s="110">
        <v>47611.411</v>
      </c>
      <c r="DH30" s="57">
        <v>5415</v>
      </c>
      <c r="DI30" s="107">
        <f t="shared" si="33"/>
        <v>53026.411</v>
      </c>
      <c r="DJ30" s="45"/>
      <c r="DK30" s="110">
        <v>827.44</v>
      </c>
      <c r="DL30" s="57">
        <v>10493.065843074541</v>
      </c>
      <c r="DM30" s="57">
        <f t="shared" si="34"/>
        <v>11320.505843074541</v>
      </c>
      <c r="DN30" s="61">
        <v>1184.791349728639</v>
      </c>
      <c r="DO30" s="61">
        <v>2899.4623509651742</v>
      </c>
      <c r="DP30" s="61">
        <v>0</v>
      </c>
      <c r="DQ30" s="57">
        <f t="shared" si="35"/>
        <v>2899.4623509651742</v>
      </c>
      <c r="DR30" s="57">
        <v>161.08124172028741</v>
      </c>
      <c r="DS30" s="57">
        <v>161.08124172028741</v>
      </c>
      <c r="DT30" s="5"/>
      <c r="DU30" s="73">
        <v>0</v>
      </c>
      <c r="DV30" s="156">
        <v>4702.1736735000004</v>
      </c>
      <c r="DW30" s="155">
        <v>804.06776864999995</v>
      </c>
      <c r="DX30" s="155">
        <v>0</v>
      </c>
      <c r="DY30" s="73">
        <v>0</v>
      </c>
      <c r="DZ30" s="156">
        <v>1553.672292</v>
      </c>
      <c r="EA30" s="73">
        <v>0</v>
      </c>
      <c r="EB30" s="156">
        <v>400.40644099999997</v>
      </c>
      <c r="EC30" s="73">
        <v>0</v>
      </c>
      <c r="ED30" s="156">
        <v>847.5</v>
      </c>
      <c r="EE30" s="73">
        <v>0</v>
      </c>
      <c r="EF30" s="156">
        <v>7296.2371128900004</v>
      </c>
      <c r="EG30" s="73">
        <v>0</v>
      </c>
      <c r="EH30" s="156">
        <v>4702.1736735000004</v>
      </c>
      <c r="EI30" s="159">
        <v>1553.672292</v>
      </c>
      <c r="EJ30" s="162">
        <v>847.5</v>
      </c>
      <c r="EK30" s="165">
        <v>735.83500000000004</v>
      </c>
      <c r="EL30" s="159">
        <v>0</v>
      </c>
      <c r="EM30" s="159">
        <f t="shared" si="36"/>
        <v>9348.2113225400008</v>
      </c>
      <c r="EN30" s="159">
        <f t="shared" si="37"/>
        <v>0</v>
      </c>
      <c r="EP30" s="2">
        <v>20531.867399999999</v>
      </c>
      <c r="EQ30" s="5">
        <f t="shared" si="38"/>
        <v>0.83599999999999997</v>
      </c>
    </row>
    <row r="31" spans="4:147" x14ac:dyDescent="0.35">
      <c r="M31" s="5"/>
      <c r="N31" s="66">
        <f t="shared" si="39"/>
        <v>29</v>
      </c>
      <c r="O31" s="78">
        <v>0</v>
      </c>
      <c r="P31" s="77">
        <f t="shared" si="6"/>
        <v>0</v>
      </c>
      <c r="Q31" s="104">
        <v>0</v>
      </c>
      <c r="R31" s="77">
        <f t="shared" si="7"/>
        <v>0</v>
      </c>
      <c r="S31" s="104">
        <v>0</v>
      </c>
      <c r="T31" s="77">
        <f t="shared" si="8"/>
        <v>0</v>
      </c>
      <c r="U31" s="104">
        <v>0</v>
      </c>
      <c r="V31" s="77">
        <f t="shared" si="0"/>
        <v>0</v>
      </c>
      <c r="W31" s="104">
        <v>0</v>
      </c>
      <c r="X31" s="77">
        <f t="shared" si="1"/>
        <v>0</v>
      </c>
      <c r="Y31" s="104">
        <v>0</v>
      </c>
      <c r="Z31" s="77">
        <f t="shared" si="9"/>
        <v>0</v>
      </c>
      <c r="AA31" s="104">
        <v>0</v>
      </c>
      <c r="AB31" s="77">
        <f t="shared" si="10"/>
        <v>0</v>
      </c>
      <c r="AC31" s="5"/>
      <c r="AD31" s="66">
        <f t="shared" si="40"/>
        <v>29</v>
      </c>
      <c r="AE31" s="78">
        <v>13883.968800000001</v>
      </c>
      <c r="AF31" s="104">
        <v>777.4</v>
      </c>
      <c r="AG31" s="78">
        <v>169</v>
      </c>
      <c r="AH31" s="61">
        <f t="shared" si="11"/>
        <v>0.156</v>
      </c>
      <c r="AI31" s="61">
        <f t="shared" si="12"/>
        <v>0.33799999999999997</v>
      </c>
      <c r="AJ31" s="61">
        <f t="shared" si="13"/>
        <v>0.33800000000000002</v>
      </c>
      <c r="AK31" s="77">
        <v>54.264000000000003</v>
      </c>
      <c r="AL31" s="104">
        <v>2130.7788</v>
      </c>
      <c r="AM31" s="61">
        <f t="shared" si="2"/>
        <v>8.4000000000000005E-2</v>
      </c>
      <c r="AN31" s="57">
        <f t="shared" si="3"/>
        <v>0.183</v>
      </c>
      <c r="AO31" s="78">
        <v>30060.400000000001</v>
      </c>
      <c r="AP31" s="104">
        <v>21057.075000000001</v>
      </c>
      <c r="AQ31" s="61">
        <f t="shared" si="14"/>
        <v>0.67400000000000004</v>
      </c>
      <c r="AR31" s="57">
        <f t="shared" si="15"/>
        <v>0.89700000000000002</v>
      </c>
      <c r="AS31" s="45"/>
      <c r="AT31" s="78">
        <v>953.04899999999998</v>
      </c>
      <c r="AU31" s="77">
        <f t="shared" si="4"/>
        <v>0.38699982945270561</v>
      </c>
      <c r="AV31" s="78">
        <v>873.60900000000004</v>
      </c>
      <c r="AW31" s="77">
        <f t="shared" si="5"/>
        <v>0.54362725575606718</v>
      </c>
      <c r="AX31" s="78">
        <v>1121.4780000000001</v>
      </c>
      <c r="AY31" s="77">
        <f t="shared" si="16"/>
        <v>0.5784392407674851</v>
      </c>
      <c r="AZ31" s="45"/>
      <c r="BA31" s="75">
        <v>51358.995000000003</v>
      </c>
      <c r="BB31" s="77">
        <f t="shared" si="17"/>
        <v>0.73770491803278682</v>
      </c>
      <c r="BC31" s="45"/>
      <c r="BD31" s="105">
        <v>5922.4549999999999</v>
      </c>
      <c r="BE31" s="45">
        <v>0</v>
      </c>
      <c r="BF31" s="106">
        <v>0</v>
      </c>
      <c r="BG31" s="107">
        <f t="shared" si="18"/>
        <v>0.18167039877300614</v>
      </c>
      <c r="BH31" s="108">
        <f t="shared" si="19"/>
        <v>0</v>
      </c>
      <c r="BI31" s="106">
        <v>0</v>
      </c>
      <c r="BJ31" s="106">
        <v>0</v>
      </c>
      <c r="BK31" s="106">
        <v>0</v>
      </c>
      <c r="BL31" s="106">
        <v>1000.4829999999999</v>
      </c>
      <c r="BM31" s="107">
        <f t="shared" si="20"/>
        <v>7.4230820596527677E-2</v>
      </c>
      <c r="BN31" s="108">
        <f t="shared" si="21"/>
        <v>0</v>
      </c>
      <c r="BO31" s="45">
        <v>7668</v>
      </c>
      <c r="BP31" s="45">
        <v>649.37841563999996</v>
      </c>
      <c r="BQ31" s="45"/>
      <c r="BR31" s="109">
        <v>-700</v>
      </c>
      <c r="BS31" s="45">
        <f t="shared" si="22"/>
        <v>0</v>
      </c>
      <c r="BT31" s="45">
        <v>4485</v>
      </c>
      <c r="BU31" s="45">
        <f t="shared" si="22"/>
        <v>4485</v>
      </c>
      <c r="BV31" s="45">
        <v>0</v>
      </c>
      <c r="BW31" s="45">
        <f t="shared" ref="BW31:BY31" si="197">IF(BV31&gt;0,BV31,0)</f>
        <v>0</v>
      </c>
      <c r="BX31" s="45">
        <v>-5000</v>
      </c>
      <c r="BY31" s="45">
        <f t="shared" si="197"/>
        <v>0</v>
      </c>
      <c r="BZ31" s="45">
        <v>-5300</v>
      </c>
      <c r="CA31" s="45">
        <f t="shared" ref="CA31:CC31" si="198">IF(BZ31&gt;0,BZ31,0)</f>
        <v>0</v>
      </c>
      <c r="CB31" s="45">
        <v>-4000</v>
      </c>
      <c r="CC31" s="45">
        <f t="shared" si="198"/>
        <v>0</v>
      </c>
      <c r="CD31" s="45">
        <v>-4800</v>
      </c>
      <c r="CE31" s="45">
        <f t="shared" ref="CE31:CG31" si="199">IF(CD31&gt;0,CD31,0)</f>
        <v>0</v>
      </c>
      <c r="CF31" s="45">
        <v>13746.92164085</v>
      </c>
      <c r="CG31" s="45">
        <f t="shared" si="199"/>
        <v>13746.92164085</v>
      </c>
      <c r="CH31" s="107">
        <f t="shared" si="26"/>
        <v>18231.92164085</v>
      </c>
      <c r="CI31" s="45"/>
      <c r="CJ31" s="109">
        <v>-700</v>
      </c>
      <c r="CK31" s="45">
        <f t="shared" si="27"/>
        <v>700</v>
      </c>
      <c r="CL31" s="45">
        <v>4485</v>
      </c>
      <c r="CM31" s="45">
        <f t="shared" si="27"/>
        <v>0</v>
      </c>
      <c r="CN31" s="45">
        <v>0</v>
      </c>
      <c r="CO31" s="45">
        <f t="shared" ref="CO31:CQ31" si="200">IF(CN31&lt;0,-CN31,0)</f>
        <v>0</v>
      </c>
      <c r="CP31" s="45">
        <v>-5000</v>
      </c>
      <c r="CQ31" s="45">
        <f t="shared" si="200"/>
        <v>5000</v>
      </c>
      <c r="CR31" s="45">
        <v>-5300</v>
      </c>
      <c r="CS31" s="45">
        <f t="shared" ref="CS31:CU31" si="201">IF(CR31&lt;0,-CR31,0)</f>
        <v>5300</v>
      </c>
      <c r="CT31" s="45">
        <v>-4000</v>
      </c>
      <c r="CU31" s="45">
        <f t="shared" si="201"/>
        <v>4000</v>
      </c>
      <c r="CV31" s="45">
        <v>-4800</v>
      </c>
      <c r="CW31" s="45">
        <f t="shared" ref="CW31:CY31" si="202">IF(CV31&lt;0,-CV31,0)</f>
        <v>4800</v>
      </c>
      <c r="CX31" s="45">
        <v>13746.92164085</v>
      </c>
      <c r="CY31" s="45">
        <f t="shared" si="202"/>
        <v>0</v>
      </c>
      <c r="CZ31" s="107">
        <f t="shared" si="31"/>
        <v>19800</v>
      </c>
      <c r="DA31" s="45"/>
      <c r="DB31" s="110">
        <v>29466.87</v>
      </c>
      <c r="DC31" s="57">
        <v>1944.5630000000001</v>
      </c>
      <c r="DD31" s="61">
        <v>2597.9589715759998</v>
      </c>
      <c r="DE31" s="61">
        <f t="shared" si="32"/>
        <v>34009.391971575998</v>
      </c>
      <c r="DF31" s="110">
        <v>7340.9269999999997</v>
      </c>
      <c r="DG31" s="110">
        <v>47310.411</v>
      </c>
      <c r="DH31" s="57">
        <v>5372</v>
      </c>
      <c r="DI31" s="107">
        <f t="shared" si="33"/>
        <v>52682.411</v>
      </c>
      <c r="DJ31" s="45"/>
      <c r="DK31" s="110">
        <v>974.06600000000003</v>
      </c>
      <c r="DL31" s="57">
        <v>10508.77584392489</v>
      </c>
      <c r="DM31" s="57">
        <f t="shared" si="34"/>
        <v>11482.841843924891</v>
      </c>
      <c r="DN31" s="61">
        <v>1184.791349728639</v>
      </c>
      <c r="DO31" s="61">
        <v>2907.740225390417</v>
      </c>
      <c r="DP31" s="61">
        <v>0</v>
      </c>
      <c r="DQ31" s="57">
        <f t="shared" si="35"/>
        <v>2907.740225390417</v>
      </c>
      <c r="DR31" s="57">
        <v>161.54112363280089</v>
      </c>
      <c r="DS31" s="57">
        <v>161.54112363280089</v>
      </c>
      <c r="DT31" s="5"/>
      <c r="DU31" s="73">
        <v>0</v>
      </c>
      <c r="DV31" s="156">
        <v>3656.8137915900002</v>
      </c>
      <c r="DW31" s="155">
        <v>730.54319958999997</v>
      </c>
      <c r="DX31" s="155">
        <v>0</v>
      </c>
      <c r="DY31" s="73">
        <v>0</v>
      </c>
      <c r="DZ31" s="156">
        <v>1553.672292</v>
      </c>
      <c r="EA31" s="73">
        <v>0</v>
      </c>
      <c r="EB31" s="156">
        <v>0</v>
      </c>
      <c r="EC31" s="73">
        <v>0</v>
      </c>
      <c r="ED31" s="156">
        <v>847.5</v>
      </c>
      <c r="EE31" s="73">
        <v>0</v>
      </c>
      <c r="EF31" s="156">
        <v>6716.5303666</v>
      </c>
      <c r="EG31" s="73">
        <v>0</v>
      </c>
      <c r="EH31" s="156">
        <v>3656.8137915900002</v>
      </c>
      <c r="EI31" s="159">
        <v>1553.672292</v>
      </c>
      <c r="EJ31" s="162">
        <v>847.5</v>
      </c>
      <c r="EK31" s="165">
        <v>735.83500000000004</v>
      </c>
      <c r="EL31" s="159">
        <v>0</v>
      </c>
      <c r="EM31" s="159">
        <f t="shared" si="36"/>
        <v>8294.5735661899998</v>
      </c>
      <c r="EN31" s="159">
        <f t="shared" si="37"/>
        <v>0</v>
      </c>
      <c r="EP31" s="2">
        <v>20531.867399999999</v>
      </c>
      <c r="EQ31" s="5">
        <f t="shared" si="38"/>
        <v>0.83599999999999997</v>
      </c>
    </row>
    <row r="32" spans="4:147" x14ac:dyDescent="0.35">
      <c r="M32" s="5"/>
      <c r="N32" s="66">
        <f t="shared" si="39"/>
        <v>30</v>
      </c>
      <c r="O32" s="78">
        <v>0</v>
      </c>
      <c r="P32" s="77">
        <f t="shared" si="6"/>
        <v>0</v>
      </c>
      <c r="Q32" s="104">
        <v>0</v>
      </c>
      <c r="R32" s="77">
        <f t="shared" si="7"/>
        <v>0</v>
      </c>
      <c r="S32" s="104">
        <v>0</v>
      </c>
      <c r="T32" s="77">
        <f t="shared" si="8"/>
        <v>0</v>
      </c>
      <c r="U32" s="104">
        <v>0</v>
      </c>
      <c r="V32" s="77">
        <f t="shared" si="0"/>
        <v>0</v>
      </c>
      <c r="W32" s="104">
        <v>0</v>
      </c>
      <c r="X32" s="77">
        <f t="shared" si="1"/>
        <v>0</v>
      </c>
      <c r="Y32" s="104">
        <v>0</v>
      </c>
      <c r="Z32" s="77">
        <f t="shared" si="9"/>
        <v>0</v>
      </c>
      <c r="AA32" s="104">
        <v>0</v>
      </c>
      <c r="AB32" s="77">
        <f t="shared" si="10"/>
        <v>0</v>
      </c>
      <c r="AC32" s="5"/>
      <c r="AD32" s="66">
        <f t="shared" si="40"/>
        <v>30</v>
      </c>
      <c r="AE32" s="78">
        <v>13171.9704</v>
      </c>
      <c r="AF32" s="104">
        <v>784.3</v>
      </c>
      <c r="AG32" s="78">
        <v>170.5</v>
      </c>
      <c r="AH32" s="61">
        <f t="shared" si="11"/>
        <v>0.14799999999999999</v>
      </c>
      <c r="AI32" s="61">
        <f t="shared" si="12"/>
        <v>0.34099999999999997</v>
      </c>
      <c r="AJ32" s="61">
        <f t="shared" si="13"/>
        <v>0.34100000000000003</v>
      </c>
      <c r="AK32" s="77">
        <v>50.387999999999998</v>
      </c>
      <c r="AL32" s="104">
        <v>2154.0659999999998</v>
      </c>
      <c r="AM32" s="61">
        <f t="shared" si="2"/>
        <v>7.8E-2</v>
      </c>
      <c r="AN32" s="57">
        <f t="shared" si="3"/>
        <v>0.18499999999999997</v>
      </c>
      <c r="AO32" s="78">
        <v>30818.6</v>
      </c>
      <c r="AP32" s="104">
        <v>21104.025000000001</v>
      </c>
      <c r="AQ32" s="61">
        <f t="shared" si="14"/>
        <v>0.69099999999999995</v>
      </c>
      <c r="AR32" s="57">
        <f t="shared" si="15"/>
        <v>0.89900000000000002</v>
      </c>
      <c r="AS32" s="45"/>
      <c r="AT32" s="78">
        <v>953.04899999999998</v>
      </c>
      <c r="AU32" s="77">
        <f t="shared" si="4"/>
        <v>0.38699982945270561</v>
      </c>
      <c r="AV32" s="78">
        <v>868.92899999999997</v>
      </c>
      <c r="AW32" s="77">
        <f t="shared" si="5"/>
        <v>0.54071499688861235</v>
      </c>
      <c r="AX32" s="78">
        <v>1121.4780000000001</v>
      </c>
      <c r="AY32" s="77">
        <f t="shared" si="16"/>
        <v>0.5784392407674851</v>
      </c>
      <c r="AZ32" s="45"/>
      <c r="BA32" s="75">
        <v>51358.995000000003</v>
      </c>
      <c r="BB32" s="77">
        <f t="shared" si="17"/>
        <v>0.73770491803278682</v>
      </c>
      <c r="BC32" s="45"/>
      <c r="BD32" s="105">
        <v>5629.3379999999997</v>
      </c>
      <c r="BE32" s="45">
        <v>0</v>
      </c>
      <c r="BF32" s="106">
        <v>0</v>
      </c>
      <c r="BG32" s="107">
        <f t="shared" si="18"/>
        <v>0.17267907975460123</v>
      </c>
      <c r="BH32" s="108">
        <f t="shared" si="19"/>
        <v>0</v>
      </c>
      <c r="BI32" s="106">
        <v>0</v>
      </c>
      <c r="BJ32" s="106">
        <v>0</v>
      </c>
      <c r="BK32" s="106">
        <v>0</v>
      </c>
      <c r="BL32" s="106">
        <v>923.51099999999997</v>
      </c>
      <c r="BM32" s="107">
        <f t="shared" si="20"/>
        <v>6.8519884255824309E-2</v>
      </c>
      <c r="BN32" s="108">
        <f t="shared" si="21"/>
        <v>0</v>
      </c>
      <c r="BO32" s="45">
        <v>7668</v>
      </c>
      <c r="BP32" s="45">
        <v>650.29817945000002</v>
      </c>
      <c r="BQ32" s="45"/>
      <c r="BR32" s="109">
        <v>-700</v>
      </c>
      <c r="BS32" s="45">
        <f t="shared" si="22"/>
        <v>0</v>
      </c>
      <c r="BT32" s="45">
        <v>4485</v>
      </c>
      <c r="BU32" s="45">
        <f t="shared" si="22"/>
        <v>4485</v>
      </c>
      <c r="BV32" s="45">
        <v>0</v>
      </c>
      <c r="BW32" s="45">
        <f t="shared" ref="BW32:BY32" si="203">IF(BV32&gt;0,BV32,0)</f>
        <v>0</v>
      </c>
      <c r="BX32" s="45">
        <v>-5000</v>
      </c>
      <c r="BY32" s="45">
        <f t="shared" si="203"/>
        <v>0</v>
      </c>
      <c r="BZ32" s="45">
        <v>-5300</v>
      </c>
      <c r="CA32" s="45">
        <f t="shared" ref="CA32:CC32" si="204">IF(BZ32&gt;0,BZ32,0)</f>
        <v>0</v>
      </c>
      <c r="CB32" s="45">
        <v>-4000</v>
      </c>
      <c r="CC32" s="45">
        <f t="shared" si="204"/>
        <v>0</v>
      </c>
      <c r="CD32" s="45">
        <v>-4800</v>
      </c>
      <c r="CE32" s="45">
        <f t="shared" ref="CE32:CG32" si="205">IF(CD32&gt;0,CD32,0)</f>
        <v>0</v>
      </c>
      <c r="CF32" s="45">
        <v>11246.939181600001</v>
      </c>
      <c r="CG32" s="45">
        <f t="shared" si="205"/>
        <v>11246.939181600001</v>
      </c>
      <c r="CH32" s="107">
        <f t="shared" si="26"/>
        <v>15731.939181600001</v>
      </c>
      <c r="CI32" s="45"/>
      <c r="CJ32" s="109">
        <v>-700</v>
      </c>
      <c r="CK32" s="45">
        <f t="shared" si="27"/>
        <v>700</v>
      </c>
      <c r="CL32" s="45">
        <v>4485</v>
      </c>
      <c r="CM32" s="45">
        <f t="shared" si="27"/>
        <v>0</v>
      </c>
      <c r="CN32" s="45">
        <v>0</v>
      </c>
      <c r="CO32" s="45">
        <f t="shared" ref="CO32:CQ32" si="206">IF(CN32&lt;0,-CN32,0)</f>
        <v>0</v>
      </c>
      <c r="CP32" s="45">
        <v>-5000</v>
      </c>
      <c r="CQ32" s="45">
        <f t="shared" si="206"/>
        <v>5000</v>
      </c>
      <c r="CR32" s="45">
        <v>-5300</v>
      </c>
      <c r="CS32" s="45">
        <f t="shared" ref="CS32:CU32" si="207">IF(CR32&lt;0,-CR32,0)</f>
        <v>5300</v>
      </c>
      <c r="CT32" s="45">
        <v>-4000</v>
      </c>
      <c r="CU32" s="45">
        <f t="shared" si="207"/>
        <v>4000</v>
      </c>
      <c r="CV32" s="45">
        <v>-4800</v>
      </c>
      <c r="CW32" s="45">
        <f t="shared" ref="CW32:CY32" si="208">IF(CV32&lt;0,-CV32,0)</f>
        <v>4800</v>
      </c>
      <c r="CX32" s="45">
        <v>11246.939181600001</v>
      </c>
      <c r="CY32" s="45">
        <f t="shared" si="208"/>
        <v>0</v>
      </c>
      <c r="CZ32" s="107">
        <f t="shared" si="31"/>
        <v>19800</v>
      </c>
      <c r="DA32" s="45"/>
      <c r="DB32" s="110">
        <v>31665.787</v>
      </c>
      <c r="DC32" s="57">
        <v>1959.203</v>
      </c>
      <c r="DD32" s="61">
        <v>2814.0393533363999</v>
      </c>
      <c r="DE32" s="61">
        <f t="shared" si="32"/>
        <v>36439.029353336395</v>
      </c>
      <c r="DF32" s="110">
        <v>7482.491</v>
      </c>
      <c r="DG32" s="110">
        <v>49387.411</v>
      </c>
      <c r="DH32" s="57">
        <v>5331</v>
      </c>
      <c r="DI32" s="107">
        <f t="shared" si="33"/>
        <v>54718.411</v>
      </c>
      <c r="DJ32" s="45"/>
      <c r="DK32" s="110">
        <v>1200.165</v>
      </c>
      <c r="DL32" s="57">
        <v>10540.1958456256</v>
      </c>
      <c r="DM32" s="57">
        <f t="shared" si="34"/>
        <v>11740.360845625601</v>
      </c>
      <c r="DN32" s="61">
        <v>1282.747826205539</v>
      </c>
      <c r="DO32" s="61">
        <v>2924.2959742409021</v>
      </c>
      <c r="DP32" s="61">
        <v>0</v>
      </c>
      <c r="DQ32" s="57">
        <f t="shared" si="35"/>
        <v>2924.2959742409021</v>
      </c>
      <c r="DR32" s="57">
        <v>162.46088745782791</v>
      </c>
      <c r="DS32" s="57">
        <v>162.46088745782791</v>
      </c>
      <c r="DT32" s="5"/>
      <c r="DU32" s="73">
        <v>0</v>
      </c>
      <c r="DV32" s="156">
        <v>2610.9940277599999</v>
      </c>
      <c r="DW32" s="155">
        <v>478.96319958999999</v>
      </c>
      <c r="DX32" s="155">
        <v>0</v>
      </c>
      <c r="DY32" s="73">
        <v>0</v>
      </c>
      <c r="DZ32" s="156">
        <v>1553.672292</v>
      </c>
      <c r="EA32" s="73">
        <v>0</v>
      </c>
      <c r="EB32" s="156">
        <v>0</v>
      </c>
      <c r="EC32" s="73">
        <v>0</v>
      </c>
      <c r="ED32" s="156">
        <v>847.5</v>
      </c>
      <c r="EE32" s="73">
        <v>0</v>
      </c>
      <c r="EF32" s="156">
        <v>5905.7348539300001</v>
      </c>
      <c r="EG32" s="73">
        <v>0</v>
      </c>
      <c r="EH32" s="156">
        <v>2610.9940277599999</v>
      </c>
      <c r="EI32" s="159">
        <v>1553.672292</v>
      </c>
      <c r="EJ32" s="162">
        <v>847.5</v>
      </c>
      <c r="EK32" s="165">
        <v>735.83500000000004</v>
      </c>
      <c r="EL32" s="159">
        <v>0</v>
      </c>
      <c r="EM32" s="159">
        <f t="shared" si="36"/>
        <v>7232.19805352</v>
      </c>
      <c r="EN32" s="159">
        <f t="shared" si="37"/>
        <v>0</v>
      </c>
      <c r="EP32" s="2">
        <v>20531.867399999999</v>
      </c>
      <c r="EQ32" s="5">
        <f t="shared" si="38"/>
        <v>0.83599999999999997</v>
      </c>
    </row>
    <row r="33" spans="13:147" x14ac:dyDescent="0.35">
      <c r="M33" s="5"/>
      <c r="N33" s="66">
        <f t="shared" si="39"/>
        <v>31</v>
      </c>
      <c r="O33" s="78">
        <v>0</v>
      </c>
      <c r="P33" s="77">
        <f t="shared" si="6"/>
        <v>0</v>
      </c>
      <c r="Q33" s="104">
        <v>0</v>
      </c>
      <c r="R33" s="77">
        <f t="shared" si="7"/>
        <v>0</v>
      </c>
      <c r="S33" s="104">
        <v>0</v>
      </c>
      <c r="T33" s="77">
        <f t="shared" si="8"/>
        <v>0</v>
      </c>
      <c r="U33" s="104">
        <v>0</v>
      </c>
      <c r="V33" s="77">
        <f t="shared" si="0"/>
        <v>0</v>
      </c>
      <c r="W33" s="104">
        <v>0</v>
      </c>
      <c r="X33" s="77">
        <f t="shared" si="1"/>
        <v>0</v>
      </c>
      <c r="Y33" s="104">
        <v>0</v>
      </c>
      <c r="Z33" s="77">
        <f t="shared" si="9"/>
        <v>0</v>
      </c>
      <c r="AA33" s="104">
        <v>0</v>
      </c>
      <c r="AB33" s="77">
        <f t="shared" si="10"/>
        <v>0</v>
      </c>
      <c r="AC33" s="5"/>
      <c r="AD33" s="66">
        <f t="shared" si="40"/>
        <v>31</v>
      </c>
      <c r="AE33" s="78">
        <v>11925.9732</v>
      </c>
      <c r="AF33" s="104">
        <v>802.7</v>
      </c>
      <c r="AG33" s="78">
        <v>174.5</v>
      </c>
      <c r="AH33" s="61">
        <f t="shared" si="11"/>
        <v>0.13400000000000001</v>
      </c>
      <c r="AI33" s="61">
        <f t="shared" si="12"/>
        <v>0.34900000000000003</v>
      </c>
      <c r="AJ33" s="61">
        <f t="shared" si="13"/>
        <v>0.34899999999999998</v>
      </c>
      <c r="AK33" s="77">
        <v>49.095999999999997</v>
      </c>
      <c r="AL33" s="104">
        <v>2119.1352000000002</v>
      </c>
      <c r="AM33" s="61">
        <f t="shared" si="2"/>
        <v>7.5999999999999998E-2</v>
      </c>
      <c r="AN33" s="57">
        <f t="shared" si="3"/>
        <v>0.182</v>
      </c>
      <c r="AO33" s="78">
        <v>31799.8</v>
      </c>
      <c r="AP33" s="104">
        <v>21268.35</v>
      </c>
      <c r="AQ33" s="61">
        <f t="shared" si="14"/>
        <v>0.71299999999999997</v>
      </c>
      <c r="AR33" s="57">
        <f t="shared" si="15"/>
        <v>0.90599999999999992</v>
      </c>
      <c r="AS33" s="45"/>
      <c r="AT33" s="78">
        <v>962.9</v>
      </c>
      <c r="AU33" s="77">
        <f t="shared" si="4"/>
        <v>0.39099997563610084</v>
      </c>
      <c r="AV33" s="78">
        <v>886.81299999999999</v>
      </c>
      <c r="AW33" s="77">
        <f t="shared" si="5"/>
        <v>0.55184380833851898</v>
      </c>
      <c r="AX33" s="78">
        <v>1121.4780000000001</v>
      </c>
      <c r="AY33" s="77">
        <f t="shared" si="16"/>
        <v>0.5784392407674851</v>
      </c>
      <c r="AZ33" s="45"/>
      <c r="BA33" s="75">
        <v>51358.995000000003</v>
      </c>
      <c r="BB33" s="77">
        <f t="shared" si="17"/>
        <v>0.73770491803278682</v>
      </c>
      <c r="BC33" s="45"/>
      <c r="BD33" s="105">
        <v>5083.9089999999997</v>
      </c>
      <c r="BE33" s="45">
        <v>0</v>
      </c>
      <c r="BF33" s="106">
        <v>0</v>
      </c>
      <c r="BG33" s="107">
        <f t="shared" si="18"/>
        <v>0.15594812883435583</v>
      </c>
      <c r="BH33" s="108">
        <f t="shared" si="19"/>
        <v>0</v>
      </c>
      <c r="BI33" s="106">
        <v>0</v>
      </c>
      <c r="BJ33" s="106">
        <v>0</v>
      </c>
      <c r="BK33" s="106">
        <v>0</v>
      </c>
      <c r="BL33" s="106">
        <v>891.18600000000004</v>
      </c>
      <c r="BM33" s="107">
        <f t="shared" si="20"/>
        <v>6.6121531384478419E-2</v>
      </c>
      <c r="BN33" s="108">
        <f t="shared" si="21"/>
        <v>0</v>
      </c>
      <c r="BO33" s="45">
        <v>7668</v>
      </c>
      <c r="BP33" s="45">
        <v>650.75806136999995</v>
      </c>
      <c r="BQ33" s="45"/>
      <c r="BR33" s="109">
        <v>-700</v>
      </c>
      <c r="BS33" s="45">
        <f t="shared" si="22"/>
        <v>0</v>
      </c>
      <c r="BT33" s="45">
        <v>4485</v>
      </c>
      <c r="BU33" s="45">
        <f t="shared" si="22"/>
        <v>4485</v>
      </c>
      <c r="BV33" s="45">
        <v>0</v>
      </c>
      <c r="BW33" s="45">
        <f t="shared" ref="BW33:BY33" si="209">IF(BV33&gt;0,BV33,0)</f>
        <v>0</v>
      </c>
      <c r="BX33" s="45">
        <v>-5000</v>
      </c>
      <c r="BY33" s="45">
        <f t="shared" si="209"/>
        <v>0</v>
      </c>
      <c r="BZ33" s="45">
        <v>-5300</v>
      </c>
      <c r="CA33" s="45">
        <f t="shared" ref="CA33:CC33" si="210">IF(BZ33&gt;0,BZ33,0)</f>
        <v>0</v>
      </c>
      <c r="CB33" s="45">
        <v>-4000</v>
      </c>
      <c r="CC33" s="45">
        <f t="shared" si="210"/>
        <v>0</v>
      </c>
      <c r="CD33" s="45">
        <v>-4800</v>
      </c>
      <c r="CE33" s="45">
        <f t="shared" ref="CE33:CG33" si="211">IF(CD33&gt;0,CD33,0)</f>
        <v>0</v>
      </c>
      <c r="CF33" s="45">
        <v>9449.6360310300006</v>
      </c>
      <c r="CG33" s="45">
        <f t="shared" si="211"/>
        <v>9449.6360310300006</v>
      </c>
      <c r="CH33" s="107">
        <f t="shared" si="26"/>
        <v>13934.636031030001</v>
      </c>
      <c r="CI33" s="45"/>
      <c r="CJ33" s="109">
        <v>-700</v>
      </c>
      <c r="CK33" s="45">
        <f t="shared" si="27"/>
        <v>700</v>
      </c>
      <c r="CL33" s="45">
        <v>4485</v>
      </c>
      <c r="CM33" s="45">
        <f t="shared" si="27"/>
        <v>0</v>
      </c>
      <c r="CN33" s="45">
        <v>0</v>
      </c>
      <c r="CO33" s="45">
        <f t="shared" ref="CO33:CQ33" si="212">IF(CN33&lt;0,-CN33,0)</f>
        <v>0</v>
      </c>
      <c r="CP33" s="45">
        <v>-5000</v>
      </c>
      <c r="CQ33" s="45">
        <f t="shared" si="212"/>
        <v>5000</v>
      </c>
      <c r="CR33" s="45">
        <v>-5300</v>
      </c>
      <c r="CS33" s="45">
        <f t="shared" ref="CS33:CU33" si="213">IF(CR33&lt;0,-CR33,0)</f>
        <v>5300</v>
      </c>
      <c r="CT33" s="45">
        <v>-4000</v>
      </c>
      <c r="CU33" s="45">
        <f t="shared" si="213"/>
        <v>4000</v>
      </c>
      <c r="CV33" s="45">
        <v>-4800</v>
      </c>
      <c r="CW33" s="45">
        <f t="shared" ref="CW33:CY33" si="214">IF(CV33&lt;0,-CV33,0)</f>
        <v>4800</v>
      </c>
      <c r="CX33" s="45">
        <v>9449.6360310300006</v>
      </c>
      <c r="CY33" s="45">
        <f t="shared" si="214"/>
        <v>0</v>
      </c>
      <c r="CZ33" s="107">
        <f t="shared" si="31"/>
        <v>19800</v>
      </c>
      <c r="DA33" s="45"/>
      <c r="DB33" s="110">
        <v>34767.923999999999</v>
      </c>
      <c r="DC33" s="57">
        <v>2026.588</v>
      </c>
      <c r="DD33" s="61">
        <v>3569.1876170917999</v>
      </c>
      <c r="DE33" s="61">
        <f t="shared" si="32"/>
        <v>40363.699617091799</v>
      </c>
      <c r="DF33" s="110">
        <v>7854.13</v>
      </c>
      <c r="DG33" s="110">
        <v>52837.411</v>
      </c>
      <c r="DH33" s="57">
        <v>4997</v>
      </c>
      <c r="DI33" s="107">
        <f t="shared" si="33"/>
        <v>57834.411</v>
      </c>
      <c r="DJ33" s="45"/>
      <c r="DK33" s="110">
        <v>1269.1969999999999</v>
      </c>
      <c r="DL33" s="57">
        <v>10555.905846475949</v>
      </c>
      <c r="DM33" s="57">
        <f t="shared" si="34"/>
        <v>11825.102846475949</v>
      </c>
      <c r="DN33" s="61">
        <v>1380.7043026824381</v>
      </c>
      <c r="DO33" s="61">
        <v>2932.5738486661439</v>
      </c>
      <c r="DP33" s="61">
        <v>0</v>
      </c>
      <c r="DQ33" s="57">
        <f t="shared" si="35"/>
        <v>2932.5738486661439</v>
      </c>
      <c r="DR33" s="57">
        <v>162.92076937034139</v>
      </c>
      <c r="DS33" s="57">
        <v>162.92076937034139</v>
      </c>
      <c r="DT33" s="5"/>
      <c r="DU33" s="73">
        <v>0</v>
      </c>
      <c r="DV33" s="156">
        <v>2600.5208989100001</v>
      </c>
      <c r="DW33" s="155">
        <v>441.42008299999998</v>
      </c>
      <c r="DX33" s="155">
        <v>0</v>
      </c>
      <c r="DY33" s="73">
        <v>0</v>
      </c>
      <c r="DZ33" s="156">
        <v>1553.672292</v>
      </c>
      <c r="EA33" s="73">
        <v>0</v>
      </c>
      <c r="EB33" s="156">
        <v>0</v>
      </c>
      <c r="EC33" s="73">
        <v>0</v>
      </c>
      <c r="ED33" s="156">
        <v>847.5</v>
      </c>
      <c r="EE33" s="73">
        <v>0</v>
      </c>
      <c r="EF33" s="156">
        <v>5924.5269672499999</v>
      </c>
      <c r="EG33" s="73">
        <v>0</v>
      </c>
      <c r="EH33" s="156">
        <v>2600.5208989100001</v>
      </c>
      <c r="EI33" s="159">
        <v>1553.672292</v>
      </c>
      <c r="EJ33" s="162">
        <v>847.5</v>
      </c>
      <c r="EK33" s="165">
        <v>735.83500000000004</v>
      </c>
      <c r="EL33" s="159">
        <v>0</v>
      </c>
      <c r="EM33" s="159">
        <f t="shared" si="36"/>
        <v>7213.4470502499998</v>
      </c>
      <c r="EN33" s="159">
        <f t="shared" si="37"/>
        <v>0</v>
      </c>
      <c r="EP33" s="2">
        <v>20531.867399999999</v>
      </c>
      <c r="EQ33" s="5">
        <f t="shared" si="38"/>
        <v>0.83599999999999997</v>
      </c>
    </row>
    <row r="34" spans="13:147" x14ac:dyDescent="0.35">
      <c r="M34" s="5"/>
      <c r="N34" s="66">
        <f t="shared" si="39"/>
        <v>32</v>
      </c>
      <c r="O34" s="78">
        <v>0</v>
      </c>
      <c r="P34" s="77">
        <f t="shared" si="6"/>
        <v>0</v>
      </c>
      <c r="Q34" s="104">
        <v>0</v>
      </c>
      <c r="R34" s="77">
        <f t="shared" si="7"/>
        <v>0</v>
      </c>
      <c r="S34" s="104">
        <v>0</v>
      </c>
      <c r="T34" s="77">
        <f t="shared" si="8"/>
        <v>0</v>
      </c>
      <c r="U34" s="104">
        <v>0</v>
      </c>
      <c r="V34" s="77">
        <f t="shared" si="0"/>
        <v>0</v>
      </c>
      <c r="W34" s="104">
        <v>0</v>
      </c>
      <c r="X34" s="77">
        <f t="shared" si="1"/>
        <v>0</v>
      </c>
      <c r="Y34" s="104">
        <v>0</v>
      </c>
      <c r="Z34" s="77">
        <f t="shared" si="9"/>
        <v>0</v>
      </c>
      <c r="AA34" s="104">
        <v>0</v>
      </c>
      <c r="AB34" s="77">
        <f t="shared" si="10"/>
        <v>0</v>
      </c>
      <c r="AC34" s="5"/>
      <c r="AD34" s="66">
        <f t="shared" si="40"/>
        <v>32</v>
      </c>
      <c r="AE34" s="78">
        <v>10234.977000000001</v>
      </c>
      <c r="AF34" s="104">
        <v>816.5</v>
      </c>
      <c r="AG34" s="78">
        <v>177.5</v>
      </c>
      <c r="AH34" s="61">
        <f t="shared" si="11"/>
        <v>0.115</v>
      </c>
      <c r="AI34" s="61">
        <f t="shared" si="12"/>
        <v>0.35499999999999998</v>
      </c>
      <c r="AJ34" s="61">
        <f t="shared" si="13"/>
        <v>0.35499999999999998</v>
      </c>
      <c r="AK34" s="77">
        <v>51.033999999999999</v>
      </c>
      <c r="AL34" s="104">
        <v>1921.194</v>
      </c>
      <c r="AM34" s="61">
        <f t="shared" si="2"/>
        <v>7.9000000000000001E-2</v>
      </c>
      <c r="AN34" s="57">
        <f t="shared" si="3"/>
        <v>0.16499999999999998</v>
      </c>
      <c r="AO34" s="78">
        <v>32736.400000000001</v>
      </c>
      <c r="AP34" s="104">
        <v>21244.875</v>
      </c>
      <c r="AQ34" s="61">
        <f t="shared" si="14"/>
        <v>0.73399999999999999</v>
      </c>
      <c r="AR34" s="57">
        <f t="shared" si="15"/>
        <v>0.90500000000000003</v>
      </c>
      <c r="AS34" s="45"/>
      <c r="AT34" s="78">
        <v>1036.78</v>
      </c>
      <c r="AU34" s="77">
        <f t="shared" si="4"/>
        <v>0.42100005684909814</v>
      </c>
      <c r="AV34" s="78">
        <v>959.12400000000002</v>
      </c>
      <c r="AW34" s="77">
        <f t="shared" si="5"/>
        <v>0.59684131922837591</v>
      </c>
      <c r="AX34" s="78">
        <v>1121.4780000000001</v>
      </c>
      <c r="AY34" s="77">
        <f t="shared" si="16"/>
        <v>0.5784392407674851</v>
      </c>
      <c r="AZ34" s="45"/>
      <c r="BA34" s="75">
        <v>51358.995000000003</v>
      </c>
      <c r="BB34" s="77">
        <f t="shared" si="17"/>
        <v>0.73770491803278682</v>
      </c>
      <c r="BC34" s="45"/>
      <c r="BD34" s="105">
        <v>4379.75</v>
      </c>
      <c r="BE34" s="45">
        <v>0</v>
      </c>
      <c r="BF34" s="106">
        <v>0</v>
      </c>
      <c r="BG34" s="107">
        <f t="shared" si="18"/>
        <v>0.13434815950920245</v>
      </c>
      <c r="BH34" s="108">
        <f t="shared" si="19"/>
        <v>0</v>
      </c>
      <c r="BI34" s="106">
        <v>0</v>
      </c>
      <c r="BJ34" s="106">
        <v>0</v>
      </c>
      <c r="BK34" s="106">
        <v>0</v>
      </c>
      <c r="BL34" s="106">
        <v>916.97199999999998</v>
      </c>
      <c r="BM34" s="107">
        <f t="shared" si="20"/>
        <v>6.803472325270811E-2</v>
      </c>
      <c r="BN34" s="108">
        <f t="shared" si="21"/>
        <v>0</v>
      </c>
      <c r="BO34" s="45">
        <v>7668</v>
      </c>
      <c r="BP34" s="45">
        <v>651.2179432800001</v>
      </c>
      <c r="BQ34" s="45"/>
      <c r="BR34" s="109">
        <v>-700</v>
      </c>
      <c r="BS34" s="45">
        <f t="shared" si="22"/>
        <v>0</v>
      </c>
      <c r="BT34" s="45">
        <v>4485</v>
      </c>
      <c r="BU34" s="45">
        <f t="shared" si="22"/>
        <v>4485</v>
      </c>
      <c r="BV34" s="45">
        <v>0</v>
      </c>
      <c r="BW34" s="45">
        <f t="shared" ref="BW34:BY34" si="215">IF(BV34&gt;0,BV34,0)</f>
        <v>0</v>
      </c>
      <c r="BX34" s="45">
        <v>-5000</v>
      </c>
      <c r="BY34" s="45">
        <f t="shared" si="215"/>
        <v>0</v>
      </c>
      <c r="BZ34" s="45">
        <v>-5300</v>
      </c>
      <c r="CA34" s="45">
        <f t="shared" ref="CA34:CC34" si="216">IF(BZ34&gt;0,BZ34,0)</f>
        <v>0</v>
      </c>
      <c r="CB34" s="45">
        <v>-4000</v>
      </c>
      <c r="CC34" s="45">
        <f t="shared" si="216"/>
        <v>0</v>
      </c>
      <c r="CD34" s="45">
        <v>-4800</v>
      </c>
      <c r="CE34" s="45">
        <f t="shared" ref="CE34:CG34" si="217">IF(CD34&gt;0,CD34,0)</f>
        <v>0</v>
      </c>
      <c r="CF34" s="45">
        <v>8886.8792674800006</v>
      </c>
      <c r="CG34" s="45">
        <f t="shared" si="217"/>
        <v>8886.8792674800006</v>
      </c>
      <c r="CH34" s="107">
        <f t="shared" si="26"/>
        <v>13371.879267480001</v>
      </c>
      <c r="CI34" s="45"/>
      <c r="CJ34" s="109">
        <v>-700</v>
      </c>
      <c r="CK34" s="45">
        <f t="shared" si="27"/>
        <v>700</v>
      </c>
      <c r="CL34" s="45">
        <v>4485</v>
      </c>
      <c r="CM34" s="45">
        <f t="shared" si="27"/>
        <v>0</v>
      </c>
      <c r="CN34" s="45">
        <v>0</v>
      </c>
      <c r="CO34" s="45">
        <f t="shared" ref="CO34:CQ34" si="218">IF(CN34&lt;0,-CN34,0)</f>
        <v>0</v>
      </c>
      <c r="CP34" s="45">
        <v>-5000</v>
      </c>
      <c r="CQ34" s="45">
        <f t="shared" si="218"/>
        <v>5000</v>
      </c>
      <c r="CR34" s="45">
        <v>-5300</v>
      </c>
      <c r="CS34" s="45">
        <f t="shared" ref="CS34:CU34" si="219">IF(CR34&lt;0,-CR34,0)</f>
        <v>5300</v>
      </c>
      <c r="CT34" s="45">
        <v>-4000</v>
      </c>
      <c r="CU34" s="45">
        <f t="shared" si="219"/>
        <v>4000</v>
      </c>
      <c r="CV34" s="45">
        <v>-4800</v>
      </c>
      <c r="CW34" s="45">
        <f t="shared" ref="CW34:CY34" si="220">IF(CV34&lt;0,-CV34,0)</f>
        <v>4800</v>
      </c>
      <c r="CX34" s="45">
        <v>8886.8792674800006</v>
      </c>
      <c r="CY34" s="45">
        <f t="shared" si="220"/>
        <v>0</v>
      </c>
      <c r="CZ34" s="107">
        <f t="shared" si="31"/>
        <v>19800</v>
      </c>
      <c r="DA34" s="45"/>
      <c r="DB34" s="110">
        <v>37480.879999999997</v>
      </c>
      <c r="DC34" s="57">
        <v>2138.4369999999999</v>
      </c>
      <c r="DD34" s="61">
        <v>3984.4754516998</v>
      </c>
      <c r="DE34" s="61">
        <f t="shared" si="32"/>
        <v>43603.792451699795</v>
      </c>
      <c r="DF34" s="110">
        <v>8412.1229999999996</v>
      </c>
      <c r="DG34" s="110">
        <v>54289.411</v>
      </c>
      <c r="DH34" s="57">
        <v>5018</v>
      </c>
      <c r="DI34" s="107">
        <f t="shared" si="33"/>
        <v>59307.411</v>
      </c>
      <c r="DJ34" s="45"/>
      <c r="DK34" s="110">
        <v>1259.5360000000001</v>
      </c>
      <c r="DL34" s="57">
        <v>10571.615847326309</v>
      </c>
      <c r="DM34" s="57">
        <f t="shared" si="34"/>
        <v>11831.15184732631</v>
      </c>
      <c r="DN34" s="61">
        <v>1473.505175134238</v>
      </c>
      <c r="DO34" s="61">
        <v>2940.8517230913872</v>
      </c>
      <c r="DP34" s="61">
        <v>0</v>
      </c>
      <c r="DQ34" s="57">
        <f t="shared" si="35"/>
        <v>2940.8517230913872</v>
      </c>
      <c r="DR34" s="57">
        <v>163.38065128285481</v>
      </c>
      <c r="DS34" s="57">
        <v>163.38065128285481</v>
      </c>
      <c r="DT34" s="5"/>
      <c r="DU34" s="73">
        <v>0</v>
      </c>
      <c r="DV34" s="156">
        <v>3644.9610170000001</v>
      </c>
      <c r="DW34" s="155">
        <v>693.00008300000002</v>
      </c>
      <c r="DX34" s="155">
        <v>0</v>
      </c>
      <c r="DY34" s="73">
        <v>0</v>
      </c>
      <c r="DZ34" s="156">
        <v>1553.672292</v>
      </c>
      <c r="EA34" s="73">
        <v>0</v>
      </c>
      <c r="EB34" s="156">
        <v>0</v>
      </c>
      <c r="EC34" s="73">
        <v>0</v>
      </c>
      <c r="ED34" s="156">
        <v>847.5</v>
      </c>
      <c r="EE34" s="73">
        <v>0</v>
      </c>
      <c r="EF34" s="156">
        <v>6709.10921091</v>
      </c>
      <c r="EG34" s="73">
        <v>0</v>
      </c>
      <c r="EH34" s="156">
        <v>3644.9610170000001</v>
      </c>
      <c r="EI34" s="159">
        <v>1553.672292</v>
      </c>
      <c r="EJ34" s="162">
        <v>847.5</v>
      </c>
      <c r="EK34" s="165">
        <v>735.83500000000004</v>
      </c>
      <c r="EL34" s="159">
        <v>0</v>
      </c>
      <c r="EM34" s="159">
        <f t="shared" si="36"/>
        <v>8249.6092939099999</v>
      </c>
      <c r="EN34" s="159">
        <f t="shared" si="37"/>
        <v>0</v>
      </c>
      <c r="EP34" s="2">
        <v>20531.867399999999</v>
      </c>
      <c r="EQ34" s="5">
        <f t="shared" si="38"/>
        <v>0.83599999999999997</v>
      </c>
    </row>
    <row r="35" spans="13:147" x14ac:dyDescent="0.35">
      <c r="M35" s="5"/>
      <c r="N35" s="66">
        <f t="shared" si="39"/>
        <v>33</v>
      </c>
      <c r="O35" s="78">
        <v>0</v>
      </c>
      <c r="P35" s="77">
        <f t="shared" si="6"/>
        <v>0</v>
      </c>
      <c r="Q35" s="104">
        <v>0</v>
      </c>
      <c r="R35" s="77">
        <f t="shared" si="7"/>
        <v>0</v>
      </c>
      <c r="S35" s="104">
        <v>0</v>
      </c>
      <c r="T35" s="77">
        <f t="shared" si="8"/>
        <v>0</v>
      </c>
      <c r="U35" s="104">
        <v>0</v>
      </c>
      <c r="V35" s="77">
        <f t="shared" ref="V35:V66" si="221">U35/$B$6</f>
        <v>0</v>
      </c>
      <c r="W35" s="104">
        <v>0</v>
      </c>
      <c r="X35" s="77">
        <f t="shared" ref="X35:X66" si="222">W35/$B$7</f>
        <v>0</v>
      </c>
      <c r="Y35" s="104">
        <v>0</v>
      </c>
      <c r="Z35" s="77">
        <f t="shared" si="9"/>
        <v>0</v>
      </c>
      <c r="AA35" s="104">
        <v>0</v>
      </c>
      <c r="AB35" s="77">
        <f t="shared" si="10"/>
        <v>0</v>
      </c>
      <c r="AC35" s="5"/>
      <c r="AD35" s="66">
        <f t="shared" si="40"/>
        <v>33</v>
      </c>
      <c r="AE35" s="78">
        <v>10056.9774</v>
      </c>
      <c r="AF35" s="104">
        <v>823.4</v>
      </c>
      <c r="AG35" s="78">
        <v>179</v>
      </c>
      <c r="AH35" s="61">
        <f t="shared" si="11"/>
        <v>0.11299999999999999</v>
      </c>
      <c r="AI35" s="61">
        <f t="shared" si="12"/>
        <v>0.35799999999999998</v>
      </c>
      <c r="AJ35" s="61">
        <f t="shared" si="13"/>
        <v>0.35799999999999998</v>
      </c>
      <c r="AK35" s="77">
        <v>52.326000000000001</v>
      </c>
      <c r="AL35" s="104">
        <v>1583.5296000000001</v>
      </c>
      <c r="AM35" s="61">
        <f t="shared" ref="AM35:AM66" si="223">AK35/$B$9</f>
        <v>8.1000000000000003E-2</v>
      </c>
      <c r="AN35" s="57">
        <f t="shared" ref="AN35:AN66" si="224">AL35/$B$8</f>
        <v>0.13600000000000001</v>
      </c>
      <c r="AO35" s="78">
        <v>33271.599999999999</v>
      </c>
      <c r="AP35" s="104">
        <v>21550.05</v>
      </c>
      <c r="AQ35" s="61">
        <f t="shared" si="14"/>
        <v>0.746</v>
      </c>
      <c r="AR35" s="57">
        <f t="shared" si="15"/>
        <v>0.91799999999999993</v>
      </c>
      <c r="AS35" s="45"/>
      <c r="AT35" s="78">
        <v>1086.0329999999999</v>
      </c>
      <c r="AU35" s="77">
        <f t="shared" ref="AU35:AU66" si="225">AT35/$B$10</f>
        <v>0.44099997563610077</v>
      </c>
      <c r="AV35" s="78">
        <v>975.02</v>
      </c>
      <c r="AW35" s="77">
        <f t="shared" ref="AW35:AW66" si="226">AV35/$B$11</f>
        <v>0.60673304293714991</v>
      </c>
      <c r="AX35" s="78">
        <v>1121.4780000000001</v>
      </c>
      <c r="AY35" s="77">
        <f t="shared" si="16"/>
        <v>0.5784392407674851</v>
      </c>
      <c r="AZ35" s="45"/>
      <c r="BA35" s="75">
        <v>51358.995000000003</v>
      </c>
      <c r="BB35" s="77">
        <f t="shared" si="17"/>
        <v>0.73770491803278682</v>
      </c>
      <c r="BC35" s="45"/>
      <c r="BD35" s="105">
        <v>4461.4409999999998</v>
      </c>
      <c r="BE35" s="45">
        <v>0</v>
      </c>
      <c r="BF35" s="106">
        <v>0</v>
      </c>
      <c r="BG35" s="107">
        <f t="shared" si="18"/>
        <v>0.13685401840490796</v>
      </c>
      <c r="BH35" s="108">
        <f t="shared" si="19"/>
        <v>0</v>
      </c>
      <c r="BI35" s="106">
        <v>0</v>
      </c>
      <c r="BJ35" s="106">
        <v>0</v>
      </c>
      <c r="BK35" s="106">
        <v>0</v>
      </c>
      <c r="BL35" s="106">
        <v>955.51400000000001</v>
      </c>
      <c r="BM35" s="107">
        <f t="shared" si="20"/>
        <v>7.0894346342187275E-2</v>
      </c>
      <c r="BN35" s="108">
        <f t="shared" si="21"/>
        <v>0</v>
      </c>
      <c r="BO35" s="45">
        <v>7668</v>
      </c>
      <c r="BP35" s="45">
        <v>651.2179432800001</v>
      </c>
      <c r="BQ35" s="45"/>
      <c r="BR35" s="109">
        <v>-700</v>
      </c>
      <c r="BS35" s="45">
        <f t="shared" si="22"/>
        <v>0</v>
      </c>
      <c r="BT35" s="45">
        <v>4485</v>
      </c>
      <c r="BU35" s="45">
        <f t="shared" si="22"/>
        <v>4485</v>
      </c>
      <c r="BV35" s="45">
        <v>0</v>
      </c>
      <c r="BW35" s="45">
        <f t="shared" ref="BW35:BY35" si="227">IF(BV35&gt;0,BV35,0)</f>
        <v>0</v>
      </c>
      <c r="BX35" s="45">
        <v>-5000</v>
      </c>
      <c r="BY35" s="45">
        <f t="shared" si="227"/>
        <v>0</v>
      </c>
      <c r="BZ35" s="45">
        <v>-5300</v>
      </c>
      <c r="CA35" s="45">
        <f t="shared" ref="CA35:CC35" si="228">IF(BZ35&gt;0,BZ35,0)</f>
        <v>0</v>
      </c>
      <c r="CB35" s="45">
        <v>-4000</v>
      </c>
      <c r="CC35" s="45">
        <f t="shared" si="228"/>
        <v>0</v>
      </c>
      <c r="CD35" s="45">
        <v>-4800</v>
      </c>
      <c r="CE35" s="45">
        <f t="shared" ref="CE35:CG35" si="229">IF(CD35&gt;0,CD35,0)</f>
        <v>0</v>
      </c>
      <c r="CF35" s="45">
        <v>11156.24939642</v>
      </c>
      <c r="CG35" s="45">
        <f t="shared" si="229"/>
        <v>11156.24939642</v>
      </c>
      <c r="CH35" s="107">
        <f t="shared" si="26"/>
        <v>15641.24939642</v>
      </c>
      <c r="CI35" s="45"/>
      <c r="CJ35" s="109">
        <v>-700</v>
      </c>
      <c r="CK35" s="45">
        <f t="shared" si="27"/>
        <v>700</v>
      </c>
      <c r="CL35" s="45">
        <v>4485</v>
      </c>
      <c r="CM35" s="45">
        <f t="shared" si="27"/>
        <v>0</v>
      </c>
      <c r="CN35" s="45">
        <v>0</v>
      </c>
      <c r="CO35" s="45">
        <f t="shared" ref="CO35:CQ35" si="230">IF(CN35&lt;0,-CN35,0)</f>
        <v>0</v>
      </c>
      <c r="CP35" s="45">
        <v>-5000</v>
      </c>
      <c r="CQ35" s="45">
        <f t="shared" si="230"/>
        <v>5000</v>
      </c>
      <c r="CR35" s="45">
        <v>-5300</v>
      </c>
      <c r="CS35" s="45">
        <f t="shared" ref="CS35:CU35" si="231">IF(CR35&lt;0,-CR35,0)</f>
        <v>5300</v>
      </c>
      <c r="CT35" s="45">
        <v>-4000</v>
      </c>
      <c r="CU35" s="45">
        <f t="shared" si="231"/>
        <v>4000</v>
      </c>
      <c r="CV35" s="45">
        <v>-4800</v>
      </c>
      <c r="CW35" s="45">
        <f t="shared" ref="CW35:CY35" si="232">IF(CV35&lt;0,-CV35,0)</f>
        <v>4800</v>
      </c>
      <c r="CX35" s="45">
        <v>11156.24939642</v>
      </c>
      <c r="CY35" s="45">
        <f t="shared" si="232"/>
        <v>0</v>
      </c>
      <c r="CZ35" s="107">
        <f t="shared" si="31"/>
        <v>19800</v>
      </c>
      <c r="DA35" s="45"/>
      <c r="DB35" s="110">
        <v>39275.048000000003</v>
      </c>
      <c r="DC35" s="57">
        <v>2195.355</v>
      </c>
      <c r="DD35" s="61">
        <v>3824.4200530448002</v>
      </c>
      <c r="DE35" s="61">
        <f t="shared" si="32"/>
        <v>45294.823053044805</v>
      </c>
      <c r="DF35" s="110">
        <v>8948.1659999999993</v>
      </c>
      <c r="DG35" s="110">
        <v>54523.411</v>
      </c>
      <c r="DH35" s="57">
        <v>5609</v>
      </c>
      <c r="DI35" s="107">
        <f t="shared" si="33"/>
        <v>60132.411</v>
      </c>
      <c r="DJ35" s="45"/>
      <c r="DK35" s="110">
        <v>1180.6679999999999</v>
      </c>
      <c r="DL35" s="57">
        <v>10571.615847326309</v>
      </c>
      <c r="DM35" s="57">
        <f t="shared" si="34"/>
        <v>11752.283847326309</v>
      </c>
      <c r="DN35" s="61">
        <v>1571.461651611138</v>
      </c>
      <c r="DO35" s="61">
        <v>2940.8517230913872</v>
      </c>
      <c r="DP35" s="61">
        <v>0</v>
      </c>
      <c r="DQ35" s="57">
        <f t="shared" si="35"/>
        <v>2940.8517230913872</v>
      </c>
      <c r="DR35" s="57">
        <v>163.38065128285481</v>
      </c>
      <c r="DS35" s="57">
        <v>163.38065128285481</v>
      </c>
      <c r="DT35" s="5"/>
      <c r="DU35" s="73">
        <v>0</v>
      </c>
      <c r="DV35" s="156">
        <v>4689.8610170000002</v>
      </c>
      <c r="DW35" s="155">
        <v>944.58008299999995</v>
      </c>
      <c r="DX35" s="155">
        <v>0</v>
      </c>
      <c r="DY35" s="73">
        <v>0</v>
      </c>
      <c r="DZ35" s="156">
        <v>1553.672292</v>
      </c>
      <c r="EA35" s="73">
        <v>0</v>
      </c>
      <c r="EB35" s="156">
        <v>104.83033991000001</v>
      </c>
      <c r="EC35" s="73">
        <v>0</v>
      </c>
      <c r="ED35" s="156">
        <v>847.5</v>
      </c>
      <c r="EE35" s="73">
        <v>0</v>
      </c>
      <c r="EF35" s="156">
        <v>7397.5988710000001</v>
      </c>
      <c r="EG35" s="73">
        <v>0</v>
      </c>
      <c r="EH35" s="156">
        <v>4689.8610170000002</v>
      </c>
      <c r="EI35" s="159">
        <v>1553.672292</v>
      </c>
      <c r="EJ35" s="162">
        <v>847.5</v>
      </c>
      <c r="EK35" s="165">
        <v>735.83500000000004</v>
      </c>
      <c r="EL35" s="159">
        <v>0</v>
      </c>
      <c r="EM35" s="159">
        <f t="shared" si="36"/>
        <v>9294.5092939099995</v>
      </c>
      <c r="EN35" s="159">
        <f t="shared" si="37"/>
        <v>0</v>
      </c>
      <c r="EP35" s="2">
        <v>20531.867399999999</v>
      </c>
      <c r="EQ35" s="5">
        <f t="shared" si="38"/>
        <v>0.83599999999999997</v>
      </c>
    </row>
    <row r="36" spans="13:147" x14ac:dyDescent="0.35">
      <c r="M36" s="5"/>
      <c r="N36" s="66">
        <f t="shared" si="39"/>
        <v>34</v>
      </c>
      <c r="O36" s="78">
        <v>8881</v>
      </c>
      <c r="P36" s="77">
        <f t="shared" si="6"/>
        <v>0.107</v>
      </c>
      <c r="Q36" s="104">
        <v>317.13</v>
      </c>
      <c r="R36" s="77">
        <f t="shared" si="7"/>
        <v>6.6000000000000003E-2</v>
      </c>
      <c r="S36" s="104">
        <v>3390</v>
      </c>
      <c r="T36" s="77">
        <f t="shared" si="8"/>
        <v>0.113</v>
      </c>
      <c r="U36" s="104">
        <v>963.33939999999996</v>
      </c>
      <c r="V36" s="77">
        <f t="shared" si="221"/>
        <v>6.699999999999999E-2</v>
      </c>
      <c r="W36" s="104">
        <v>357.41629999999998</v>
      </c>
      <c r="X36" s="77">
        <f t="shared" si="222"/>
        <v>3.6999999999999998E-2</v>
      </c>
      <c r="Y36" s="104">
        <v>1645.44</v>
      </c>
      <c r="Z36" s="77">
        <f t="shared" si="9"/>
        <v>3.2000000000000001E-2</v>
      </c>
      <c r="AA36" s="104">
        <v>1250.6615999999999</v>
      </c>
      <c r="AB36" s="77">
        <f t="shared" si="10"/>
        <v>2.6999999999999996E-2</v>
      </c>
      <c r="AC36" s="5"/>
      <c r="AD36" s="66">
        <f t="shared" si="40"/>
        <v>34</v>
      </c>
      <c r="AE36" s="78">
        <v>9166.9794000000002</v>
      </c>
      <c r="AF36" s="104">
        <v>832.6</v>
      </c>
      <c r="AG36" s="78">
        <v>181</v>
      </c>
      <c r="AH36" s="61">
        <f t="shared" si="11"/>
        <v>0.10299999999999999</v>
      </c>
      <c r="AI36" s="61">
        <f t="shared" si="12"/>
        <v>0.36199999999999999</v>
      </c>
      <c r="AJ36" s="61">
        <f t="shared" si="13"/>
        <v>0.36199999999999999</v>
      </c>
      <c r="AK36" s="77">
        <v>52.326000000000001</v>
      </c>
      <c r="AL36" s="104">
        <v>1257.5088000000001</v>
      </c>
      <c r="AM36" s="61">
        <f t="shared" si="223"/>
        <v>8.1000000000000003E-2</v>
      </c>
      <c r="AN36" s="57">
        <f t="shared" si="224"/>
        <v>0.108</v>
      </c>
      <c r="AO36" s="78">
        <v>31532.2</v>
      </c>
      <c r="AP36" s="104">
        <v>21643.95</v>
      </c>
      <c r="AQ36" s="61">
        <f t="shared" si="14"/>
        <v>0.70699999999999996</v>
      </c>
      <c r="AR36" s="57">
        <f t="shared" si="15"/>
        <v>0.92200000000000004</v>
      </c>
      <c r="AS36" s="45"/>
      <c r="AT36" s="78">
        <v>1081.1079999999999</v>
      </c>
      <c r="AU36" s="77">
        <f t="shared" si="225"/>
        <v>0.4390001055768965</v>
      </c>
      <c r="AV36" s="78">
        <v>987.63599999999997</v>
      </c>
      <c r="AW36" s="77">
        <f t="shared" si="226"/>
        <v>0.61458369632856247</v>
      </c>
      <c r="AX36" s="78">
        <v>1121.4780000000001</v>
      </c>
      <c r="AY36" s="77">
        <f t="shared" si="16"/>
        <v>0.5784392407674851</v>
      </c>
      <c r="AZ36" s="45"/>
      <c r="BA36" s="75">
        <v>51358.995000000003</v>
      </c>
      <c r="BB36" s="77">
        <f t="shared" si="17"/>
        <v>0.73770491803278682</v>
      </c>
      <c r="BC36" s="45"/>
      <c r="BD36" s="105">
        <v>8092.74</v>
      </c>
      <c r="BE36" s="45">
        <v>0</v>
      </c>
      <c r="BF36" s="106">
        <v>0</v>
      </c>
      <c r="BG36" s="107">
        <f t="shared" si="18"/>
        <v>0.24824355828220859</v>
      </c>
      <c r="BH36" s="108">
        <f t="shared" si="19"/>
        <v>0</v>
      </c>
      <c r="BI36" s="106">
        <v>0</v>
      </c>
      <c r="BJ36" s="106">
        <v>0</v>
      </c>
      <c r="BK36" s="106">
        <v>0</v>
      </c>
      <c r="BL36" s="106">
        <v>1626.269</v>
      </c>
      <c r="BM36" s="107">
        <f t="shared" si="20"/>
        <v>0.12066100311618935</v>
      </c>
      <c r="BN36" s="108">
        <f t="shared" si="21"/>
        <v>0</v>
      </c>
      <c r="BO36" s="45">
        <v>7668</v>
      </c>
      <c r="BP36" s="45">
        <v>651.2179432800001</v>
      </c>
      <c r="BQ36" s="45"/>
      <c r="BR36" s="109">
        <v>-700</v>
      </c>
      <c r="BS36" s="45">
        <f t="shared" si="22"/>
        <v>0</v>
      </c>
      <c r="BT36" s="45">
        <v>4485</v>
      </c>
      <c r="BU36" s="45">
        <f t="shared" si="22"/>
        <v>4485</v>
      </c>
      <c r="BV36" s="45">
        <v>0</v>
      </c>
      <c r="BW36" s="45">
        <f t="shared" ref="BW36:BY36" si="233">IF(BV36&gt;0,BV36,0)</f>
        <v>0</v>
      </c>
      <c r="BX36" s="45">
        <v>-5000</v>
      </c>
      <c r="BY36" s="45">
        <f t="shared" si="233"/>
        <v>0</v>
      </c>
      <c r="BZ36" s="45">
        <v>-5300</v>
      </c>
      <c r="CA36" s="45">
        <f t="shared" ref="CA36:CC36" si="234">IF(BZ36&gt;0,BZ36,0)</f>
        <v>0</v>
      </c>
      <c r="CB36" s="45">
        <v>-4000</v>
      </c>
      <c r="CC36" s="45">
        <f t="shared" si="234"/>
        <v>0</v>
      </c>
      <c r="CD36" s="45">
        <v>-4800</v>
      </c>
      <c r="CE36" s="45">
        <f t="shared" ref="CE36:CG36" si="235">IF(CD36&gt;0,CD36,0)</f>
        <v>0</v>
      </c>
      <c r="CF36" s="45">
        <v>11343.861214209999</v>
      </c>
      <c r="CG36" s="45">
        <f t="shared" si="235"/>
        <v>11343.861214209999</v>
      </c>
      <c r="CH36" s="107">
        <f t="shared" si="26"/>
        <v>15828.861214209999</v>
      </c>
      <c r="CI36" s="45"/>
      <c r="CJ36" s="109">
        <v>-700</v>
      </c>
      <c r="CK36" s="45">
        <f t="shared" si="27"/>
        <v>700</v>
      </c>
      <c r="CL36" s="45">
        <v>4485</v>
      </c>
      <c r="CM36" s="45">
        <f t="shared" si="27"/>
        <v>0</v>
      </c>
      <c r="CN36" s="45">
        <v>0</v>
      </c>
      <c r="CO36" s="45">
        <f t="shared" ref="CO36:CQ36" si="236">IF(CN36&lt;0,-CN36,0)</f>
        <v>0</v>
      </c>
      <c r="CP36" s="45">
        <v>-5000</v>
      </c>
      <c r="CQ36" s="45">
        <f t="shared" si="236"/>
        <v>5000</v>
      </c>
      <c r="CR36" s="45">
        <v>-5300</v>
      </c>
      <c r="CS36" s="45">
        <f t="shared" ref="CS36:CU36" si="237">IF(CR36&lt;0,-CR36,0)</f>
        <v>5300</v>
      </c>
      <c r="CT36" s="45">
        <v>-4000</v>
      </c>
      <c r="CU36" s="45">
        <f t="shared" si="237"/>
        <v>4000</v>
      </c>
      <c r="CV36" s="45">
        <v>-4800</v>
      </c>
      <c r="CW36" s="45">
        <f t="shared" ref="CW36:CY36" si="238">IF(CV36&lt;0,-CV36,0)</f>
        <v>4800</v>
      </c>
      <c r="CX36" s="45">
        <v>11343.861214209999</v>
      </c>
      <c r="CY36" s="45">
        <f t="shared" si="238"/>
        <v>0</v>
      </c>
      <c r="CZ36" s="107">
        <f t="shared" si="31"/>
        <v>19800</v>
      </c>
      <c r="DA36" s="45"/>
      <c r="DB36" s="110">
        <v>40640.063000000002</v>
      </c>
      <c r="DC36" s="57">
        <v>2016.3440000000001</v>
      </c>
      <c r="DD36" s="61">
        <v>2379.3491193064001</v>
      </c>
      <c r="DE36" s="61">
        <f t="shared" si="32"/>
        <v>45035.756119306403</v>
      </c>
      <c r="DF36" s="110">
        <v>9701.9639999999999</v>
      </c>
      <c r="DG36" s="110">
        <v>55098.411</v>
      </c>
      <c r="DH36" s="57">
        <v>6355</v>
      </c>
      <c r="DI36" s="107">
        <f t="shared" si="33"/>
        <v>61453.411</v>
      </c>
      <c r="DJ36" s="45"/>
      <c r="DK36" s="110">
        <v>1110.4159999999999</v>
      </c>
      <c r="DL36" s="57">
        <v>10571.615847326309</v>
      </c>
      <c r="DM36" s="57">
        <f t="shared" si="34"/>
        <v>11682.031847326309</v>
      </c>
      <c r="DN36" s="61">
        <v>1571.461651611138</v>
      </c>
      <c r="DO36" s="61">
        <v>2940.8517230913872</v>
      </c>
      <c r="DP36" s="61">
        <v>0</v>
      </c>
      <c r="DQ36" s="57">
        <f t="shared" si="35"/>
        <v>2940.8517230913872</v>
      </c>
      <c r="DR36" s="57">
        <v>163.38065128285481</v>
      </c>
      <c r="DS36" s="57">
        <v>163.38065128285481</v>
      </c>
      <c r="DT36" s="5"/>
      <c r="DU36" s="73">
        <v>0</v>
      </c>
      <c r="DV36" s="156">
        <v>5734.7610169999998</v>
      </c>
      <c r="DW36" s="155">
        <v>1196.160083</v>
      </c>
      <c r="DX36" s="155">
        <v>0</v>
      </c>
      <c r="DY36" s="73">
        <v>0</v>
      </c>
      <c r="DZ36" s="156">
        <v>1553.672292</v>
      </c>
      <c r="EA36" s="73">
        <v>0</v>
      </c>
      <c r="EB36" s="156">
        <v>898.15033990999996</v>
      </c>
      <c r="EC36" s="73">
        <v>0</v>
      </c>
      <c r="ED36" s="156">
        <v>847.5</v>
      </c>
      <c r="EE36" s="73">
        <v>0</v>
      </c>
      <c r="EF36" s="156">
        <v>7397.5988710000001</v>
      </c>
      <c r="EG36" s="73">
        <v>0</v>
      </c>
      <c r="EH36" s="156">
        <v>5734.7610169999998</v>
      </c>
      <c r="EI36" s="159">
        <v>1553.672292</v>
      </c>
      <c r="EJ36" s="162">
        <v>847.5</v>
      </c>
      <c r="EK36" s="165">
        <v>735.83500000000004</v>
      </c>
      <c r="EL36" s="159">
        <v>0</v>
      </c>
      <c r="EM36" s="159">
        <f t="shared" si="36"/>
        <v>10339.409293910001</v>
      </c>
      <c r="EN36" s="159">
        <f t="shared" si="37"/>
        <v>0</v>
      </c>
      <c r="EP36" s="2">
        <v>20531.867399999999</v>
      </c>
      <c r="EQ36" s="5">
        <f t="shared" si="38"/>
        <v>0.83599999999999997</v>
      </c>
    </row>
    <row r="37" spans="13:147" x14ac:dyDescent="0.35">
      <c r="M37" s="5"/>
      <c r="N37" s="66">
        <f t="shared" si="39"/>
        <v>35</v>
      </c>
      <c r="O37" s="78">
        <v>23323</v>
      </c>
      <c r="P37" s="77">
        <f t="shared" si="6"/>
        <v>0.28100000000000003</v>
      </c>
      <c r="Q37" s="104">
        <v>816.85</v>
      </c>
      <c r="R37" s="77">
        <f t="shared" si="7"/>
        <v>0.17</v>
      </c>
      <c r="S37" s="104">
        <v>8220</v>
      </c>
      <c r="T37" s="77">
        <f t="shared" si="8"/>
        <v>0.27400000000000002</v>
      </c>
      <c r="U37" s="104">
        <v>3508.2808</v>
      </c>
      <c r="V37" s="77">
        <f t="shared" si="221"/>
        <v>0.24399999999999999</v>
      </c>
      <c r="W37" s="104">
        <v>1362.0459000000001</v>
      </c>
      <c r="X37" s="77">
        <f t="shared" si="222"/>
        <v>0.14100000000000001</v>
      </c>
      <c r="Y37" s="104">
        <v>4113.6000000000004</v>
      </c>
      <c r="Z37" s="77">
        <f t="shared" si="9"/>
        <v>0.08</v>
      </c>
      <c r="AA37" s="104">
        <v>3149.8144000000002</v>
      </c>
      <c r="AB37" s="77">
        <f t="shared" si="10"/>
        <v>6.8000000000000005E-2</v>
      </c>
      <c r="AC37" s="5"/>
      <c r="AD37" s="66">
        <f t="shared" si="40"/>
        <v>35</v>
      </c>
      <c r="AE37" s="78">
        <v>7742.9826000000003</v>
      </c>
      <c r="AF37" s="104">
        <v>864.8</v>
      </c>
      <c r="AG37" s="78">
        <v>188</v>
      </c>
      <c r="AH37" s="61">
        <f t="shared" si="11"/>
        <v>8.6999999999999994E-2</v>
      </c>
      <c r="AI37" s="61">
        <f t="shared" si="12"/>
        <v>0.376</v>
      </c>
      <c r="AJ37" s="61">
        <f t="shared" si="13"/>
        <v>0.376</v>
      </c>
      <c r="AK37" s="77">
        <v>50.387999999999998</v>
      </c>
      <c r="AL37" s="104">
        <v>780.12120000000004</v>
      </c>
      <c r="AM37" s="61">
        <f t="shared" si="223"/>
        <v>7.8E-2</v>
      </c>
      <c r="AN37" s="57">
        <f t="shared" si="224"/>
        <v>6.7000000000000004E-2</v>
      </c>
      <c r="AO37" s="78">
        <v>29614.400000000001</v>
      </c>
      <c r="AP37" s="104">
        <v>21597</v>
      </c>
      <c r="AQ37" s="61">
        <f t="shared" si="14"/>
        <v>0.66400000000000003</v>
      </c>
      <c r="AR37" s="57">
        <f t="shared" si="15"/>
        <v>0.92</v>
      </c>
      <c r="AS37" s="45"/>
      <c r="AT37" s="78">
        <v>1051.556</v>
      </c>
      <c r="AU37" s="77">
        <f t="shared" si="225"/>
        <v>0.42700007309169763</v>
      </c>
      <c r="AV37" s="78">
        <v>988.90899999999999</v>
      </c>
      <c r="AW37" s="77">
        <f t="shared" si="226"/>
        <v>0.61537585563161168</v>
      </c>
      <c r="AX37" s="78">
        <v>1121.4780000000001</v>
      </c>
      <c r="AY37" s="77">
        <f t="shared" si="16"/>
        <v>0.5784392407674851</v>
      </c>
      <c r="AZ37" s="45"/>
      <c r="BA37" s="75">
        <v>51358.995000000003</v>
      </c>
      <c r="BB37" s="77">
        <f t="shared" si="17"/>
        <v>0.73770491803278682</v>
      </c>
      <c r="BC37" s="45"/>
      <c r="BD37" s="105">
        <v>13819.949000000001</v>
      </c>
      <c r="BE37" s="45">
        <v>0</v>
      </c>
      <c r="BF37" s="106">
        <v>0</v>
      </c>
      <c r="BG37" s="107">
        <f t="shared" si="18"/>
        <v>0.42392481595092024</v>
      </c>
      <c r="BH37" s="108">
        <f t="shared" si="19"/>
        <v>0</v>
      </c>
      <c r="BI37" s="106">
        <v>0</v>
      </c>
      <c r="BJ37" s="106">
        <v>0</v>
      </c>
      <c r="BK37" s="106">
        <v>0</v>
      </c>
      <c r="BL37" s="106">
        <v>3362.8589999999999</v>
      </c>
      <c r="BM37" s="107">
        <f t="shared" si="20"/>
        <v>0.24950727110847307</v>
      </c>
      <c r="BN37" s="108">
        <f t="shared" si="21"/>
        <v>0</v>
      </c>
      <c r="BO37" s="45">
        <v>7668</v>
      </c>
      <c r="BP37" s="45">
        <v>651.2179432800001</v>
      </c>
      <c r="BQ37" s="45"/>
      <c r="BR37" s="109">
        <v>-700</v>
      </c>
      <c r="BS37" s="45">
        <f t="shared" si="22"/>
        <v>0</v>
      </c>
      <c r="BT37" s="45">
        <v>4485</v>
      </c>
      <c r="BU37" s="45">
        <f t="shared" si="22"/>
        <v>4485</v>
      </c>
      <c r="BV37" s="45">
        <v>0</v>
      </c>
      <c r="BW37" s="45">
        <f t="shared" ref="BW37:BY37" si="239">IF(BV37&gt;0,BV37,0)</f>
        <v>0</v>
      </c>
      <c r="BX37" s="45">
        <v>-5000</v>
      </c>
      <c r="BY37" s="45">
        <f t="shared" si="239"/>
        <v>0</v>
      </c>
      <c r="BZ37" s="45">
        <v>-5300</v>
      </c>
      <c r="CA37" s="45">
        <f t="shared" ref="CA37:CC37" si="240">IF(BZ37&gt;0,BZ37,0)</f>
        <v>0</v>
      </c>
      <c r="CB37" s="45">
        <v>-4000</v>
      </c>
      <c r="CC37" s="45">
        <f t="shared" si="240"/>
        <v>0</v>
      </c>
      <c r="CD37" s="45">
        <v>-4800</v>
      </c>
      <c r="CE37" s="45">
        <f t="shared" ref="CE37:CG37" si="241">IF(CD37&gt;0,CD37,0)</f>
        <v>0</v>
      </c>
      <c r="CF37" s="45">
        <v>8984.4408632199993</v>
      </c>
      <c r="CG37" s="45">
        <f t="shared" si="241"/>
        <v>8984.4408632199993</v>
      </c>
      <c r="CH37" s="107">
        <f t="shared" si="26"/>
        <v>13469.440863219999</v>
      </c>
      <c r="CI37" s="45"/>
      <c r="CJ37" s="109">
        <v>-700</v>
      </c>
      <c r="CK37" s="45">
        <f t="shared" si="27"/>
        <v>700</v>
      </c>
      <c r="CL37" s="45">
        <v>4485</v>
      </c>
      <c r="CM37" s="45">
        <f t="shared" si="27"/>
        <v>0</v>
      </c>
      <c r="CN37" s="45">
        <v>0</v>
      </c>
      <c r="CO37" s="45">
        <f t="shared" ref="CO37:CQ37" si="242">IF(CN37&lt;0,-CN37,0)</f>
        <v>0</v>
      </c>
      <c r="CP37" s="45">
        <v>-5000</v>
      </c>
      <c r="CQ37" s="45">
        <f t="shared" si="242"/>
        <v>5000</v>
      </c>
      <c r="CR37" s="45">
        <v>-5300</v>
      </c>
      <c r="CS37" s="45">
        <f t="shared" ref="CS37:CU37" si="243">IF(CR37&lt;0,-CR37,0)</f>
        <v>5300</v>
      </c>
      <c r="CT37" s="45">
        <v>-4000</v>
      </c>
      <c r="CU37" s="45">
        <f t="shared" si="243"/>
        <v>4000</v>
      </c>
      <c r="CV37" s="45">
        <v>-4800</v>
      </c>
      <c r="CW37" s="45">
        <f t="shared" ref="CW37:CY37" si="244">IF(CV37&lt;0,-CV37,0)</f>
        <v>4800</v>
      </c>
      <c r="CX37" s="45">
        <v>8984.4408632199993</v>
      </c>
      <c r="CY37" s="45">
        <f t="shared" si="244"/>
        <v>0</v>
      </c>
      <c r="CZ37" s="107">
        <f t="shared" si="31"/>
        <v>19800</v>
      </c>
      <c r="DA37" s="45"/>
      <c r="DB37" s="110">
        <v>40832.834000000003</v>
      </c>
      <c r="DC37" s="57">
        <v>1742.7370000000001</v>
      </c>
      <c r="DD37" s="61">
        <v>1880.3081814358</v>
      </c>
      <c r="DE37" s="61">
        <f t="shared" si="32"/>
        <v>44455.879181435805</v>
      </c>
      <c r="DF37" s="110">
        <v>11043.945</v>
      </c>
      <c r="DG37" s="110">
        <v>56010.411</v>
      </c>
      <c r="DH37" s="57">
        <v>6306</v>
      </c>
      <c r="DI37" s="107">
        <f t="shared" si="33"/>
        <v>62316.411</v>
      </c>
      <c r="DJ37" s="45"/>
      <c r="DK37" s="110">
        <v>1039.7529999999999</v>
      </c>
      <c r="DL37" s="57">
        <v>10571.615847326309</v>
      </c>
      <c r="DM37" s="57">
        <f t="shared" si="34"/>
        <v>11611.36884732631</v>
      </c>
      <c r="DN37" s="61">
        <v>1623.017691862138</v>
      </c>
      <c r="DO37" s="61">
        <v>2940.8517230913872</v>
      </c>
      <c r="DP37" s="61">
        <v>420.28389891</v>
      </c>
      <c r="DQ37" s="57">
        <f t="shared" si="35"/>
        <v>3361.1356220013872</v>
      </c>
      <c r="DR37" s="57">
        <v>163.38065128285481</v>
      </c>
      <c r="DS37" s="57">
        <v>163.38065128285481</v>
      </c>
      <c r="DT37" s="5"/>
      <c r="DU37" s="73">
        <v>0</v>
      </c>
      <c r="DV37" s="156">
        <v>6779.6610170000004</v>
      </c>
      <c r="DW37" s="155">
        <v>1447.7400829999999</v>
      </c>
      <c r="DX37" s="155">
        <v>0</v>
      </c>
      <c r="DY37" s="73">
        <v>0</v>
      </c>
      <c r="DZ37" s="156">
        <v>1553.672292</v>
      </c>
      <c r="EA37" s="73">
        <v>0</v>
      </c>
      <c r="EB37" s="156">
        <v>1271.1864410000001</v>
      </c>
      <c r="EC37" s="73">
        <v>0</v>
      </c>
      <c r="ED37" s="156">
        <v>847.5</v>
      </c>
      <c r="EE37" s="73">
        <v>0</v>
      </c>
      <c r="EF37" s="156">
        <v>7397.5988710000001</v>
      </c>
      <c r="EG37" s="73">
        <v>0</v>
      </c>
      <c r="EH37" s="156">
        <v>6779.6610170000004</v>
      </c>
      <c r="EI37" s="159">
        <v>1553.672292</v>
      </c>
      <c r="EJ37" s="162">
        <v>847.5</v>
      </c>
      <c r="EK37" s="165">
        <v>735.83500000000004</v>
      </c>
      <c r="EL37" s="159">
        <v>420.28389891</v>
      </c>
      <c r="EM37" s="159">
        <f t="shared" si="36"/>
        <v>10964.025395000001</v>
      </c>
      <c r="EN37" s="159">
        <f t="shared" si="37"/>
        <v>0</v>
      </c>
      <c r="EP37" s="2">
        <v>21465.134099999999</v>
      </c>
      <c r="EQ37" s="5">
        <f t="shared" si="38"/>
        <v>0.87399999999999989</v>
      </c>
    </row>
    <row r="38" spans="13:147" x14ac:dyDescent="0.35">
      <c r="M38" s="5"/>
      <c r="N38" s="66">
        <f t="shared" si="39"/>
        <v>36</v>
      </c>
      <c r="O38" s="78">
        <v>29216</v>
      </c>
      <c r="P38" s="77">
        <f t="shared" si="6"/>
        <v>0.35199999999999998</v>
      </c>
      <c r="Q38" s="104">
        <v>1359.8150000000001</v>
      </c>
      <c r="R38" s="77">
        <f t="shared" si="7"/>
        <v>0.28300000000000003</v>
      </c>
      <c r="S38" s="104">
        <v>12180</v>
      </c>
      <c r="T38" s="77">
        <f t="shared" si="8"/>
        <v>0.40600000000000003</v>
      </c>
      <c r="U38" s="104">
        <v>5938.1966000000002</v>
      </c>
      <c r="V38" s="77">
        <f t="shared" si="221"/>
        <v>0.41299999999999998</v>
      </c>
      <c r="W38" s="104">
        <v>2414.9749999999999</v>
      </c>
      <c r="X38" s="77">
        <f t="shared" si="222"/>
        <v>0.25</v>
      </c>
      <c r="Y38" s="104">
        <v>6427.5</v>
      </c>
      <c r="Z38" s="77">
        <f t="shared" si="9"/>
        <v>0.125</v>
      </c>
      <c r="AA38" s="104">
        <v>4863.6840000000002</v>
      </c>
      <c r="AB38" s="77">
        <f t="shared" si="10"/>
        <v>0.105</v>
      </c>
      <c r="AC38" s="5"/>
      <c r="AD38" s="66">
        <f t="shared" si="40"/>
        <v>36</v>
      </c>
      <c r="AE38" s="78">
        <v>7297.9835999999996</v>
      </c>
      <c r="AF38" s="104">
        <v>883.2</v>
      </c>
      <c r="AG38" s="78">
        <v>192</v>
      </c>
      <c r="AH38" s="61">
        <f t="shared" si="11"/>
        <v>8.199999999999999E-2</v>
      </c>
      <c r="AI38" s="61">
        <f t="shared" si="12"/>
        <v>0.38400000000000001</v>
      </c>
      <c r="AJ38" s="61">
        <f t="shared" si="13"/>
        <v>0.38400000000000001</v>
      </c>
      <c r="AK38" s="77">
        <v>46.512</v>
      </c>
      <c r="AL38" s="104">
        <v>477.38760000000002</v>
      </c>
      <c r="AM38" s="61">
        <f t="shared" si="223"/>
        <v>7.1999999999999995E-2</v>
      </c>
      <c r="AN38" s="57">
        <f t="shared" si="224"/>
        <v>4.1000000000000002E-2</v>
      </c>
      <c r="AO38" s="78">
        <v>26715.4</v>
      </c>
      <c r="AP38" s="104">
        <v>21550.05</v>
      </c>
      <c r="AQ38" s="61">
        <f t="shared" si="14"/>
        <v>0.59900000000000009</v>
      </c>
      <c r="AR38" s="57">
        <f t="shared" si="15"/>
        <v>0.91799999999999993</v>
      </c>
      <c r="AS38" s="45"/>
      <c r="AT38" s="78">
        <v>1046.6300000000001</v>
      </c>
      <c r="AU38" s="77">
        <f t="shared" si="225"/>
        <v>0.42499979696750673</v>
      </c>
      <c r="AV38" s="78">
        <v>984.81100000000004</v>
      </c>
      <c r="AW38" s="77">
        <f t="shared" si="226"/>
        <v>0.61282576228998131</v>
      </c>
      <c r="AX38" s="78">
        <v>1121.4780000000001</v>
      </c>
      <c r="AY38" s="77">
        <f t="shared" si="16"/>
        <v>0.5784392407674851</v>
      </c>
      <c r="AZ38" s="45"/>
      <c r="BA38" s="75">
        <v>51358.995000000003</v>
      </c>
      <c r="BB38" s="77">
        <f t="shared" si="17"/>
        <v>0.73770491803278682</v>
      </c>
      <c r="BC38" s="45"/>
      <c r="BD38" s="105">
        <v>17503.446</v>
      </c>
      <c r="BE38" s="45">
        <v>0</v>
      </c>
      <c r="BF38" s="106">
        <v>0</v>
      </c>
      <c r="BG38" s="107">
        <f t="shared" si="18"/>
        <v>0.53691552147239263</v>
      </c>
      <c r="BH38" s="108">
        <f t="shared" si="19"/>
        <v>0</v>
      </c>
      <c r="BI38" s="106">
        <v>0</v>
      </c>
      <c r="BJ38" s="106">
        <v>0</v>
      </c>
      <c r="BK38" s="106">
        <v>0</v>
      </c>
      <c r="BL38" s="106">
        <v>5007.1940000000004</v>
      </c>
      <c r="BM38" s="107">
        <f t="shared" si="20"/>
        <v>0.37150868081317706</v>
      </c>
      <c r="BN38" s="108">
        <f t="shared" si="21"/>
        <v>0</v>
      </c>
      <c r="BO38" s="45">
        <v>7668</v>
      </c>
      <c r="BP38" s="45">
        <v>650.75806136999995</v>
      </c>
      <c r="BQ38" s="45"/>
      <c r="BR38" s="109">
        <v>-700</v>
      </c>
      <c r="BS38" s="45">
        <f t="shared" si="22"/>
        <v>0</v>
      </c>
      <c r="BT38" s="45">
        <v>4485</v>
      </c>
      <c r="BU38" s="45">
        <f t="shared" si="22"/>
        <v>4485</v>
      </c>
      <c r="BV38" s="45">
        <v>0</v>
      </c>
      <c r="BW38" s="45">
        <f t="shared" ref="BW38:BY38" si="245">IF(BV38&gt;0,BV38,0)</f>
        <v>0</v>
      </c>
      <c r="BX38" s="45">
        <v>-5000</v>
      </c>
      <c r="BY38" s="45">
        <f t="shared" si="245"/>
        <v>0</v>
      </c>
      <c r="BZ38" s="45">
        <v>-5300</v>
      </c>
      <c r="CA38" s="45">
        <f t="shared" ref="CA38:CC38" si="246">IF(BZ38&gt;0,BZ38,0)</f>
        <v>0</v>
      </c>
      <c r="CB38" s="45">
        <v>-4000</v>
      </c>
      <c r="CC38" s="45">
        <f t="shared" si="246"/>
        <v>0</v>
      </c>
      <c r="CD38" s="45">
        <v>-4800</v>
      </c>
      <c r="CE38" s="45">
        <f t="shared" ref="CE38:CG38" si="247">IF(CD38&gt;0,CD38,0)</f>
        <v>0</v>
      </c>
      <c r="CF38" s="45">
        <v>9837.3151799700008</v>
      </c>
      <c r="CG38" s="45">
        <f t="shared" si="247"/>
        <v>9837.3151799700008</v>
      </c>
      <c r="CH38" s="107">
        <f t="shared" si="26"/>
        <v>14322.315179970001</v>
      </c>
      <c r="CI38" s="45"/>
      <c r="CJ38" s="109">
        <v>-700</v>
      </c>
      <c r="CK38" s="45">
        <f t="shared" si="27"/>
        <v>700</v>
      </c>
      <c r="CL38" s="45">
        <v>4485</v>
      </c>
      <c r="CM38" s="45">
        <f t="shared" si="27"/>
        <v>0</v>
      </c>
      <c r="CN38" s="45">
        <v>0</v>
      </c>
      <c r="CO38" s="45">
        <f t="shared" ref="CO38:CQ38" si="248">IF(CN38&lt;0,-CN38,0)</f>
        <v>0</v>
      </c>
      <c r="CP38" s="45">
        <v>-5000</v>
      </c>
      <c r="CQ38" s="45">
        <f t="shared" si="248"/>
        <v>5000</v>
      </c>
      <c r="CR38" s="45">
        <v>-5300</v>
      </c>
      <c r="CS38" s="45">
        <f t="shared" ref="CS38:CU38" si="249">IF(CR38&lt;0,-CR38,0)</f>
        <v>5300</v>
      </c>
      <c r="CT38" s="45">
        <v>-4000</v>
      </c>
      <c r="CU38" s="45">
        <f t="shared" si="249"/>
        <v>4000</v>
      </c>
      <c r="CV38" s="45">
        <v>-4800</v>
      </c>
      <c r="CW38" s="45">
        <f t="shared" ref="CW38:CY38" si="250">IF(CV38&lt;0,-CV38,0)</f>
        <v>4800</v>
      </c>
      <c r="CX38" s="45">
        <v>9837.3151799700008</v>
      </c>
      <c r="CY38" s="45">
        <f t="shared" si="250"/>
        <v>0</v>
      </c>
      <c r="CZ38" s="107">
        <f t="shared" si="31"/>
        <v>19800</v>
      </c>
      <c r="DA38" s="45"/>
      <c r="DB38" s="110">
        <v>41064.275000000001</v>
      </c>
      <c r="DC38" s="57">
        <v>1773.171</v>
      </c>
      <c r="DD38" s="61">
        <v>2343.1471163831998</v>
      </c>
      <c r="DE38" s="61">
        <f t="shared" si="32"/>
        <v>45180.593116383207</v>
      </c>
      <c r="DF38" s="110">
        <v>12487.821</v>
      </c>
      <c r="DG38" s="110">
        <v>58423.411</v>
      </c>
      <c r="DH38" s="57">
        <v>6288</v>
      </c>
      <c r="DI38" s="107">
        <f t="shared" si="33"/>
        <v>64711.411</v>
      </c>
      <c r="DJ38" s="45"/>
      <c r="DK38" s="110">
        <v>984.71400000000006</v>
      </c>
      <c r="DL38" s="57">
        <v>10555.905846475949</v>
      </c>
      <c r="DM38" s="57">
        <f t="shared" si="34"/>
        <v>11540.619846475949</v>
      </c>
      <c r="DN38" s="61">
        <v>1623.017691862138</v>
      </c>
      <c r="DO38" s="61">
        <v>2932.5738486661439</v>
      </c>
      <c r="DP38" s="61">
        <v>428.56177332999999</v>
      </c>
      <c r="DQ38" s="57">
        <f t="shared" si="35"/>
        <v>3361.135621996144</v>
      </c>
      <c r="DR38" s="57">
        <v>162.92076937034139</v>
      </c>
      <c r="DS38" s="57">
        <v>162.92076937034139</v>
      </c>
      <c r="DT38" s="5"/>
      <c r="DU38" s="73">
        <v>0</v>
      </c>
      <c r="DV38" s="156">
        <v>6779.6610170000004</v>
      </c>
      <c r="DW38" s="155">
        <v>1447.7400829999999</v>
      </c>
      <c r="DX38" s="155">
        <v>0</v>
      </c>
      <c r="DY38" s="73">
        <v>0</v>
      </c>
      <c r="DZ38" s="156">
        <v>1553.672292</v>
      </c>
      <c r="EA38" s="73">
        <v>0</v>
      </c>
      <c r="EB38" s="156">
        <v>1271.1864410000001</v>
      </c>
      <c r="EC38" s="73">
        <v>0</v>
      </c>
      <c r="ED38" s="156">
        <v>847.5</v>
      </c>
      <c r="EE38" s="73">
        <v>0</v>
      </c>
      <c r="EF38" s="156">
        <v>7397.5988710000001</v>
      </c>
      <c r="EG38" s="73">
        <v>0</v>
      </c>
      <c r="EH38" s="156">
        <v>6779.6610170000004</v>
      </c>
      <c r="EI38" s="159">
        <v>1553.672292</v>
      </c>
      <c r="EJ38" s="162">
        <v>847.5</v>
      </c>
      <c r="EK38" s="165">
        <v>735.83500000000004</v>
      </c>
      <c r="EL38" s="159">
        <v>428.56177332999999</v>
      </c>
      <c r="EM38" s="159">
        <f t="shared" si="36"/>
        <v>10964.025395000001</v>
      </c>
      <c r="EN38" s="159">
        <f t="shared" si="37"/>
        <v>0</v>
      </c>
      <c r="EP38" s="2">
        <v>21465.134099999999</v>
      </c>
      <c r="EQ38" s="5">
        <f t="shared" si="38"/>
        <v>0.87399999999999989</v>
      </c>
    </row>
    <row r="39" spans="13:147" x14ac:dyDescent="0.35">
      <c r="M39" s="5"/>
      <c r="N39" s="66">
        <f t="shared" si="39"/>
        <v>37</v>
      </c>
      <c r="O39" s="78">
        <v>31789</v>
      </c>
      <c r="P39" s="77">
        <f t="shared" si="6"/>
        <v>0.38300000000000001</v>
      </c>
      <c r="Q39" s="104">
        <v>1773.0450000000001</v>
      </c>
      <c r="R39" s="77">
        <f t="shared" si="7"/>
        <v>0.36899999999999999</v>
      </c>
      <c r="S39" s="104">
        <v>14700</v>
      </c>
      <c r="T39" s="77">
        <f t="shared" si="8"/>
        <v>0.49</v>
      </c>
      <c r="U39" s="104">
        <v>7577.3113999999996</v>
      </c>
      <c r="V39" s="77">
        <f t="shared" si="221"/>
        <v>0.52699999999999991</v>
      </c>
      <c r="W39" s="104">
        <v>3197.4268999999999</v>
      </c>
      <c r="X39" s="77">
        <f t="shared" si="222"/>
        <v>0.33100000000000002</v>
      </c>
      <c r="Y39" s="104">
        <v>8124.36</v>
      </c>
      <c r="Z39" s="77">
        <f t="shared" si="9"/>
        <v>0.158</v>
      </c>
      <c r="AA39" s="104">
        <v>6160.6664000000001</v>
      </c>
      <c r="AB39" s="77">
        <f t="shared" si="10"/>
        <v>0.13299999999999998</v>
      </c>
      <c r="AC39" s="5"/>
      <c r="AD39" s="66">
        <f t="shared" si="40"/>
        <v>37</v>
      </c>
      <c r="AE39" s="78">
        <v>7742.9826000000003</v>
      </c>
      <c r="AF39" s="104">
        <v>901.6</v>
      </c>
      <c r="AG39" s="78">
        <v>196</v>
      </c>
      <c r="AH39" s="61">
        <f t="shared" si="11"/>
        <v>8.6999999999999994E-2</v>
      </c>
      <c r="AI39" s="61">
        <f t="shared" si="12"/>
        <v>0.39200000000000002</v>
      </c>
      <c r="AJ39" s="61">
        <f t="shared" si="13"/>
        <v>0.39200000000000002</v>
      </c>
      <c r="AK39" s="77">
        <v>40.052</v>
      </c>
      <c r="AL39" s="104">
        <v>384.23880000000003</v>
      </c>
      <c r="AM39" s="61">
        <f t="shared" si="223"/>
        <v>6.2E-2</v>
      </c>
      <c r="AN39" s="57">
        <f t="shared" si="224"/>
        <v>3.3000000000000002E-2</v>
      </c>
      <c r="AO39" s="78">
        <v>26670.799999999999</v>
      </c>
      <c r="AP39" s="104">
        <v>21550.05</v>
      </c>
      <c r="AQ39" s="61">
        <f t="shared" si="14"/>
        <v>0.59799999999999998</v>
      </c>
      <c r="AR39" s="57">
        <f t="shared" si="15"/>
        <v>0.91799999999999993</v>
      </c>
      <c r="AS39" s="45"/>
      <c r="AT39" s="78">
        <v>1022.004</v>
      </c>
      <c r="AU39" s="77">
        <f t="shared" si="225"/>
        <v>0.4150000406064987</v>
      </c>
      <c r="AV39" s="78">
        <v>987.846</v>
      </c>
      <c r="AW39" s="77">
        <f t="shared" si="226"/>
        <v>0.61471437461107659</v>
      </c>
      <c r="AX39" s="78">
        <v>1121.4780000000001</v>
      </c>
      <c r="AY39" s="77">
        <f t="shared" si="16"/>
        <v>0.5784392407674851</v>
      </c>
      <c r="AZ39" s="45"/>
      <c r="BA39" s="75">
        <v>51358.995000000003</v>
      </c>
      <c r="BB39" s="77">
        <f t="shared" si="17"/>
        <v>0.73770491803278682</v>
      </c>
      <c r="BC39" s="45"/>
      <c r="BD39" s="105">
        <v>19904.739000000001</v>
      </c>
      <c r="BE39" s="45">
        <v>0</v>
      </c>
      <c r="BF39" s="106">
        <v>0</v>
      </c>
      <c r="BG39" s="107">
        <f t="shared" si="18"/>
        <v>0.61057481595092034</v>
      </c>
      <c r="BH39" s="108">
        <f t="shared" si="19"/>
        <v>0</v>
      </c>
      <c r="BI39" s="106">
        <v>0</v>
      </c>
      <c r="BJ39" s="106">
        <v>0</v>
      </c>
      <c r="BK39" s="106">
        <v>0</v>
      </c>
      <c r="BL39" s="106">
        <v>6083.3549999999996</v>
      </c>
      <c r="BM39" s="107">
        <f t="shared" si="20"/>
        <v>0.4513544294405698</v>
      </c>
      <c r="BN39" s="108">
        <f t="shared" si="21"/>
        <v>0</v>
      </c>
      <c r="BO39" s="45">
        <v>7668</v>
      </c>
      <c r="BP39" s="45">
        <v>0</v>
      </c>
      <c r="BQ39" s="45"/>
      <c r="BR39" s="109">
        <v>-700</v>
      </c>
      <c r="BS39" s="45">
        <f t="shared" si="22"/>
        <v>0</v>
      </c>
      <c r="BT39" s="45">
        <v>4485</v>
      </c>
      <c r="BU39" s="45">
        <f t="shared" si="22"/>
        <v>4485</v>
      </c>
      <c r="BV39" s="45">
        <v>0</v>
      </c>
      <c r="BW39" s="45">
        <f t="shared" ref="BW39:BY39" si="251">IF(BV39&gt;0,BV39,0)</f>
        <v>0</v>
      </c>
      <c r="BX39" s="45">
        <v>-5000</v>
      </c>
      <c r="BY39" s="45">
        <f t="shared" si="251"/>
        <v>0</v>
      </c>
      <c r="BZ39" s="45">
        <v>-5300</v>
      </c>
      <c r="CA39" s="45">
        <f t="shared" ref="CA39:CC39" si="252">IF(BZ39&gt;0,BZ39,0)</f>
        <v>0</v>
      </c>
      <c r="CB39" s="45">
        <v>-4000</v>
      </c>
      <c r="CC39" s="45">
        <f t="shared" si="252"/>
        <v>0</v>
      </c>
      <c r="CD39" s="45">
        <v>-4800</v>
      </c>
      <c r="CE39" s="45">
        <f t="shared" ref="CE39:CG39" si="253">IF(CD39&gt;0,CD39,0)</f>
        <v>0</v>
      </c>
      <c r="CF39" s="45">
        <v>10267.1362993</v>
      </c>
      <c r="CG39" s="45">
        <f t="shared" si="253"/>
        <v>10267.1362993</v>
      </c>
      <c r="CH39" s="107">
        <f t="shared" si="26"/>
        <v>14752.1362993</v>
      </c>
      <c r="CI39" s="45"/>
      <c r="CJ39" s="109">
        <v>-700</v>
      </c>
      <c r="CK39" s="45">
        <f t="shared" si="27"/>
        <v>700</v>
      </c>
      <c r="CL39" s="45">
        <v>4485</v>
      </c>
      <c r="CM39" s="45">
        <f t="shared" si="27"/>
        <v>0</v>
      </c>
      <c r="CN39" s="45">
        <v>0</v>
      </c>
      <c r="CO39" s="45">
        <f t="shared" ref="CO39:CQ39" si="254">IF(CN39&lt;0,-CN39,0)</f>
        <v>0</v>
      </c>
      <c r="CP39" s="45">
        <v>-5000</v>
      </c>
      <c r="CQ39" s="45">
        <f t="shared" si="254"/>
        <v>5000</v>
      </c>
      <c r="CR39" s="45">
        <v>-5300</v>
      </c>
      <c r="CS39" s="45">
        <f t="shared" ref="CS39:CU39" si="255">IF(CR39&lt;0,-CR39,0)</f>
        <v>5300</v>
      </c>
      <c r="CT39" s="45">
        <v>-4000</v>
      </c>
      <c r="CU39" s="45">
        <f t="shared" si="255"/>
        <v>4000</v>
      </c>
      <c r="CV39" s="45">
        <v>-4800</v>
      </c>
      <c r="CW39" s="45">
        <f t="shared" ref="CW39:CY39" si="256">IF(CV39&lt;0,-CV39,0)</f>
        <v>4800</v>
      </c>
      <c r="CX39" s="45">
        <v>10267.1362993</v>
      </c>
      <c r="CY39" s="45">
        <f t="shared" si="256"/>
        <v>0</v>
      </c>
      <c r="CZ39" s="107">
        <f t="shared" si="31"/>
        <v>19800</v>
      </c>
      <c r="DA39" s="45"/>
      <c r="DB39" s="110">
        <v>41324.968000000001</v>
      </c>
      <c r="DC39" s="57">
        <v>1729.674</v>
      </c>
      <c r="DD39" s="61">
        <v>2542.0386568734998</v>
      </c>
      <c r="DE39" s="61">
        <f t="shared" si="32"/>
        <v>45596.680656873497</v>
      </c>
      <c r="DF39" s="110">
        <v>13561.127</v>
      </c>
      <c r="DG39" s="110">
        <v>59705.411</v>
      </c>
      <c r="DH39" s="57">
        <v>6020</v>
      </c>
      <c r="DI39" s="107">
        <f t="shared" si="33"/>
        <v>65725.410999999993</v>
      </c>
      <c r="DJ39" s="45"/>
      <c r="DK39" s="110">
        <v>950.90099999999995</v>
      </c>
      <c r="DL39" s="57">
        <v>10540.1958456256</v>
      </c>
      <c r="DM39" s="57">
        <f t="shared" si="34"/>
        <v>11491.0968456256</v>
      </c>
      <c r="DN39" s="61">
        <v>1571.461651611138</v>
      </c>
      <c r="DO39" s="61">
        <v>2924.2959742409021</v>
      </c>
      <c r="DP39" s="61">
        <v>436.83964775999999</v>
      </c>
      <c r="DQ39" s="57">
        <f t="shared" si="35"/>
        <v>3361.135622000902</v>
      </c>
      <c r="DR39" s="57">
        <v>162.46088745782791</v>
      </c>
      <c r="DS39" s="57">
        <v>162.46088745782791</v>
      </c>
      <c r="DT39" s="5"/>
      <c r="DU39" s="73">
        <v>0</v>
      </c>
      <c r="DV39" s="156">
        <v>6779.6610170000004</v>
      </c>
      <c r="DW39" s="155">
        <v>1447.7400829999999</v>
      </c>
      <c r="DX39" s="155">
        <v>0</v>
      </c>
      <c r="DY39" s="73">
        <v>0</v>
      </c>
      <c r="DZ39" s="156">
        <v>702.95252817000005</v>
      </c>
      <c r="EA39" s="73">
        <v>0</v>
      </c>
      <c r="EB39" s="156">
        <v>1271.1864410000001</v>
      </c>
      <c r="EC39" s="73">
        <v>0</v>
      </c>
      <c r="ED39" s="156">
        <v>847.5</v>
      </c>
      <c r="EE39" s="73">
        <v>0</v>
      </c>
      <c r="EF39" s="156">
        <v>7397.5988710000001</v>
      </c>
      <c r="EG39" s="73">
        <v>0</v>
      </c>
      <c r="EH39" s="156">
        <v>6779.6610170000004</v>
      </c>
      <c r="EI39" s="159">
        <v>702.95252817000005</v>
      </c>
      <c r="EJ39" s="162">
        <v>847.5</v>
      </c>
      <c r="EK39" s="165">
        <v>735.83500000000004</v>
      </c>
      <c r="EL39" s="159">
        <v>436.83964775999999</v>
      </c>
      <c r="EM39" s="159">
        <f t="shared" si="36"/>
        <v>10964.025395000001</v>
      </c>
      <c r="EN39" s="159">
        <f t="shared" si="37"/>
        <v>0</v>
      </c>
      <c r="EP39" s="2">
        <v>20998.500749999999</v>
      </c>
      <c r="EQ39" s="5">
        <f t="shared" si="38"/>
        <v>0.85499999999999987</v>
      </c>
    </row>
    <row r="40" spans="13:147" x14ac:dyDescent="0.35">
      <c r="M40" s="5"/>
      <c r="N40" s="66">
        <f t="shared" si="39"/>
        <v>38</v>
      </c>
      <c r="O40" s="78">
        <v>32702</v>
      </c>
      <c r="P40" s="77">
        <f t="shared" si="6"/>
        <v>0.39400000000000002</v>
      </c>
      <c r="Q40" s="104">
        <v>1922</v>
      </c>
      <c r="R40" s="77">
        <f t="shared" si="7"/>
        <v>0.4</v>
      </c>
      <c r="S40" s="104">
        <v>15330</v>
      </c>
      <c r="T40" s="77">
        <f t="shared" si="8"/>
        <v>0.51100000000000001</v>
      </c>
      <c r="U40" s="104">
        <v>8224.3304000000007</v>
      </c>
      <c r="V40" s="77">
        <f t="shared" si="221"/>
        <v>0.57200000000000006</v>
      </c>
      <c r="W40" s="104">
        <v>3516.2035999999998</v>
      </c>
      <c r="X40" s="77">
        <f t="shared" si="222"/>
        <v>0.36399999999999999</v>
      </c>
      <c r="Y40" s="104">
        <v>8741.4</v>
      </c>
      <c r="Z40" s="77">
        <f t="shared" si="9"/>
        <v>0.16999999999999998</v>
      </c>
      <c r="AA40" s="104">
        <v>6577.5536000000002</v>
      </c>
      <c r="AB40" s="77">
        <f t="shared" si="10"/>
        <v>0.14199999999999999</v>
      </c>
      <c r="AC40" s="5"/>
      <c r="AD40" s="66">
        <f t="shared" si="40"/>
        <v>38</v>
      </c>
      <c r="AE40" s="78">
        <v>7920.9822000000004</v>
      </c>
      <c r="AF40" s="104">
        <v>917.7</v>
      </c>
      <c r="AG40" s="78">
        <v>199.5</v>
      </c>
      <c r="AH40" s="61">
        <f t="shared" si="11"/>
        <v>8.8999999999999996E-2</v>
      </c>
      <c r="AI40" s="61">
        <f t="shared" si="12"/>
        <v>0.39900000000000002</v>
      </c>
      <c r="AJ40" s="61">
        <f t="shared" si="13"/>
        <v>0.39900000000000002</v>
      </c>
      <c r="AK40" s="77">
        <v>34.884</v>
      </c>
      <c r="AL40" s="104">
        <v>291.08999999999997</v>
      </c>
      <c r="AM40" s="61">
        <f t="shared" si="223"/>
        <v>5.3999999999999999E-2</v>
      </c>
      <c r="AN40" s="57">
        <f t="shared" si="224"/>
        <v>2.4999999999999998E-2</v>
      </c>
      <c r="AO40" s="78">
        <v>27964.2</v>
      </c>
      <c r="AP40" s="104">
        <v>21573.525000000001</v>
      </c>
      <c r="AQ40" s="61">
        <f t="shared" si="14"/>
        <v>0.627</v>
      </c>
      <c r="AR40" s="57">
        <f t="shared" si="15"/>
        <v>0.91900000000000004</v>
      </c>
      <c r="AS40" s="45"/>
      <c r="AT40" s="78">
        <v>1029.3920000000001</v>
      </c>
      <c r="AU40" s="77">
        <f t="shared" si="225"/>
        <v>0.41800004872779845</v>
      </c>
      <c r="AV40" s="78">
        <v>987.125</v>
      </c>
      <c r="AW40" s="77">
        <f t="shared" si="226"/>
        <v>0.61426571250777851</v>
      </c>
      <c r="AX40" s="78">
        <v>1121.4780000000001</v>
      </c>
      <c r="AY40" s="77">
        <f t="shared" si="16"/>
        <v>0.5784392407674851</v>
      </c>
      <c r="AZ40" s="45"/>
      <c r="BA40" s="75">
        <v>51358.995000000003</v>
      </c>
      <c r="BB40" s="77">
        <f t="shared" si="17"/>
        <v>0.73770491803278682</v>
      </c>
      <c r="BC40" s="45"/>
      <c r="BD40" s="105">
        <v>20607.505000000001</v>
      </c>
      <c r="BE40" s="45">
        <v>0</v>
      </c>
      <c r="BF40" s="106">
        <v>0</v>
      </c>
      <c r="BG40" s="107">
        <f t="shared" si="18"/>
        <v>0.63213205521472393</v>
      </c>
      <c r="BH40" s="108">
        <f t="shared" si="19"/>
        <v>0</v>
      </c>
      <c r="BI40" s="106">
        <v>0</v>
      </c>
      <c r="BJ40" s="106">
        <v>0</v>
      </c>
      <c r="BK40" s="106">
        <v>0</v>
      </c>
      <c r="BL40" s="106">
        <v>6456.473</v>
      </c>
      <c r="BM40" s="107">
        <f t="shared" si="20"/>
        <v>0.47903791363703813</v>
      </c>
      <c r="BN40" s="108">
        <f t="shared" si="21"/>
        <v>0</v>
      </c>
      <c r="BO40" s="45">
        <v>7668</v>
      </c>
      <c r="BP40" s="45">
        <v>0</v>
      </c>
      <c r="BQ40" s="45"/>
      <c r="BR40" s="109">
        <v>-700</v>
      </c>
      <c r="BS40" s="45">
        <f t="shared" si="22"/>
        <v>0</v>
      </c>
      <c r="BT40" s="45">
        <v>4485</v>
      </c>
      <c r="BU40" s="45">
        <f t="shared" si="22"/>
        <v>4485</v>
      </c>
      <c r="BV40" s="45">
        <v>0</v>
      </c>
      <c r="BW40" s="45">
        <f t="shared" ref="BW40:BY40" si="257">IF(BV40&gt;0,BV40,0)</f>
        <v>0</v>
      </c>
      <c r="BX40" s="45">
        <v>-5000</v>
      </c>
      <c r="BY40" s="45">
        <f t="shared" si="257"/>
        <v>0</v>
      </c>
      <c r="BZ40" s="45">
        <v>-5300</v>
      </c>
      <c r="CA40" s="45">
        <f t="shared" ref="CA40:CC40" si="258">IF(BZ40&gt;0,BZ40,0)</f>
        <v>0</v>
      </c>
      <c r="CB40" s="45">
        <v>-4000</v>
      </c>
      <c r="CC40" s="45">
        <f t="shared" si="258"/>
        <v>0</v>
      </c>
      <c r="CD40" s="45">
        <v>-4800</v>
      </c>
      <c r="CE40" s="45">
        <f t="shared" ref="CE40:CG40" si="259">IF(CD40&gt;0,CD40,0)</f>
        <v>0</v>
      </c>
      <c r="CF40" s="45">
        <v>12505.57106643</v>
      </c>
      <c r="CG40" s="45">
        <f t="shared" si="259"/>
        <v>12505.57106643</v>
      </c>
      <c r="CH40" s="107">
        <f t="shared" si="26"/>
        <v>16990.571066429999</v>
      </c>
      <c r="CI40" s="45"/>
      <c r="CJ40" s="109">
        <v>-700</v>
      </c>
      <c r="CK40" s="45">
        <f t="shared" si="27"/>
        <v>700</v>
      </c>
      <c r="CL40" s="45">
        <v>4485</v>
      </c>
      <c r="CM40" s="45">
        <f t="shared" si="27"/>
        <v>0</v>
      </c>
      <c r="CN40" s="45">
        <v>0</v>
      </c>
      <c r="CO40" s="45">
        <f t="shared" ref="CO40:CQ40" si="260">IF(CN40&lt;0,-CN40,0)</f>
        <v>0</v>
      </c>
      <c r="CP40" s="45">
        <v>-5000</v>
      </c>
      <c r="CQ40" s="45">
        <f t="shared" si="260"/>
        <v>5000</v>
      </c>
      <c r="CR40" s="45">
        <v>-5300</v>
      </c>
      <c r="CS40" s="45">
        <f t="shared" ref="CS40:CU40" si="261">IF(CR40&lt;0,-CR40,0)</f>
        <v>5300</v>
      </c>
      <c r="CT40" s="45">
        <v>-4000</v>
      </c>
      <c r="CU40" s="45">
        <f t="shared" si="261"/>
        <v>4000</v>
      </c>
      <c r="CV40" s="45">
        <v>-4800</v>
      </c>
      <c r="CW40" s="45">
        <f t="shared" ref="CW40:CY40" si="262">IF(CV40&lt;0,-CV40,0)</f>
        <v>4800</v>
      </c>
      <c r="CX40" s="45">
        <v>12505.57106643</v>
      </c>
      <c r="CY40" s="45">
        <f t="shared" si="262"/>
        <v>0</v>
      </c>
      <c r="CZ40" s="107">
        <f t="shared" si="31"/>
        <v>19800</v>
      </c>
      <c r="DA40" s="45"/>
      <c r="DB40" s="110">
        <v>41191.855000000003</v>
      </c>
      <c r="DC40" s="57">
        <v>1727.9839999999999</v>
      </c>
      <c r="DD40" s="61">
        <v>2244.6574105519999</v>
      </c>
      <c r="DE40" s="61">
        <f t="shared" si="32"/>
        <v>45164.496410551998</v>
      </c>
      <c r="DF40" s="110">
        <v>13657.120999999999</v>
      </c>
      <c r="DG40" s="110">
        <v>58034.411</v>
      </c>
      <c r="DH40" s="57">
        <v>5894</v>
      </c>
      <c r="DI40" s="107">
        <f t="shared" si="33"/>
        <v>63928.411</v>
      </c>
      <c r="DJ40" s="45"/>
      <c r="DK40" s="110">
        <v>935.89200000000005</v>
      </c>
      <c r="DL40" s="57">
        <v>10540.1958456256</v>
      </c>
      <c r="DM40" s="57">
        <f t="shared" si="34"/>
        <v>11476.0878456256</v>
      </c>
      <c r="DN40" s="61">
        <v>1597.239671736638</v>
      </c>
      <c r="DO40" s="61">
        <v>2924.2959742409021</v>
      </c>
      <c r="DP40" s="61">
        <v>436.83964775999999</v>
      </c>
      <c r="DQ40" s="57">
        <f t="shared" si="35"/>
        <v>3361.135622000902</v>
      </c>
      <c r="DR40" s="57">
        <v>162.46088745782791</v>
      </c>
      <c r="DS40" s="57">
        <v>162.46088745782791</v>
      </c>
      <c r="DT40" s="5"/>
      <c r="DU40" s="73">
        <v>0</v>
      </c>
      <c r="DV40" s="156">
        <v>6779.6610170000004</v>
      </c>
      <c r="DW40" s="155">
        <v>1447.7400829999999</v>
      </c>
      <c r="DX40" s="155">
        <v>0</v>
      </c>
      <c r="DY40" s="73">
        <v>0</v>
      </c>
      <c r="DZ40" s="156">
        <v>1492.3400330899999</v>
      </c>
      <c r="EA40" s="73">
        <v>0</v>
      </c>
      <c r="EB40" s="156">
        <v>1271.1864410000001</v>
      </c>
      <c r="EC40" s="73">
        <v>0</v>
      </c>
      <c r="ED40" s="156">
        <v>847.5</v>
      </c>
      <c r="EE40" s="73">
        <v>0</v>
      </c>
      <c r="EF40" s="156">
        <v>7397.5988710000001</v>
      </c>
      <c r="EG40" s="73">
        <v>0</v>
      </c>
      <c r="EH40" s="156">
        <v>6779.6610170000004</v>
      </c>
      <c r="EI40" s="159">
        <v>1492.3400330899999</v>
      </c>
      <c r="EJ40" s="162">
        <v>847.5</v>
      </c>
      <c r="EK40" s="165">
        <v>735.83500000000004</v>
      </c>
      <c r="EL40" s="159">
        <v>436.83964775999999</v>
      </c>
      <c r="EM40" s="159">
        <f t="shared" si="36"/>
        <v>10964.025395000001</v>
      </c>
      <c r="EN40" s="159">
        <f t="shared" si="37"/>
        <v>0</v>
      </c>
      <c r="EP40" s="2">
        <v>20531.867399999999</v>
      </c>
      <c r="EQ40" s="5">
        <f t="shared" si="38"/>
        <v>0.83599999999999997</v>
      </c>
    </row>
    <row r="41" spans="13:147" x14ac:dyDescent="0.35">
      <c r="M41" s="5"/>
      <c r="N41" s="66">
        <f t="shared" si="39"/>
        <v>39</v>
      </c>
      <c r="O41" s="78">
        <v>33034</v>
      </c>
      <c r="P41" s="77">
        <f t="shared" si="6"/>
        <v>0.39800000000000002</v>
      </c>
      <c r="Q41" s="104">
        <v>1744.2149999999999</v>
      </c>
      <c r="R41" s="77">
        <f t="shared" si="7"/>
        <v>0.36299999999999999</v>
      </c>
      <c r="S41" s="104">
        <v>14100</v>
      </c>
      <c r="T41" s="77">
        <f t="shared" si="8"/>
        <v>0.47</v>
      </c>
      <c r="U41" s="104">
        <v>7821.7407999999996</v>
      </c>
      <c r="V41" s="77">
        <f t="shared" si="221"/>
        <v>0.54399999999999993</v>
      </c>
      <c r="W41" s="104">
        <v>3313.3456999999999</v>
      </c>
      <c r="X41" s="77">
        <f t="shared" si="222"/>
        <v>0.34299999999999997</v>
      </c>
      <c r="Y41" s="104">
        <v>7970.1</v>
      </c>
      <c r="Z41" s="77">
        <f t="shared" si="9"/>
        <v>0.155</v>
      </c>
      <c r="AA41" s="104">
        <v>5882.7416000000003</v>
      </c>
      <c r="AB41" s="77">
        <f t="shared" si="10"/>
        <v>0.127</v>
      </c>
      <c r="AC41" s="5"/>
      <c r="AD41" s="66">
        <f t="shared" si="40"/>
        <v>39</v>
      </c>
      <c r="AE41" s="78">
        <v>7475.9831999999997</v>
      </c>
      <c r="AF41" s="104">
        <v>913.1</v>
      </c>
      <c r="AG41" s="78">
        <v>198.5</v>
      </c>
      <c r="AH41" s="61">
        <f t="shared" si="11"/>
        <v>8.3999999999999991E-2</v>
      </c>
      <c r="AI41" s="61">
        <f t="shared" si="12"/>
        <v>0.39700000000000002</v>
      </c>
      <c r="AJ41" s="61">
        <f t="shared" si="13"/>
        <v>0.39700000000000002</v>
      </c>
      <c r="AK41" s="77">
        <v>32.299999999999997</v>
      </c>
      <c r="AL41" s="104">
        <v>244.51560000000001</v>
      </c>
      <c r="AM41" s="61">
        <f t="shared" si="223"/>
        <v>4.9999999999999996E-2</v>
      </c>
      <c r="AN41" s="57">
        <f t="shared" si="224"/>
        <v>2.1000000000000001E-2</v>
      </c>
      <c r="AO41" s="78">
        <v>30417.200000000001</v>
      </c>
      <c r="AP41" s="104">
        <v>21690.9</v>
      </c>
      <c r="AQ41" s="61">
        <f t="shared" si="14"/>
        <v>0.68200000000000005</v>
      </c>
      <c r="AR41" s="57">
        <f t="shared" si="15"/>
        <v>0.92400000000000004</v>
      </c>
      <c r="AS41" s="45"/>
      <c r="AT41" s="78">
        <v>1058.944</v>
      </c>
      <c r="AU41" s="77">
        <f t="shared" si="225"/>
        <v>0.43000008121299732</v>
      </c>
      <c r="AV41" s="78">
        <v>974.24900000000002</v>
      </c>
      <c r="AW41" s="77">
        <f t="shared" si="226"/>
        <v>0.60625326695706283</v>
      </c>
      <c r="AX41" s="78">
        <v>1121.4780000000001</v>
      </c>
      <c r="AY41" s="77">
        <f t="shared" si="16"/>
        <v>0.5784392407674851</v>
      </c>
      <c r="AZ41" s="45"/>
      <c r="BA41" s="75">
        <v>51358.995000000003</v>
      </c>
      <c r="BB41" s="77">
        <f t="shared" si="17"/>
        <v>0.73770491803278682</v>
      </c>
      <c r="BC41" s="45"/>
      <c r="BD41" s="105">
        <v>19682.165000000001</v>
      </c>
      <c r="BE41" s="45">
        <v>0</v>
      </c>
      <c r="BF41" s="106">
        <v>0</v>
      </c>
      <c r="BG41" s="107">
        <f t="shared" si="18"/>
        <v>0.60374739263803678</v>
      </c>
      <c r="BH41" s="108">
        <f t="shared" si="19"/>
        <v>0</v>
      </c>
      <c r="BI41" s="106">
        <v>0</v>
      </c>
      <c r="BJ41" s="106">
        <v>0</v>
      </c>
      <c r="BK41" s="106">
        <v>0</v>
      </c>
      <c r="BL41" s="106">
        <v>6120.7479999999996</v>
      </c>
      <c r="BM41" s="107">
        <f t="shared" si="20"/>
        <v>0.45412880249295146</v>
      </c>
      <c r="BN41" s="108">
        <f t="shared" si="21"/>
        <v>0</v>
      </c>
      <c r="BO41" s="45">
        <v>7668</v>
      </c>
      <c r="BP41" s="45">
        <v>0</v>
      </c>
      <c r="BQ41" s="45"/>
      <c r="BR41" s="109">
        <v>-700</v>
      </c>
      <c r="BS41" s="45">
        <f t="shared" si="22"/>
        <v>0</v>
      </c>
      <c r="BT41" s="45">
        <v>4485</v>
      </c>
      <c r="BU41" s="45">
        <f t="shared" si="22"/>
        <v>4485</v>
      </c>
      <c r="BV41" s="45">
        <v>0</v>
      </c>
      <c r="BW41" s="45">
        <f t="shared" ref="BW41:BY41" si="263">IF(BV41&gt;0,BV41,0)</f>
        <v>0</v>
      </c>
      <c r="BX41" s="45">
        <v>-5000</v>
      </c>
      <c r="BY41" s="45">
        <f t="shared" si="263"/>
        <v>0</v>
      </c>
      <c r="BZ41" s="45">
        <v>-5300</v>
      </c>
      <c r="CA41" s="45">
        <f t="shared" ref="CA41:CC41" si="264">IF(BZ41&gt;0,BZ41,0)</f>
        <v>0</v>
      </c>
      <c r="CB41" s="45">
        <v>-4000</v>
      </c>
      <c r="CC41" s="45">
        <f t="shared" si="264"/>
        <v>0</v>
      </c>
      <c r="CD41" s="45">
        <v>-4800</v>
      </c>
      <c r="CE41" s="45">
        <f t="shared" ref="CE41:CG41" si="265">IF(CD41&gt;0,CD41,0)</f>
        <v>0</v>
      </c>
      <c r="CF41" s="45">
        <v>12019.00884916</v>
      </c>
      <c r="CG41" s="45">
        <f t="shared" si="265"/>
        <v>12019.00884916</v>
      </c>
      <c r="CH41" s="107">
        <f t="shared" si="26"/>
        <v>16504.00884916</v>
      </c>
      <c r="CI41" s="45"/>
      <c r="CJ41" s="109">
        <v>-700</v>
      </c>
      <c r="CK41" s="45">
        <f t="shared" si="27"/>
        <v>700</v>
      </c>
      <c r="CL41" s="45">
        <v>4485</v>
      </c>
      <c r="CM41" s="45">
        <f t="shared" si="27"/>
        <v>0</v>
      </c>
      <c r="CN41" s="45">
        <v>0</v>
      </c>
      <c r="CO41" s="45">
        <f t="shared" ref="CO41:CQ41" si="266">IF(CN41&lt;0,-CN41,0)</f>
        <v>0</v>
      </c>
      <c r="CP41" s="45">
        <v>-5000</v>
      </c>
      <c r="CQ41" s="45">
        <f t="shared" si="266"/>
        <v>5000</v>
      </c>
      <c r="CR41" s="45">
        <v>-5300</v>
      </c>
      <c r="CS41" s="45">
        <f t="shared" ref="CS41:CU41" si="267">IF(CR41&lt;0,-CR41,0)</f>
        <v>5300</v>
      </c>
      <c r="CT41" s="45">
        <v>-4000</v>
      </c>
      <c r="CU41" s="45">
        <f t="shared" si="267"/>
        <v>4000</v>
      </c>
      <c r="CV41" s="45">
        <v>-4800</v>
      </c>
      <c r="CW41" s="45">
        <f t="shared" ref="CW41:CY41" si="268">IF(CV41&lt;0,-CV41,0)</f>
        <v>4800</v>
      </c>
      <c r="CX41" s="45">
        <v>12019.00884916</v>
      </c>
      <c r="CY41" s="45">
        <f t="shared" si="268"/>
        <v>0</v>
      </c>
      <c r="CZ41" s="107">
        <f t="shared" si="31"/>
        <v>19800</v>
      </c>
      <c r="DA41" s="45"/>
      <c r="DB41" s="110">
        <v>40512.430999999997</v>
      </c>
      <c r="DC41" s="57">
        <v>1661.674</v>
      </c>
      <c r="DD41" s="61">
        <v>1668.4779494623999</v>
      </c>
      <c r="DE41" s="61">
        <f t="shared" si="32"/>
        <v>43842.582949462398</v>
      </c>
      <c r="DF41" s="110">
        <v>13323.157999999999</v>
      </c>
      <c r="DG41" s="110">
        <v>57979.411</v>
      </c>
      <c r="DH41" s="57">
        <v>5695</v>
      </c>
      <c r="DI41" s="107">
        <f t="shared" si="33"/>
        <v>63674.411</v>
      </c>
      <c r="DJ41" s="45"/>
      <c r="DK41" s="110">
        <v>931.04700000000003</v>
      </c>
      <c r="DL41" s="57">
        <v>10555.905846475949</v>
      </c>
      <c r="DM41" s="57">
        <f t="shared" si="34"/>
        <v>11486.95284647595</v>
      </c>
      <c r="DN41" s="61">
        <v>1571.461651611138</v>
      </c>
      <c r="DO41" s="61">
        <v>2932.5738486661439</v>
      </c>
      <c r="DP41" s="61">
        <v>428.56177332999999</v>
      </c>
      <c r="DQ41" s="57">
        <f t="shared" si="35"/>
        <v>3361.135621996144</v>
      </c>
      <c r="DR41" s="57">
        <v>162.92076937034139</v>
      </c>
      <c r="DS41" s="57">
        <v>162.92076937034139</v>
      </c>
      <c r="DT41" s="5"/>
      <c r="DU41" s="73">
        <v>0</v>
      </c>
      <c r="DV41" s="156">
        <v>6779.6610170000004</v>
      </c>
      <c r="DW41" s="155">
        <v>1447.7400829999999</v>
      </c>
      <c r="DX41" s="155">
        <v>0</v>
      </c>
      <c r="DY41" s="73">
        <v>0</v>
      </c>
      <c r="DZ41" s="156">
        <v>1553.672292</v>
      </c>
      <c r="EA41" s="73">
        <v>0</v>
      </c>
      <c r="EB41" s="156">
        <v>1271.1864410000001</v>
      </c>
      <c r="EC41" s="73">
        <v>0</v>
      </c>
      <c r="ED41" s="156">
        <v>847.5</v>
      </c>
      <c r="EE41" s="73">
        <v>0</v>
      </c>
      <c r="EF41" s="156">
        <v>7397.5988710000001</v>
      </c>
      <c r="EG41" s="73">
        <v>0</v>
      </c>
      <c r="EH41" s="156">
        <v>6779.6610170000004</v>
      </c>
      <c r="EI41" s="159">
        <v>1553.672292</v>
      </c>
      <c r="EJ41" s="162">
        <v>847.5</v>
      </c>
      <c r="EK41" s="165">
        <v>735.83500000000004</v>
      </c>
      <c r="EL41" s="159">
        <v>428.56177332999999</v>
      </c>
      <c r="EM41" s="159">
        <f t="shared" si="36"/>
        <v>10964.025395000001</v>
      </c>
      <c r="EN41" s="159">
        <f t="shared" si="37"/>
        <v>0</v>
      </c>
      <c r="EP41" s="2">
        <v>20531.867399999999</v>
      </c>
      <c r="EQ41" s="5">
        <f t="shared" si="38"/>
        <v>0.83599999999999997</v>
      </c>
    </row>
    <row r="42" spans="13:147" x14ac:dyDescent="0.35">
      <c r="M42" s="5"/>
      <c r="N42" s="66">
        <f t="shared" si="39"/>
        <v>40</v>
      </c>
      <c r="O42" s="78">
        <v>31125</v>
      </c>
      <c r="P42" s="77">
        <f t="shared" si="6"/>
        <v>0.375</v>
      </c>
      <c r="Q42" s="104">
        <v>1273.325</v>
      </c>
      <c r="R42" s="77">
        <f t="shared" si="7"/>
        <v>0.26500000000000001</v>
      </c>
      <c r="S42" s="104">
        <v>10860</v>
      </c>
      <c r="T42" s="77">
        <f t="shared" si="8"/>
        <v>0.36199999999999999</v>
      </c>
      <c r="U42" s="104">
        <v>6427.0554000000002</v>
      </c>
      <c r="V42" s="77">
        <f t="shared" si="221"/>
        <v>0.44700000000000001</v>
      </c>
      <c r="W42" s="104">
        <v>2608.1729999999998</v>
      </c>
      <c r="X42" s="77">
        <f t="shared" si="222"/>
        <v>0.26999999999999996</v>
      </c>
      <c r="Y42" s="104">
        <v>5296.26</v>
      </c>
      <c r="Z42" s="77">
        <f t="shared" si="9"/>
        <v>0.10300000000000001</v>
      </c>
      <c r="AA42" s="104">
        <v>3798.3056000000001</v>
      </c>
      <c r="AB42" s="77">
        <f t="shared" si="10"/>
        <v>8.2000000000000003E-2</v>
      </c>
      <c r="AC42" s="5"/>
      <c r="AD42" s="66">
        <f t="shared" si="40"/>
        <v>40</v>
      </c>
      <c r="AE42" s="78">
        <v>7030.9841999999999</v>
      </c>
      <c r="AF42" s="104">
        <v>899.3</v>
      </c>
      <c r="AG42" s="78">
        <v>195.5</v>
      </c>
      <c r="AH42" s="61">
        <f t="shared" si="11"/>
        <v>7.9000000000000001E-2</v>
      </c>
      <c r="AI42" s="61">
        <f t="shared" si="12"/>
        <v>0.39099999999999996</v>
      </c>
      <c r="AJ42" s="61">
        <f t="shared" si="13"/>
        <v>0.39100000000000001</v>
      </c>
      <c r="AK42" s="77">
        <v>32.945999999999998</v>
      </c>
      <c r="AL42" s="104">
        <v>267.80279999999999</v>
      </c>
      <c r="AM42" s="61">
        <f t="shared" si="223"/>
        <v>5.0999999999999997E-2</v>
      </c>
      <c r="AN42" s="57">
        <f t="shared" si="224"/>
        <v>2.3E-2</v>
      </c>
      <c r="AO42" s="78">
        <v>33896</v>
      </c>
      <c r="AP42" s="104">
        <v>21690.9</v>
      </c>
      <c r="AQ42" s="61">
        <f t="shared" si="14"/>
        <v>0.76</v>
      </c>
      <c r="AR42" s="57">
        <f t="shared" si="15"/>
        <v>0.92400000000000004</v>
      </c>
      <c r="AS42" s="45"/>
      <c r="AT42" s="78">
        <v>1049.0930000000001</v>
      </c>
      <c r="AU42" s="77">
        <f t="shared" si="225"/>
        <v>0.42599993502960221</v>
      </c>
      <c r="AV42" s="78">
        <v>966.42200000000003</v>
      </c>
      <c r="AW42" s="77">
        <f t="shared" si="226"/>
        <v>0.60138270068450528</v>
      </c>
      <c r="AX42" s="78">
        <v>1121.4780000000001</v>
      </c>
      <c r="AY42" s="77">
        <f t="shared" si="16"/>
        <v>0.5784392407674851</v>
      </c>
      <c r="AZ42" s="45"/>
      <c r="BA42" s="75">
        <v>51358.995000000003</v>
      </c>
      <c r="BB42" s="77">
        <f t="shared" si="17"/>
        <v>0.73770491803278682</v>
      </c>
      <c r="BC42" s="45"/>
      <c r="BD42" s="105">
        <v>16983.482</v>
      </c>
      <c r="BE42" s="45">
        <v>0</v>
      </c>
      <c r="BF42" s="106">
        <v>0</v>
      </c>
      <c r="BG42" s="107">
        <f t="shared" si="18"/>
        <v>0.52096570552147237</v>
      </c>
      <c r="BH42" s="108">
        <f t="shared" si="19"/>
        <v>0</v>
      </c>
      <c r="BI42" s="106">
        <v>0</v>
      </c>
      <c r="BJ42" s="106">
        <v>0</v>
      </c>
      <c r="BK42" s="106">
        <v>0</v>
      </c>
      <c r="BL42" s="106">
        <v>5074.6880000000001</v>
      </c>
      <c r="BM42" s="107">
        <f t="shared" si="20"/>
        <v>0.3765163970915566</v>
      </c>
      <c r="BN42" s="108">
        <f t="shared" si="21"/>
        <v>0</v>
      </c>
      <c r="BO42" s="45">
        <v>7668</v>
      </c>
      <c r="BP42" s="45">
        <v>0</v>
      </c>
      <c r="BQ42" s="45"/>
      <c r="BR42" s="109">
        <v>-700</v>
      </c>
      <c r="BS42" s="45">
        <f t="shared" si="22"/>
        <v>0</v>
      </c>
      <c r="BT42" s="45">
        <v>4485</v>
      </c>
      <c r="BU42" s="45">
        <f t="shared" si="22"/>
        <v>4485</v>
      </c>
      <c r="BV42" s="45">
        <v>0</v>
      </c>
      <c r="BW42" s="45">
        <f t="shared" ref="BW42:BY42" si="269">IF(BV42&gt;0,BV42,0)</f>
        <v>0</v>
      </c>
      <c r="BX42" s="45">
        <v>-5000</v>
      </c>
      <c r="BY42" s="45">
        <f t="shared" si="269"/>
        <v>0</v>
      </c>
      <c r="BZ42" s="45">
        <v>-4449.9860174400001</v>
      </c>
      <c r="CA42" s="45">
        <f t="shared" ref="CA42:CC42" si="270">IF(BZ42&gt;0,BZ42,0)</f>
        <v>0</v>
      </c>
      <c r="CB42" s="45">
        <v>-4000</v>
      </c>
      <c r="CC42" s="45">
        <f t="shared" si="270"/>
        <v>0</v>
      </c>
      <c r="CD42" s="45">
        <v>-4800</v>
      </c>
      <c r="CE42" s="45">
        <f t="shared" ref="CE42:CG42" si="271">IF(CD42&gt;0,CD42,0)</f>
        <v>0</v>
      </c>
      <c r="CF42" s="45">
        <v>12049.859515669999</v>
      </c>
      <c r="CG42" s="45">
        <f t="shared" si="271"/>
        <v>12049.859515669999</v>
      </c>
      <c r="CH42" s="107">
        <f t="shared" si="26"/>
        <v>16534.859515669999</v>
      </c>
      <c r="CI42" s="45"/>
      <c r="CJ42" s="109">
        <v>-700</v>
      </c>
      <c r="CK42" s="45">
        <f t="shared" si="27"/>
        <v>700</v>
      </c>
      <c r="CL42" s="45">
        <v>4485</v>
      </c>
      <c r="CM42" s="45">
        <f t="shared" si="27"/>
        <v>0</v>
      </c>
      <c r="CN42" s="45">
        <v>0</v>
      </c>
      <c r="CO42" s="45">
        <f t="shared" ref="CO42:CQ42" si="272">IF(CN42&lt;0,-CN42,0)</f>
        <v>0</v>
      </c>
      <c r="CP42" s="45">
        <v>-5000</v>
      </c>
      <c r="CQ42" s="45">
        <f t="shared" si="272"/>
        <v>5000</v>
      </c>
      <c r="CR42" s="45">
        <v>-4449.9860174400001</v>
      </c>
      <c r="CS42" s="45">
        <f t="shared" ref="CS42:CU42" si="273">IF(CR42&lt;0,-CR42,0)</f>
        <v>4449.9860174400001</v>
      </c>
      <c r="CT42" s="45">
        <v>-4000</v>
      </c>
      <c r="CU42" s="45">
        <f t="shared" si="273"/>
        <v>4000</v>
      </c>
      <c r="CV42" s="45">
        <v>-4800</v>
      </c>
      <c r="CW42" s="45">
        <f t="shared" ref="CW42:CY42" si="274">IF(CV42&lt;0,-CV42,0)</f>
        <v>4800</v>
      </c>
      <c r="CX42" s="45">
        <v>12049.859515669999</v>
      </c>
      <c r="CY42" s="45">
        <f t="shared" si="274"/>
        <v>0</v>
      </c>
      <c r="CZ42" s="107">
        <f t="shared" si="31"/>
        <v>18949.986017440002</v>
      </c>
      <c r="DA42" s="45"/>
      <c r="DB42" s="110">
        <v>40419.427000000003</v>
      </c>
      <c r="DC42" s="57">
        <v>1780.068</v>
      </c>
      <c r="DD42" s="61">
        <v>1405.1539164794001</v>
      </c>
      <c r="DE42" s="61">
        <f t="shared" si="32"/>
        <v>43604.648916479404</v>
      </c>
      <c r="DF42" s="110">
        <v>12518.2</v>
      </c>
      <c r="DG42" s="110">
        <v>59093.411</v>
      </c>
      <c r="DH42" s="57">
        <v>5894</v>
      </c>
      <c r="DI42" s="107">
        <f t="shared" si="33"/>
        <v>64987.411</v>
      </c>
      <c r="DJ42" s="45"/>
      <c r="DK42" s="110">
        <v>935.28200000000004</v>
      </c>
      <c r="DL42" s="57">
        <v>10571.615847326309</v>
      </c>
      <c r="DM42" s="57">
        <f t="shared" si="34"/>
        <v>11506.897847326309</v>
      </c>
      <c r="DN42" s="61">
        <v>1571.461651611138</v>
      </c>
      <c r="DO42" s="61">
        <v>2940.8517230913872</v>
      </c>
      <c r="DP42" s="61">
        <v>0</v>
      </c>
      <c r="DQ42" s="57">
        <f t="shared" si="35"/>
        <v>2940.8517230913872</v>
      </c>
      <c r="DR42" s="57">
        <v>163.38065128285481</v>
      </c>
      <c r="DS42" s="57">
        <v>163.38065128285481</v>
      </c>
      <c r="DT42" s="5"/>
      <c r="DU42" s="73">
        <v>0</v>
      </c>
      <c r="DV42" s="156">
        <v>5990.2735120899997</v>
      </c>
      <c r="DW42" s="155">
        <v>1196.160083</v>
      </c>
      <c r="DX42" s="155">
        <v>0</v>
      </c>
      <c r="DY42" s="73">
        <v>0</v>
      </c>
      <c r="DZ42" s="156">
        <v>1553.672292</v>
      </c>
      <c r="EA42" s="73">
        <v>0</v>
      </c>
      <c r="EB42" s="156">
        <v>1153.6628350000001</v>
      </c>
      <c r="EC42" s="73">
        <v>0</v>
      </c>
      <c r="ED42" s="156">
        <v>847.5</v>
      </c>
      <c r="EE42" s="73">
        <v>0</v>
      </c>
      <c r="EF42" s="156">
        <v>7397.5988710000001</v>
      </c>
      <c r="EG42" s="73">
        <v>0</v>
      </c>
      <c r="EH42" s="156">
        <v>5990.2735120899997</v>
      </c>
      <c r="EI42" s="159">
        <v>1553.672292</v>
      </c>
      <c r="EJ42" s="162">
        <v>847.5</v>
      </c>
      <c r="EK42" s="165">
        <v>735.83500000000004</v>
      </c>
      <c r="EL42" s="159">
        <v>0</v>
      </c>
      <c r="EM42" s="159">
        <f t="shared" si="36"/>
        <v>10594.921789</v>
      </c>
      <c r="EN42" s="159">
        <f t="shared" si="37"/>
        <v>0</v>
      </c>
      <c r="EP42" s="2">
        <v>20531.867399999999</v>
      </c>
      <c r="EQ42" s="5">
        <f t="shared" si="38"/>
        <v>0.83599999999999997</v>
      </c>
    </row>
    <row r="43" spans="13:147" x14ac:dyDescent="0.35">
      <c r="M43" s="5"/>
      <c r="N43" s="66">
        <f t="shared" si="39"/>
        <v>41</v>
      </c>
      <c r="O43" s="78">
        <v>21912</v>
      </c>
      <c r="P43" s="77">
        <f t="shared" si="6"/>
        <v>0.26400000000000001</v>
      </c>
      <c r="Q43" s="104">
        <v>639.06500000000005</v>
      </c>
      <c r="R43" s="77">
        <f t="shared" si="7"/>
        <v>0.13300000000000001</v>
      </c>
      <c r="S43" s="104">
        <v>6390</v>
      </c>
      <c r="T43" s="77">
        <f t="shared" si="8"/>
        <v>0.21299999999999999</v>
      </c>
      <c r="U43" s="104">
        <v>4327.8382000000001</v>
      </c>
      <c r="V43" s="77">
        <f t="shared" si="221"/>
        <v>0.30099999999999999</v>
      </c>
      <c r="W43" s="104">
        <v>1603.5434</v>
      </c>
      <c r="X43" s="77">
        <f t="shared" si="222"/>
        <v>0.16600000000000001</v>
      </c>
      <c r="Y43" s="104">
        <v>2211.06</v>
      </c>
      <c r="Z43" s="77">
        <f t="shared" si="9"/>
        <v>4.2999999999999997E-2</v>
      </c>
      <c r="AA43" s="104">
        <v>1482.2655999999999</v>
      </c>
      <c r="AB43" s="77">
        <f t="shared" si="10"/>
        <v>3.1999999999999994E-2</v>
      </c>
      <c r="AC43" s="5"/>
      <c r="AD43" s="66">
        <f t="shared" si="40"/>
        <v>41</v>
      </c>
      <c r="AE43" s="78">
        <v>6496.9853999999996</v>
      </c>
      <c r="AF43" s="104">
        <v>864.8</v>
      </c>
      <c r="AG43" s="78">
        <v>188</v>
      </c>
      <c r="AH43" s="61">
        <f t="shared" si="11"/>
        <v>7.2999999999999995E-2</v>
      </c>
      <c r="AI43" s="61">
        <f t="shared" si="12"/>
        <v>0.376</v>
      </c>
      <c r="AJ43" s="61">
        <f t="shared" si="13"/>
        <v>0.376</v>
      </c>
      <c r="AK43" s="77">
        <v>39.405999999999999</v>
      </c>
      <c r="AL43" s="104">
        <v>384.23880000000003</v>
      </c>
      <c r="AM43" s="61">
        <f t="shared" si="223"/>
        <v>6.0999999999999999E-2</v>
      </c>
      <c r="AN43" s="57">
        <f t="shared" si="224"/>
        <v>3.3000000000000002E-2</v>
      </c>
      <c r="AO43" s="78">
        <v>37151.800000000003</v>
      </c>
      <c r="AP43" s="104">
        <v>21714.375</v>
      </c>
      <c r="AQ43" s="61">
        <f t="shared" si="14"/>
        <v>0.83300000000000007</v>
      </c>
      <c r="AR43" s="57">
        <f t="shared" si="15"/>
        <v>0.92500000000000004</v>
      </c>
      <c r="AS43" s="45"/>
      <c r="AT43" s="78">
        <v>1046.6300000000001</v>
      </c>
      <c r="AU43" s="77">
        <f t="shared" si="225"/>
        <v>0.42499979696750673</v>
      </c>
      <c r="AV43" s="78">
        <v>965.43600000000004</v>
      </c>
      <c r="AW43" s="77">
        <f t="shared" si="226"/>
        <v>0.60076913503422524</v>
      </c>
      <c r="AX43" s="78">
        <v>1121.4780000000001</v>
      </c>
      <c r="AY43" s="77">
        <f t="shared" si="16"/>
        <v>0.5784392407674851</v>
      </c>
      <c r="AZ43" s="45"/>
      <c r="BA43" s="75">
        <v>51358.995000000003</v>
      </c>
      <c r="BB43" s="77">
        <f t="shared" si="17"/>
        <v>0.73770491803278682</v>
      </c>
      <c r="BC43" s="45"/>
      <c r="BD43" s="105">
        <v>11819.388999999999</v>
      </c>
      <c r="BE43" s="45">
        <v>0</v>
      </c>
      <c r="BF43" s="106">
        <v>0</v>
      </c>
      <c r="BG43" s="107">
        <f t="shared" si="18"/>
        <v>0.36255794478527603</v>
      </c>
      <c r="BH43" s="108">
        <f t="shared" si="19"/>
        <v>0</v>
      </c>
      <c r="BI43" s="106">
        <v>0</v>
      </c>
      <c r="BJ43" s="106">
        <v>0</v>
      </c>
      <c r="BK43" s="106">
        <v>0</v>
      </c>
      <c r="BL43" s="106">
        <v>3671.6370000000002</v>
      </c>
      <c r="BM43" s="107">
        <f t="shared" si="20"/>
        <v>0.2724170500074195</v>
      </c>
      <c r="BN43" s="108">
        <f t="shared" si="21"/>
        <v>0</v>
      </c>
      <c r="BO43" s="45">
        <v>7668</v>
      </c>
      <c r="BP43" s="45">
        <v>651.2179432800001</v>
      </c>
      <c r="BQ43" s="45"/>
      <c r="BR43" s="109">
        <v>-700</v>
      </c>
      <c r="BS43" s="45">
        <f t="shared" si="22"/>
        <v>0</v>
      </c>
      <c r="BT43" s="45">
        <v>4485</v>
      </c>
      <c r="BU43" s="45">
        <f t="shared" si="22"/>
        <v>4485</v>
      </c>
      <c r="BV43" s="45">
        <v>0</v>
      </c>
      <c r="BW43" s="45">
        <f t="shared" ref="BW43:BY43" si="275">IF(BV43&gt;0,BV43,0)</f>
        <v>0</v>
      </c>
      <c r="BX43" s="45">
        <v>-5000</v>
      </c>
      <c r="BY43" s="45">
        <f t="shared" si="275"/>
        <v>0</v>
      </c>
      <c r="BZ43" s="45">
        <v>-4887.5468975900003</v>
      </c>
      <c r="CA43" s="45">
        <f t="shared" ref="CA43:CC43" si="276">IF(BZ43&gt;0,BZ43,0)</f>
        <v>0</v>
      </c>
      <c r="CB43" s="45">
        <v>-4000</v>
      </c>
      <c r="CC43" s="45">
        <f t="shared" si="276"/>
        <v>0</v>
      </c>
      <c r="CD43" s="45">
        <v>-4800</v>
      </c>
      <c r="CE43" s="45">
        <f t="shared" ref="CE43:CG43" si="277">IF(CD43&gt;0,CD43,0)</f>
        <v>0</v>
      </c>
      <c r="CF43" s="45">
        <v>11975.54459292</v>
      </c>
      <c r="CG43" s="45">
        <f t="shared" si="277"/>
        <v>11975.54459292</v>
      </c>
      <c r="CH43" s="107">
        <f t="shared" si="26"/>
        <v>16460.54459292</v>
      </c>
      <c r="CI43" s="45"/>
      <c r="CJ43" s="109">
        <v>-700</v>
      </c>
      <c r="CK43" s="45">
        <f t="shared" si="27"/>
        <v>700</v>
      </c>
      <c r="CL43" s="45">
        <v>4485</v>
      </c>
      <c r="CM43" s="45">
        <f t="shared" si="27"/>
        <v>0</v>
      </c>
      <c r="CN43" s="45">
        <v>0</v>
      </c>
      <c r="CO43" s="45">
        <f t="shared" ref="CO43:CQ43" si="278">IF(CN43&lt;0,-CN43,0)</f>
        <v>0</v>
      </c>
      <c r="CP43" s="45">
        <v>-5000</v>
      </c>
      <c r="CQ43" s="45">
        <f t="shared" si="278"/>
        <v>5000</v>
      </c>
      <c r="CR43" s="45">
        <v>-4887.5468975900003</v>
      </c>
      <c r="CS43" s="45">
        <f t="shared" ref="CS43:CU43" si="279">IF(CR43&lt;0,-CR43,0)</f>
        <v>4887.5468975900003</v>
      </c>
      <c r="CT43" s="45">
        <v>-4000</v>
      </c>
      <c r="CU43" s="45">
        <f t="shared" si="279"/>
        <v>4000</v>
      </c>
      <c r="CV43" s="45">
        <v>-4800</v>
      </c>
      <c r="CW43" s="45">
        <f t="shared" ref="CW43:CY43" si="280">IF(CV43&lt;0,-CV43,0)</f>
        <v>4800</v>
      </c>
      <c r="CX43" s="45">
        <v>11975.54459292</v>
      </c>
      <c r="CY43" s="45">
        <f t="shared" si="280"/>
        <v>0</v>
      </c>
      <c r="CZ43" s="107">
        <f t="shared" si="31"/>
        <v>19387.54689759</v>
      </c>
      <c r="DA43" s="45"/>
      <c r="DB43" s="110">
        <v>40787.146000000001</v>
      </c>
      <c r="DC43" s="57">
        <v>2121.239</v>
      </c>
      <c r="DD43" s="61">
        <v>1406.3396975158</v>
      </c>
      <c r="DE43" s="61">
        <f t="shared" si="32"/>
        <v>44314.724697515805</v>
      </c>
      <c r="DF43" s="110">
        <v>11559.325999999999</v>
      </c>
      <c r="DG43" s="110">
        <v>62514.411</v>
      </c>
      <c r="DH43" s="57">
        <v>5368</v>
      </c>
      <c r="DI43" s="107">
        <f t="shared" si="33"/>
        <v>67882.410999999993</v>
      </c>
      <c r="DJ43" s="45"/>
      <c r="DK43" s="110">
        <v>930.81399999999996</v>
      </c>
      <c r="DL43" s="57">
        <v>10571.615847326309</v>
      </c>
      <c r="DM43" s="57">
        <f t="shared" si="34"/>
        <v>11502.42984732631</v>
      </c>
      <c r="DN43" s="61">
        <v>1571.461651611138</v>
      </c>
      <c r="DO43" s="61">
        <v>2940.8517230913872</v>
      </c>
      <c r="DP43" s="61">
        <v>0</v>
      </c>
      <c r="DQ43" s="57">
        <f t="shared" si="35"/>
        <v>2940.8517230913872</v>
      </c>
      <c r="DR43" s="57">
        <v>163.38065128285481</v>
      </c>
      <c r="DS43" s="57">
        <v>163.38065128285481</v>
      </c>
      <c r="DT43" s="5"/>
      <c r="DU43" s="73">
        <v>0</v>
      </c>
      <c r="DV43" s="156">
        <v>4945.3735120900001</v>
      </c>
      <c r="DW43" s="155">
        <v>944.58008299999995</v>
      </c>
      <c r="DX43" s="155">
        <v>0</v>
      </c>
      <c r="DY43" s="73">
        <v>0</v>
      </c>
      <c r="DZ43" s="156">
        <v>1553.672292</v>
      </c>
      <c r="EA43" s="73">
        <v>0</v>
      </c>
      <c r="EB43" s="156">
        <v>360.34283499999998</v>
      </c>
      <c r="EC43" s="73">
        <v>0</v>
      </c>
      <c r="ED43" s="156">
        <v>847.5</v>
      </c>
      <c r="EE43" s="73">
        <v>0</v>
      </c>
      <c r="EF43" s="156">
        <v>7397.5988710000001</v>
      </c>
      <c r="EG43" s="73">
        <v>0</v>
      </c>
      <c r="EH43" s="156">
        <v>4945.3735120900001</v>
      </c>
      <c r="EI43" s="159">
        <v>1553.672292</v>
      </c>
      <c r="EJ43" s="162">
        <v>847.5</v>
      </c>
      <c r="EK43" s="165">
        <v>735.83500000000004</v>
      </c>
      <c r="EL43" s="159">
        <v>0</v>
      </c>
      <c r="EM43" s="159">
        <f t="shared" si="36"/>
        <v>9550.0217890000004</v>
      </c>
      <c r="EN43" s="159">
        <f t="shared" si="37"/>
        <v>0</v>
      </c>
      <c r="EP43" s="2">
        <v>20531.867399999999</v>
      </c>
      <c r="EQ43" s="5">
        <f t="shared" si="38"/>
        <v>0.83599999999999997</v>
      </c>
    </row>
    <row r="44" spans="13:147" x14ac:dyDescent="0.35">
      <c r="M44" s="5"/>
      <c r="N44" s="66">
        <f t="shared" si="39"/>
        <v>42</v>
      </c>
      <c r="O44" s="78">
        <v>4814</v>
      </c>
      <c r="P44" s="77">
        <f t="shared" si="6"/>
        <v>5.8000000000000003E-2</v>
      </c>
      <c r="Q44" s="104">
        <v>62.465000000000003</v>
      </c>
      <c r="R44" s="77">
        <f t="shared" si="7"/>
        <v>1.3000000000000001E-2</v>
      </c>
      <c r="S44" s="104">
        <v>1620</v>
      </c>
      <c r="T44" s="77">
        <f t="shared" si="8"/>
        <v>5.3999999999999999E-2</v>
      </c>
      <c r="U44" s="104">
        <v>1811.6532</v>
      </c>
      <c r="V44" s="77">
        <f t="shared" si="221"/>
        <v>0.126</v>
      </c>
      <c r="W44" s="104">
        <v>579.59400000000005</v>
      </c>
      <c r="X44" s="77">
        <f t="shared" si="222"/>
        <v>6.0000000000000005E-2</v>
      </c>
      <c r="Y44" s="104">
        <v>0</v>
      </c>
      <c r="Z44" s="77">
        <f t="shared" si="9"/>
        <v>0</v>
      </c>
      <c r="AA44" s="104">
        <v>0</v>
      </c>
      <c r="AB44" s="77">
        <f t="shared" si="10"/>
        <v>0</v>
      </c>
      <c r="AC44" s="5"/>
      <c r="AD44" s="66">
        <f t="shared" si="40"/>
        <v>42</v>
      </c>
      <c r="AE44" s="78">
        <v>6496.9853999999996</v>
      </c>
      <c r="AF44" s="104">
        <v>832.6</v>
      </c>
      <c r="AG44" s="78">
        <v>181</v>
      </c>
      <c r="AH44" s="61">
        <f t="shared" si="11"/>
        <v>7.2999999999999995E-2</v>
      </c>
      <c r="AI44" s="61">
        <f t="shared" si="12"/>
        <v>0.36199999999999999</v>
      </c>
      <c r="AJ44" s="61">
        <f t="shared" si="13"/>
        <v>0.36199999999999999</v>
      </c>
      <c r="AK44" s="77">
        <v>52.326000000000001</v>
      </c>
      <c r="AL44" s="104">
        <v>686.97239999999999</v>
      </c>
      <c r="AM44" s="61">
        <f t="shared" si="223"/>
        <v>8.1000000000000003E-2</v>
      </c>
      <c r="AN44" s="57">
        <f t="shared" si="224"/>
        <v>5.8999999999999997E-2</v>
      </c>
      <c r="AO44" s="78">
        <v>37999.199999999997</v>
      </c>
      <c r="AP44" s="104">
        <v>21761.325000000001</v>
      </c>
      <c r="AQ44" s="61">
        <f t="shared" si="14"/>
        <v>0.85199999999999998</v>
      </c>
      <c r="AR44" s="57">
        <f t="shared" si="15"/>
        <v>0.92700000000000005</v>
      </c>
      <c r="AS44" s="45"/>
      <c r="AT44" s="78">
        <v>1058.944</v>
      </c>
      <c r="AU44" s="77">
        <f t="shared" si="225"/>
        <v>0.43000008121299732</v>
      </c>
      <c r="AV44" s="78">
        <v>969.31399999999996</v>
      </c>
      <c r="AW44" s="77">
        <f t="shared" si="226"/>
        <v>0.60318232731798382</v>
      </c>
      <c r="AX44" s="78">
        <v>1121.4780000000001</v>
      </c>
      <c r="AY44" s="77">
        <f t="shared" si="16"/>
        <v>0.5784392407674851</v>
      </c>
      <c r="AZ44" s="45"/>
      <c r="BA44" s="75">
        <v>51358.995000000003</v>
      </c>
      <c r="BB44" s="77">
        <f t="shared" si="17"/>
        <v>0.73770491803278682</v>
      </c>
      <c r="BC44" s="45"/>
      <c r="BD44" s="105">
        <v>4914.8729999999996</v>
      </c>
      <c r="BE44" s="45">
        <v>0</v>
      </c>
      <c r="BF44" s="106">
        <v>0</v>
      </c>
      <c r="BG44" s="107">
        <f t="shared" si="18"/>
        <v>0.15076297546012268</v>
      </c>
      <c r="BH44" s="108">
        <f t="shared" si="19"/>
        <v>0</v>
      </c>
      <c r="BI44" s="106">
        <v>0</v>
      </c>
      <c r="BJ44" s="106">
        <v>0</v>
      </c>
      <c r="BK44" s="106">
        <v>0</v>
      </c>
      <c r="BL44" s="106">
        <v>2193.4050000000002</v>
      </c>
      <c r="BM44" s="107">
        <f t="shared" si="20"/>
        <v>0.16273964979967356</v>
      </c>
      <c r="BN44" s="108">
        <f t="shared" si="21"/>
        <v>0</v>
      </c>
      <c r="BO44" s="45">
        <v>7668</v>
      </c>
      <c r="BP44" s="45">
        <v>651.2179432800001</v>
      </c>
      <c r="BQ44" s="45"/>
      <c r="BR44" s="109">
        <v>-700</v>
      </c>
      <c r="BS44" s="45">
        <f t="shared" si="22"/>
        <v>0</v>
      </c>
      <c r="BT44" s="45">
        <v>4485</v>
      </c>
      <c r="BU44" s="45">
        <f t="shared" si="22"/>
        <v>4485</v>
      </c>
      <c r="BV44" s="45">
        <v>0</v>
      </c>
      <c r="BW44" s="45">
        <f t="shared" ref="BW44:BY44" si="281">IF(BV44&gt;0,BV44,0)</f>
        <v>0</v>
      </c>
      <c r="BX44" s="45">
        <v>-5000</v>
      </c>
      <c r="BY44" s="45">
        <f t="shared" si="281"/>
        <v>0</v>
      </c>
      <c r="BZ44" s="45">
        <v>-5300</v>
      </c>
      <c r="CA44" s="45">
        <f t="shared" ref="CA44:CC44" si="282">IF(BZ44&gt;0,BZ44,0)</f>
        <v>0</v>
      </c>
      <c r="CB44" s="45">
        <v>-4000</v>
      </c>
      <c r="CC44" s="45">
        <f t="shared" si="282"/>
        <v>0</v>
      </c>
      <c r="CD44" s="45">
        <v>0</v>
      </c>
      <c r="CE44" s="45">
        <f t="shared" ref="CE44:CG44" si="283">IF(CD44&gt;0,CD44,0)</f>
        <v>0</v>
      </c>
      <c r="CF44" s="45">
        <v>8835.4331314200008</v>
      </c>
      <c r="CG44" s="45">
        <f t="shared" si="283"/>
        <v>8835.4331314200008</v>
      </c>
      <c r="CH44" s="107">
        <f t="shared" si="26"/>
        <v>13320.433131420001</v>
      </c>
      <c r="CI44" s="45"/>
      <c r="CJ44" s="109">
        <v>-700</v>
      </c>
      <c r="CK44" s="45">
        <f t="shared" si="27"/>
        <v>700</v>
      </c>
      <c r="CL44" s="45">
        <v>4485</v>
      </c>
      <c r="CM44" s="45">
        <f t="shared" si="27"/>
        <v>0</v>
      </c>
      <c r="CN44" s="45">
        <v>0</v>
      </c>
      <c r="CO44" s="45">
        <f t="shared" ref="CO44:CQ44" si="284">IF(CN44&lt;0,-CN44,0)</f>
        <v>0</v>
      </c>
      <c r="CP44" s="45">
        <v>-5000</v>
      </c>
      <c r="CQ44" s="45">
        <f t="shared" si="284"/>
        <v>5000</v>
      </c>
      <c r="CR44" s="45">
        <v>-5300</v>
      </c>
      <c r="CS44" s="45">
        <f t="shared" ref="CS44:CU44" si="285">IF(CR44&lt;0,-CR44,0)</f>
        <v>5300</v>
      </c>
      <c r="CT44" s="45">
        <v>-4000</v>
      </c>
      <c r="CU44" s="45">
        <f t="shared" si="285"/>
        <v>4000</v>
      </c>
      <c r="CV44" s="45">
        <v>0</v>
      </c>
      <c r="CW44" s="45">
        <f t="shared" ref="CW44:CY44" si="286">IF(CV44&lt;0,-CV44,0)</f>
        <v>0</v>
      </c>
      <c r="CX44" s="45">
        <v>8835.4331314200008</v>
      </c>
      <c r="CY44" s="45">
        <f t="shared" si="286"/>
        <v>0</v>
      </c>
      <c r="CZ44" s="107">
        <f t="shared" si="31"/>
        <v>15000</v>
      </c>
      <c r="DA44" s="45"/>
      <c r="DB44" s="110">
        <v>42784.913999999997</v>
      </c>
      <c r="DC44" s="57">
        <v>2315.27</v>
      </c>
      <c r="DD44" s="61">
        <v>1485.8459041797</v>
      </c>
      <c r="DE44" s="61">
        <f t="shared" si="32"/>
        <v>46586.029904179697</v>
      </c>
      <c r="DF44" s="110">
        <v>10723.933999999999</v>
      </c>
      <c r="DG44" s="110">
        <v>67092.410999999993</v>
      </c>
      <c r="DH44" s="57">
        <v>5445</v>
      </c>
      <c r="DI44" s="107">
        <f t="shared" si="33"/>
        <v>72537.410999999993</v>
      </c>
      <c r="DJ44" s="45"/>
      <c r="DK44" s="110">
        <v>924.00800000000004</v>
      </c>
      <c r="DL44" s="57">
        <v>10571.615847326309</v>
      </c>
      <c r="DM44" s="57">
        <f t="shared" si="34"/>
        <v>11495.623847326309</v>
      </c>
      <c r="DN44" s="61">
        <v>1571.461651611138</v>
      </c>
      <c r="DO44" s="61">
        <v>2940.8517230913872</v>
      </c>
      <c r="DP44" s="61">
        <v>0</v>
      </c>
      <c r="DQ44" s="57">
        <f t="shared" si="35"/>
        <v>2940.8517230913872</v>
      </c>
      <c r="DR44" s="57">
        <v>163.38065128285481</v>
      </c>
      <c r="DS44" s="57">
        <v>163.38065128285481</v>
      </c>
      <c r="DT44" s="5"/>
      <c r="DU44" s="73">
        <v>0</v>
      </c>
      <c r="DV44" s="156">
        <v>3900.47351209</v>
      </c>
      <c r="DW44" s="155">
        <v>806.43605032000005</v>
      </c>
      <c r="DX44" s="155">
        <v>0</v>
      </c>
      <c r="DY44" s="73">
        <v>0</v>
      </c>
      <c r="DZ44" s="156">
        <v>1553.672292</v>
      </c>
      <c r="EA44" s="73">
        <v>0</v>
      </c>
      <c r="EB44" s="156">
        <v>0</v>
      </c>
      <c r="EC44" s="73">
        <v>0</v>
      </c>
      <c r="ED44" s="156">
        <v>847.5</v>
      </c>
      <c r="EE44" s="73">
        <v>0</v>
      </c>
      <c r="EF44" s="156">
        <v>6851.1857386800002</v>
      </c>
      <c r="EG44" s="73">
        <v>0</v>
      </c>
      <c r="EH44" s="156">
        <v>3900.47351209</v>
      </c>
      <c r="EI44" s="159">
        <v>1553.672292</v>
      </c>
      <c r="EJ44" s="162">
        <v>847.5</v>
      </c>
      <c r="EK44" s="165">
        <v>735.83500000000004</v>
      </c>
      <c r="EL44" s="159">
        <v>0</v>
      </c>
      <c r="EM44" s="159">
        <f t="shared" si="36"/>
        <v>8505.1217890000007</v>
      </c>
      <c r="EN44" s="159">
        <f t="shared" si="37"/>
        <v>0</v>
      </c>
      <c r="EP44" s="2">
        <v>20531.867399999999</v>
      </c>
      <c r="EQ44" s="5">
        <f t="shared" si="38"/>
        <v>0.83599999999999997</v>
      </c>
    </row>
    <row r="45" spans="13:147" x14ac:dyDescent="0.35">
      <c r="M45" s="5"/>
      <c r="N45" s="66">
        <f t="shared" si="39"/>
        <v>43</v>
      </c>
      <c r="O45" s="78">
        <v>0</v>
      </c>
      <c r="P45" s="77">
        <f t="shared" si="6"/>
        <v>0</v>
      </c>
      <c r="Q45" s="104">
        <v>0</v>
      </c>
      <c r="R45" s="77">
        <f t="shared" si="7"/>
        <v>0</v>
      </c>
      <c r="S45" s="104">
        <v>0</v>
      </c>
      <c r="T45" s="77">
        <f t="shared" si="8"/>
        <v>0</v>
      </c>
      <c r="U45" s="104">
        <v>0</v>
      </c>
      <c r="V45" s="77">
        <f t="shared" si="221"/>
        <v>0</v>
      </c>
      <c r="W45" s="104">
        <v>0</v>
      </c>
      <c r="X45" s="77">
        <f t="shared" si="222"/>
        <v>0</v>
      </c>
      <c r="Y45" s="104">
        <v>0</v>
      </c>
      <c r="Z45" s="77">
        <f t="shared" si="9"/>
        <v>0</v>
      </c>
      <c r="AA45" s="104">
        <v>0</v>
      </c>
      <c r="AB45" s="77">
        <f t="shared" si="10"/>
        <v>0</v>
      </c>
      <c r="AC45" s="5"/>
      <c r="AD45" s="66">
        <f t="shared" si="40"/>
        <v>43</v>
      </c>
      <c r="AE45" s="78">
        <v>10323.9768</v>
      </c>
      <c r="AF45" s="104">
        <v>784.3</v>
      </c>
      <c r="AG45" s="78">
        <v>170.5</v>
      </c>
      <c r="AH45" s="61">
        <f t="shared" si="11"/>
        <v>0.11600000000000001</v>
      </c>
      <c r="AI45" s="61">
        <f t="shared" si="12"/>
        <v>0.34099999999999997</v>
      </c>
      <c r="AJ45" s="61">
        <f t="shared" si="13"/>
        <v>0.34100000000000003</v>
      </c>
      <c r="AK45" s="77">
        <v>68.475999999999999</v>
      </c>
      <c r="AL45" s="104">
        <v>1851.3324</v>
      </c>
      <c r="AM45" s="61">
        <f t="shared" si="223"/>
        <v>0.106</v>
      </c>
      <c r="AN45" s="57">
        <f t="shared" si="224"/>
        <v>0.159</v>
      </c>
      <c r="AO45" s="78">
        <v>38133</v>
      </c>
      <c r="AP45" s="104">
        <v>21784.799999999999</v>
      </c>
      <c r="AQ45" s="61">
        <f t="shared" si="14"/>
        <v>0.85499999999999998</v>
      </c>
      <c r="AR45" s="57">
        <f t="shared" si="15"/>
        <v>0.92799999999999994</v>
      </c>
      <c r="AS45" s="45"/>
      <c r="AT45" s="78">
        <v>1073.72</v>
      </c>
      <c r="AU45" s="77">
        <f t="shared" si="225"/>
        <v>0.43600009745559681</v>
      </c>
      <c r="AV45" s="78">
        <v>973.96</v>
      </c>
      <c r="AW45" s="77">
        <f t="shared" si="226"/>
        <v>0.60607342874922221</v>
      </c>
      <c r="AX45" s="78">
        <v>1121.4780000000001</v>
      </c>
      <c r="AY45" s="77">
        <f t="shared" si="16"/>
        <v>0.5784392407674851</v>
      </c>
      <c r="AZ45" s="45"/>
      <c r="BA45" s="75">
        <v>51358.995000000003</v>
      </c>
      <c r="BB45" s="77">
        <f t="shared" si="17"/>
        <v>0.73770491803278682</v>
      </c>
      <c r="BC45" s="45"/>
      <c r="BD45" s="105">
        <v>4393.4989999999998</v>
      </c>
      <c r="BE45" s="45">
        <v>0</v>
      </c>
      <c r="BF45" s="106">
        <v>0</v>
      </c>
      <c r="BG45" s="107">
        <f t="shared" si="18"/>
        <v>0.13476990797546012</v>
      </c>
      <c r="BH45" s="108">
        <f t="shared" si="19"/>
        <v>0</v>
      </c>
      <c r="BI45" s="106">
        <v>0</v>
      </c>
      <c r="BJ45" s="106">
        <v>0</v>
      </c>
      <c r="BK45" s="106">
        <v>0</v>
      </c>
      <c r="BL45" s="106">
        <v>1356.009</v>
      </c>
      <c r="BM45" s="107">
        <f t="shared" si="20"/>
        <v>0.10060906662709601</v>
      </c>
      <c r="BN45" s="108">
        <f t="shared" si="21"/>
        <v>0</v>
      </c>
      <c r="BO45" s="45">
        <v>7668</v>
      </c>
      <c r="BP45" s="45">
        <v>650.75806136999995</v>
      </c>
      <c r="BQ45" s="45"/>
      <c r="BR45" s="109">
        <v>-700</v>
      </c>
      <c r="BS45" s="45">
        <f t="shared" si="22"/>
        <v>0</v>
      </c>
      <c r="BT45" s="45">
        <v>4485</v>
      </c>
      <c r="BU45" s="45">
        <f t="shared" si="22"/>
        <v>4485</v>
      </c>
      <c r="BV45" s="45">
        <v>0</v>
      </c>
      <c r="BW45" s="45">
        <f t="shared" ref="BW45:BY45" si="287">IF(BV45&gt;0,BV45,0)</f>
        <v>0</v>
      </c>
      <c r="BX45" s="45">
        <v>-5000</v>
      </c>
      <c r="BY45" s="45">
        <f t="shared" si="287"/>
        <v>0</v>
      </c>
      <c r="BZ45" s="45">
        <v>-5300</v>
      </c>
      <c r="CA45" s="45">
        <f t="shared" ref="CA45:CC45" si="288">IF(BZ45&gt;0,BZ45,0)</f>
        <v>0</v>
      </c>
      <c r="CB45" s="45">
        <v>-4000</v>
      </c>
      <c r="CC45" s="45">
        <f t="shared" si="288"/>
        <v>0</v>
      </c>
      <c r="CD45" s="45">
        <v>4012.47714365</v>
      </c>
      <c r="CE45" s="45">
        <f t="shared" ref="CE45:CG45" si="289">IF(CD45&gt;0,CD45,0)</f>
        <v>4012.47714365</v>
      </c>
      <c r="CF45" s="45">
        <v>9159.1316540600001</v>
      </c>
      <c r="CG45" s="45">
        <f t="shared" si="289"/>
        <v>9159.1316540600001</v>
      </c>
      <c r="CH45" s="107">
        <f t="shared" si="26"/>
        <v>17656.60879771</v>
      </c>
      <c r="CI45" s="45"/>
      <c r="CJ45" s="109">
        <v>-700</v>
      </c>
      <c r="CK45" s="45">
        <f t="shared" si="27"/>
        <v>700</v>
      </c>
      <c r="CL45" s="45">
        <v>4485</v>
      </c>
      <c r="CM45" s="45">
        <f t="shared" si="27"/>
        <v>0</v>
      </c>
      <c r="CN45" s="45">
        <v>0</v>
      </c>
      <c r="CO45" s="45">
        <f t="shared" ref="CO45:CQ45" si="290">IF(CN45&lt;0,-CN45,0)</f>
        <v>0</v>
      </c>
      <c r="CP45" s="45">
        <v>-5000</v>
      </c>
      <c r="CQ45" s="45">
        <f t="shared" si="290"/>
        <v>5000</v>
      </c>
      <c r="CR45" s="45">
        <v>-5300</v>
      </c>
      <c r="CS45" s="45">
        <f t="shared" ref="CS45:CU45" si="291">IF(CR45&lt;0,-CR45,0)</f>
        <v>5300</v>
      </c>
      <c r="CT45" s="45">
        <v>-4000</v>
      </c>
      <c r="CU45" s="45">
        <f t="shared" si="291"/>
        <v>4000</v>
      </c>
      <c r="CV45" s="45">
        <v>4012.47714365</v>
      </c>
      <c r="CW45" s="45">
        <f t="shared" ref="CW45:CY45" si="292">IF(CV45&lt;0,-CV45,0)</f>
        <v>0</v>
      </c>
      <c r="CX45" s="45">
        <v>9159.1316540600001</v>
      </c>
      <c r="CY45" s="45">
        <f t="shared" si="292"/>
        <v>0</v>
      </c>
      <c r="CZ45" s="107">
        <f t="shared" si="31"/>
        <v>15000</v>
      </c>
      <c r="DA45" s="45"/>
      <c r="DB45" s="110">
        <v>44132.02</v>
      </c>
      <c r="DC45" s="57">
        <v>2318.067</v>
      </c>
      <c r="DD45" s="61">
        <v>1614.7282584872</v>
      </c>
      <c r="DE45" s="61">
        <f t="shared" si="32"/>
        <v>48064.8152584872</v>
      </c>
      <c r="DF45" s="110">
        <v>10372.995999999999</v>
      </c>
      <c r="DG45" s="110">
        <v>69318.410999999993</v>
      </c>
      <c r="DH45" s="57">
        <v>4974</v>
      </c>
      <c r="DI45" s="107">
        <f t="shared" si="33"/>
        <v>74292.410999999993</v>
      </c>
      <c r="DJ45" s="45"/>
      <c r="DK45" s="110">
        <v>916.00900000000001</v>
      </c>
      <c r="DL45" s="57">
        <v>10555.905846475949</v>
      </c>
      <c r="DM45" s="57">
        <f t="shared" si="34"/>
        <v>11471.914846475949</v>
      </c>
      <c r="DN45" s="61">
        <v>1571.461651611138</v>
      </c>
      <c r="DO45" s="61">
        <v>2932.5738486661439</v>
      </c>
      <c r="DP45" s="61">
        <v>0</v>
      </c>
      <c r="DQ45" s="57">
        <f t="shared" si="35"/>
        <v>2932.5738486661439</v>
      </c>
      <c r="DR45" s="57">
        <v>162.92076937034139</v>
      </c>
      <c r="DS45" s="57">
        <v>162.92076937034139</v>
      </c>
      <c r="DT45" s="5"/>
      <c r="DU45" s="73">
        <v>0</v>
      </c>
      <c r="DV45" s="156">
        <v>2856.033394</v>
      </c>
      <c r="DW45" s="155">
        <v>657.97380666000004</v>
      </c>
      <c r="DX45" s="155">
        <v>0</v>
      </c>
      <c r="DY45" s="73">
        <v>0</v>
      </c>
      <c r="DZ45" s="156">
        <v>1553.672292</v>
      </c>
      <c r="EA45" s="73">
        <v>0</v>
      </c>
      <c r="EB45" s="156">
        <v>0</v>
      </c>
      <c r="EC45" s="73">
        <v>0</v>
      </c>
      <c r="ED45" s="156">
        <v>847.5</v>
      </c>
      <c r="EE45" s="73">
        <v>0</v>
      </c>
      <c r="EF45" s="156">
        <v>5963.4857386800004</v>
      </c>
      <c r="EG45" s="73">
        <v>0</v>
      </c>
      <c r="EH45" s="156">
        <v>2856.033394</v>
      </c>
      <c r="EI45" s="159">
        <v>1553.672292</v>
      </c>
      <c r="EJ45" s="162">
        <v>847.5</v>
      </c>
      <c r="EK45" s="165">
        <v>735.83500000000004</v>
      </c>
      <c r="EL45" s="159">
        <v>0</v>
      </c>
      <c r="EM45" s="159">
        <f t="shared" si="36"/>
        <v>7468.9595453400007</v>
      </c>
      <c r="EN45" s="159">
        <f t="shared" si="37"/>
        <v>0</v>
      </c>
      <c r="EP45" s="2">
        <v>20998.500749999999</v>
      </c>
      <c r="EQ45" s="5">
        <f t="shared" si="38"/>
        <v>0.85499999999999987</v>
      </c>
    </row>
    <row r="46" spans="13:147" x14ac:dyDescent="0.35">
      <c r="M46" s="5"/>
      <c r="N46" s="66">
        <f t="shared" si="39"/>
        <v>44</v>
      </c>
      <c r="O46" s="78">
        <v>0</v>
      </c>
      <c r="P46" s="77">
        <f t="shared" si="6"/>
        <v>0</v>
      </c>
      <c r="Q46" s="104">
        <v>0</v>
      </c>
      <c r="R46" s="77">
        <f t="shared" si="7"/>
        <v>0</v>
      </c>
      <c r="S46" s="104">
        <v>0</v>
      </c>
      <c r="T46" s="77">
        <f t="shared" si="8"/>
        <v>0</v>
      </c>
      <c r="U46" s="104">
        <v>0</v>
      </c>
      <c r="V46" s="77">
        <f t="shared" si="221"/>
        <v>0</v>
      </c>
      <c r="W46" s="104">
        <v>0</v>
      </c>
      <c r="X46" s="77">
        <f t="shared" si="222"/>
        <v>0</v>
      </c>
      <c r="Y46" s="104">
        <v>0</v>
      </c>
      <c r="Z46" s="77">
        <f t="shared" si="9"/>
        <v>0</v>
      </c>
      <c r="AA46" s="104">
        <v>0</v>
      </c>
      <c r="AB46" s="77">
        <f t="shared" si="10"/>
        <v>0</v>
      </c>
      <c r="AC46" s="5"/>
      <c r="AD46" s="66">
        <f t="shared" si="40"/>
        <v>44</v>
      </c>
      <c r="AE46" s="78">
        <v>12281.972400000001</v>
      </c>
      <c r="AF46" s="104">
        <v>710.7</v>
      </c>
      <c r="AG46" s="78">
        <v>154.5</v>
      </c>
      <c r="AH46" s="61">
        <f t="shared" si="11"/>
        <v>0.13800000000000001</v>
      </c>
      <c r="AI46" s="61">
        <f t="shared" si="12"/>
        <v>0.309</v>
      </c>
      <c r="AJ46" s="61">
        <f t="shared" si="13"/>
        <v>0.309</v>
      </c>
      <c r="AK46" s="77">
        <v>80.103999999999999</v>
      </c>
      <c r="AL46" s="104">
        <v>2584.8791999999999</v>
      </c>
      <c r="AM46" s="61">
        <f t="shared" si="223"/>
        <v>0.124</v>
      </c>
      <c r="AN46" s="57">
        <f t="shared" si="224"/>
        <v>0.22199999999999998</v>
      </c>
      <c r="AO46" s="78">
        <v>38311.4</v>
      </c>
      <c r="AP46" s="104">
        <v>21878.7</v>
      </c>
      <c r="AQ46" s="61">
        <f t="shared" si="14"/>
        <v>0.85899999999999999</v>
      </c>
      <c r="AR46" s="57">
        <f t="shared" si="15"/>
        <v>0.93200000000000005</v>
      </c>
      <c r="AS46" s="45"/>
      <c r="AT46" s="78">
        <v>1090.9580000000001</v>
      </c>
      <c r="AU46" s="77">
        <f t="shared" si="225"/>
        <v>0.44299984569530515</v>
      </c>
      <c r="AV46" s="78">
        <v>982.16099999999994</v>
      </c>
      <c r="AW46" s="77">
        <f t="shared" si="226"/>
        <v>0.61117672682016178</v>
      </c>
      <c r="AX46" s="78">
        <v>1121.4780000000001</v>
      </c>
      <c r="AY46" s="77">
        <f t="shared" si="16"/>
        <v>0.5784392407674851</v>
      </c>
      <c r="AZ46" s="45"/>
      <c r="BA46" s="75">
        <v>51358.995000000003</v>
      </c>
      <c r="BB46" s="77">
        <f t="shared" si="17"/>
        <v>0.73770491803278682</v>
      </c>
      <c r="BC46" s="45"/>
      <c r="BD46" s="105">
        <v>5254.4669999999996</v>
      </c>
      <c r="BE46" s="45">
        <v>0</v>
      </c>
      <c r="BF46" s="106">
        <v>0</v>
      </c>
      <c r="BG46" s="107">
        <f t="shared" si="18"/>
        <v>0.16117996932515335</v>
      </c>
      <c r="BH46" s="108">
        <f t="shared" si="19"/>
        <v>0</v>
      </c>
      <c r="BI46" s="106">
        <v>0</v>
      </c>
      <c r="BJ46" s="106">
        <v>0</v>
      </c>
      <c r="BK46" s="106">
        <v>0</v>
      </c>
      <c r="BL46" s="106">
        <v>1553.8810000000001</v>
      </c>
      <c r="BM46" s="107">
        <f t="shared" si="20"/>
        <v>0.11529017658406292</v>
      </c>
      <c r="BN46" s="108">
        <f t="shared" si="21"/>
        <v>0</v>
      </c>
      <c r="BO46" s="45">
        <v>7668</v>
      </c>
      <c r="BP46" s="45">
        <v>650.29817945000002</v>
      </c>
      <c r="BQ46" s="45"/>
      <c r="BR46" s="109">
        <v>-700</v>
      </c>
      <c r="BS46" s="45">
        <f t="shared" si="22"/>
        <v>0</v>
      </c>
      <c r="BT46" s="45">
        <v>4485</v>
      </c>
      <c r="BU46" s="45">
        <f t="shared" si="22"/>
        <v>4485</v>
      </c>
      <c r="BV46" s="45">
        <v>0</v>
      </c>
      <c r="BW46" s="45">
        <f t="shared" ref="BW46:BY46" si="293">IF(BV46&gt;0,BV46,0)</f>
        <v>0</v>
      </c>
      <c r="BX46" s="45">
        <v>-5000</v>
      </c>
      <c r="BY46" s="45">
        <f t="shared" si="293"/>
        <v>0</v>
      </c>
      <c r="BZ46" s="45">
        <v>-5300</v>
      </c>
      <c r="CA46" s="45">
        <f t="shared" ref="CA46:CC46" si="294">IF(BZ46&gt;0,BZ46,0)</f>
        <v>0</v>
      </c>
      <c r="CB46" s="45">
        <v>-4000</v>
      </c>
      <c r="CC46" s="45">
        <f t="shared" si="294"/>
        <v>0</v>
      </c>
      <c r="CD46" s="45">
        <v>4800</v>
      </c>
      <c r="CE46" s="45">
        <f t="shared" ref="CE46:CG46" si="295">IF(CD46&gt;0,CD46,0)</f>
        <v>4800</v>
      </c>
      <c r="CF46" s="45">
        <v>9240.3965691899994</v>
      </c>
      <c r="CG46" s="45">
        <f t="shared" si="295"/>
        <v>9240.3965691899994</v>
      </c>
      <c r="CH46" s="107">
        <f t="shared" si="26"/>
        <v>18525.396569190001</v>
      </c>
      <c r="CI46" s="45"/>
      <c r="CJ46" s="109">
        <v>-700</v>
      </c>
      <c r="CK46" s="45">
        <f t="shared" si="27"/>
        <v>700</v>
      </c>
      <c r="CL46" s="45">
        <v>4485</v>
      </c>
      <c r="CM46" s="45">
        <f t="shared" si="27"/>
        <v>0</v>
      </c>
      <c r="CN46" s="45">
        <v>0</v>
      </c>
      <c r="CO46" s="45">
        <f t="shared" ref="CO46:CQ46" si="296">IF(CN46&lt;0,-CN46,0)</f>
        <v>0</v>
      </c>
      <c r="CP46" s="45">
        <v>-5000</v>
      </c>
      <c r="CQ46" s="45">
        <f t="shared" si="296"/>
        <v>5000</v>
      </c>
      <c r="CR46" s="45">
        <v>-5300</v>
      </c>
      <c r="CS46" s="45">
        <f t="shared" ref="CS46:CU46" si="297">IF(CR46&lt;0,-CR46,0)</f>
        <v>5300</v>
      </c>
      <c r="CT46" s="45">
        <v>-4000</v>
      </c>
      <c r="CU46" s="45">
        <f t="shared" si="297"/>
        <v>4000</v>
      </c>
      <c r="CV46" s="45">
        <v>4800</v>
      </c>
      <c r="CW46" s="45">
        <f t="shared" ref="CW46:CY46" si="298">IF(CV46&lt;0,-CV46,0)</f>
        <v>0</v>
      </c>
      <c r="CX46" s="45">
        <v>9240.3965691899994</v>
      </c>
      <c r="CY46" s="45">
        <f t="shared" si="298"/>
        <v>0</v>
      </c>
      <c r="CZ46" s="107">
        <f t="shared" si="31"/>
        <v>15000</v>
      </c>
      <c r="DA46" s="45"/>
      <c r="DB46" s="110">
        <v>43800.239000000001</v>
      </c>
      <c r="DC46" s="57">
        <v>2319.5320000000002</v>
      </c>
      <c r="DD46" s="61">
        <v>1770.278058696</v>
      </c>
      <c r="DE46" s="61">
        <f t="shared" si="32"/>
        <v>47890.049058696</v>
      </c>
      <c r="DF46" s="110">
        <v>10446.505999999999</v>
      </c>
      <c r="DG46" s="110">
        <v>67996.410999999993</v>
      </c>
      <c r="DH46" s="57">
        <v>4496</v>
      </c>
      <c r="DI46" s="107">
        <f t="shared" si="33"/>
        <v>72492.410999999993</v>
      </c>
      <c r="DJ46" s="45"/>
      <c r="DK46" s="110">
        <v>895.70799999999997</v>
      </c>
      <c r="DL46" s="57">
        <v>10540.1958456256</v>
      </c>
      <c r="DM46" s="57">
        <f t="shared" si="34"/>
        <v>11435.9038456256</v>
      </c>
      <c r="DN46" s="61">
        <v>1416.7935308581391</v>
      </c>
      <c r="DO46" s="61">
        <v>2924.2959742409021</v>
      </c>
      <c r="DP46" s="61">
        <v>0</v>
      </c>
      <c r="DQ46" s="57">
        <f t="shared" si="35"/>
        <v>2924.2959742409021</v>
      </c>
      <c r="DR46" s="57">
        <v>162.46088745782791</v>
      </c>
      <c r="DS46" s="57">
        <v>162.46088745782791</v>
      </c>
      <c r="DT46" s="5"/>
      <c r="DU46" s="73">
        <v>0</v>
      </c>
      <c r="DV46" s="156">
        <v>1811.5932759100001</v>
      </c>
      <c r="DW46" s="155">
        <v>406.39380666</v>
      </c>
      <c r="DX46" s="155">
        <v>0</v>
      </c>
      <c r="DY46" s="73">
        <v>0</v>
      </c>
      <c r="DZ46" s="156">
        <v>1553.672292</v>
      </c>
      <c r="EA46" s="73">
        <v>0</v>
      </c>
      <c r="EB46" s="156">
        <v>0</v>
      </c>
      <c r="EC46" s="73">
        <v>0</v>
      </c>
      <c r="ED46" s="156">
        <v>847.5</v>
      </c>
      <c r="EE46" s="73">
        <v>0</v>
      </c>
      <c r="EF46" s="156">
        <v>5178.9034950100004</v>
      </c>
      <c r="EG46" s="73">
        <v>0</v>
      </c>
      <c r="EH46" s="156">
        <v>1811.5932759100001</v>
      </c>
      <c r="EI46" s="159">
        <v>1553.672292</v>
      </c>
      <c r="EJ46" s="162">
        <v>847.5</v>
      </c>
      <c r="EK46" s="165">
        <v>735.83500000000004</v>
      </c>
      <c r="EL46" s="159">
        <v>0</v>
      </c>
      <c r="EM46" s="159">
        <f t="shared" si="36"/>
        <v>6432.7973016699998</v>
      </c>
      <c r="EN46" s="159">
        <f t="shared" si="37"/>
        <v>0</v>
      </c>
      <c r="EP46" s="2">
        <v>20998.500749999999</v>
      </c>
      <c r="EQ46" s="5">
        <f t="shared" si="38"/>
        <v>0.85499999999999987</v>
      </c>
    </row>
    <row r="47" spans="13:147" x14ac:dyDescent="0.35">
      <c r="M47" s="5"/>
      <c r="N47" s="66">
        <f t="shared" si="39"/>
        <v>45</v>
      </c>
      <c r="O47" s="78">
        <v>0</v>
      </c>
      <c r="P47" s="77">
        <f t="shared" si="6"/>
        <v>0</v>
      </c>
      <c r="Q47" s="104">
        <v>0</v>
      </c>
      <c r="R47" s="77">
        <f t="shared" si="7"/>
        <v>0</v>
      </c>
      <c r="S47" s="104">
        <v>0</v>
      </c>
      <c r="T47" s="77">
        <f t="shared" si="8"/>
        <v>0</v>
      </c>
      <c r="U47" s="104">
        <v>0</v>
      </c>
      <c r="V47" s="77">
        <f t="shared" si="221"/>
        <v>0</v>
      </c>
      <c r="W47" s="104">
        <v>0</v>
      </c>
      <c r="X47" s="77">
        <f t="shared" si="222"/>
        <v>0</v>
      </c>
      <c r="Y47" s="104">
        <v>0</v>
      </c>
      <c r="Z47" s="77">
        <f t="shared" si="9"/>
        <v>0</v>
      </c>
      <c r="AA47" s="104">
        <v>0</v>
      </c>
      <c r="AB47" s="77">
        <f t="shared" si="10"/>
        <v>0</v>
      </c>
      <c r="AC47" s="5"/>
      <c r="AD47" s="66">
        <f t="shared" si="40"/>
        <v>45</v>
      </c>
      <c r="AE47" s="78">
        <v>11658.9738</v>
      </c>
      <c r="AF47" s="104">
        <v>637.1</v>
      </c>
      <c r="AG47" s="78">
        <v>138.5</v>
      </c>
      <c r="AH47" s="61">
        <f t="shared" si="11"/>
        <v>0.13100000000000001</v>
      </c>
      <c r="AI47" s="61">
        <f t="shared" si="12"/>
        <v>0.27700000000000002</v>
      </c>
      <c r="AJ47" s="61">
        <f t="shared" si="13"/>
        <v>0.27700000000000002</v>
      </c>
      <c r="AK47" s="77">
        <v>84.626000000000005</v>
      </c>
      <c r="AL47" s="104">
        <v>2596.5228000000002</v>
      </c>
      <c r="AM47" s="61">
        <f t="shared" si="223"/>
        <v>0.13100000000000001</v>
      </c>
      <c r="AN47" s="57">
        <f t="shared" si="224"/>
        <v>0.223</v>
      </c>
      <c r="AO47" s="78">
        <v>38445.199999999997</v>
      </c>
      <c r="AP47" s="104">
        <v>21949.125</v>
      </c>
      <c r="AQ47" s="61">
        <f t="shared" si="14"/>
        <v>0.86199999999999999</v>
      </c>
      <c r="AR47" s="57">
        <f t="shared" si="15"/>
        <v>0.93500000000000005</v>
      </c>
      <c r="AS47" s="45"/>
      <c r="AT47" s="78">
        <v>1113.1220000000001</v>
      </c>
      <c r="AU47" s="77">
        <f t="shared" si="225"/>
        <v>0.45199987005920433</v>
      </c>
      <c r="AV47" s="78">
        <v>986.38400000000001</v>
      </c>
      <c r="AW47" s="77">
        <f t="shared" si="226"/>
        <v>0.61380460485376476</v>
      </c>
      <c r="AX47" s="78">
        <v>1121.4780000000001</v>
      </c>
      <c r="AY47" s="77">
        <f t="shared" si="16"/>
        <v>0.5784392407674851</v>
      </c>
      <c r="AZ47" s="45"/>
      <c r="BA47" s="75">
        <v>51358.995000000003</v>
      </c>
      <c r="BB47" s="77">
        <f t="shared" si="17"/>
        <v>0.73770491803278682</v>
      </c>
      <c r="BC47" s="45"/>
      <c r="BD47" s="105">
        <v>4963.4319999999998</v>
      </c>
      <c r="BE47" s="45">
        <v>0</v>
      </c>
      <c r="BF47" s="106">
        <v>0</v>
      </c>
      <c r="BG47" s="107">
        <f t="shared" si="18"/>
        <v>0.15225251533742332</v>
      </c>
      <c r="BH47" s="108">
        <f t="shared" si="19"/>
        <v>0</v>
      </c>
      <c r="BI47" s="106">
        <v>0</v>
      </c>
      <c r="BJ47" s="106">
        <v>0</v>
      </c>
      <c r="BK47" s="106">
        <v>0</v>
      </c>
      <c r="BL47" s="106">
        <v>1627.6849999999999</v>
      </c>
      <c r="BM47" s="107">
        <f t="shared" si="20"/>
        <v>0.12076606321412672</v>
      </c>
      <c r="BN47" s="108">
        <f t="shared" si="21"/>
        <v>0</v>
      </c>
      <c r="BO47" s="45">
        <v>7668</v>
      </c>
      <c r="BP47" s="45">
        <v>649.83829754999999</v>
      </c>
      <c r="BQ47" s="45"/>
      <c r="BR47" s="109">
        <v>-700</v>
      </c>
      <c r="BS47" s="45">
        <f t="shared" si="22"/>
        <v>0</v>
      </c>
      <c r="BT47" s="45">
        <v>4485</v>
      </c>
      <c r="BU47" s="45">
        <f t="shared" si="22"/>
        <v>4485</v>
      </c>
      <c r="BV47" s="45">
        <v>0</v>
      </c>
      <c r="BW47" s="45">
        <f t="shared" ref="BW47:BY47" si="299">IF(BV47&gt;0,BV47,0)</f>
        <v>0</v>
      </c>
      <c r="BX47" s="45">
        <v>-5000</v>
      </c>
      <c r="BY47" s="45">
        <f t="shared" si="299"/>
        <v>0</v>
      </c>
      <c r="BZ47" s="45">
        <v>-5300</v>
      </c>
      <c r="CA47" s="45">
        <f t="shared" ref="CA47:CC47" si="300">IF(BZ47&gt;0,BZ47,0)</f>
        <v>0</v>
      </c>
      <c r="CB47" s="45">
        <v>-4000</v>
      </c>
      <c r="CC47" s="45">
        <f t="shared" si="300"/>
        <v>0</v>
      </c>
      <c r="CD47" s="45">
        <v>4800</v>
      </c>
      <c r="CE47" s="45">
        <f t="shared" ref="CE47:CG47" si="301">IF(CD47&gt;0,CD47,0)</f>
        <v>4800</v>
      </c>
      <c r="CF47" s="45">
        <v>12748.31583474</v>
      </c>
      <c r="CG47" s="45">
        <f t="shared" si="301"/>
        <v>12748.31583474</v>
      </c>
      <c r="CH47" s="107">
        <f t="shared" si="26"/>
        <v>22033.315834740002</v>
      </c>
      <c r="CI47" s="45"/>
      <c r="CJ47" s="109">
        <v>-700</v>
      </c>
      <c r="CK47" s="45">
        <f t="shared" si="27"/>
        <v>700</v>
      </c>
      <c r="CL47" s="45">
        <v>4485</v>
      </c>
      <c r="CM47" s="45">
        <f t="shared" si="27"/>
        <v>0</v>
      </c>
      <c r="CN47" s="45">
        <v>0</v>
      </c>
      <c r="CO47" s="45">
        <f t="shared" ref="CO47:CQ47" si="302">IF(CN47&lt;0,-CN47,0)</f>
        <v>0</v>
      </c>
      <c r="CP47" s="45">
        <v>-5000</v>
      </c>
      <c r="CQ47" s="45">
        <f t="shared" si="302"/>
        <v>5000</v>
      </c>
      <c r="CR47" s="45">
        <v>-5300</v>
      </c>
      <c r="CS47" s="45">
        <f t="shared" ref="CS47:CU47" si="303">IF(CR47&lt;0,-CR47,0)</f>
        <v>5300</v>
      </c>
      <c r="CT47" s="45">
        <v>-4000</v>
      </c>
      <c r="CU47" s="45">
        <f t="shared" si="303"/>
        <v>4000</v>
      </c>
      <c r="CV47" s="45">
        <v>4800</v>
      </c>
      <c r="CW47" s="45">
        <f t="shared" ref="CW47:CY47" si="304">IF(CV47&lt;0,-CV47,0)</f>
        <v>0</v>
      </c>
      <c r="CX47" s="45">
        <v>12748.31583474</v>
      </c>
      <c r="CY47" s="45">
        <f t="shared" si="304"/>
        <v>0</v>
      </c>
      <c r="CZ47" s="107">
        <f t="shared" si="31"/>
        <v>15000</v>
      </c>
      <c r="DA47" s="45"/>
      <c r="DB47" s="110">
        <v>42189.523999999998</v>
      </c>
      <c r="DC47" s="57">
        <v>2320.047</v>
      </c>
      <c r="DD47" s="61">
        <v>1772.2870553065</v>
      </c>
      <c r="DE47" s="61">
        <f t="shared" si="32"/>
        <v>46281.858055306497</v>
      </c>
      <c r="DF47" s="110">
        <v>10079.548000000001</v>
      </c>
      <c r="DG47" s="110">
        <v>64037.411</v>
      </c>
      <c r="DH47" s="57">
        <v>4470</v>
      </c>
      <c r="DI47" s="107">
        <f t="shared" si="33"/>
        <v>68507.410999999993</v>
      </c>
      <c r="DJ47" s="45"/>
      <c r="DK47" s="110">
        <v>849.76900000000001</v>
      </c>
      <c r="DL47" s="57">
        <v>10524.485844775239</v>
      </c>
      <c r="DM47" s="57">
        <f t="shared" si="34"/>
        <v>11374.25484477524</v>
      </c>
      <c r="DN47" s="61">
        <v>1313.6814503561391</v>
      </c>
      <c r="DO47" s="61">
        <v>2916.0180998156602</v>
      </c>
      <c r="DP47" s="61">
        <v>0</v>
      </c>
      <c r="DQ47" s="57">
        <f t="shared" si="35"/>
        <v>2916.0180998156602</v>
      </c>
      <c r="DR47" s="57">
        <v>162.0010055453144</v>
      </c>
      <c r="DS47" s="57">
        <v>162.0010055453144</v>
      </c>
      <c r="DT47" s="5"/>
      <c r="DU47" s="73">
        <v>0</v>
      </c>
      <c r="DV47" s="156">
        <v>767.15315782000005</v>
      </c>
      <c r="DW47" s="155">
        <v>154.81380666000001</v>
      </c>
      <c r="DX47" s="155">
        <v>0</v>
      </c>
      <c r="DY47" s="73">
        <v>0</v>
      </c>
      <c r="DZ47" s="156">
        <v>1553.672292</v>
      </c>
      <c r="EA47" s="73">
        <v>0</v>
      </c>
      <c r="EB47" s="156">
        <v>0</v>
      </c>
      <c r="EC47" s="73">
        <v>0</v>
      </c>
      <c r="ED47" s="156">
        <v>847.5</v>
      </c>
      <c r="EE47" s="73">
        <v>0</v>
      </c>
      <c r="EF47" s="156">
        <v>4394.3212513500002</v>
      </c>
      <c r="EG47" s="73">
        <v>0</v>
      </c>
      <c r="EH47" s="156">
        <v>767.15315782000005</v>
      </c>
      <c r="EI47" s="159">
        <v>1553.672292</v>
      </c>
      <c r="EJ47" s="162">
        <v>847.5</v>
      </c>
      <c r="EK47" s="165">
        <v>735.83500000000004</v>
      </c>
      <c r="EL47" s="159">
        <v>0</v>
      </c>
      <c r="EM47" s="159">
        <f t="shared" si="36"/>
        <v>5396.6350580100006</v>
      </c>
      <c r="EN47" s="159">
        <f t="shared" si="37"/>
        <v>0</v>
      </c>
      <c r="EP47" s="2">
        <v>20998.500749999999</v>
      </c>
      <c r="EQ47" s="5">
        <f t="shared" si="38"/>
        <v>0.85499999999999987</v>
      </c>
    </row>
    <row r="48" spans="13:147" x14ac:dyDescent="0.35">
      <c r="M48" s="5"/>
      <c r="N48" s="66">
        <f t="shared" si="39"/>
        <v>46</v>
      </c>
      <c r="O48" s="78">
        <v>0</v>
      </c>
      <c r="P48" s="77">
        <f t="shared" si="6"/>
        <v>0</v>
      </c>
      <c r="Q48" s="104">
        <v>0</v>
      </c>
      <c r="R48" s="77">
        <f t="shared" si="7"/>
        <v>0</v>
      </c>
      <c r="S48" s="104">
        <v>0</v>
      </c>
      <c r="T48" s="77">
        <f t="shared" si="8"/>
        <v>0</v>
      </c>
      <c r="U48" s="104">
        <v>0</v>
      </c>
      <c r="V48" s="77">
        <f t="shared" si="221"/>
        <v>0</v>
      </c>
      <c r="W48" s="104">
        <v>0</v>
      </c>
      <c r="X48" s="77">
        <f t="shared" si="222"/>
        <v>0</v>
      </c>
      <c r="Y48" s="104">
        <v>0</v>
      </c>
      <c r="Z48" s="77">
        <f t="shared" si="9"/>
        <v>0</v>
      </c>
      <c r="AA48" s="104">
        <v>0</v>
      </c>
      <c r="AB48" s="77">
        <f t="shared" si="10"/>
        <v>0</v>
      </c>
      <c r="AC48" s="5"/>
      <c r="AD48" s="66">
        <f t="shared" si="40"/>
        <v>46</v>
      </c>
      <c r="AE48" s="78">
        <v>10145.977199999999</v>
      </c>
      <c r="AF48" s="104">
        <v>535.9</v>
      </c>
      <c r="AG48" s="78">
        <v>116.5</v>
      </c>
      <c r="AH48" s="61">
        <f t="shared" si="11"/>
        <v>0.11399999999999999</v>
      </c>
      <c r="AI48" s="61">
        <f t="shared" si="12"/>
        <v>0.23299999999999998</v>
      </c>
      <c r="AJ48" s="61">
        <f t="shared" si="13"/>
        <v>0.23300000000000001</v>
      </c>
      <c r="AK48" s="77">
        <v>83.98</v>
      </c>
      <c r="AL48" s="104">
        <v>2410.2251999999999</v>
      </c>
      <c r="AM48" s="61">
        <f t="shared" si="223"/>
        <v>0.13</v>
      </c>
      <c r="AN48" s="57">
        <f t="shared" si="224"/>
        <v>0.20699999999999999</v>
      </c>
      <c r="AO48" s="78">
        <v>38579</v>
      </c>
      <c r="AP48" s="104">
        <v>21949.125</v>
      </c>
      <c r="AQ48" s="61">
        <f t="shared" si="14"/>
        <v>0.86499999999999999</v>
      </c>
      <c r="AR48" s="57">
        <f t="shared" si="15"/>
        <v>0.93500000000000005</v>
      </c>
      <c r="AS48" s="45"/>
      <c r="AT48" s="78">
        <v>1108.1969999999999</v>
      </c>
      <c r="AU48" s="77">
        <f t="shared" si="225"/>
        <v>0.44999999999999996</v>
      </c>
      <c r="AV48" s="78">
        <v>981.60900000000004</v>
      </c>
      <c r="AW48" s="77">
        <f t="shared" si="226"/>
        <v>0.61083322962041076</v>
      </c>
      <c r="AX48" s="78">
        <v>1121.4780000000001</v>
      </c>
      <c r="AY48" s="77">
        <f t="shared" si="16"/>
        <v>0.5784392407674851</v>
      </c>
      <c r="AZ48" s="45"/>
      <c r="BA48" s="75">
        <v>51358.995000000003</v>
      </c>
      <c r="BB48" s="77">
        <f t="shared" si="17"/>
        <v>0.73770491803278682</v>
      </c>
      <c r="BC48" s="45"/>
      <c r="BD48" s="105">
        <v>4333.1279999999997</v>
      </c>
      <c r="BE48" s="45">
        <v>0</v>
      </c>
      <c r="BF48" s="106">
        <v>0</v>
      </c>
      <c r="BG48" s="107">
        <f t="shared" si="18"/>
        <v>0.13291803680981595</v>
      </c>
      <c r="BH48" s="108">
        <f t="shared" si="19"/>
        <v>0</v>
      </c>
      <c r="BI48" s="106">
        <v>0</v>
      </c>
      <c r="BJ48" s="106">
        <v>0</v>
      </c>
      <c r="BK48" s="106">
        <v>0</v>
      </c>
      <c r="BL48" s="106">
        <v>1641.162</v>
      </c>
      <c r="BM48" s="107">
        <f t="shared" si="20"/>
        <v>0.1217659890191423</v>
      </c>
      <c r="BN48" s="108">
        <f t="shared" si="21"/>
        <v>0</v>
      </c>
      <c r="BO48" s="45">
        <v>7668</v>
      </c>
      <c r="BP48" s="45">
        <v>649.37841563999996</v>
      </c>
      <c r="BQ48" s="45"/>
      <c r="BR48" s="109">
        <v>-700</v>
      </c>
      <c r="BS48" s="45">
        <f t="shared" si="22"/>
        <v>0</v>
      </c>
      <c r="BT48" s="45">
        <v>4485</v>
      </c>
      <c r="BU48" s="45">
        <f t="shared" si="22"/>
        <v>4485</v>
      </c>
      <c r="BV48" s="45">
        <v>0</v>
      </c>
      <c r="BW48" s="45">
        <f t="shared" ref="BW48:BY48" si="305">IF(BV48&gt;0,BV48,0)</f>
        <v>0</v>
      </c>
      <c r="BX48" s="45">
        <v>-5000</v>
      </c>
      <c r="BY48" s="45">
        <f t="shared" si="305"/>
        <v>0</v>
      </c>
      <c r="BZ48" s="45">
        <v>-5300</v>
      </c>
      <c r="CA48" s="45">
        <f t="shared" ref="CA48:CC48" si="306">IF(BZ48&gt;0,BZ48,0)</f>
        <v>0</v>
      </c>
      <c r="CB48" s="45">
        <v>-4000</v>
      </c>
      <c r="CC48" s="45">
        <f t="shared" si="306"/>
        <v>0</v>
      </c>
      <c r="CD48" s="45">
        <v>4800</v>
      </c>
      <c r="CE48" s="45">
        <f t="shared" ref="CE48:CG48" si="307">IF(CD48&gt;0,CD48,0)</f>
        <v>4800</v>
      </c>
      <c r="CF48" s="45">
        <v>15369.85930043</v>
      </c>
      <c r="CG48" s="45">
        <f t="shared" si="307"/>
        <v>15369.85930043</v>
      </c>
      <c r="CH48" s="107">
        <f t="shared" si="26"/>
        <v>24654.859300429998</v>
      </c>
      <c r="CI48" s="45"/>
      <c r="CJ48" s="109">
        <v>-700</v>
      </c>
      <c r="CK48" s="45">
        <f t="shared" si="27"/>
        <v>700</v>
      </c>
      <c r="CL48" s="45">
        <v>4485</v>
      </c>
      <c r="CM48" s="45">
        <f t="shared" si="27"/>
        <v>0</v>
      </c>
      <c r="CN48" s="45">
        <v>0</v>
      </c>
      <c r="CO48" s="45">
        <f t="shared" ref="CO48:CQ48" si="308">IF(CN48&lt;0,-CN48,0)</f>
        <v>0</v>
      </c>
      <c r="CP48" s="45">
        <v>-5000</v>
      </c>
      <c r="CQ48" s="45">
        <f t="shared" si="308"/>
        <v>5000</v>
      </c>
      <c r="CR48" s="45">
        <v>-5300</v>
      </c>
      <c r="CS48" s="45">
        <f t="shared" ref="CS48:CU48" si="309">IF(CR48&lt;0,-CR48,0)</f>
        <v>5300</v>
      </c>
      <c r="CT48" s="45">
        <v>-4000</v>
      </c>
      <c r="CU48" s="45">
        <f t="shared" si="309"/>
        <v>4000</v>
      </c>
      <c r="CV48" s="45">
        <v>4800</v>
      </c>
      <c r="CW48" s="45">
        <f t="shared" ref="CW48:CY48" si="310">IF(CV48&lt;0,-CV48,0)</f>
        <v>0</v>
      </c>
      <c r="CX48" s="45">
        <v>15369.85930043</v>
      </c>
      <c r="CY48" s="45">
        <f t="shared" si="310"/>
        <v>0</v>
      </c>
      <c r="CZ48" s="107">
        <f t="shared" si="31"/>
        <v>15000</v>
      </c>
      <c r="DA48" s="45"/>
      <c r="DB48" s="110">
        <v>39596.436999999998</v>
      </c>
      <c r="DC48" s="57">
        <v>2320.5259999999998</v>
      </c>
      <c r="DD48" s="61">
        <v>1720.8544668348</v>
      </c>
      <c r="DE48" s="61">
        <f t="shared" si="32"/>
        <v>43637.817466834793</v>
      </c>
      <c r="DF48" s="110">
        <v>9557.1360000000004</v>
      </c>
      <c r="DG48" s="110">
        <v>61400.411</v>
      </c>
      <c r="DH48" s="57">
        <v>4143</v>
      </c>
      <c r="DI48" s="107">
        <f t="shared" si="33"/>
        <v>65543.410999999993</v>
      </c>
      <c r="DJ48" s="45"/>
      <c r="DK48" s="110">
        <v>737.27800000000002</v>
      </c>
      <c r="DL48" s="57">
        <v>10508.77584392489</v>
      </c>
      <c r="DM48" s="57">
        <f t="shared" si="34"/>
        <v>11246.05384392489</v>
      </c>
      <c r="DN48" s="61">
        <v>1236.347389979639</v>
      </c>
      <c r="DO48" s="61">
        <v>2907.740225390417</v>
      </c>
      <c r="DP48" s="61">
        <v>0</v>
      </c>
      <c r="DQ48" s="57">
        <f t="shared" si="35"/>
        <v>2907.740225390417</v>
      </c>
      <c r="DR48" s="57">
        <v>161.54112363280089</v>
      </c>
      <c r="DS48" s="57">
        <v>161.54112363280089</v>
      </c>
      <c r="DT48" s="5"/>
      <c r="DU48" s="73">
        <v>0</v>
      </c>
      <c r="DV48" s="156">
        <v>422.70993096000001</v>
      </c>
      <c r="DW48" s="155">
        <v>406.39380666</v>
      </c>
      <c r="DX48" s="155">
        <v>0</v>
      </c>
      <c r="DY48" s="73">
        <v>0</v>
      </c>
      <c r="DZ48" s="156">
        <v>1553.672292</v>
      </c>
      <c r="EA48" s="73">
        <v>0</v>
      </c>
      <c r="EB48" s="156">
        <v>0</v>
      </c>
      <c r="EC48" s="73">
        <v>0</v>
      </c>
      <c r="ED48" s="156">
        <v>847.5</v>
      </c>
      <c r="EE48" s="73">
        <v>0</v>
      </c>
      <c r="EF48" s="156">
        <v>3806.5758989199999</v>
      </c>
      <c r="EG48" s="73">
        <v>0</v>
      </c>
      <c r="EH48" s="156">
        <v>422.70993096000001</v>
      </c>
      <c r="EI48" s="159">
        <v>1553.672292</v>
      </c>
      <c r="EJ48" s="162">
        <v>847.5</v>
      </c>
      <c r="EK48" s="165">
        <v>735.83500000000004</v>
      </c>
      <c r="EL48" s="159">
        <v>0</v>
      </c>
      <c r="EM48" s="159">
        <f t="shared" si="36"/>
        <v>5060.4697055799998</v>
      </c>
      <c r="EN48" s="159">
        <f t="shared" si="37"/>
        <v>0</v>
      </c>
      <c r="EP48" s="2">
        <v>20998.500749999999</v>
      </c>
      <c r="EQ48" s="5">
        <f t="shared" si="38"/>
        <v>0.85499999999999987</v>
      </c>
    </row>
    <row r="49" spans="13:147" x14ac:dyDescent="0.35">
      <c r="M49" s="5"/>
      <c r="N49" s="66">
        <f t="shared" si="39"/>
        <v>47</v>
      </c>
      <c r="O49" s="78">
        <v>0</v>
      </c>
      <c r="P49" s="77">
        <f t="shared" si="6"/>
        <v>0</v>
      </c>
      <c r="Q49" s="104">
        <v>0</v>
      </c>
      <c r="R49" s="77">
        <f t="shared" si="7"/>
        <v>0</v>
      </c>
      <c r="S49" s="104">
        <v>0</v>
      </c>
      <c r="T49" s="77">
        <f t="shared" si="8"/>
        <v>0</v>
      </c>
      <c r="U49" s="104">
        <v>0</v>
      </c>
      <c r="V49" s="77">
        <f t="shared" si="221"/>
        <v>0</v>
      </c>
      <c r="W49" s="104">
        <v>0</v>
      </c>
      <c r="X49" s="77">
        <f t="shared" si="222"/>
        <v>0</v>
      </c>
      <c r="Y49" s="104">
        <v>0</v>
      </c>
      <c r="Z49" s="77">
        <f t="shared" si="9"/>
        <v>0</v>
      </c>
      <c r="AA49" s="104">
        <v>0</v>
      </c>
      <c r="AB49" s="77">
        <f t="shared" si="10"/>
        <v>0</v>
      </c>
      <c r="AC49" s="5"/>
      <c r="AD49" s="66">
        <f t="shared" si="40"/>
        <v>47</v>
      </c>
      <c r="AE49" s="78">
        <v>9522.9786000000004</v>
      </c>
      <c r="AF49" s="104">
        <v>487.6</v>
      </c>
      <c r="AG49" s="78">
        <v>106</v>
      </c>
      <c r="AH49" s="61">
        <f t="shared" si="11"/>
        <v>0.107</v>
      </c>
      <c r="AI49" s="61">
        <f t="shared" si="12"/>
        <v>0.21200000000000002</v>
      </c>
      <c r="AJ49" s="61">
        <f t="shared" si="13"/>
        <v>0.21199999999999999</v>
      </c>
      <c r="AK49" s="77">
        <v>82.042000000000002</v>
      </c>
      <c r="AL49" s="104">
        <v>2363.6507999999999</v>
      </c>
      <c r="AM49" s="61">
        <f t="shared" si="223"/>
        <v>0.127</v>
      </c>
      <c r="AN49" s="57">
        <f t="shared" si="224"/>
        <v>0.20299999999999999</v>
      </c>
      <c r="AO49" s="78">
        <v>38534.400000000001</v>
      </c>
      <c r="AP49" s="104">
        <v>21902.174999999999</v>
      </c>
      <c r="AQ49" s="61">
        <f t="shared" si="14"/>
        <v>0.86399999999999999</v>
      </c>
      <c r="AR49" s="57">
        <f t="shared" si="15"/>
        <v>0.93299999999999994</v>
      </c>
      <c r="AS49" s="45"/>
      <c r="AT49" s="78">
        <v>1098.346</v>
      </c>
      <c r="AU49" s="77">
        <f t="shared" si="225"/>
        <v>0.44599985381660484</v>
      </c>
      <c r="AV49" s="78">
        <v>982.87699999999995</v>
      </c>
      <c r="AW49" s="77">
        <f t="shared" si="226"/>
        <v>0.61162227753578091</v>
      </c>
      <c r="AX49" s="78">
        <v>1121.4780000000001</v>
      </c>
      <c r="AY49" s="77">
        <f t="shared" si="16"/>
        <v>0.5784392407674851</v>
      </c>
      <c r="AZ49" s="45"/>
      <c r="BA49" s="75">
        <v>51358.995000000003</v>
      </c>
      <c r="BB49" s="77">
        <f t="shared" si="17"/>
        <v>0.73770491803278682</v>
      </c>
      <c r="BC49" s="45"/>
      <c r="BD49" s="105">
        <v>4080.9690000000001</v>
      </c>
      <c r="BE49" s="45">
        <v>0</v>
      </c>
      <c r="BF49" s="106">
        <v>0</v>
      </c>
      <c r="BG49" s="107">
        <f t="shared" si="18"/>
        <v>0.1251830981595092</v>
      </c>
      <c r="BH49" s="108">
        <f t="shared" si="19"/>
        <v>0</v>
      </c>
      <c r="BI49" s="106">
        <v>0</v>
      </c>
      <c r="BJ49" s="106">
        <v>0</v>
      </c>
      <c r="BK49" s="106">
        <v>0</v>
      </c>
      <c r="BL49" s="106">
        <v>1657.6010000000001</v>
      </c>
      <c r="BM49" s="107">
        <f t="shared" si="20"/>
        <v>0.12298568036800712</v>
      </c>
      <c r="BN49" s="108">
        <f t="shared" si="21"/>
        <v>0</v>
      </c>
      <c r="BO49" s="45">
        <v>7668</v>
      </c>
      <c r="BP49" s="45">
        <v>648.91853372000003</v>
      </c>
      <c r="BQ49" s="45"/>
      <c r="BR49" s="109">
        <v>-700</v>
      </c>
      <c r="BS49" s="45">
        <f t="shared" si="22"/>
        <v>0</v>
      </c>
      <c r="BT49" s="45">
        <v>4485</v>
      </c>
      <c r="BU49" s="45">
        <f t="shared" si="22"/>
        <v>4485</v>
      </c>
      <c r="BV49" s="45">
        <v>0</v>
      </c>
      <c r="BW49" s="45">
        <f t="shared" ref="BW49:BY49" si="311">IF(BV49&gt;0,BV49,0)</f>
        <v>0</v>
      </c>
      <c r="BX49" s="45">
        <v>-5000</v>
      </c>
      <c r="BY49" s="45">
        <f t="shared" si="311"/>
        <v>0</v>
      </c>
      <c r="BZ49" s="45">
        <v>-5300</v>
      </c>
      <c r="CA49" s="45">
        <f t="shared" ref="CA49:CC49" si="312">IF(BZ49&gt;0,BZ49,0)</f>
        <v>0</v>
      </c>
      <c r="CB49" s="45">
        <v>-4000</v>
      </c>
      <c r="CC49" s="45">
        <f t="shared" si="312"/>
        <v>0</v>
      </c>
      <c r="CD49" s="45">
        <v>4800</v>
      </c>
      <c r="CE49" s="45">
        <f t="shared" ref="CE49:CG49" si="313">IF(CD49&gt;0,CD49,0)</f>
        <v>4800</v>
      </c>
      <c r="CF49" s="45">
        <v>15231.701702279999</v>
      </c>
      <c r="CG49" s="45">
        <f t="shared" si="313"/>
        <v>15231.701702279999</v>
      </c>
      <c r="CH49" s="107">
        <f t="shared" si="26"/>
        <v>24516.701702279999</v>
      </c>
      <c r="CI49" s="45"/>
      <c r="CJ49" s="109">
        <v>-700</v>
      </c>
      <c r="CK49" s="45">
        <f t="shared" si="27"/>
        <v>700</v>
      </c>
      <c r="CL49" s="45">
        <v>4485</v>
      </c>
      <c r="CM49" s="45">
        <f t="shared" si="27"/>
        <v>0</v>
      </c>
      <c r="CN49" s="45">
        <v>0</v>
      </c>
      <c r="CO49" s="45">
        <f t="shared" ref="CO49:CQ49" si="314">IF(CN49&lt;0,-CN49,0)</f>
        <v>0</v>
      </c>
      <c r="CP49" s="45">
        <v>-5000</v>
      </c>
      <c r="CQ49" s="45">
        <f t="shared" si="314"/>
        <v>5000</v>
      </c>
      <c r="CR49" s="45">
        <v>-5300</v>
      </c>
      <c r="CS49" s="45">
        <f t="shared" ref="CS49:CU49" si="315">IF(CR49&lt;0,-CR49,0)</f>
        <v>5300</v>
      </c>
      <c r="CT49" s="45">
        <v>-4000</v>
      </c>
      <c r="CU49" s="45">
        <f t="shared" si="315"/>
        <v>4000</v>
      </c>
      <c r="CV49" s="45">
        <v>4800</v>
      </c>
      <c r="CW49" s="45">
        <f t="shared" ref="CW49:CY49" si="316">IF(CV49&lt;0,-CV49,0)</f>
        <v>0</v>
      </c>
      <c r="CX49" s="45">
        <v>15231.701702279999</v>
      </c>
      <c r="CY49" s="45">
        <f t="shared" si="316"/>
        <v>0</v>
      </c>
      <c r="CZ49" s="107">
        <f t="shared" si="31"/>
        <v>15000</v>
      </c>
      <c r="DA49" s="45"/>
      <c r="DB49" s="110">
        <v>36990.762999999999</v>
      </c>
      <c r="DC49" s="57">
        <v>2314.7359999999999</v>
      </c>
      <c r="DD49" s="61">
        <v>1745.2587820502999</v>
      </c>
      <c r="DE49" s="61">
        <f t="shared" si="32"/>
        <v>41050.757782050299</v>
      </c>
      <c r="DF49" s="110">
        <v>9466.4089999999997</v>
      </c>
      <c r="DG49" s="110">
        <v>61168.411</v>
      </c>
      <c r="DH49" s="57">
        <v>4252</v>
      </c>
      <c r="DI49" s="107">
        <f t="shared" si="33"/>
        <v>65420.411</v>
      </c>
      <c r="DJ49" s="45"/>
      <c r="DK49" s="110">
        <v>656.23400000000004</v>
      </c>
      <c r="DL49" s="57">
        <v>10493.065843074541</v>
      </c>
      <c r="DM49" s="57">
        <f t="shared" si="34"/>
        <v>11149.299843074541</v>
      </c>
      <c r="DN49" s="61">
        <v>1184.791349728639</v>
      </c>
      <c r="DO49" s="61">
        <v>2899.4623509651742</v>
      </c>
      <c r="DP49" s="61">
        <v>0</v>
      </c>
      <c r="DQ49" s="57">
        <f t="shared" si="35"/>
        <v>2899.4623509651742</v>
      </c>
      <c r="DR49" s="57">
        <v>161.08124172028741</v>
      </c>
      <c r="DS49" s="57">
        <v>161.08124172028741</v>
      </c>
      <c r="DT49" s="5"/>
      <c r="DU49" s="73">
        <v>0</v>
      </c>
      <c r="DV49" s="156">
        <v>323.07465397999999</v>
      </c>
      <c r="DW49" s="155">
        <v>657.97380666000004</v>
      </c>
      <c r="DX49" s="155">
        <v>0</v>
      </c>
      <c r="DY49" s="73">
        <v>0</v>
      </c>
      <c r="DZ49" s="156">
        <v>1553.672292</v>
      </c>
      <c r="EA49" s="73">
        <v>0</v>
      </c>
      <c r="EB49" s="156">
        <v>0</v>
      </c>
      <c r="EC49" s="73">
        <v>0</v>
      </c>
      <c r="ED49" s="156">
        <v>847.5</v>
      </c>
      <c r="EE49" s="73">
        <v>0</v>
      </c>
      <c r="EF49" s="156">
        <v>3463.6384963599999</v>
      </c>
      <c r="EG49" s="73">
        <v>0</v>
      </c>
      <c r="EH49" s="156">
        <v>323.07465397999999</v>
      </c>
      <c r="EI49" s="159">
        <v>1553.672292</v>
      </c>
      <c r="EJ49" s="162">
        <v>847.5</v>
      </c>
      <c r="EK49" s="165">
        <v>735.83500000000004</v>
      </c>
      <c r="EL49" s="159">
        <v>0</v>
      </c>
      <c r="EM49" s="159">
        <f t="shared" si="36"/>
        <v>4969.1123030199997</v>
      </c>
      <c r="EN49" s="159">
        <f t="shared" si="37"/>
        <v>0</v>
      </c>
      <c r="EP49" s="2">
        <v>20998.500749999999</v>
      </c>
      <c r="EQ49" s="5">
        <f t="shared" si="38"/>
        <v>0.85499999999999987</v>
      </c>
    </row>
    <row r="50" spans="13:147" x14ac:dyDescent="0.35">
      <c r="M50" s="5"/>
      <c r="N50" s="66">
        <f t="shared" si="39"/>
        <v>48</v>
      </c>
      <c r="O50" s="78">
        <v>0</v>
      </c>
      <c r="P50" s="77">
        <f t="shared" si="6"/>
        <v>0</v>
      </c>
      <c r="Q50" s="104">
        <v>0</v>
      </c>
      <c r="R50" s="77">
        <f t="shared" si="7"/>
        <v>0</v>
      </c>
      <c r="S50" s="104">
        <v>0</v>
      </c>
      <c r="T50" s="77">
        <f t="shared" si="8"/>
        <v>0</v>
      </c>
      <c r="U50" s="104">
        <v>0</v>
      </c>
      <c r="V50" s="77">
        <f t="shared" si="221"/>
        <v>0</v>
      </c>
      <c r="W50" s="104">
        <v>0</v>
      </c>
      <c r="X50" s="77">
        <f t="shared" si="222"/>
        <v>0</v>
      </c>
      <c r="Y50" s="104">
        <v>0</v>
      </c>
      <c r="Z50" s="77">
        <f t="shared" si="9"/>
        <v>0</v>
      </c>
      <c r="AA50" s="104">
        <v>0</v>
      </c>
      <c r="AB50" s="77">
        <f t="shared" si="10"/>
        <v>0</v>
      </c>
      <c r="AC50" s="5"/>
      <c r="AD50" s="66">
        <f t="shared" si="40"/>
        <v>48</v>
      </c>
      <c r="AE50" s="78">
        <v>9166.9794000000002</v>
      </c>
      <c r="AF50" s="104">
        <v>443.9</v>
      </c>
      <c r="AG50" s="78">
        <v>96.5</v>
      </c>
      <c r="AH50" s="61">
        <f t="shared" si="11"/>
        <v>0.10299999999999999</v>
      </c>
      <c r="AI50" s="61">
        <f t="shared" si="12"/>
        <v>0.19299999999999998</v>
      </c>
      <c r="AJ50" s="61">
        <f t="shared" si="13"/>
        <v>0.193</v>
      </c>
      <c r="AK50" s="77">
        <v>74.936000000000007</v>
      </c>
      <c r="AL50" s="104">
        <v>2503.3739999999998</v>
      </c>
      <c r="AM50" s="61">
        <f t="shared" si="223"/>
        <v>0.11600000000000001</v>
      </c>
      <c r="AN50" s="57">
        <f t="shared" si="224"/>
        <v>0.21499999999999997</v>
      </c>
      <c r="AO50" s="78">
        <v>38445.199999999997</v>
      </c>
      <c r="AP50" s="104">
        <v>21949.125</v>
      </c>
      <c r="AQ50" s="61">
        <f t="shared" si="14"/>
        <v>0.86199999999999999</v>
      </c>
      <c r="AR50" s="57">
        <f t="shared" si="15"/>
        <v>0.93500000000000005</v>
      </c>
      <c r="AS50" s="45"/>
      <c r="AT50" s="78">
        <v>1098.346</v>
      </c>
      <c r="AU50" s="77">
        <f t="shared" si="225"/>
        <v>0.44599985381660484</v>
      </c>
      <c r="AV50" s="78">
        <v>974.91899999999998</v>
      </c>
      <c r="AW50" s="77">
        <f t="shared" si="226"/>
        <v>0.60667019290603608</v>
      </c>
      <c r="AX50" s="78">
        <v>1121.4780000000001</v>
      </c>
      <c r="AY50" s="77">
        <f t="shared" si="16"/>
        <v>0.5784392407674851</v>
      </c>
      <c r="AZ50" s="45"/>
      <c r="BA50" s="75">
        <v>51358.995000000003</v>
      </c>
      <c r="BB50" s="77">
        <f t="shared" si="17"/>
        <v>0.73770491803278682</v>
      </c>
      <c r="BC50" s="45"/>
      <c r="BD50" s="105">
        <v>3930.1149999999998</v>
      </c>
      <c r="BE50" s="45">
        <v>0</v>
      </c>
      <c r="BF50" s="106">
        <v>0</v>
      </c>
      <c r="BG50" s="107">
        <f t="shared" si="18"/>
        <v>0.12055567484662576</v>
      </c>
      <c r="BH50" s="108">
        <f t="shared" si="19"/>
        <v>0</v>
      </c>
      <c r="BI50" s="106">
        <v>0</v>
      </c>
      <c r="BJ50" s="106">
        <v>0</v>
      </c>
      <c r="BK50" s="106">
        <v>0</v>
      </c>
      <c r="BL50" s="106">
        <v>1584.8920000000001</v>
      </c>
      <c r="BM50" s="107">
        <f t="shared" si="20"/>
        <v>0.11759103724588219</v>
      </c>
      <c r="BN50" s="108">
        <f t="shared" si="21"/>
        <v>0</v>
      </c>
      <c r="BO50" s="45">
        <v>7668</v>
      </c>
      <c r="BP50" s="45">
        <v>648.91853372000003</v>
      </c>
      <c r="BQ50" s="45"/>
      <c r="BR50" s="109">
        <v>-700</v>
      </c>
      <c r="BS50" s="45">
        <f t="shared" si="22"/>
        <v>0</v>
      </c>
      <c r="BT50" s="45">
        <v>4485</v>
      </c>
      <c r="BU50" s="45">
        <f t="shared" si="22"/>
        <v>4485</v>
      </c>
      <c r="BV50" s="45">
        <v>0</v>
      </c>
      <c r="BW50" s="45">
        <f t="shared" ref="BW50:BY50" si="317">IF(BV50&gt;0,BV50,0)</f>
        <v>0</v>
      </c>
      <c r="BX50" s="45">
        <v>-5000</v>
      </c>
      <c r="BY50" s="45">
        <f t="shared" si="317"/>
        <v>0</v>
      </c>
      <c r="BZ50" s="45">
        <v>-5300</v>
      </c>
      <c r="CA50" s="45">
        <f t="shared" ref="CA50:CC50" si="318">IF(BZ50&gt;0,BZ50,0)</f>
        <v>0</v>
      </c>
      <c r="CB50" s="45">
        <v>-4000</v>
      </c>
      <c r="CC50" s="45">
        <f t="shared" si="318"/>
        <v>0</v>
      </c>
      <c r="CD50" s="45">
        <v>4800</v>
      </c>
      <c r="CE50" s="45">
        <f t="shared" ref="CE50:CG50" si="319">IF(CD50&gt;0,CD50,0)</f>
        <v>4800</v>
      </c>
      <c r="CF50" s="45">
        <v>19917.952738119999</v>
      </c>
      <c r="CG50" s="45">
        <f t="shared" si="319"/>
        <v>19917.952738119999</v>
      </c>
      <c r="CH50" s="107">
        <f t="shared" si="26"/>
        <v>29202.952738119999</v>
      </c>
      <c r="CI50" s="45"/>
      <c r="CJ50" s="109">
        <v>-700</v>
      </c>
      <c r="CK50" s="45">
        <f t="shared" si="27"/>
        <v>700</v>
      </c>
      <c r="CL50" s="45">
        <v>4485</v>
      </c>
      <c r="CM50" s="45">
        <f t="shared" si="27"/>
        <v>0</v>
      </c>
      <c r="CN50" s="45">
        <v>0</v>
      </c>
      <c r="CO50" s="45">
        <f t="shared" ref="CO50:CQ50" si="320">IF(CN50&lt;0,-CN50,0)</f>
        <v>0</v>
      </c>
      <c r="CP50" s="45">
        <v>-5000</v>
      </c>
      <c r="CQ50" s="45">
        <f t="shared" si="320"/>
        <v>5000</v>
      </c>
      <c r="CR50" s="45">
        <v>-5300</v>
      </c>
      <c r="CS50" s="45">
        <f t="shared" ref="CS50:CU50" si="321">IF(CR50&lt;0,-CR50,0)</f>
        <v>5300</v>
      </c>
      <c r="CT50" s="45">
        <v>-4000</v>
      </c>
      <c r="CU50" s="45">
        <f t="shared" si="321"/>
        <v>4000</v>
      </c>
      <c r="CV50" s="45">
        <v>4800</v>
      </c>
      <c r="CW50" s="45">
        <f t="shared" ref="CW50:CY50" si="322">IF(CV50&lt;0,-CV50,0)</f>
        <v>0</v>
      </c>
      <c r="CX50" s="45">
        <v>19917.952738119999</v>
      </c>
      <c r="CY50" s="45">
        <f t="shared" si="322"/>
        <v>0</v>
      </c>
      <c r="CZ50" s="107">
        <f t="shared" si="31"/>
        <v>15000</v>
      </c>
      <c r="DA50" s="45"/>
      <c r="DB50" s="110">
        <v>34623.188000000002</v>
      </c>
      <c r="DC50" s="57">
        <v>2198.8510000000001</v>
      </c>
      <c r="DD50" s="61">
        <v>1454.6640060994</v>
      </c>
      <c r="DE50" s="61">
        <f t="shared" si="32"/>
        <v>38276.703006099408</v>
      </c>
      <c r="DF50" s="110">
        <v>9021.4459999999999</v>
      </c>
      <c r="DG50" s="110">
        <v>58781.411</v>
      </c>
      <c r="DH50" s="57">
        <v>4306</v>
      </c>
      <c r="DI50" s="107">
        <f t="shared" si="33"/>
        <v>63087.411</v>
      </c>
      <c r="DJ50" s="45"/>
      <c r="DK50" s="110">
        <v>609.27099999999996</v>
      </c>
      <c r="DL50" s="57">
        <v>10493.065843074541</v>
      </c>
      <c r="DM50" s="57">
        <f t="shared" si="34"/>
        <v>11102.336843074541</v>
      </c>
      <c r="DN50" s="61">
        <v>1184.791349728639</v>
      </c>
      <c r="DO50" s="61">
        <v>2899.4623509651742</v>
      </c>
      <c r="DP50" s="61">
        <v>0</v>
      </c>
      <c r="DQ50" s="57">
        <f t="shared" si="35"/>
        <v>2899.4623509651742</v>
      </c>
      <c r="DR50" s="57">
        <v>161.08124172028741</v>
      </c>
      <c r="DS50" s="57">
        <v>161.08124172028741</v>
      </c>
      <c r="DT50" s="5"/>
      <c r="DU50" s="73">
        <v>0</v>
      </c>
      <c r="DV50" s="156">
        <v>164.34492398</v>
      </c>
      <c r="DW50" s="155">
        <v>406.39380666</v>
      </c>
      <c r="DX50" s="155">
        <v>0</v>
      </c>
      <c r="DY50" s="73">
        <v>0</v>
      </c>
      <c r="DZ50" s="156">
        <v>1553.672292</v>
      </c>
      <c r="EA50" s="73">
        <v>0</v>
      </c>
      <c r="EB50" s="156">
        <v>0</v>
      </c>
      <c r="EC50" s="73">
        <v>0</v>
      </c>
      <c r="ED50" s="156">
        <v>847.5</v>
      </c>
      <c r="EE50" s="73">
        <v>0</v>
      </c>
      <c r="EF50" s="156">
        <v>3556.4887663600002</v>
      </c>
      <c r="EG50" s="73">
        <v>0</v>
      </c>
      <c r="EH50" s="156">
        <v>164.34492398</v>
      </c>
      <c r="EI50" s="159">
        <v>1553.672292</v>
      </c>
      <c r="EJ50" s="162">
        <v>847.5</v>
      </c>
      <c r="EK50" s="165">
        <v>735.83500000000004</v>
      </c>
      <c r="EL50" s="159">
        <v>0</v>
      </c>
      <c r="EM50" s="159">
        <f t="shared" si="36"/>
        <v>4810.3825730200006</v>
      </c>
      <c r="EN50" s="159">
        <f t="shared" si="37"/>
        <v>0</v>
      </c>
      <c r="EP50" s="2">
        <v>20998.500749999999</v>
      </c>
      <c r="EQ50" s="5">
        <f t="shared" si="38"/>
        <v>0.85499999999999987</v>
      </c>
    </row>
    <row r="51" spans="13:147" x14ac:dyDescent="0.35">
      <c r="M51" s="5"/>
      <c r="N51" s="66">
        <f t="shared" si="39"/>
        <v>49</v>
      </c>
      <c r="O51" s="78">
        <v>0</v>
      </c>
      <c r="P51" s="77">
        <f t="shared" si="6"/>
        <v>0</v>
      </c>
      <c r="Q51" s="104">
        <v>0</v>
      </c>
      <c r="R51" s="77">
        <f t="shared" si="7"/>
        <v>0</v>
      </c>
      <c r="S51" s="104">
        <v>0</v>
      </c>
      <c r="T51" s="77">
        <f t="shared" si="8"/>
        <v>0</v>
      </c>
      <c r="U51" s="104">
        <v>0</v>
      </c>
      <c r="V51" s="77">
        <f t="shared" si="221"/>
        <v>0</v>
      </c>
      <c r="W51" s="104">
        <v>0</v>
      </c>
      <c r="X51" s="77">
        <f t="shared" si="222"/>
        <v>0</v>
      </c>
      <c r="Y51" s="104">
        <v>0</v>
      </c>
      <c r="Z51" s="77">
        <f t="shared" si="9"/>
        <v>0</v>
      </c>
      <c r="AA51" s="104">
        <v>0</v>
      </c>
      <c r="AB51" s="77">
        <f t="shared" si="10"/>
        <v>0</v>
      </c>
      <c r="AC51" s="5"/>
      <c r="AD51" s="66">
        <f t="shared" si="40"/>
        <v>49</v>
      </c>
      <c r="AE51" s="78">
        <v>9611.9784</v>
      </c>
      <c r="AF51" s="104">
        <v>420.9</v>
      </c>
      <c r="AG51" s="78">
        <v>91.5</v>
      </c>
      <c r="AH51" s="61">
        <f t="shared" si="11"/>
        <v>0.108</v>
      </c>
      <c r="AI51" s="61">
        <f t="shared" si="12"/>
        <v>0.183</v>
      </c>
      <c r="AJ51" s="61">
        <f t="shared" si="13"/>
        <v>0.183</v>
      </c>
      <c r="AK51" s="77">
        <v>71.06</v>
      </c>
      <c r="AL51" s="104">
        <v>2736.2460000000001</v>
      </c>
      <c r="AM51" s="61">
        <f t="shared" si="223"/>
        <v>0.11</v>
      </c>
      <c r="AN51" s="57">
        <f t="shared" si="224"/>
        <v>0.23500000000000001</v>
      </c>
      <c r="AO51" s="78">
        <v>38222.199999999997</v>
      </c>
      <c r="AP51" s="104">
        <v>21855.224999999999</v>
      </c>
      <c r="AQ51" s="61">
        <f t="shared" si="14"/>
        <v>0.85699999999999998</v>
      </c>
      <c r="AR51" s="57">
        <f t="shared" si="15"/>
        <v>0.93099999999999994</v>
      </c>
      <c r="AS51" s="45"/>
      <c r="AT51" s="78">
        <v>1068.7940000000001</v>
      </c>
      <c r="AU51" s="77">
        <f t="shared" si="225"/>
        <v>0.43399982133140597</v>
      </c>
      <c r="AV51" s="78">
        <v>895.11</v>
      </c>
      <c r="AW51" s="77">
        <f t="shared" si="226"/>
        <v>0.55700684505289355</v>
      </c>
      <c r="AX51" s="78">
        <v>1121.4780000000001</v>
      </c>
      <c r="AY51" s="77">
        <f t="shared" si="16"/>
        <v>0.5784392407674851</v>
      </c>
      <c r="AZ51" s="45"/>
      <c r="BA51" s="75">
        <v>51358.995000000003</v>
      </c>
      <c r="BB51" s="77">
        <f t="shared" si="17"/>
        <v>0.73770491803278682</v>
      </c>
      <c r="BC51" s="45"/>
      <c r="BD51" s="105">
        <v>4094.4569999999999</v>
      </c>
      <c r="BE51" s="45">
        <v>0</v>
      </c>
      <c r="BF51" s="106">
        <v>0</v>
      </c>
      <c r="BG51" s="107">
        <f t="shared" si="18"/>
        <v>0.12559684049079753</v>
      </c>
      <c r="BH51" s="108">
        <f t="shared" si="19"/>
        <v>0</v>
      </c>
      <c r="BI51" s="106">
        <v>0</v>
      </c>
      <c r="BJ51" s="106">
        <v>0</v>
      </c>
      <c r="BK51" s="106">
        <v>0</v>
      </c>
      <c r="BL51" s="106">
        <v>1524.271</v>
      </c>
      <c r="BM51" s="107">
        <f t="shared" si="20"/>
        <v>0.11309326309541474</v>
      </c>
      <c r="BN51" s="108">
        <f t="shared" si="21"/>
        <v>0</v>
      </c>
      <c r="BO51" s="45">
        <v>7668</v>
      </c>
      <c r="BP51" s="45">
        <v>648.91754766999998</v>
      </c>
      <c r="BQ51" s="45"/>
      <c r="BR51" s="109">
        <v>-700</v>
      </c>
      <c r="BS51" s="45">
        <f t="shared" si="22"/>
        <v>0</v>
      </c>
      <c r="BT51" s="45">
        <v>4485</v>
      </c>
      <c r="BU51" s="45">
        <f t="shared" si="22"/>
        <v>4485</v>
      </c>
      <c r="BV51" s="45">
        <v>0</v>
      </c>
      <c r="BW51" s="45">
        <f t="shared" ref="BW51:BY51" si="323">IF(BV51&gt;0,BV51,0)</f>
        <v>0</v>
      </c>
      <c r="BX51" s="45">
        <v>-5000</v>
      </c>
      <c r="BY51" s="45">
        <f t="shared" si="323"/>
        <v>0</v>
      </c>
      <c r="BZ51" s="45">
        <v>-1860.1406385299999</v>
      </c>
      <c r="CA51" s="45">
        <f t="shared" ref="CA51:CC51" si="324">IF(BZ51&gt;0,BZ51,0)</f>
        <v>0</v>
      </c>
      <c r="CB51" s="45">
        <v>-4000</v>
      </c>
      <c r="CC51" s="45">
        <f t="shared" si="324"/>
        <v>0</v>
      </c>
      <c r="CD51" s="45">
        <v>4800</v>
      </c>
      <c r="CE51" s="45">
        <f t="shared" ref="CE51:CG51" si="325">IF(CD51&gt;0,CD51,0)</f>
        <v>4800</v>
      </c>
      <c r="CF51" s="45">
        <v>23388.955005749998</v>
      </c>
      <c r="CG51" s="45">
        <f t="shared" si="325"/>
        <v>23388.955005749998</v>
      </c>
      <c r="CH51" s="107">
        <f t="shared" si="26"/>
        <v>32673.955005749998</v>
      </c>
      <c r="CI51" s="45"/>
      <c r="CJ51" s="109">
        <v>-700</v>
      </c>
      <c r="CK51" s="45">
        <f t="shared" si="27"/>
        <v>700</v>
      </c>
      <c r="CL51" s="45">
        <v>4485</v>
      </c>
      <c r="CM51" s="45">
        <f t="shared" si="27"/>
        <v>0</v>
      </c>
      <c r="CN51" s="45">
        <v>0</v>
      </c>
      <c r="CO51" s="45">
        <f t="shared" ref="CO51:CQ51" si="326">IF(CN51&lt;0,-CN51,0)</f>
        <v>0</v>
      </c>
      <c r="CP51" s="45">
        <v>-5000</v>
      </c>
      <c r="CQ51" s="45">
        <f t="shared" si="326"/>
        <v>5000</v>
      </c>
      <c r="CR51" s="45">
        <v>-1860.1406385299999</v>
      </c>
      <c r="CS51" s="45">
        <f t="shared" ref="CS51:CU51" si="327">IF(CR51&lt;0,-CR51,0)</f>
        <v>1860.1406385299999</v>
      </c>
      <c r="CT51" s="45">
        <v>-4000</v>
      </c>
      <c r="CU51" s="45">
        <f t="shared" si="327"/>
        <v>4000</v>
      </c>
      <c r="CV51" s="45">
        <v>4800</v>
      </c>
      <c r="CW51" s="45">
        <f t="shared" ref="CW51:CY51" si="328">IF(CV51&lt;0,-CV51,0)</f>
        <v>0</v>
      </c>
      <c r="CX51" s="45">
        <v>23388.955005749998</v>
      </c>
      <c r="CY51" s="45">
        <f t="shared" si="328"/>
        <v>0</v>
      </c>
      <c r="CZ51" s="107">
        <f t="shared" si="31"/>
        <v>11560.14063853</v>
      </c>
      <c r="DA51" s="45"/>
      <c r="DB51" s="110">
        <v>31989.633999999998</v>
      </c>
      <c r="DC51" s="57">
        <v>2051.8389999999999</v>
      </c>
      <c r="DD51" s="61">
        <v>1176.8626443866999</v>
      </c>
      <c r="DE51" s="61">
        <f t="shared" si="32"/>
        <v>35218.335644386701</v>
      </c>
      <c r="DF51" s="110">
        <v>8308.8960000000006</v>
      </c>
      <c r="DG51" s="110">
        <v>56215.411</v>
      </c>
      <c r="DH51" s="57">
        <v>4289</v>
      </c>
      <c r="DI51" s="107">
        <f t="shared" si="33"/>
        <v>60504.411</v>
      </c>
      <c r="DJ51" s="45"/>
      <c r="DK51" s="110">
        <v>601.35900000000004</v>
      </c>
      <c r="DL51" s="57">
        <v>10493.065843074541</v>
      </c>
      <c r="DM51" s="57">
        <f t="shared" si="34"/>
        <v>11094.424843074541</v>
      </c>
      <c r="DN51" s="61">
        <v>1235.3721215036271</v>
      </c>
      <c r="DO51" s="61">
        <v>2899.4446020647688</v>
      </c>
      <c r="DP51" s="61">
        <v>0</v>
      </c>
      <c r="DQ51" s="57">
        <f t="shared" si="35"/>
        <v>2899.4446020647688</v>
      </c>
      <c r="DR51" s="57">
        <v>161.08025567026499</v>
      </c>
      <c r="DS51" s="57">
        <v>161.08025567026499</v>
      </c>
      <c r="DT51" s="5"/>
      <c r="DU51" s="73">
        <v>0</v>
      </c>
      <c r="DV51" s="156">
        <v>174.87043702</v>
      </c>
      <c r="DW51" s="155">
        <v>657.97380666000004</v>
      </c>
      <c r="DX51" s="155">
        <v>0</v>
      </c>
      <c r="DY51" s="73">
        <v>0</v>
      </c>
      <c r="DZ51" s="156">
        <v>1553.672292</v>
      </c>
      <c r="EA51" s="73">
        <v>0</v>
      </c>
      <c r="EB51" s="156">
        <v>0</v>
      </c>
      <c r="EC51" s="73">
        <v>0</v>
      </c>
      <c r="ED51" s="156">
        <v>847.5</v>
      </c>
      <c r="EE51" s="73">
        <v>0</v>
      </c>
      <c r="EF51" s="156">
        <v>3315.4520283000002</v>
      </c>
      <c r="EG51" s="73">
        <v>0</v>
      </c>
      <c r="EH51" s="156">
        <v>174.87043702</v>
      </c>
      <c r="EI51" s="159">
        <v>1553.672292</v>
      </c>
      <c r="EJ51" s="162">
        <v>847.5</v>
      </c>
      <c r="EK51" s="165">
        <v>735.83500000000004</v>
      </c>
      <c r="EL51" s="159">
        <v>0</v>
      </c>
      <c r="EM51" s="159">
        <f t="shared" si="36"/>
        <v>4820.9258349600004</v>
      </c>
      <c r="EN51" s="159">
        <f t="shared" si="37"/>
        <v>0</v>
      </c>
      <c r="EP51" s="2">
        <v>21465.134099999999</v>
      </c>
      <c r="EQ51" s="5">
        <f t="shared" si="38"/>
        <v>0.87399999999999989</v>
      </c>
    </row>
    <row r="52" spans="13:147" x14ac:dyDescent="0.35">
      <c r="M52" s="5"/>
      <c r="N52" s="66">
        <f t="shared" si="39"/>
        <v>50</v>
      </c>
      <c r="O52" s="78">
        <v>0</v>
      </c>
      <c r="P52" s="77">
        <f t="shared" si="6"/>
        <v>0</v>
      </c>
      <c r="Q52" s="104">
        <v>0</v>
      </c>
      <c r="R52" s="77">
        <f t="shared" si="7"/>
        <v>0</v>
      </c>
      <c r="S52" s="104">
        <v>0</v>
      </c>
      <c r="T52" s="77">
        <f t="shared" si="8"/>
        <v>0</v>
      </c>
      <c r="U52" s="104">
        <v>0</v>
      </c>
      <c r="V52" s="77">
        <f t="shared" si="221"/>
        <v>0</v>
      </c>
      <c r="W52" s="104">
        <v>0</v>
      </c>
      <c r="X52" s="77">
        <f t="shared" si="222"/>
        <v>0</v>
      </c>
      <c r="Y52" s="104">
        <v>0</v>
      </c>
      <c r="Z52" s="77">
        <f t="shared" si="9"/>
        <v>0</v>
      </c>
      <c r="AA52" s="104">
        <v>0</v>
      </c>
      <c r="AB52" s="77">
        <f t="shared" si="10"/>
        <v>0</v>
      </c>
      <c r="AC52" s="5"/>
      <c r="AD52" s="66">
        <f t="shared" si="40"/>
        <v>50</v>
      </c>
      <c r="AE52" s="78">
        <v>9878.9778000000006</v>
      </c>
      <c r="AF52" s="104">
        <v>409.4</v>
      </c>
      <c r="AG52" s="78">
        <v>89</v>
      </c>
      <c r="AH52" s="61">
        <f t="shared" si="11"/>
        <v>0.111</v>
      </c>
      <c r="AI52" s="61">
        <f t="shared" si="12"/>
        <v>0.17799999999999999</v>
      </c>
      <c r="AJ52" s="61">
        <f t="shared" si="13"/>
        <v>0.17799999999999999</v>
      </c>
      <c r="AK52" s="77">
        <v>68.475999999999999</v>
      </c>
      <c r="AL52" s="104">
        <v>2875.9692</v>
      </c>
      <c r="AM52" s="61">
        <f t="shared" si="223"/>
        <v>0.106</v>
      </c>
      <c r="AN52" s="57">
        <f t="shared" si="224"/>
        <v>0.247</v>
      </c>
      <c r="AO52" s="78">
        <v>37954.6</v>
      </c>
      <c r="AP52" s="104">
        <v>21456.15</v>
      </c>
      <c r="AQ52" s="61">
        <f t="shared" si="14"/>
        <v>0.85099999999999998</v>
      </c>
      <c r="AR52" s="57">
        <f t="shared" si="15"/>
        <v>0.91400000000000003</v>
      </c>
      <c r="AS52" s="45"/>
      <c r="AT52" s="78">
        <v>1058.944</v>
      </c>
      <c r="AU52" s="77">
        <f t="shared" si="225"/>
        <v>0.43000008121299732</v>
      </c>
      <c r="AV52" s="78">
        <v>888.40899999999999</v>
      </c>
      <c r="AW52" s="77">
        <f t="shared" si="226"/>
        <v>0.55283696328562537</v>
      </c>
      <c r="AX52" s="78">
        <v>1121.4780000000001</v>
      </c>
      <c r="AY52" s="77">
        <f t="shared" si="16"/>
        <v>0.5784392407674851</v>
      </c>
      <c r="AZ52" s="45"/>
      <c r="BA52" s="75">
        <v>52500.305999999997</v>
      </c>
      <c r="BB52" s="77">
        <f t="shared" si="17"/>
        <v>0.75409836065573765</v>
      </c>
      <c r="BC52" s="45"/>
      <c r="BD52" s="105">
        <v>4236.8320000000003</v>
      </c>
      <c r="BE52" s="45">
        <v>0</v>
      </c>
      <c r="BF52" s="106">
        <v>0</v>
      </c>
      <c r="BG52" s="107">
        <f t="shared" si="18"/>
        <v>0.1299641717791411</v>
      </c>
      <c r="BH52" s="108">
        <f t="shared" si="19"/>
        <v>0</v>
      </c>
      <c r="BI52" s="106">
        <v>0</v>
      </c>
      <c r="BJ52" s="106">
        <v>0</v>
      </c>
      <c r="BK52" s="106">
        <v>0</v>
      </c>
      <c r="BL52" s="106">
        <v>1510.5139999999999</v>
      </c>
      <c r="BM52" s="107">
        <f t="shared" si="20"/>
        <v>0.11207256269476183</v>
      </c>
      <c r="BN52" s="108">
        <f t="shared" si="21"/>
        <v>0</v>
      </c>
      <c r="BO52" s="45">
        <v>7668</v>
      </c>
      <c r="BP52" s="45">
        <v>648.91754766999998</v>
      </c>
      <c r="BQ52" s="45"/>
      <c r="BR52" s="109">
        <v>-700</v>
      </c>
      <c r="BS52" s="45">
        <f t="shared" si="22"/>
        <v>0</v>
      </c>
      <c r="BT52" s="45">
        <v>4485</v>
      </c>
      <c r="BU52" s="45">
        <f t="shared" si="22"/>
        <v>4485</v>
      </c>
      <c r="BV52" s="45">
        <v>0</v>
      </c>
      <c r="BW52" s="45">
        <f t="shared" ref="BW52:BY52" si="329">IF(BV52&gt;0,BV52,0)</f>
        <v>0</v>
      </c>
      <c r="BX52" s="45">
        <v>-5000</v>
      </c>
      <c r="BY52" s="45">
        <f t="shared" si="329"/>
        <v>0</v>
      </c>
      <c r="BZ52" s="45">
        <v>-2919.8455569900002</v>
      </c>
      <c r="CA52" s="45">
        <f t="shared" ref="CA52:CC52" si="330">IF(BZ52&gt;0,BZ52,0)</f>
        <v>0</v>
      </c>
      <c r="CB52" s="45">
        <v>-4000</v>
      </c>
      <c r="CC52" s="45">
        <f t="shared" si="330"/>
        <v>0</v>
      </c>
      <c r="CD52" s="45">
        <v>4800</v>
      </c>
      <c r="CE52" s="45">
        <f t="shared" ref="CE52:CG52" si="331">IF(CD52&gt;0,CD52,0)</f>
        <v>4800</v>
      </c>
      <c r="CF52" s="45">
        <v>23867.5006192</v>
      </c>
      <c r="CG52" s="45">
        <f t="shared" si="331"/>
        <v>23867.5006192</v>
      </c>
      <c r="CH52" s="107">
        <f t="shared" si="26"/>
        <v>33152.5006192</v>
      </c>
      <c r="CI52" s="45"/>
      <c r="CJ52" s="109">
        <v>-700</v>
      </c>
      <c r="CK52" s="45">
        <f t="shared" si="27"/>
        <v>700</v>
      </c>
      <c r="CL52" s="45">
        <v>4485</v>
      </c>
      <c r="CM52" s="45">
        <f t="shared" si="27"/>
        <v>0</v>
      </c>
      <c r="CN52" s="45">
        <v>0</v>
      </c>
      <c r="CO52" s="45">
        <f t="shared" ref="CO52:CQ52" si="332">IF(CN52&lt;0,-CN52,0)</f>
        <v>0</v>
      </c>
      <c r="CP52" s="45">
        <v>-5000</v>
      </c>
      <c r="CQ52" s="45">
        <f t="shared" si="332"/>
        <v>5000</v>
      </c>
      <c r="CR52" s="45">
        <v>-2919.8455569900002</v>
      </c>
      <c r="CS52" s="45">
        <f t="shared" ref="CS52:CU52" si="333">IF(CR52&lt;0,-CR52,0)</f>
        <v>2919.8455569900002</v>
      </c>
      <c r="CT52" s="45">
        <v>-4000</v>
      </c>
      <c r="CU52" s="45">
        <f t="shared" si="333"/>
        <v>4000</v>
      </c>
      <c r="CV52" s="45">
        <v>4800</v>
      </c>
      <c r="CW52" s="45">
        <f t="shared" ref="CW52:CY52" si="334">IF(CV52&lt;0,-CV52,0)</f>
        <v>0</v>
      </c>
      <c r="CX52" s="45">
        <v>23867.5006192</v>
      </c>
      <c r="CY52" s="45">
        <f t="shared" si="334"/>
        <v>0</v>
      </c>
      <c r="CZ52" s="107">
        <f t="shared" si="31"/>
        <v>12619.84555699</v>
      </c>
      <c r="DA52" s="45"/>
      <c r="DB52" s="110">
        <v>30206.218000000001</v>
      </c>
      <c r="DC52" s="57">
        <v>1980.4690000000001</v>
      </c>
      <c r="DD52" s="61">
        <v>900.23500903709999</v>
      </c>
      <c r="DE52" s="61">
        <f t="shared" si="32"/>
        <v>33086.922009037102</v>
      </c>
      <c r="DF52" s="110">
        <v>7904.4809999999998</v>
      </c>
      <c r="DG52" s="110">
        <v>53912.411</v>
      </c>
      <c r="DH52" s="57">
        <v>4325</v>
      </c>
      <c r="DI52" s="107">
        <f t="shared" si="33"/>
        <v>58237.411</v>
      </c>
      <c r="DJ52" s="45"/>
      <c r="DK52" s="110">
        <v>625.44000000000005</v>
      </c>
      <c r="DL52" s="57">
        <v>10493.065843074541</v>
      </c>
      <c r="DM52" s="57">
        <f t="shared" si="34"/>
        <v>11118.505843074541</v>
      </c>
      <c r="DN52" s="61">
        <v>1235.3721215036271</v>
      </c>
      <c r="DO52" s="61">
        <v>2899.4446020647688</v>
      </c>
      <c r="DP52" s="61">
        <v>0</v>
      </c>
      <c r="DQ52" s="57">
        <f t="shared" si="35"/>
        <v>2899.4446020647688</v>
      </c>
      <c r="DR52" s="57">
        <v>161.08025567026499</v>
      </c>
      <c r="DS52" s="57">
        <v>161.08025567026499</v>
      </c>
      <c r="DT52" s="5"/>
      <c r="DU52" s="73">
        <v>0</v>
      </c>
      <c r="DV52" s="156">
        <v>266.18921702</v>
      </c>
      <c r="DW52" s="155">
        <v>406.39380666</v>
      </c>
      <c r="DX52" s="155">
        <v>0</v>
      </c>
      <c r="DY52" s="73">
        <v>0</v>
      </c>
      <c r="DZ52" s="156">
        <v>1553.672292</v>
      </c>
      <c r="EA52" s="73">
        <v>0</v>
      </c>
      <c r="EB52" s="156">
        <v>0</v>
      </c>
      <c r="EC52" s="73">
        <v>0</v>
      </c>
      <c r="ED52" s="156">
        <v>847.5</v>
      </c>
      <c r="EE52" s="73">
        <v>0</v>
      </c>
      <c r="EF52" s="156">
        <v>3658.3508083000002</v>
      </c>
      <c r="EG52" s="73">
        <v>0</v>
      </c>
      <c r="EH52" s="156">
        <v>266.18921702</v>
      </c>
      <c r="EI52" s="159">
        <v>1553.672292</v>
      </c>
      <c r="EJ52" s="162">
        <v>847.5</v>
      </c>
      <c r="EK52" s="165">
        <v>735.83500000000004</v>
      </c>
      <c r="EL52" s="159">
        <v>0</v>
      </c>
      <c r="EM52" s="159">
        <f t="shared" si="36"/>
        <v>4912.24461496</v>
      </c>
      <c r="EN52" s="159">
        <f t="shared" si="37"/>
        <v>0</v>
      </c>
      <c r="EP52" s="2">
        <v>21465.134099999999</v>
      </c>
      <c r="EQ52" s="5">
        <f t="shared" si="38"/>
        <v>0.87399999999999989</v>
      </c>
    </row>
    <row r="53" spans="13:147" x14ac:dyDescent="0.35">
      <c r="M53" s="5"/>
      <c r="N53" s="66">
        <f t="shared" si="39"/>
        <v>51</v>
      </c>
      <c r="O53" s="78">
        <v>0</v>
      </c>
      <c r="P53" s="77">
        <f t="shared" si="6"/>
        <v>0</v>
      </c>
      <c r="Q53" s="104">
        <v>0</v>
      </c>
      <c r="R53" s="77">
        <f t="shared" si="7"/>
        <v>0</v>
      </c>
      <c r="S53" s="104">
        <v>0</v>
      </c>
      <c r="T53" s="77">
        <f t="shared" si="8"/>
        <v>0</v>
      </c>
      <c r="U53" s="104">
        <v>0</v>
      </c>
      <c r="V53" s="77">
        <f t="shared" si="221"/>
        <v>0</v>
      </c>
      <c r="W53" s="104">
        <v>0</v>
      </c>
      <c r="X53" s="77">
        <f t="shared" si="222"/>
        <v>0</v>
      </c>
      <c r="Y53" s="104">
        <v>0</v>
      </c>
      <c r="Z53" s="77">
        <f t="shared" si="9"/>
        <v>0</v>
      </c>
      <c r="AA53" s="104">
        <v>0</v>
      </c>
      <c r="AB53" s="77">
        <f t="shared" si="10"/>
        <v>0</v>
      </c>
      <c r="AC53" s="5"/>
      <c r="AD53" s="66">
        <f t="shared" si="40"/>
        <v>51</v>
      </c>
      <c r="AE53" s="78">
        <v>10145.977199999999</v>
      </c>
      <c r="AF53" s="104">
        <v>391</v>
      </c>
      <c r="AG53" s="78">
        <v>85</v>
      </c>
      <c r="AH53" s="61">
        <f t="shared" si="11"/>
        <v>0.11399999999999999</v>
      </c>
      <c r="AI53" s="61">
        <f t="shared" si="12"/>
        <v>0.17</v>
      </c>
      <c r="AJ53" s="61">
        <f t="shared" si="13"/>
        <v>0.17</v>
      </c>
      <c r="AK53" s="77">
        <v>71.06</v>
      </c>
      <c r="AL53" s="104">
        <v>2969.1179999999999</v>
      </c>
      <c r="AM53" s="61">
        <f t="shared" si="223"/>
        <v>0.11</v>
      </c>
      <c r="AN53" s="57">
        <f t="shared" si="224"/>
        <v>0.255</v>
      </c>
      <c r="AO53" s="78">
        <v>37330.199999999997</v>
      </c>
      <c r="AP53" s="104">
        <v>20916.224999999999</v>
      </c>
      <c r="AQ53" s="61">
        <f t="shared" si="14"/>
        <v>0.83699999999999997</v>
      </c>
      <c r="AR53" s="57">
        <f t="shared" si="15"/>
        <v>0.8909999999999999</v>
      </c>
      <c r="AS53" s="45"/>
      <c r="AT53" s="78">
        <v>1039.2429999999999</v>
      </c>
      <c r="AU53" s="77">
        <f t="shared" si="225"/>
        <v>0.42200019491119356</v>
      </c>
      <c r="AV53" s="78">
        <v>887.54899999999998</v>
      </c>
      <c r="AW53" s="77">
        <f t="shared" si="226"/>
        <v>0.55230180460485379</v>
      </c>
      <c r="AX53" s="78">
        <v>1121.4780000000001</v>
      </c>
      <c r="AY53" s="77">
        <f t="shared" si="16"/>
        <v>0.5784392407674851</v>
      </c>
      <c r="AZ53" s="45"/>
      <c r="BA53" s="75">
        <v>52500.305999999997</v>
      </c>
      <c r="BB53" s="77">
        <f t="shared" si="17"/>
        <v>0.75409836065573765</v>
      </c>
      <c r="BC53" s="45"/>
      <c r="BD53" s="105">
        <v>4313.2849999999999</v>
      </c>
      <c r="BE53" s="45">
        <v>0</v>
      </c>
      <c r="BF53" s="106">
        <v>0</v>
      </c>
      <c r="BG53" s="107">
        <f t="shared" si="18"/>
        <v>0.13230935582822084</v>
      </c>
      <c r="BH53" s="108">
        <f t="shared" si="19"/>
        <v>0</v>
      </c>
      <c r="BI53" s="106">
        <v>0</v>
      </c>
      <c r="BJ53" s="106">
        <v>0</v>
      </c>
      <c r="BK53" s="106">
        <v>0</v>
      </c>
      <c r="BL53" s="106">
        <v>1564.1980000000001</v>
      </c>
      <c r="BM53" s="107">
        <f t="shared" si="20"/>
        <v>0.1160556462383143</v>
      </c>
      <c r="BN53" s="108">
        <f t="shared" si="21"/>
        <v>0</v>
      </c>
      <c r="BO53" s="45">
        <v>7668</v>
      </c>
      <c r="BP53" s="45">
        <v>648.91754766999998</v>
      </c>
      <c r="BQ53" s="45"/>
      <c r="BR53" s="109">
        <v>-700</v>
      </c>
      <c r="BS53" s="45">
        <f t="shared" si="22"/>
        <v>0</v>
      </c>
      <c r="BT53" s="45">
        <v>4485</v>
      </c>
      <c r="BU53" s="45">
        <f t="shared" si="22"/>
        <v>4485</v>
      </c>
      <c r="BV53" s="45">
        <v>0</v>
      </c>
      <c r="BW53" s="45">
        <f t="shared" ref="BW53:BY53" si="335">IF(BV53&gt;0,BV53,0)</f>
        <v>0</v>
      </c>
      <c r="BX53" s="45">
        <v>-5000</v>
      </c>
      <c r="BY53" s="45">
        <f t="shared" si="335"/>
        <v>0</v>
      </c>
      <c r="BZ53" s="45">
        <v>-5300</v>
      </c>
      <c r="CA53" s="45">
        <f t="shared" ref="CA53:CC53" si="336">IF(BZ53&gt;0,BZ53,0)</f>
        <v>0</v>
      </c>
      <c r="CB53" s="45">
        <v>-4000</v>
      </c>
      <c r="CC53" s="45">
        <f t="shared" si="336"/>
        <v>0</v>
      </c>
      <c r="CD53" s="45">
        <v>4800</v>
      </c>
      <c r="CE53" s="45">
        <f t="shared" ref="CE53:CG53" si="337">IF(CD53&gt;0,CD53,0)</f>
        <v>4800</v>
      </c>
      <c r="CF53" s="45">
        <v>23671.04245279</v>
      </c>
      <c r="CG53" s="45">
        <f t="shared" si="337"/>
        <v>23671.04245279</v>
      </c>
      <c r="CH53" s="107">
        <f t="shared" si="26"/>
        <v>32956.042452790003</v>
      </c>
      <c r="CI53" s="45"/>
      <c r="CJ53" s="109">
        <v>-700</v>
      </c>
      <c r="CK53" s="45">
        <f t="shared" si="27"/>
        <v>700</v>
      </c>
      <c r="CL53" s="45">
        <v>4485</v>
      </c>
      <c r="CM53" s="45">
        <f t="shared" si="27"/>
        <v>0</v>
      </c>
      <c r="CN53" s="45">
        <v>0</v>
      </c>
      <c r="CO53" s="45">
        <f t="shared" ref="CO53:CQ53" si="338">IF(CN53&lt;0,-CN53,0)</f>
        <v>0</v>
      </c>
      <c r="CP53" s="45">
        <v>-5000</v>
      </c>
      <c r="CQ53" s="45">
        <f t="shared" si="338"/>
        <v>5000</v>
      </c>
      <c r="CR53" s="45">
        <v>-5300</v>
      </c>
      <c r="CS53" s="45">
        <f t="shared" ref="CS53:CU53" si="339">IF(CR53&lt;0,-CR53,0)</f>
        <v>5300</v>
      </c>
      <c r="CT53" s="45">
        <v>-4000</v>
      </c>
      <c r="CU53" s="45">
        <f t="shared" si="339"/>
        <v>4000</v>
      </c>
      <c r="CV53" s="45">
        <v>4800</v>
      </c>
      <c r="CW53" s="45">
        <f t="shared" ref="CW53:CY53" si="340">IF(CV53&lt;0,-CV53,0)</f>
        <v>0</v>
      </c>
      <c r="CX53" s="45">
        <v>23671.04245279</v>
      </c>
      <c r="CY53" s="45">
        <f t="shared" si="340"/>
        <v>0</v>
      </c>
      <c r="CZ53" s="107">
        <f t="shared" si="31"/>
        <v>15000</v>
      </c>
      <c r="DA53" s="45"/>
      <c r="DB53" s="110">
        <v>29196.525000000001</v>
      </c>
      <c r="DC53" s="57">
        <v>1943.2239999999999</v>
      </c>
      <c r="DD53" s="61">
        <v>1463.7129221668999</v>
      </c>
      <c r="DE53" s="61">
        <f t="shared" si="32"/>
        <v>32603.461922166898</v>
      </c>
      <c r="DF53" s="110">
        <v>7541.9350000000004</v>
      </c>
      <c r="DG53" s="110">
        <v>50904.411</v>
      </c>
      <c r="DH53" s="57">
        <v>4339</v>
      </c>
      <c r="DI53" s="107">
        <f t="shared" si="33"/>
        <v>55243.411</v>
      </c>
      <c r="DJ53" s="45"/>
      <c r="DK53" s="110">
        <v>678.548</v>
      </c>
      <c r="DL53" s="57">
        <v>10493.065843074541</v>
      </c>
      <c r="DM53" s="57">
        <f t="shared" si="34"/>
        <v>11171.613843074541</v>
      </c>
      <c r="DN53" s="61">
        <v>1235.3721215036271</v>
      </c>
      <c r="DO53" s="61">
        <v>2899.4446020647688</v>
      </c>
      <c r="DP53" s="61">
        <v>0</v>
      </c>
      <c r="DQ53" s="57">
        <f t="shared" si="35"/>
        <v>2899.4446020647688</v>
      </c>
      <c r="DR53" s="57">
        <v>161.08025567026499</v>
      </c>
      <c r="DS53" s="57">
        <v>161.08025567026499</v>
      </c>
      <c r="DT53" s="5"/>
      <c r="DU53" s="73">
        <v>0</v>
      </c>
      <c r="DV53" s="156">
        <v>358.58648701999999</v>
      </c>
      <c r="DW53" s="155">
        <v>657.97380666000004</v>
      </c>
      <c r="DX53" s="155">
        <v>0</v>
      </c>
      <c r="DY53" s="73">
        <v>0</v>
      </c>
      <c r="DZ53" s="156">
        <v>1553.672292</v>
      </c>
      <c r="EA53" s="73">
        <v>0</v>
      </c>
      <c r="EB53" s="156">
        <v>0</v>
      </c>
      <c r="EC53" s="73">
        <v>0</v>
      </c>
      <c r="ED53" s="156">
        <v>847.5</v>
      </c>
      <c r="EE53" s="73">
        <v>0</v>
      </c>
      <c r="EF53" s="156">
        <v>3499.1680783000002</v>
      </c>
      <c r="EG53" s="73">
        <v>0</v>
      </c>
      <c r="EH53" s="156">
        <v>358.58648701999999</v>
      </c>
      <c r="EI53" s="159">
        <v>1553.672292</v>
      </c>
      <c r="EJ53" s="162">
        <v>847.5</v>
      </c>
      <c r="EK53" s="165">
        <v>735.83500000000004</v>
      </c>
      <c r="EL53" s="159">
        <v>0</v>
      </c>
      <c r="EM53" s="159">
        <f t="shared" si="36"/>
        <v>5004.6418849600004</v>
      </c>
      <c r="EN53" s="159">
        <f t="shared" si="37"/>
        <v>0</v>
      </c>
      <c r="EP53" s="2">
        <v>21465.134099999999</v>
      </c>
      <c r="EQ53" s="5">
        <f t="shared" si="38"/>
        <v>0.87399999999999989</v>
      </c>
    </row>
    <row r="54" spans="13:147" x14ac:dyDescent="0.35">
      <c r="M54" s="5"/>
      <c r="N54" s="66">
        <f t="shared" si="39"/>
        <v>52</v>
      </c>
      <c r="O54" s="78">
        <v>0</v>
      </c>
      <c r="P54" s="77">
        <f t="shared" si="6"/>
        <v>0</v>
      </c>
      <c r="Q54" s="104">
        <v>0</v>
      </c>
      <c r="R54" s="77">
        <f t="shared" si="7"/>
        <v>0</v>
      </c>
      <c r="S54" s="104">
        <v>0</v>
      </c>
      <c r="T54" s="77">
        <f t="shared" si="8"/>
        <v>0</v>
      </c>
      <c r="U54" s="104">
        <v>0</v>
      </c>
      <c r="V54" s="77">
        <f t="shared" si="221"/>
        <v>0</v>
      </c>
      <c r="W54" s="104">
        <v>0</v>
      </c>
      <c r="X54" s="77">
        <f t="shared" si="222"/>
        <v>0</v>
      </c>
      <c r="Y54" s="104">
        <v>0</v>
      </c>
      <c r="Z54" s="77">
        <f t="shared" si="9"/>
        <v>0</v>
      </c>
      <c r="AA54" s="104">
        <v>0</v>
      </c>
      <c r="AB54" s="77">
        <f t="shared" si="10"/>
        <v>0</v>
      </c>
      <c r="AC54" s="5"/>
      <c r="AD54" s="66">
        <f t="shared" si="40"/>
        <v>52</v>
      </c>
      <c r="AE54" s="78">
        <v>9700.9781999999996</v>
      </c>
      <c r="AF54" s="104">
        <v>377.2</v>
      </c>
      <c r="AG54" s="78">
        <v>82</v>
      </c>
      <c r="AH54" s="61">
        <f t="shared" si="11"/>
        <v>0.10899999999999999</v>
      </c>
      <c r="AI54" s="61">
        <f t="shared" si="12"/>
        <v>0.16400000000000001</v>
      </c>
      <c r="AJ54" s="61">
        <f t="shared" si="13"/>
        <v>0.16400000000000001</v>
      </c>
      <c r="AK54" s="77">
        <v>71.706000000000003</v>
      </c>
      <c r="AL54" s="104">
        <v>2957.4744000000001</v>
      </c>
      <c r="AM54" s="61">
        <f t="shared" si="223"/>
        <v>0.111</v>
      </c>
      <c r="AN54" s="57">
        <f t="shared" si="224"/>
        <v>0.254</v>
      </c>
      <c r="AO54" s="78">
        <v>36304.400000000001</v>
      </c>
      <c r="AP54" s="104">
        <v>20094.599999999999</v>
      </c>
      <c r="AQ54" s="61">
        <f t="shared" si="14"/>
        <v>0.81400000000000006</v>
      </c>
      <c r="AR54" s="57">
        <f t="shared" si="15"/>
        <v>0.85599999999999998</v>
      </c>
      <c r="AS54" s="45"/>
      <c r="AT54" s="78">
        <v>1026.9290000000001</v>
      </c>
      <c r="AU54" s="77">
        <f t="shared" si="225"/>
        <v>0.41699991066570302</v>
      </c>
      <c r="AV54" s="78">
        <v>878.93799999999999</v>
      </c>
      <c r="AW54" s="77">
        <f t="shared" si="226"/>
        <v>0.54694337274424387</v>
      </c>
      <c r="AX54" s="78">
        <v>1121.4780000000001</v>
      </c>
      <c r="AY54" s="77">
        <f t="shared" si="16"/>
        <v>0.5784392407674851</v>
      </c>
      <c r="AZ54" s="45"/>
      <c r="BA54" s="75">
        <v>51358.995000000003</v>
      </c>
      <c r="BB54" s="77">
        <f t="shared" si="17"/>
        <v>0.73770491803278682</v>
      </c>
      <c r="BC54" s="45"/>
      <c r="BD54" s="105">
        <v>4148.1620000000003</v>
      </c>
      <c r="BE54" s="45">
        <v>0</v>
      </c>
      <c r="BF54" s="106">
        <v>0</v>
      </c>
      <c r="BG54" s="107">
        <f t="shared" si="18"/>
        <v>0.12724423312883437</v>
      </c>
      <c r="BH54" s="108">
        <f t="shared" si="19"/>
        <v>0</v>
      </c>
      <c r="BI54" s="106">
        <v>0</v>
      </c>
      <c r="BJ54" s="106">
        <v>0</v>
      </c>
      <c r="BK54" s="106">
        <v>0</v>
      </c>
      <c r="BL54" s="106">
        <v>1595.614</v>
      </c>
      <c r="BM54" s="107">
        <f t="shared" si="20"/>
        <v>0.11838655586882327</v>
      </c>
      <c r="BN54" s="108">
        <f t="shared" si="21"/>
        <v>0</v>
      </c>
      <c r="BO54" s="45">
        <v>7668</v>
      </c>
      <c r="BP54" s="45">
        <v>648.91754766999998</v>
      </c>
      <c r="BQ54" s="45"/>
      <c r="BR54" s="109">
        <v>-700</v>
      </c>
      <c r="BS54" s="45">
        <f t="shared" si="22"/>
        <v>0</v>
      </c>
      <c r="BT54" s="45">
        <v>4485</v>
      </c>
      <c r="BU54" s="45">
        <f t="shared" si="22"/>
        <v>4485</v>
      </c>
      <c r="BV54" s="45">
        <v>0</v>
      </c>
      <c r="BW54" s="45">
        <f t="shared" ref="BW54:BY54" si="341">IF(BV54&gt;0,BV54,0)</f>
        <v>0</v>
      </c>
      <c r="BX54" s="45">
        <v>-5000</v>
      </c>
      <c r="BY54" s="45">
        <f t="shared" si="341"/>
        <v>0</v>
      </c>
      <c r="BZ54" s="45">
        <v>-2434.5453135500002</v>
      </c>
      <c r="CA54" s="45">
        <f t="shared" ref="CA54:CC54" si="342">IF(BZ54&gt;0,BZ54,0)</f>
        <v>0</v>
      </c>
      <c r="CB54" s="45">
        <v>-4000</v>
      </c>
      <c r="CC54" s="45">
        <f t="shared" si="342"/>
        <v>0</v>
      </c>
      <c r="CD54" s="45">
        <v>4800</v>
      </c>
      <c r="CE54" s="45">
        <f t="shared" ref="CE54:CG54" si="343">IF(CD54&gt;0,CD54,0)</f>
        <v>4800</v>
      </c>
      <c r="CF54" s="45">
        <v>26375.625330729999</v>
      </c>
      <c r="CG54" s="45">
        <f t="shared" si="343"/>
        <v>26375.625330729999</v>
      </c>
      <c r="CH54" s="107">
        <f t="shared" si="26"/>
        <v>35660.625330729999</v>
      </c>
      <c r="CI54" s="45"/>
      <c r="CJ54" s="109">
        <v>-700</v>
      </c>
      <c r="CK54" s="45">
        <f t="shared" si="27"/>
        <v>700</v>
      </c>
      <c r="CL54" s="45">
        <v>4485</v>
      </c>
      <c r="CM54" s="45">
        <f t="shared" si="27"/>
        <v>0</v>
      </c>
      <c r="CN54" s="45">
        <v>0</v>
      </c>
      <c r="CO54" s="45">
        <f t="shared" ref="CO54:CQ54" si="344">IF(CN54&lt;0,-CN54,0)</f>
        <v>0</v>
      </c>
      <c r="CP54" s="45">
        <v>-5000</v>
      </c>
      <c r="CQ54" s="45">
        <f t="shared" si="344"/>
        <v>5000</v>
      </c>
      <c r="CR54" s="45">
        <v>-2434.5453135500002</v>
      </c>
      <c r="CS54" s="45">
        <f t="shared" ref="CS54:CU54" si="345">IF(CR54&lt;0,-CR54,0)</f>
        <v>2434.5453135500002</v>
      </c>
      <c r="CT54" s="45">
        <v>-4000</v>
      </c>
      <c r="CU54" s="45">
        <f t="shared" si="345"/>
        <v>4000</v>
      </c>
      <c r="CV54" s="45">
        <v>4800</v>
      </c>
      <c r="CW54" s="45">
        <f t="shared" ref="CW54:CY54" si="346">IF(CV54&lt;0,-CV54,0)</f>
        <v>0</v>
      </c>
      <c r="CX54" s="45">
        <v>26375.625330729999</v>
      </c>
      <c r="CY54" s="45">
        <f t="shared" si="346"/>
        <v>0</v>
      </c>
      <c r="CZ54" s="107">
        <f t="shared" si="31"/>
        <v>12134.545313549999</v>
      </c>
      <c r="DA54" s="45"/>
      <c r="DB54" s="110">
        <v>28863.248</v>
      </c>
      <c r="DC54" s="57">
        <v>1923.087</v>
      </c>
      <c r="DD54" s="61">
        <v>2305.6956576020002</v>
      </c>
      <c r="DE54" s="61">
        <f t="shared" si="32"/>
        <v>33092.030657602001</v>
      </c>
      <c r="DF54" s="110">
        <v>7383.3540000000003</v>
      </c>
      <c r="DG54" s="110">
        <v>49385.411</v>
      </c>
      <c r="DH54" s="57">
        <v>4238</v>
      </c>
      <c r="DI54" s="107">
        <f t="shared" si="33"/>
        <v>53623.411</v>
      </c>
      <c r="DJ54" s="45"/>
      <c r="DK54" s="110">
        <v>765.45799999999997</v>
      </c>
      <c r="DL54" s="57">
        <v>10493.065843074541</v>
      </c>
      <c r="DM54" s="57">
        <f t="shared" si="34"/>
        <v>11258.523843074541</v>
      </c>
      <c r="DN54" s="61">
        <v>1235.3721215036271</v>
      </c>
      <c r="DO54" s="61">
        <v>2899.4446020647688</v>
      </c>
      <c r="DP54" s="61">
        <v>0</v>
      </c>
      <c r="DQ54" s="57">
        <f t="shared" si="35"/>
        <v>2899.4446020647688</v>
      </c>
      <c r="DR54" s="57">
        <v>161.08025567026499</v>
      </c>
      <c r="DS54" s="57">
        <v>161.08025567026499</v>
      </c>
      <c r="DT54" s="5"/>
      <c r="DU54" s="73">
        <v>0</v>
      </c>
      <c r="DV54" s="156">
        <v>263.65451702000001</v>
      </c>
      <c r="DW54" s="155">
        <v>406.39380666</v>
      </c>
      <c r="DX54" s="155">
        <v>0</v>
      </c>
      <c r="DY54" s="73">
        <v>0</v>
      </c>
      <c r="DZ54" s="156">
        <v>1553.672292</v>
      </c>
      <c r="EA54" s="73">
        <v>0</v>
      </c>
      <c r="EB54" s="156">
        <v>0</v>
      </c>
      <c r="EC54" s="73">
        <v>0</v>
      </c>
      <c r="ED54" s="156">
        <v>847.5</v>
      </c>
      <c r="EE54" s="73">
        <v>0</v>
      </c>
      <c r="EF54" s="156">
        <v>3655.8161083</v>
      </c>
      <c r="EG54" s="73">
        <v>0</v>
      </c>
      <c r="EH54" s="156">
        <v>263.65451702000001</v>
      </c>
      <c r="EI54" s="159">
        <v>1553.672292</v>
      </c>
      <c r="EJ54" s="162">
        <v>847.5</v>
      </c>
      <c r="EK54" s="165">
        <v>735.83500000000004</v>
      </c>
      <c r="EL54" s="159">
        <v>0</v>
      </c>
      <c r="EM54" s="159">
        <f t="shared" si="36"/>
        <v>4909.7099149599999</v>
      </c>
      <c r="EN54" s="159">
        <f t="shared" si="37"/>
        <v>0</v>
      </c>
      <c r="EP54" s="2">
        <v>21931.767449999999</v>
      </c>
      <c r="EQ54" s="5">
        <f t="shared" si="38"/>
        <v>0.8929999999999999</v>
      </c>
    </row>
    <row r="55" spans="13:147" x14ac:dyDescent="0.35">
      <c r="M55" s="5"/>
      <c r="N55" s="66">
        <f t="shared" si="39"/>
        <v>53</v>
      </c>
      <c r="O55" s="78">
        <v>0</v>
      </c>
      <c r="P55" s="77">
        <f t="shared" si="6"/>
        <v>0</v>
      </c>
      <c r="Q55" s="104">
        <v>0</v>
      </c>
      <c r="R55" s="77">
        <f t="shared" si="7"/>
        <v>0</v>
      </c>
      <c r="S55" s="104">
        <v>0</v>
      </c>
      <c r="T55" s="77">
        <f t="shared" si="8"/>
        <v>0</v>
      </c>
      <c r="U55" s="104">
        <v>0</v>
      </c>
      <c r="V55" s="77">
        <f t="shared" si="221"/>
        <v>0</v>
      </c>
      <c r="W55" s="104">
        <v>0</v>
      </c>
      <c r="X55" s="77">
        <f t="shared" si="222"/>
        <v>0</v>
      </c>
      <c r="Y55" s="104">
        <v>0</v>
      </c>
      <c r="Z55" s="77">
        <f t="shared" si="9"/>
        <v>0</v>
      </c>
      <c r="AA55" s="104">
        <v>0</v>
      </c>
      <c r="AB55" s="77">
        <f t="shared" si="10"/>
        <v>0</v>
      </c>
      <c r="AC55" s="5"/>
      <c r="AD55" s="66">
        <f t="shared" si="40"/>
        <v>53</v>
      </c>
      <c r="AE55" s="78">
        <v>9344.9789999999994</v>
      </c>
      <c r="AF55" s="104">
        <v>370.3</v>
      </c>
      <c r="AG55" s="78">
        <v>80.5</v>
      </c>
      <c r="AH55" s="61">
        <f t="shared" si="11"/>
        <v>0.105</v>
      </c>
      <c r="AI55" s="61">
        <f t="shared" si="12"/>
        <v>0.161</v>
      </c>
      <c r="AJ55" s="61">
        <f t="shared" si="13"/>
        <v>0.161</v>
      </c>
      <c r="AK55" s="77">
        <v>72.352000000000004</v>
      </c>
      <c r="AL55" s="104">
        <v>2910.9</v>
      </c>
      <c r="AM55" s="61">
        <f t="shared" si="223"/>
        <v>0.112</v>
      </c>
      <c r="AN55" s="57">
        <f t="shared" si="224"/>
        <v>0.25</v>
      </c>
      <c r="AO55" s="78">
        <v>35323.199999999997</v>
      </c>
      <c r="AP55" s="104">
        <v>19390.349999999999</v>
      </c>
      <c r="AQ55" s="61">
        <f t="shared" si="14"/>
        <v>0.79199999999999993</v>
      </c>
      <c r="AR55" s="57">
        <f t="shared" si="15"/>
        <v>0.82599999999999996</v>
      </c>
      <c r="AS55" s="45"/>
      <c r="AT55" s="78">
        <v>1022.004</v>
      </c>
      <c r="AU55" s="77">
        <f t="shared" si="225"/>
        <v>0.4150000406064987</v>
      </c>
      <c r="AV55" s="78">
        <v>864.82</v>
      </c>
      <c r="AW55" s="77">
        <f t="shared" si="226"/>
        <v>0.53815805849408838</v>
      </c>
      <c r="AX55" s="78">
        <v>1121.4780000000001</v>
      </c>
      <c r="AY55" s="77">
        <f t="shared" si="16"/>
        <v>0.5784392407674851</v>
      </c>
      <c r="AZ55" s="45"/>
      <c r="BA55" s="75">
        <v>51358.995000000003</v>
      </c>
      <c r="BB55" s="77">
        <f t="shared" si="17"/>
        <v>0.73770491803278682</v>
      </c>
      <c r="BC55" s="45"/>
      <c r="BD55" s="105">
        <v>3980.1759999999999</v>
      </c>
      <c r="BE55" s="45">
        <v>0</v>
      </c>
      <c r="BF55" s="106">
        <v>0</v>
      </c>
      <c r="BG55" s="107">
        <f t="shared" si="18"/>
        <v>0.12209128834355829</v>
      </c>
      <c r="BH55" s="108">
        <f t="shared" si="19"/>
        <v>0</v>
      </c>
      <c r="BI55" s="106">
        <v>0</v>
      </c>
      <c r="BJ55" s="106">
        <v>0</v>
      </c>
      <c r="BK55" s="106">
        <v>0</v>
      </c>
      <c r="BL55" s="106">
        <v>1609.566</v>
      </c>
      <c r="BM55" s="107">
        <f t="shared" si="20"/>
        <v>0.11942172429143789</v>
      </c>
      <c r="BN55" s="108">
        <f t="shared" si="21"/>
        <v>0</v>
      </c>
      <c r="BO55" s="45">
        <v>7668</v>
      </c>
      <c r="BP55" s="45">
        <v>649.3774295799999</v>
      </c>
      <c r="BQ55" s="45"/>
      <c r="BR55" s="109">
        <v>-700</v>
      </c>
      <c r="BS55" s="45">
        <f t="shared" si="22"/>
        <v>0</v>
      </c>
      <c r="BT55" s="45">
        <v>4485</v>
      </c>
      <c r="BU55" s="45">
        <f t="shared" si="22"/>
        <v>4485</v>
      </c>
      <c r="BV55" s="45">
        <v>0</v>
      </c>
      <c r="BW55" s="45">
        <f t="shared" ref="BW55:BY55" si="347">IF(BV55&gt;0,BV55,0)</f>
        <v>0</v>
      </c>
      <c r="BX55" s="45">
        <v>-5000</v>
      </c>
      <c r="BY55" s="45">
        <f t="shared" si="347"/>
        <v>0</v>
      </c>
      <c r="BZ55" s="45">
        <v>-3097.5111114599999</v>
      </c>
      <c r="CA55" s="45">
        <f t="shared" ref="CA55:CC55" si="348">IF(BZ55&gt;0,BZ55,0)</f>
        <v>0</v>
      </c>
      <c r="CB55" s="45">
        <v>-4000</v>
      </c>
      <c r="CC55" s="45">
        <f t="shared" si="348"/>
        <v>0</v>
      </c>
      <c r="CD55" s="45">
        <v>4800</v>
      </c>
      <c r="CE55" s="45">
        <f t="shared" ref="CE55:CG55" si="349">IF(CD55&gt;0,CD55,0)</f>
        <v>4800</v>
      </c>
      <c r="CF55" s="45">
        <v>23505.721386280002</v>
      </c>
      <c r="CG55" s="45">
        <f t="shared" si="349"/>
        <v>23505.721386280002</v>
      </c>
      <c r="CH55" s="107">
        <f t="shared" si="26"/>
        <v>32790.721386279998</v>
      </c>
      <c r="CI55" s="45"/>
      <c r="CJ55" s="109">
        <v>-700</v>
      </c>
      <c r="CK55" s="45">
        <f t="shared" si="27"/>
        <v>700</v>
      </c>
      <c r="CL55" s="45">
        <v>4485</v>
      </c>
      <c r="CM55" s="45">
        <f t="shared" si="27"/>
        <v>0</v>
      </c>
      <c r="CN55" s="45">
        <v>0</v>
      </c>
      <c r="CO55" s="45">
        <f t="shared" ref="CO55:CQ55" si="350">IF(CN55&lt;0,-CN55,0)</f>
        <v>0</v>
      </c>
      <c r="CP55" s="45">
        <v>-5000</v>
      </c>
      <c r="CQ55" s="45">
        <f t="shared" si="350"/>
        <v>5000</v>
      </c>
      <c r="CR55" s="45">
        <v>-3097.5111114599999</v>
      </c>
      <c r="CS55" s="45">
        <f t="shared" ref="CS55:CU55" si="351">IF(CR55&lt;0,-CR55,0)</f>
        <v>3097.5111114599999</v>
      </c>
      <c r="CT55" s="45">
        <v>-4000</v>
      </c>
      <c r="CU55" s="45">
        <f t="shared" si="351"/>
        <v>4000</v>
      </c>
      <c r="CV55" s="45">
        <v>4800</v>
      </c>
      <c r="CW55" s="45">
        <f t="shared" ref="CW55:CY55" si="352">IF(CV55&lt;0,-CV55,0)</f>
        <v>0</v>
      </c>
      <c r="CX55" s="45">
        <v>23505.721386280002</v>
      </c>
      <c r="CY55" s="45">
        <f t="shared" si="352"/>
        <v>0</v>
      </c>
      <c r="CZ55" s="107">
        <f t="shared" si="31"/>
        <v>12797.51111146</v>
      </c>
      <c r="DA55" s="45"/>
      <c r="DB55" s="110">
        <v>29645.385999999999</v>
      </c>
      <c r="DC55" s="57">
        <v>1918.0129999999999</v>
      </c>
      <c r="DD55" s="61">
        <v>2591.0091091795998</v>
      </c>
      <c r="DE55" s="61">
        <f t="shared" si="32"/>
        <v>34154.408109179596</v>
      </c>
      <c r="DF55" s="110">
        <v>7362.8010000000004</v>
      </c>
      <c r="DG55" s="110">
        <v>50167.411</v>
      </c>
      <c r="DH55" s="57">
        <v>4294</v>
      </c>
      <c r="DI55" s="107">
        <f t="shared" si="33"/>
        <v>54461.411</v>
      </c>
      <c r="DJ55" s="45"/>
      <c r="DK55" s="110">
        <v>917.16700000000003</v>
      </c>
      <c r="DL55" s="57">
        <v>10508.77584392489</v>
      </c>
      <c r="DM55" s="57">
        <f t="shared" si="34"/>
        <v>11425.94284392489</v>
      </c>
      <c r="DN55" s="61">
        <v>1235.3721215036271</v>
      </c>
      <c r="DO55" s="61">
        <v>2907.722476490012</v>
      </c>
      <c r="DP55" s="61">
        <v>0</v>
      </c>
      <c r="DQ55" s="57">
        <f t="shared" si="35"/>
        <v>2907.722476490012</v>
      </c>
      <c r="DR55" s="57">
        <v>161.54013758277841</v>
      </c>
      <c r="DS55" s="57">
        <v>161.54013758277841</v>
      </c>
      <c r="DT55" s="5"/>
      <c r="DU55" s="73">
        <v>0</v>
      </c>
      <c r="DV55" s="156">
        <v>138.12049425999999</v>
      </c>
      <c r="DW55" s="155">
        <v>638.91783934</v>
      </c>
      <c r="DX55" s="155">
        <v>0</v>
      </c>
      <c r="DY55" s="73">
        <v>0</v>
      </c>
      <c r="DZ55" s="156">
        <v>1553.672292</v>
      </c>
      <c r="EA55" s="73">
        <v>0</v>
      </c>
      <c r="EB55" s="156">
        <v>0</v>
      </c>
      <c r="EC55" s="73">
        <v>0</v>
      </c>
      <c r="ED55" s="156">
        <v>847.5</v>
      </c>
      <c r="EE55" s="73">
        <v>0</v>
      </c>
      <c r="EF55" s="156">
        <v>3289.4801784299998</v>
      </c>
      <c r="EG55" s="73">
        <v>0</v>
      </c>
      <c r="EH55" s="156">
        <v>138.12049425999999</v>
      </c>
      <c r="EI55" s="159">
        <v>1553.672292</v>
      </c>
      <c r="EJ55" s="162">
        <v>847.5</v>
      </c>
      <c r="EK55" s="165">
        <v>735.83500000000004</v>
      </c>
      <c r="EL55" s="159">
        <v>0</v>
      </c>
      <c r="EM55" s="159">
        <f t="shared" si="36"/>
        <v>4775.8980177699996</v>
      </c>
      <c r="EN55" s="159">
        <f t="shared" si="37"/>
        <v>0</v>
      </c>
      <c r="EP55" s="2">
        <v>21931.767449999999</v>
      </c>
      <c r="EQ55" s="5">
        <f t="shared" si="38"/>
        <v>0.8929999999999999</v>
      </c>
    </row>
    <row r="56" spans="13:147" x14ac:dyDescent="0.35">
      <c r="M56" s="5"/>
      <c r="N56" s="66">
        <f t="shared" si="39"/>
        <v>54</v>
      </c>
      <c r="O56" s="78">
        <v>0</v>
      </c>
      <c r="P56" s="77">
        <f t="shared" si="6"/>
        <v>0</v>
      </c>
      <c r="Q56" s="104">
        <v>0</v>
      </c>
      <c r="R56" s="77">
        <f t="shared" si="7"/>
        <v>0</v>
      </c>
      <c r="S56" s="104">
        <v>0</v>
      </c>
      <c r="T56" s="77">
        <f t="shared" si="8"/>
        <v>0</v>
      </c>
      <c r="U56" s="104">
        <v>0</v>
      </c>
      <c r="V56" s="77">
        <f t="shared" si="221"/>
        <v>0</v>
      </c>
      <c r="W56" s="104">
        <v>0</v>
      </c>
      <c r="X56" s="77">
        <f t="shared" si="222"/>
        <v>0</v>
      </c>
      <c r="Y56" s="104">
        <v>0</v>
      </c>
      <c r="Z56" s="77">
        <f t="shared" si="9"/>
        <v>0</v>
      </c>
      <c r="AA56" s="104">
        <v>0</v>
      </c>
      <c r="AB56" s="77">
        <f t="shared" si="10"/>
        <v>0</v>
      </c>
      <c r="AC56" s="5"/>
      <c r="AD56" s="66">
        <f t="shared" si="40"/>
        <v>54</v>
      </c>
      <c r="AE56" s="78">
        <v>8988.9797999999992</v>
      </c>
      <c r="AF56" s="104">
        <v>347.3</v>
      </c>
      <c r="AG56" s="78">
        <v>75.5</v>
      </c>
      <c r="AH56" s="61">
        <f t="shared" si="11"/>
        <v>0.10099999999999999</v>
      </c>
      <c r="AI56" s="61">
        <f t="shared" si="12"/>
        <v>0.151</v>
      </c>
      <c r="AJ56" s="61">
        <f t="shared" si="13"/>
        <v>0.151</v>
      </c>
      <c r="AK56" s="77">
        <v>71.06</v>
      </c>
      <c r="AL56" s="104">
        <v>3038.9796000000001</v>
      </c>
      <c r="AM56" s="61">
        <f t="shared" si="223"/>
        <v>0.11</v>
      </c>
      <c r="AN56" s="57">
        <f t="shared" si="224"/>
        <v>0.26100000000000001</v>
      </c>
      <c r="AO56" s="78">
        <v>34163.599999999999</v>
      </c>
      <c r="AP56" s="104">
        <v>18287.025000000001</v>
      </c>
      <c r="AQ56" s="61">
        <f t="shared" si="14"/>
        <v>0.76600000000000001</v>
      </c>
      <c r="AR56" s="57">
        <f t="shared" si="15"/>
        <v>0.77900000000000003</v>
      </c>
      <c r="AS56" s="45"/>
      <c r="AT56" s="78">
        <v>1024.4670000000001</v>
      </c>
      <c r="AU56" s="77">
        <f t="shared" si="225"/>
        <v>0.41600017866859418</v>
      </c>
      <c r="AV56" s="78">
        <v>859.74699999999996</v>
      </c>
      <c r="AW56" s="77">
        <f t="shared" si="226"/>
        <v>0.53500124455507159</v>
      </c>
      <c r="AX56" s="78">
        <v>1121.4780000000001</v>
      </c>
      <c r="AY56" s="77">
        <f t="shared" si="16"/>
        <v>0.5784392407674851</v>
      </c>
      <c r="AZ56" s="45"/>
      <c r="BA56" s="75">
        <v>51358.995000000003</v>
      </c>
      <c r="BB56" s="77">
        <f t="shared" si="17"/>
        <v>0.73770491803278682</v>
      </c>
      <c r="BC56" s="45"/>
      <c r="BD56" s="105">
        <v>3850.7159999999999</v>
      </c>
      <c r="BE56" s="45">
        <v>0</v>
      </c>
      <c r="BF56" s="106">
        <v>0</v>
      </c>
      <c r="BG56" s="107">
        <f t="shared" si="18"/>
        <v>0.1181201226993865</v>
      </c>
      <c r="BH56" s="108">
        <f t="shared" si="19"/>
        <v>0</v>
      </c>
      <c r="BI56" s="106">
        <v>0</v>
      </c>
      <c r="BJ56" s="106">
        <v>0</v>
      </c>
      <c r="BK56" s="106">
        <v>0</v>
      </c>
      <c r="BL56" s="106">
        <v>1631.971</v>
      </c>
      <c r="BM56" s="107">
        <f t="shared" si="20"/>
        <v>0.12108406291734679</v>
      </c>
      <c r="BN56" s="108">
        <f t="shared" si="21"/>
        <v>0</v>
      </c>
      <c r="BO56" s="45">
        <v>7668</v>
      </c>
      <c r="BP56" s="45">
        <v>650.29719340999998</v>
      </c>
      <c r="BQ56" s="45"/>
      <c r="BR56" s="109">
        <v>-700</v>
      </c>
      <c r="BS56" s="45">
        <f t="shared" si="22"/>
        <v>0</v>
      </c>
      <c r="BT56" s="45">
        <v>4485</v>
      </c>
      <c r="BU56" s="45">
        <f t="shared" si="22"/>
        <v>4485</v>
      </c>
      <c r="BV56" s="45">
        <v>0</v>
      </c>
      <c r="BW56" s="45">
        <f t="shared" ref="BW56:BY56" si="353">IF(BV56&gt;0,BV56,0)</f>
        <v>0</v>
      </c>
      <c r="BX56" s="45">
        <v>-5000</v>
      </c>
      <c r="BY56" s="45">
        <f t="shared" si="353"/>
        <v>0</v>
      </c>
      <c r="BZ56" s="45">
        <v>-1133.3135701599999</v>
      </c>
      <c r="CA56" s="45">
        <f t="shared" ref="CA56:CC56" si="354">IF(BZ56&gt;0,BZ56,0)</f>
        <v>0</v>
      </c>
      <c r="CB56" s="45">
        <v>-4000</v>
      </c>
      <c r="CC56" s="45">
        <f t="shared" si="354"/>
        <v>0</v>
      </c>
      <c r="CD56" s="45">
        <v>4800</v>
      </c>
      <c r="CE56" s="45">
        <f t="shared" ref="CE56:CG56" si="355">IF(CD56&gt;0,CD56,0)</f>
        <v>4800</v>
      </c>
      <c r="CF56" s="45">
        <v>15639.05192863</v>
      </c>
      <c r="CG56" s="45">
        <f t="shared" si="355"/>
        <v>15639.05192863</v>
      </c>
      <c r="CH56" s="107">
        <f t="shared" si="26"/>
        <v>24924.05192863</v>
      </c>
      <c r="CI56" s="45"/>
      <c r="CJ56" s="109">
        <v>-700</v>
      </c>
      <c r="CK56" s="45">
        <f t="shared" si="27"/>
        <v>700</v>
      </c>
      <c r="CL56" s="45">
        <v>4485</v>
      </c>
      <c r="CM56" s="45">
        <f t="shared" si="27"/>
        <v>0</v>
      </c>
      <c r="CN56" s="45">
        <v>0</v>
      </c>
      <c r="CO56" s="45">
        <f t="shared" ref="CO56:CQ56" si="356">IF(CN56&lt;0,-CN56,0)</f>
        <v>0</v>
      </c>
      <c r="CP56" s="45">
        <v>-5000</v>
      </c>
      <c r="CQ56" s="45">
        <f t="shared" si="356"/>
        <v>5000</v>
      </c>
      <c r="CR56" s="45">
        <v>-1133.3135701599999</v>
      </c>
      <c r="CS56" s="45">
        <f t="shared" ref="CS56:CU56" si="357">IF(CR56&lt;0,-CR56,0)</f>
        <v>1133.3135701599999</v>
      </c>
      <c r="CT56" s="45">
        <v>-4000</v>
      </c>
      <c r="CU56" s="45">
        <f t="shared" si="357"/>
        <v>4000</v>
      </c>
      <c r="CV56" s="45">
        <v>4800</v>
      </c>
      <c r="CW56" s="45">
        <f t="shared" ref="CW56:CY56" si="358">IF(CV56&lt;0,-CV56,0)</f>
        <v>0</v>
      </c>
      <c r="CX56" s="45">
        <v>15639.05192863</v>
      </c>
      <c r="CY56" s="45">
        <f t="shared" si="358"/>
        <v>0</v>
      </c>
      <c r="CZ56" s="107">
        <f t="shared" si="31"/>
        <v>10833.31357016</v>
      </c>
      <c r="DA56" s="45"/>
      <c r="DB56" s="110">
        <v>31831.562000000002</v>
      </c>
      <c r="DC56" s="57">
        <v>1929.809</v>
      </c>
      <c r="DD56" s="61">
        <v>2811.0439102031</v>
      </c>
      <c r="DE56" s="61">
        <f t="shared" si="32"/>
        <v>36572.414910203101</v>
      </c>
      <c r="DF56" s="110">
        <v>7505.5879999999997</v>
      </c>
      <c r="DG56" s="110">
        <v>52193.411</v>
      </c>
      <c r="DH56" s="57">
        <v>4395</v>
      </c>
      <c r="DI56" s="107">
        <f t="shared" si="33"/>
        <v>56588.411</v>
      </c>
      <c r="DJ56" s="45"/>
      <c r="DK56" s="110">
        <v>1091.3589999999999</v>
      </c>
      <c r="DL56" s="57">
        <v>10540.1958456256</v>
      </c>
      <c r="DM56" s="57">
        <f t="shared" si="34"/>
        <v>11631.5548456256</v>
      </c>
      <c r="DN56" s="61">
        <v>1333.3285979805271</v>
      </c>
      <c r="DO56" s="61">
        <v>2924.2782253404971</v>
      </c>
      <c r="DP56" s="61">
        <v>0</v>
      </c>
      <c r="DQ56" s="57">
        <f t="shared" si="35"/>
        <v>2924.2782253404971</v>
      </c>
      <c r="DR56" s="57">
        <v>162.4599014078054</v>
      </c>
      <c r="DS56" s="57">
        <v>162.4599014078054</v>
      </c>
      <c r="DT56" s="5"/>
      <c r="DU56" s="73">
        <v>68.184797750000001</v>
      </c>
      <c r="DV56" s="156">
        <v>0</v>
      </c>
      <c r="DW56" s="155">
        <v>387.33783934000002</v>
      </c>
      <c r="DX56" s="155">
        <v>0</v>
      </c>
      <c r="DY56" s="73">
        <v>0</v>
      </c>
      <c r="DZ56" s="156">
        <v>1553.672292</v>
      </c>
      <c r="EA56" s="73">
        <v>0</v>
      </c>
      <c r="EB56" s="156">
        <v>0</v>
      </c>
      <c r="EC56" s="73">
        <v>0</v>
      </c>
      <c r="ED56" s="156">
        <v>847.5</v>
      </c>
      <c r="EE56" s="73">
        <v>0</v>
      </c>
      <c r="EF56" s="156">
        <v>3318.1991375699999</v>
      </c>
      <c r="EG56" s="73">
        <v>68.184797750000001</v>
      </c>
      <c r="EH56" s="156">
        <v>0</v>
      </c>
      <c r="EI56" s="159">
        <v>1553.672292</v>
      </c>
      <c r="EJ56" s="162">
        <v>847.5</v>
      </c>
      <c r="EK56" s="165">
        <v>735.83500000000004</v>
      </c>
      <c r="EL56" s="159">
        <v>0</v>
      </c>
      <c r="EM56" s="159">
        <f t="shared" si="36"/>
        <v>4553.0369769099998</v>
      </c>
      <c r="EN56" s="159">
        <f t="shared" si="37"/>
        <v>0</v>
      </c>
      <c r="EP56" s="2">
        <v>21931.767449999999</v>
      </c>
      <c r="EQ56" s="5">
        <f t="shared" si="38"/>
        <v>0.8929999999999999</v>
      </c>
    </row>
    <row r="57" spans="13:147" x14ac:dyDescent="0.35">
      <c r="M57" s="5"/>
      <c r="N57" s="66">
        <f t="shared" si="39"/>
        <v>55</v>
      </c>
      <c r="O57" s="78">
        <v>0</v>
      </c>
      <c r="P57" s="77">
        <f t="shared" si="6"/>
        <v>0</v>
      </c>
      <c r="Q57" s="104">
        <v>0</v>
      </c>
      <c r="R57" s="77">
        <f t="shared" si="7"/>
        <v>0</v>
      </c>
      <c r="S57" s="104">
        <v>0</v>
      </c>
      <c r="T57" s="77">
        <f t="shared" si="8"/>
        <v>0</v>
      </c>
      <c r="U57" s="104">
        <v>0</v>
      </c>
      <c r="V57" s="77">
        <f t="shared" si="221"/>
        <v>0</v>
      </c>
      <c r="W57" s="104">
        <v>0</v>
      </c>
      <c r="X57" s="77">
        <f t="shared" si="222"/>
        <v>0</v>
      </c>
      <c r="Y57" s="104">
        <v>0</v>
      </c>
      <c r="Z57" s="77">
        <f t="shared" si="9"/>
        <v>0</v>
      </c>
      <c r="AA57" s="104">
        <v>0</v>
      </c>
      <c r="AB57" s="77">
        <f t="shared" si="10"/>
        <v>0</v>
      </c>
      <c r="AC57" s="5"/>
      <c r="AD57" s="66">
        <f t="shared" si="40"/>
        <v>55</v>
      </c>
      <c r="AE57" s="78">
        <v>8365.9812000000002</v>
      </c>
      <c r="AF57" s="104">
        <v>324.3</v>
      </c>
      <c r="AG57" s="78">
        <v>70.5</v>
      </c>
      <c r="AH57" s="61">
        <f t="shared" si="11"/>
        <v>9.4E-2</v>
      </c>
      <c r="AI57" s="61">
        <f t="shared" si="12"/>
        <v>0.14100000000000001</v>
      </c>
      <c r="AJ57" s="61">
        <f t="shared" si="13"/>
        <v>0.14099999999999999</v>
      </c>
      <c r="AK57" s="77">
        <v>67.183999999999997</v>
      </c>
      <c r="AL57" s="104">
        <v>3038.9796000000001</v>
      </c>
      <c r="AM57" s="61">
        <f t="shared" si="223"/>
        <v>0.104</v>
      </c>
      <c r="AN57" s="57">
        <f t="shared" si="224"/>
        <v>0.26100000000000001</v>
      </c>
      <c r="AO57" s="78">
        <v>32513.4</v>
      </c>
      <c r="AP57" s="104">
        <v>17160.224999999999</v>
      </c>
      <c r="AQ57" s="61">
        <f t="shared" si="14"/>
        <v>0.72899999999999998</v>
      </c>
      <c r="AR57" s="57">
        <f t="shared" si="15"/>
        <v>0.73099999999999998</v>
      </c>
      <c r="AS57" s="45"/>
      <c r="AT57" s="78">
        <v>1031.855</v>
      </c>
      <c r="AU57" s="77">
        <f t="shared" si="225"/>
        <v>0.41900018678989387</v>
      </c>
      <c r="AV57" s="78">
        <v>855.15300000000002</v>
      </c>
      <c r="AW57" s="77">
        <f t="shared" si="226"/>
        <v>0.53214250155569387</v>
      </c>
      <c r="AX57" s="78">
        <v>1121.4780000000001</v>
      </c>
      <c r="AY57" s="77">
        <f t="shared" si="16"/>
        <v>0.5784392407674851</v>
      </c>
      <c r="AZ57" s="45"/>
      <c r="BA57" s="75">
        <v>51358.995000000003</v>
      </c>
      <c r="BB57" s="77">
        <f t="shared" si="17"/>
        <v>0.73770491803278682</v>
      </c>
      <c r="BC57" s="45"/>
      <c r="BD57" s="105">
        <v>3557.7820000000002</v>
      </c>
      <c r="BE57" s="45">
        <v>0</v>
      </c>
      <c r="BF57" s="106">
        <v>0</v>
      </c>
      <c r="BG57" s="107">
        <f t="shared" si="18"/>
        <v>0.10913441717791411</v>
      </c>
      <c r="BH57" s="108">
        <f t="shared" si="19"/>
        <v>0</v>
      </c>
      <c r="BI57" s="106">
        <v>0</v>
      </c>
      <c r="BJ57" s="106">
        <v>0</v>
      </c>
      <c r="BK57" s="106">
        <v>0</v>
      </c>
      <c r="BL57" s="106">
        <v>1606.819</v>
      </c>
      <c r="BM57" s="107">
        <f t="shared" si="20"/>
        <v>0.11921791066923876</v>
      </c>
      <c r="BN57" s="108">
        <f t="shared" si="21"/>
        <v>0</v>
      </c>
      <c r="BO57" s="45">
        <v>7668</v>
      </c>
      <c r="BP57" s="45">
        <v>924.97883567000008</v>
      </c>
      <c r="BQ57" s="45"/>
      <c r="BR57" s="109">
        <v>-700</v>
      </c>
      <c r="BS57" s="45">
        <f t="shared" si="22"/>
        <v>0</v>
      </c>
      <c r="BT57" s="45">
        <v>4485</v>
      </c>
      <c r="BU57" s="45">
        <f t="shared" si="22"/>
        <v>4485</v>
      </c>
      <c r="BV57" s="45">
        <v>0</v>
      </c>
      <c r="BW57" s="45">
        <f t="shared" ref="BW57:BY57" si="359">IF(BV57&gt;0,BV57,0)</f>
        <v>0</v>
      </c>
      <c r="BX57" s="45">
        <v>-5000</v>
      </c>
      <c r="BY57" s="45">
        <f t="shared" si="359"/>
        <v>0</v>
      </c>
      <c r="BZ57" s="45">
        <v>-96.341859439999993</v>
      </c>
      <c r="CA57" s="45">
        <f t="shared" ref="CA57:CC57" si="360">IF(BZ57&gt;0,BZ57,0)</f>
        <v>0</v>
      </c>
      <c r="CB57" s="45">
        <v>-4000</v>
      </c>
      <c r="CC57" s="45">
        <f t="shared" si="360"/>
        <v>0</v>
      </c>
      <c r="CD57" s="45">
        <v>4800</v>
      </c>
      <c r="CE57" s="45">
        <f t="shared" ref="CE57:CG57" si="361">IF(CD57&gt;0,CD57,0)</f>
        <v>4800</v>
      </c>
      <c r="CF57" s="45">
        <v>9659.8746438199996</v>
      </c>
      <c r="CG57" s="45">
        <f t="shared" si="361"/>
        <v>9659.8746438199996</v>
      </c>
      <c r="CH57" s="107">
        <f t="shared" si="26"/>
        <v>18944.87464382</v>
      </c>
      <c r="CI57" s="45"/>
      <c r="CJ57" s="109">
        <v>-700</v>
      </c>
      <c r="CK57" s="45">
        <f t="shared" si="27"/>
        <v>700</v>
      </c>
      <c r="CL57" s="45">
        <v>4485</v>
      </c>
      <c r="CM57" s="45">
        <f t="shared" si="27"/>
        <v>0</v>
      </c>
      <c r="CN57" s="45">
        <v>0</v>
      </c>
      <c r="CO57" s="45">
        <f t="shared" ref="CO57:CQ57" si="362">IF(CN57&lt;0,-CN57,0)</f>
        <v>0</v>
      </c>
      <c r="CP57" s="45">
        <v>-5000</v>
      </c>
      <c r="CQ57" s="45">
        <f t="shared" si="362"/>
        <v>5000</v>
      </c>
      <c r="CR57" s="45">
        <v>-96.341859439999993</v>
      </c>
      <c r="CS57" s="45">
        <f t="shared" ref="CS57:CU57" si="363">IF(CR57&lt;0,-CR57,0)</f>
        <v>96.341859439999993</v>
      </c>
      <c r="CT57" s="45">
        <v>-4000</v>
      </c>
      <c r="CU57" s="45">
        <f t="shared" si="363"/>
        <v>4000</v>
      </c>
      <c r="CV57" s="45">
        <v>4800</v>
      </c>
      <c r="CW57" s="45">
        <f t="shared" ref="CW57:CY57" si="364">IF(CV57&lt;0,-CV57,0)</f>
        <v>0</v>
      </c>
      <c r="CX57" s="45">
        <v>9659.8746438199996</v>
      </c>
      <c r="CY57" s="45">
        <f t="shared" si="364"/>
        <v>0</v>
      </c>
      <c r="CZ57" s="107">
        <f t="shared" si="31"/>
        <v>9796.3418594399991</v>
      </c>
      <c r="DA57" s="45"/>
      <c r="DB57" s="110">
        <v>34911.061000000002</v>
      </c>
      <c r="DC57" s="57">
        <v>1987.5809999999999</v>
      </c>
      <c r="DD57" s="61">
        <v>3572.5952177373001</v>
      </c>
      <c r="DE57" s="61">
        <f t="shared" si="32"/>
        <v>40471.237217737304</v>
      </c>
      <c r="DF57" s="110">
        <v>7883.3639999999996</v>
      </c>
      <c r="DG57" s="110">
        <v>56204.411</v>
      </c>
      <c r="DH57" s="57">
        <v>4277</v>
      </c>
      <c r="DI57" s="107">
        <f t="shared" si="33"/>
        <v>60481.411</v>
      </c>
      <c r="DJ57" s="45"/>
      <c r="DK57" s="110">
        <v>1108.9549999999999</v>
      </c>
      <c r="DL57" s="57">
        <v>10555.905846475949</v>
      </c>
      <c r="DM57" s="57">
        <f t="shared" si="34"/>
        <v>11664.860846475949</v>
      </c>
      <c r="DN57" s="61">
        <v>1431.2850744574271</v>
      </c>
      <c r="DO57" s="61">
        <v>2932.5560997657399</v>
      </c>
      <c r="DP57" s="61">
        <v>0</v>
      </c>
      <c r="DQ57" s="57">
        <f t="shared" si="35"/>
        <v>2932.5560997657399</v>
      </c>
      <c r="DR57" s="57">
        <v>162.91978332031891</v>
      </c>
      <c r="DS57" s="57">
        <v>162.91978332031891</v>
      </c>
      <c r="DT57" s="5"/>
      <c r="DU57" s="73">
        <v>0</v>
      </c>
      <c r="DV57" s="156">
        <v>517.83283323000001</v>
      </c>
      <c r="DW57" s="155">
        <v>135.75783934</v>
      </c>
      <c r="DX57" s="155">
        <v>0</v>
      </c>
      <c r="DY57" s="73">
        <v>0</v>
      </c>
      <c r="DZ57" s="156">
        <v>1553.672292</v>
      </c>
      <c r="EA57" s="73">
        <v>0</v>
      </c>
      <c r="EB57" s="156">
        <v>0</v>
      </c>
      <c r="EC57" s="73">
        <v>0</v>
      </c>
      <c r="ED57" s="156">
        <v>847.5</v>
      </c>
      <c r="EE57" s="73">
        <v>0</v>
      </c>
      <c r="EF57" s="156">
        <v>4147.5188941300003</v>
      </c>
      <c r="EG57" s="73">
        <v>0</v>
      </c>
      <c r="EH57" s="156">
        <v>517.83283323000001</v>
      </c>
      <c r="EI57" s="159">
        <v>1553.672292</v>
      </c>
      <c r="EJ57" s="162">
        <v>847.5</v>
      </c>
      <c r="EK57" s="165">
        <v>735.83500000000004</v>
      </c>
      <c r="EL57" s="159">
        <v>0</v>
      </c>
      <c r="EM57" s="159">
        <f t="shared" si="36"/>
        <v>5130.7767334700002</v>
      </c>
      <c r="EN57" s="159">
        <f t="shared" si="37"/>
        <v>0</v>
      </c>
      <c r="EP57" s="2">
        <v>21465.134099999999</v>
      </c>
      <c r="EQ57" s="5">
        <f t="shared" si="38"/>
        <v>0.87399999999999989</v>
      </c>
    </row>
    <row r="58" spans="13:147" x14ac:dyDescent="0.35">
      <c r="M58" s="5"/>
      <c r="N58" s="66">
        <f t="shared" si="39"/>
        <v>56</v>
      </c>
      <c r="O58" s="78">
        <v>0</v>
      </c>
      <c r="P58" s="77">
        <f t="shared" si="6"/>
        <v>0</v>
      </c>
      <c r="Q58" s="104">
        <v>0</v>
      </c>
      <c r="R58" s="77">
        <f t="shared" si="7"/>
        <v>0</v>
      </c>
      <c r="S58" s="104">
        <v>0</v>
      </c>
      <c r="T58" s="77">
        <f t="shared" si="8"/>
        <v>0</v>
      </c>
      <c r="U58" s="104">
        <v>0</v>
      </c>
      <c r="V58" s="77">
        <f t="shared" si="221"/>
        <v>0</v>
      </c>
      <c r="W58" s="104">
        <v>0</v>
      </c>
      <c r="X58" s="77">
        <f t="shared" si="222"/>
        <v>0</v>
      </c>
      <c r="Y58" s="104">
        <v>0</v>
      </c>
      <c r="Z58" s="77">
        <f t="shared" si="9"/>
        <v>0</v>
      </c>
      <c r="AA58" s="104">
        <v>0</v>
      </c>
      <c r="AB58" s="77">
        <f t="shared" si="10"/>
        <v>0</v>
      </c>
      <c r="AC58" s="5"/>
      <c r="AD58" s="66">
        <f t="shared" si="40"/>
        <v>56</v>
      </c>
      <c r="AE58" s="78">
        <v>7208.9838</v>
      </c>
      <c r="AF58" s="104">
        <v>310.5</v>
      </c>
      <c r="AG58" s="78">
        <v>67.5</v>
      </c>
      <c r="AH58" s="61">
        <f t="shared" si="11"/>
        <v>8.1000000000000003E-2</v>
      </c>
      <c r="AI58" s="61">
        <f t="shared" si="12"/>
        <v>0.13500000000000001</v>
      </c>
      <c r="AJ58" s="61">
        <f t="shared" si="13"/>
        <v>0.13500000000000001</v>
      </c>
      <c r="AK58" s="77">
        <v>61.37</v>
      </c>
      <c r="AL58" s="104">
        <v>2829.3948</v>
      </c>
      <c r="AM58" s="61">
        <f t="shared" si="223"/>
        <v>9.5000000000000001E-2</v>
      </c>
      <c r="AN58" s="57">
        <f t="shared" si="224"/>
        <v>0.24299999999999999</v>
      </c>
      <c r="AO58" s="78">
        <v>29480.6</v>
      </c>
      <c r="AP58" s="104">
        <v>16385.55</v>
      </c>
      <c r="AQ58" s="61">
        <f t="shared" si="14"/>
        <v>0.66099999999999992</v>
      </c>
      <c r="AR58" s="57">
        <f t="shared" si="15"/>
        <v>0.69799999999999995</v>
      </c>
      <c r="AS58" s="45"/>
      <c r="AT58" s="78">
        <v>1039.2429999999999</v>
      </c>
      <c r="AU58" s="77">
        <f t="shared" si="225"/>
        <v>0.42200019491119356</v>
      </c>
      <c r="AV58" s="78">
        <v>922.66399999999999</v>
      </c>
      <c r="AW58" s="77">
        <f t="shared" si="226"/>
        <v>0.57415308027380207</v>
      </c>
      <c r="AX58" s="78">
        <v>1121.4780000000001</v>
      </c>
      <c r="AY58" s="77">
        <f t="shared" si="16"/>
        <v>0.5784392407674851</v>
      </c>
      <c r="AZ58" s="45"/>
      <c r="BA58" s="75">
        <v>51358.995000000003</v>
      </c>
      <c r="BB58" s="77">
        <f t="shared" si="17"/>
        <v>0.73770491803278682</v>
      </c>
      <c r="BC58" s="45"/>
      <c r="BD58" s="105">
        <v>3059.6610000000001</v>
      </c>
      <c r="BE58" s="45">
        <v>0</v>
      </c>
      <c r="BF58" s="106">
        <v>0</v>
      </c>
      <c r="BG58" s="107">
        <f t="shared" si="18"/>
        <v>9.3854631901840499E-2</v>
      </c>
      <c r="BH58" s="108">
        <f t="shared" si="19"/>
        <v>0</v>
      </c>
      <c r="BI58" s="106">
        <v>0</v>
      </c>
      <c r="BJ58" s="106">
        <v>0</v>
      </c>
      <c r="BK58" s="106">
        <v>0</v>
      </c>
      <c r="BL58" s="106">
        <v>1535.393</v>
      </c>
      <c r="BM58" s="107">
        <f t="shared" si="20"/>
        <v>0.11391845971212346</v>
      </c>
      <c r="BN58" s="108">
        <f t="shared" si="21"/>
        <v>0</v>
      </c>
      <c r="BO58" s="45">
        <v>7668</v>
      </c>
      <c r="BP58" s="45">
        <v>651.21695723000005</v>
      </c>
      <c r="BQ58" s="45"/>
      <c r="BR58" s="109">
        <v>-700</v>
      </c>
      <c r="BS58" s="45">
        <f t="shared" si="22"/>
        <v>0</v>
      </c>
      <c r="BT58" s="45">
        <v>4485</v>
      </c>
      <c r="BU58" s="45">
        <f t="shared" si="22"/>
        <v>4485</v>
      </c>
      <c r="BV58" s="45">
        <v>0</v>
      </c>
      <c r="BW58" s="45">
        <f t="shared" ref="BW58:BY58" si="365">IF(BV58&gt;0,BV58,0)</f>
        <v>0</v>
      </c>
      <c r="BX58" s="45">
        <v>-5000</v>
      </c>
      <c r="BY58" s="45">
        <f t="shared" si="365"/>
        <v>0</v>
      </c>
      <c r="BZ58" s="45">
        <v>-1657.6910026099999</v>
      </c>
      <c r="CA58" s="45">
        <f t="shared" ref="CA58:CC58" si="366">IF(BZ58&gt;0,BZ58,0)</f>
        <v>0</v>
      </c>
      <c r="CB58" s="45">
        <v>-4000</v>
      </c>
      <c r="CC58" s="45">
        <f t="shared" si="366"/>
        <v>0</v>
      </c>
      <c r="CD58" s="45">
        <v>4800</v>
      </c>
      <c r="CE58" s="45">
        <f t="shared" ref="CE58:CG58" si="367">IF(CD58&gt;0,CD58,0)</f>
        <v>4800</v>
      </c>
      <c r="CF58" s="45">
        <v>10135.77507096</v>
      </c>
      <c r="CG58" s="45">
        <f t="shared" si="367"/>
        <v>10135.77507096</v>
      </c>
      <c r="CH58" s="107">
        <f t="shared" si="26"/>
        <v>19420.77507096</v>
      </c>
      <c r="CI58" s="45"/>
      <c r="CJ58" s="109">
        <v>-700</v>
      </c>
      <c r="CK58" s="45">
        <f t="shared" si="27"/>
        <v>700</v>
      </c>
      <c r="CL58" s="45">
        <v>4485</v>
      </c>
      <c r="CM58" s="45">
        <f t="shared" si="27"/>
        <v>0</v>
      </c>
      <c r="CN58" s="45">
        <v>0</v>
      </c>
      <c r="CO58" s="45">
        <f t="shared" ref="CO58:CQ58" si="368">IF(CN58&lt;0,-CN58,0)</f>
        <v>0</v>
      </c>
      <c r="CP58" s="45">
        <v>-5000</v>
      </c>
      <c r="CQ58" s="45">
        <f t="shared" si="368"/>
        <v>5000</v>
      </c>
      <c r="CR58" s="45">
        <v>-1657.6910026099999</v>
      </c>
      <c r="CS58" s="45">
        <f t="shared" ref="CS58:CU58" si="369">IF(CR58&lt;0,-CR58,0)</f>
        <v>1657.6910026099999</v>
      </c>
      <c r="CT58" s="45">
        <v>-4000</v>
      </c>
      <c r="CU58" s="45">
        <f t="shared" si="369"/>
        <v>4000</v>
      </c>
      <c r="CV58" s="45">
        <v>4800</v>
      </c>
      <c r="CW58" s="45">
        <f t="shared" ref="CW58:CY58" si="370">IF(CV58&lt;0,-CV58,0)</f>
        <v>0</v>
      </c>
      <c r="CX58" s="45">
        <v>10135.77507096</v>
      </c>
      <c r="CY58" s="45">
        <f t="shared" si="370"/>
        <v>0</v>
      </c>
      <c r="CZ58" s="107">
        <f t="shared" si="31"/>
        <v>11357.691002609999</v>
      </c>
      <c r="DA58" s="45"/>
      <c r="DB58" s="110">
        <v>37619.671000000002</v>
      </c>
      <c r="DC58" s="57">
        <v>2090.7489999999998</v>
      </c>
      <c r="DD58" s="61">
        <v>4001.1667168944</v>
      </c>
      <c r="DE58" s="61">
        <f t="shared" si="32"/>
        <v>43711.586716894395</v>
      </c>
      <c r="DF58" s="110">
        <v>8443.4159999999993</v>
      </c>
      <c r="DG58" s="110">
        <v>58648.411</v>
      </c>
      <c r="DH58" s="57">
        <v>4591</v>
      </c>
      <c r="DI58" s="107">
        <f t="shared" si="33"/>
        <v>63239.411</v>
      </c>
      <c r="DJ58" s="45"/>
      <c r="DK58" s="110">
        <v>1089.7239999999999</v>
      </c>
      <c r="DL58" s="57">
        <v>10571.615847326309</v>
      </c>
      <c r="DM58" s="57">
        <f t="shared" si="34"/>
        <v>11661.33984732631</v>
      </c>
      <c r="DN58" s="61">
        <v>1524.0859469092261</v>
      </c>
      <c r="DO58" s="61">
        <v>2940.8339741909822</v>
      </c>
      <c r="DP58" s="61">
        <v>0</v>
      </c>
      <c r="DQ58" s="57">
        <f t="shared" si="35"/>
        <v>2940.8339741909822</v>
      </c>
      <c r="DR58" s="57">
        <v>163.37966523283239</v>
      </c>
      <c r="DS58" s="57">
        <v>163.37966523283239</v>
      </c>
      <c r="DT58" s="5"/>
      <c r="DU58" s="73">
        <v>0</v>
      </c>
      <c r="DV58" s="156">
        <v>1562.2729513199999</v>
      </c>
      <c r="DW58" s="155">
        <v>284.22008299999999</v>
      </c>
      <c r="DX58" s="155">
        <v>0</v>
      </c>
      <c r="DY58" s="73">
        <v>0</v>
      </c>
      <c r="DZ58" s="156">
        <v>1553.672292</v>
      </c>
      <c r="EA58" s="73">
        <v>0</v>
      </c>
      <c r="EB58" s="156">
        <v>0</v>
      </c>
      <c r="EC58" s="73">
        <v>0</v>
      </c>
      <c r="ED58" s="156">
        <v>847.5</v>
      </c>
      <c r="EE58" s="73">
        <v>0</v>
      </c>
      <c r="EF58" s="156">
        <v>5035.2188941300001</v>
      </c>
      <c r="EG58" s="73">
        <v>0</v>
      </c>
      <c r="EH58" s="156">
        <v>1562.2729513199999</v>
      </c>
      <c r="EI58" s="159">
        <v>1553.672292</v>
      </c>
      <c r="EJ58" s="162">
        <v>847.5</v>
      </c>
      <c r="EK58" s="165">
        <v>735.83500000000004</v>
      </c>
      <c r="EL58" s="159">
        <v>0</v>
      </c>
      <c r="EM58" s="159">
        <f t="shared" si="36"/>
        <v>6166.9389771300002</v>
      </c>
      <c r="EN58" s="159">
        <f t="shared" si="37"/>
        <v>0</v>
      </c>
      <c r="EP58" s="2">
        <v>21465.134099999999</v>
      </c>
      <c r="EQ58" s="5">
        <f t="shared" si="38"/>
        <v>0.87399999999999989</v>
      </c>
    </row>
    <row r="59" spans="13:147" x14ac:dyDescent="0.35">
      <c r="M59" s="5"/>
      <c r="N59" s="66">
        <f t="shared" si="39"/>
        <v>57</v>
      </c>
      <c r="O59" s="78">
        <v>0</v>
      </c>
      <c r="P59" s="77">
        <f t="shared" si="6"/>
        <v>0</v>
      </c>
      <c r="Q59" s="104">
        <v>0</v>
      </c>
      <c r="R59" s="77">
        <f t="shared" si="7"/>
        <v>0</v>
      </c>
      <c r="S59" s="104">
        <v>0</v>
      </c>
      <c r="T59" s="77">
        <f t="shared" si="8"/>
        <v>0</v>
      </c>
      <c r="U59" s="104">
        <v>0</v>
      </c>
      <c r="V59" s="77">
        <f t="shared" si="221"/>
        <v>0</v>
      </c>
      <c r="W59" s="104">
        <v>0</v>
      </c>
      <c r="X59" s="77">
        <f t="shared" si="222"/>
        <v>0</v>
      </c>
      <c r="Y59" s="104">
        <v>0</v>
      </c>
      <c r="Z59" s="77">
        <f t="shared" si="9"/>
        <v>0</v>
      </c>
      <c r="AA59" s="104">
        <v>0</v>
      </c>
      <c r="AB59" s="77">
        <f t="shared" si="10"/>
        <v>0</v>
      </c>
      <c r="AC59" s="5"/>
      <c r="AD59" s="66">
        <f t="shared" si="40"/>
        <v>57</v>
      </c>
      <c r="AE59" s="78">
        <v>6852.9845999999998</v>
      </c>
      <c r="AF59" s="104">
        <v>292.10000000000002</v>
      </c>
      <c r="AG59" s="78">
        <v>63.5</v>
      </c>
      <c r="AH59" s="61">
        <f t="shared" si="11"/>
        <v>7.6999999999999999E-2</v>
      </c>
      <c r="AI59" s="61">
        <f t="shared" si="12"/>
        <v>0.127</v>
      </c>
      <c r="AJ59" s="61">
        <f t="shared" si="13"/>
        <v>0.127</v>
      </c>
      <c r="AK59" s="77">
        <v>55.555999999999997</v>
      </c>
      <c r="AL59" s="104">
        <v>2235.5711999999999</v>
      </c>
      <c r="AM59" s="61">
        <f t="shared" si="223"/>
        <v>8.5999999999999993E-2</v>
      </c>
      <c r="AN59" s="57">
        <f t="shared" si="224"/>
        <v>0.19199999999999998</v>
      </c>
      <c r="AO59" s="78">
        <v>25511.200000000001</v>
      </c>
      <c r="AP59" s="104">
        <v>15704.775</v>
      </c>
      <c r="AQ59" s="61">
        <f t="shared" si="14"/>
        <v>0.57200000000000006</v>
      </c>
      <c r="AR59" s="57">
        <f t="shared" si="15"/>
        <v>0.66900000000000004</v>
      </c>
      <c r="AS59" s="45"/>
      <c r="AT59" s="78">
        <v>1063.8689999999999</v>
      </c>
      <c r="AU59" s="77">
        <f t="shared" si="225"/>
        <v>0.43199995127220159</v>
      </c>
      <c r="AV59" s="78">
        <v>934.76599999999996</v>
      </c>
      <c r="AW59" s="77">
        <f t="shared" si="226"/>
        <v>0.58168388301182328</v>
      </c>
      <c r="AX59" s="78">
        <v>1121.4780000000001</v>
      </c>
      <c r="AY59" s="77">
        <f t="shared" si="16"/>
        <v>0.5784392407674851</v>
      </c>
      <c r="AZ59" s="45"/>
      <c r="BA59" s="75">
        <v>51358.995000000003</v>
      </c>
      <c r="BB59" s="77">
        <f t="shared" si="17"/>
        <v>0.73770491803278682</v>
      </c>
      <c r="BC59" s="45"/>
      <c r="BD59" s="105">
        <v>3125.047</v>
      </c>
      <c r="BE59" s="45">
        <v>0</v>
      </c>
      <c r="BF59" s="106">
        <v>0</v>
      </c>
      <c r="BG59" s="107">
        <f t="shared" si="18"/>
        <v>9.5860337423312889E-2</v>
      </c>
      <c r="BH59" s="108">
        <f t="shared" si="19"/>
        <v>0</v>
      </c>
      <c r="BI59" s="106">
        <v>0</v>
      </c>
      <c r="BJ59" s="106">
        <v>0</v>
      </c>
      <c r="BK59" s="106">
        <v>0</v>
      </c>
      <c r="BL59" s="106">
        <v>1426.3820000000001</v>
      </c>
      <c r="BM59" s="107">
        <f t="shared" si="20"/>
        <v>0.10583039026561805</v>
      </c>
      <c r="BN59" s="108">
        <f t="shared" si="21"/>
        <v>0</v>
      </c>
      <c r="BO59" s="45">
        <v>7668</v>
      </c>
      <c r="BP59" s="45">
        <v>651.21695723000005</v>
      </c>
      <c r="BQ59" s="45"/>
      <c r="BR59" s="109">
        <v>-700</v>
      </c>
      <c r="BS59" s="45">
        <f t="shared" si="22"/>
        <v>0</v>
      </c>
      <c r="BT59" s="45">
        <v>4485</v>
      </c>
      <c r="BU59" s="45">
        <f t="shared" si="22"/>
        <v>4485</v>
      </c>
      <c r="BV59" s="45">
        <v>0</v>
      </c>
      <c r="BW59" s="45">
        <f t="shared" ref="BW59:BY59" si="371">IF(BV59&gt;0,BV59,0)</f>
        <v>0</v>
      </c>
      <c r="BX59" s="45">
        <v>-5000</v>
      </c>
      <c r="BY59" s="45">
        <f t="shared" si="371"/>
        <v>0</v>
      </c>
      <c r="BZ59" s="45">
        <v>-1362.3429118900001</v>
      </c>
      <c r="CA59" s="45">
        <f t="shared" ref="CA59:CC59" si="372">IF(BZ59&gt;0,BZ59,0)</f>
        <v>0</v>
      </c>
      <c r="CB59" s="45">
        <v>-4000</v>
      </c>
      <c r="CC59" s="45">
        <f t="shared" si="372"/>
        <v>0</v>
      </c>
      <c r="CD59" s="45">
        <v>4800</v>
      </c>
      <c r="CE59" s="45">
        <f t="shared" ref="CE59:CG59" si="373">IF(CD59&gt;0,CD59,0)</f>
        <v>4800</v>
      </c>
      <c r="CF59" s="45">
        <v>7691.09409813</v>
      </c>
      <c r="CG59" s="45">
        <f t="shared" si="373"/>
        <v>7691.09409813</v>
      </c>
      <c r="CH59" s="107">
        <f t="shared" si="26"/>
        <v>16976.094098130001</v>
      </c>
      <c r="CI59" s="45"/>
      <c r="CJ59" s="109">
        <v>-700</v>
      </c>
      <c r="CK59" s="45">
        <f t="shared" si="27"/>
        <v>700</v>
      </c>
      <c r="CL59" s="45">
        <v>4485</v>
      </c>
      <c r="CM59" s="45">
        <f t="shared" si="27"/>
        <v>0</v>
      </c>
      <c r="CN59" s="45">
        <v>0</v>
      </c>
      <c r="CO59" s="45">
        <f t="shared" ref="CO59:CQ59" si="374">IF(CN59&lt;0,-CN59,0)</f>
        <v>0</v>
      </c>
      <c r="CP59" s="45">
        <v>-5000</v>
      </c>
      <c r="CQ59" s="45">
        <f t="shared" si="374"/>
        <v>5000</v>
      </c>
      <c r="CR59" s="45">
        <v>-1362.3429118900001</v>
      </c>
      <c r="CS59" s="45">
        <f t="shared" ref="CS59:CU59" si="375">IF(CR59&lt;0,-CR59,0)</f>
        <v>1362.3429118900001</v>
      </c>
      <c r="CT59" s="45">
        <v>-4000</v>
      </c>
      <c r="CU59" s="45">
        <f t="shared" si="375"/>
        <v>4000</v>
      </c>
      <c r="CV59" s="45">
        <v>4800</v>
      </c>
      <c r="CW59" s="45">
        <f t="shared" ref="CW59:CY59" si="376">IF(CV59&lt;0,-CV59,0)</f>
        <v>0</v>
      </c>
      <c r="CX59" s="45">
        <v>7691.09409813</v>
      </c>
      <c r="CY59" s="45">
        <f t="shared" si="376"/>
        <v>0</v>
      </c>
      <c r="CZ59" s="107">
        <f t="shared" si="31"/>
        <v>11062.34291189</v>
      </c>
      <c r="DA59" s="45"/>
      <c r="DB59" s="110">
        <v>39489.07</v>
      </c>
      <c r="DC59" s="57">
        <v>2146.3890000000001</v>
      </c>
      <c r="DD59" s="61">
        <v>3854.3998115905001</v>
      </c>
      <c r="DE59" s="61">
        <f t="shared" si="32"/>
        <v>45489.8588115905</v>
      </c>
      <c r="DF59" s="110">
        <v>8981.4220000000005</v>
      </c>
      <c r="DG59" s="110">
        <v>59002.411</v>
      </c>
      <c r="DH59" s="57">
        <v>5584</v>
      </c>
      <c r="DI59" s="107">
        <f t="shared" si="33"/>
        <v>64586.411</v>
      </c>
      <c r="DJ59" s="45"/>
      <c r="DK59" s="110">
        <v>1012.955</v>
      </c>
      <c r="DL59" s="57">
        <v>10571.615847326309</v>
      </c>
      <c r="DM59" s="57">
        <f t="shared" si="34"/>
        <v>11584.570847326309</v>
      </c>
      <c r="DN59" s="61">
        <v>1622.0424233861261</v>
      </c>
      <c r="DO59" s="61">
        <v>2940.8339741909822</v>
      </c>
      <c r="DP59" s="61">
        <v>0</v>
      </c>
      <c r="DQ59" s="57">
        <f t="shared" si="35"/>
        <v>2940.8339741909822</v>
      </c>
      <c r="DR59" s="57">
        <v>163.37966523283239</v>
      </c>
      <c r="DS59" s="57">
        <v>163.37966523283239</v>
      </c>
      <c r="DT59" s="5"/>
      <c r="DU59" s="73">
        <v>0</v>
      </c>
      <c r="DV59" s="156">
        <v>2607.1729513199998</v>
      </c>
      <c r="DW59" s="155">
        <v>441.42008299999998</v>
      </c>
      <c r="DX59" s="155">
        <v>0</v>
      </c>
      <c r="DY59" s="73">
        <v>0</v>
      </c>
      <c r="DZ59" s="156">
        <v>1553.672292</v>
      </c>
      <c r="EA59" s="73">
        <v>0</v>
      </c>
      <c r="EB59" s="156">
        <v>0</v>
      </c>
      <c r="EC59" s="73">
        <v>0</v>
      </c>
      <c r="ED59" s="156">
        <v>847.5</v>
      </c>
      <c r="EE59" s="73">
        <v>0</v>
      </c>
      <c r="EF59" s="156">
        <v>5922.9188941299999</v>
      </c>
      <c r="EG59" s="73">
        <v>0</v>
      </c>
      <c r="EH59" s="156">
        <v>2607.1729513199998</v>
      </c>
      <c r="EI59" s="159">
        <v>1553.672292</v>
      </c>
      <c r="EJ59" s="162">
        <v>847.5</v>
      </c>
      <c r="EK59" s="165">
        <v>735.83500000000004</v>
      </c>
      <c r="EL59" s="159">
        <v>0</v>
      </c>
      <c r="EM59" s="159">
        <f t="shared" si="36"/>
        <v>7211.8389771299999</v>
      </c>
      <c r="EN59" s="159">
        <f t="shared" si="37"/>
        <v>0</v>
      </c>
      <c r="EP59" s="2">
        <v>21465.134099999999</v>
      </c>
      <c r="EQ59" s="5">
        <f t="shared" si="38"/>
        <v>0.87399999999999989</v>
      </c>
    </row>
    <row r="60" spans="13:147" x14ac:dyDescent="0.35">
      <c r="M60" s="5"/>
      <c r="N60" s="66">
        <f t="shared" si="39"/>
        <v>58</v>
      </c>
      <c r="O60" s="78">
        <v>9379</v>
      </c>
      <c r="P60" s="77">
        <f t="shared" si="6"/>
        <v>0.113</v>
      </c>
      <c r="Q60" s="104">
        <v>312.32499999999999</v>
      </c>
      <c r="R60" s="77">
        <f t="shared" si="7"/>
        <v>6.5000000000000002E-2</v>
      </c>
      <c r="S60" s="104">
        <v>3840</v>
      </c>
      <c r="T60" s="77">
        <f t="shared" si="8"/>
        <v>0.128</v>
      </c>
      <c r="U60" s="104">
        <v>776.42280000000005</v>
      </c>
      <c r="V60" s="77">
        <f t="shared" si="221"/>
        <v>5.3999999999999999E-2</v>
      </c>
      <c r="W60" s="104">
        <v>338.09649999999999</v>
      </c>
      <c r="X60" s="77">
        <f t="shared" si="222"/>
        <v>3.5000000000000003E-2</v>
      </c>
      <c r="Y60" s="104">
        <v>3085.2</v>
      </c>
      <c r="Z60" s="77">
        <f t="shared" si="9"/>
        <v>0.06</v>
      </c>
      <c r="AA60" s="104">
        <v>2223.3984</v>
      </c>
      <c r="AB60" s="77">
        <f t="shared" si="10"/>
        <v>4.8000000000000001E-2</v>
      </c>
      <c r="AC60" s="5"/>
      <c r="AD60" s="66">
        <f t="shared" si="40"/>
        <v>58</v>
      </c>
      <c r="AE60" s="78">
        <v>5695.9871999999996</v>
      </c>
      <c r="AF60" s="104">
        <v>278.3</v>
      </c>
      <c r="AG60" s="78">
        <v>60.5</v>
      </c>
      <c r="AH60" s="61">
        <f t="shared" si="11"/>
        <v>6.3999999999999987E-2</v>
      </c>
      <c r="AI60" s="61">
        <f t="shared" si="12"/>
        <v>0.12100000000000001</v>
      </c>
      <c r="AJ60" s="61">
        <f t="shared" si="13"/>
        <v>0.121</v>
      </c>
      <c r="AK60" s="77">
        <v>49.095999999999997</v>
      </c>
      <c r="AL60" s="104">
        <v>1513.6679999999999</v>
      </c>
      <c r="AM60" s="61">
        <f t="shared" si="223"/>
        <v>7.5999999999999998E-2</v>
      </c>
      <c r="AN60" s="57">
        <f t="shared" si="224"/>
        <v>0.12999999999999998</v>
      </c>
      <c r="AO60" s="78">
        <v>21229.599999999999</v>
      </c>
      <c r="AP60" s="104">
        <v>14906.625</v>
      </c>
      <c r="AQ60" s="61">
        <f t="shared" si="14"/>
        <v>0.47599999999999998</v>
      </c>
      <c r="AR60" s="57">
        <f t="shared" si="15"/>
        <v>0.63500000000000001</v>
      </c>
      <c r="AS60" s="45"/>
      <c r="AT60" s="78">
        <v>1090.9580000000001</v>
      </c>
      <c r="AU60" s="77">
        <f t="shared" si="225"/>
        <v>0.44299984569530515</v>
      </c>
      <c r="AV60" s="78">
        <v>945.37199999999996</v>
      </c>
      <c r="AW60" s="77">
        <f t="shared" si="226"/>
        <v>0.58828375855631609</v>
      </c>
      <c r="AX60" s="78">
        <v>1121.4780000000001</v>
      </c>
      <c r="AY60" s="77">
        <f t="shared" si="16"/>
        <v>0.5784392407674851</v>
      </c>
      <c r="AZ60" s="45"/>
      <c r="BA60" s="75">
        <v>51358.995000000003</v>
      </c>
      <c r="BB60" s="77">
        <f t="shared" si="17"/>
        <v>0.73770491803278682</v>
      </c>
      <c r="BC60" s="45"/>
      <c r="BD60" s="105">
        <v>6991.3990000000003</v>
      </c>
      <c r="BE60" s="45">
        <v>0</v>
      </c>
      <c r="BF60" s="106">
        <v>0</v>
      </c>
      <c r="BG60" s="107">
        <f t="shared" si="18"/>
        <v>0.21446009202453989</v>
      </c>
      <c r="BH60" s="108">
        <f t="shared" si="19"/>
        <v>0</v>
      </c>
      <c r="BI60" s="106">
        <v>0</v>
      </c>
      <c r="BJ60" s="106">
        <v>0</v>
      </c>
      <c r="BK60" s="106">
        <v>0</v>
      </c>
      <c r="BL60" s="106">
        <v>1863.12</v>
      </c>
      <c r="BM60" s="107">
        <f t="shared" si="20"/>
        <v>0.13823415937082653</v>
      </c>
      <c r="BN60" s="108">
        <f t="shared" si="21"/>
        <v>0</v>
      </c>
      <c r="BO60" s="45">
        <v>7668</v>
      </c>
      <c r="BP60" s="45">
        <v>651.21695723000005</v>
      </c>
      <c r="BQ60" s="45"/>
      <c r="BR60" s="109">
        <v>-700</v>
      </c>
      <c r="BS60" s="45">
        <f t="shared" si="22"/>
        <v>0</v>
      </c>
      <c r="BT60" s="45">
        <v>4485</v>
      </c>
      <c r="BU60" s="45">
        <f t="shared" si="22"/>
        <v>4485</v>
      </c>
      <c r="BV60" s="45">
        <v>0</v>
      </c>
      <c r="BW60" s="45">
        <f t="shared" ref="BW60:BY60" si="377">IF(BV60&gt;0,BV60,0)</f>
        <v>0</v>
      </c>
      <c r="BX60" s="45">
        <v>-5000</v>
      </c>
      <c r="BY60" s="45">
        <f t="shared" si="377"/>
        <v>0</v>
      </c>
      <c r="BZ60" s="45">
        <v>-1734.6834531699999</v>
      </c>
      <c r="CA60" s="45">
        <f t="shared" ref="CA60:CC60" si="378">IF(BZ60&gt;0,BZ60,0)</f>
        <v>0</v>
      </c>
      <c r="CB60" s="45">
        <v>-4000</v>
      </c>
      <c r="CC60" s="45">
        <f t="shared" si="378"/>
        <v>0</v>
      </c>
      <c r="CD60" s="45">
        <v>4800</v>
      </c>
      <c r="CE60" s="45">
        <f t="shared" ref="CE60:CG60" si="379">IF(CD60&gt;0,CD60,0)</f>
        <v>4800</v>
      </c>
      <c r="CF60" s="45">
        <v>7103.4015826300001</v>
      </c>
      <c r="CG60" s="45">
        <f t="shared" si="379"/>
        <v>7103.4015826300001</v>
      </c>
      <c r="CH60" s="107">
        <f t="shared" si="26"/>
        <v>16388.401582630002</v>
      </c>
      <c r="CI60" s="45"/>
      <c r="CJ60" s="109">
        <v>-700</v>
      </c>
      <c r="CK60" s="45">
        <f t="shared" si="27"/>
        <v>700</v>
      </c>
      <c r="CL60" s="45">
        <v>4485</v>
      </c>
      <c r="CM60" s="45">
        <f t="shared" si="27"/>
        <v>0</v>
      </c>
      <c r="CN60" s="45">
        <v>0</v>
      </c>
      <c r="CO60" s="45">
        <f t="shared" ref="CO60:CQ60" si="380">IF(CN60&lt;0,-CN60,0)</f>
        <v>0</v>
      </c>
      <c r="CP60" s="45">
        <v>-5000</v>
      </c>
      <c r="CQ60" s="45">
        <f t="shared" si="380"/>
        <v>5000</v>
      </c>
      <c r="CR60" s="45">
        <v>-1734.6834531699999</v>
      </c>
      <c r="CS60" s="45">
        <f t="shared" ref="CS60:CU60" si="381">IF(CR60&lt;0,-CR60,0)</f>
        <v>1734.6834531699999</v>
      </c>
      <c r="CT60" s="45">
        <v>-4000</v>
      </c>
      <c r="CU60" s="45">
        <f t="shared" si="381"/>
        <v>4000</v>
      </c>
      <c r="CV60" s="45">
        <v>4800</v>
      </c>
      <c r="CW60" s="45">
        <f t="shared" ref="CW60:CY60" si="382">IF(CV60&lt;0,-CV60,0)</f>
        <v>0</v>
      </c>
      <c r="CX60" s="45">
        <v>7103.4015826300001</v>
      </c>
      <c r="CY60" s="45">
        <f t="shared" si="382"/>
        <v>0</v>
      </c>
      <c r="CZ60" s="107">
        <f t="shared" si="31"/>
        <v>11434.683453170001</v>
      </c>
      <c r="DA60" s="45"/>
      <c r="DB60" s="110">
        <v>40905.470999999998</v>
      </c>
      <c r="DC60" s="57">
        <v>2111.585</v>
      </c>
      <c r="DD60" s="61">
        <v>2406.5811843347001</v>
      </c>
      <c r="DE60" s="61">
        <f t="shared" si="32"/>
        <v>45423.637184334701</v>
      </c>
      <c r="DF60" s="110">
        <v>9643.5229999999992</v>
      </c>
      <c r="DG60" s="110">
        <v>58959.411</v>
      </c>
      <c r="DH60" s="57">
        <v>6559</v>
      </c>
      <c r="DI60" s="107">
        <f t="shared" si="33"/>
        <v>65518.411</v>
      </c>
      <c r="DJ60" s="45"/>
      <c r="DK60" s="110">
        <v>947.30600000000004</v>
      </c>
      <c r="DL60" s="57">
        <v>10571.615847326309</v>
      </c>
      <c r="DM60" s="57">
        <f t="shared" si="34"/>
        <v>11518.92184732631</v>
      </c>
      <c r="DN60" s="61">
        <v>1622.0424233861261</v>
      </c>
      <c r="DO60" s="61">
        <v>2940.8339741909822</v>
      </c>
      <c r="DP60" s="61">
        <v>0</v>
      </c>
      <c r="DQ60" s="57">
        <f t="shared" si="35"/>
        <v>2940.8339741909822</v>
      </c>
      <c r="DR60" s="57">
        <v>163.37966523283239</v>
      </c>
      <c r="DS60" s="57">
        <v>163.37966523283239</v>
      </c>
      <c r="DT60" s="5"/>
      <c r="DU60" s="73">
        <v>0</v>
      </c>
      <c r="DV60" s="156">
        <v>3652.0729513199999</v>
      </c>
      <c r="DW60" s="155">
        <v>693.00008300000002</v>
      </c>
      <c r="DX60" s="155">
        <v>0</v>
      </c>
      <c r="DY60" s="73">
        <v>0</v>
      </c>
      <c r="DZ60" s="156">
        <v>1553.672292</v>
      </c>
      <c r="EA60" s="73">
        <v>0</v>
      </c>
      <c r="EB60" s="156">
        <v>0</v>
      </c>
      <c r="EC60" s="73">
        <v>0</v>
      </c>
      <c r="ED60" s="156">
        <v>847.5</v>
      </c>
      <c r="EE60" s="73">
        <v>0</v>
      </c>
      <c r="EF60" s="156">
        <v>6716.2388941299996</v>
      </c>
      <c r="EG60" s="73">
        <v>0</v>
      </c>
      <c r="EH60" s="156">
        <v>3652.0729513199999</v>
      </c>
      <c r="EI60" s="159">
        <v>1553.672292</v>
      </c>
      <c r="EJ60" s="162">
        <v>847.5</v>
      </c>
      <c r="EK60" s="165">
        <v>735.83500000000004</v>
      </c>
      <c r="EL60" s="159">
        <v>0</v>
      </c>
      <c r="EM60" s="159">
        <f t="shared" si="36"/>
        <v>8256.7389771300004</v>
      </c>
      <c r="EN60" s="159">
        <f t="shared" si="37"/>
        <v>0</v>
      </c>
      <c r="EP60" s="2">
        <v>21465.134099999999</v>
      </c>
      <c r="EQ60" s="5">
        <f t="shared" si="38"/>
        <v>0.87399999999999989</v>
      </c>
    </row>
    <row r="61" spans="13:147" x14ac:dyDescent="0.35">
      <c r="M61" s="5"/>
      <c r="N61" s="66">
        <f t="shared" si="39"/>
        <v>59</v>
      </c>
      <c r="O61" s="78">
        <v>23240</v>
      </c>
      <c r="P61" s="77">
        <f t="shared" si="6"/>
        <v>0.28000000000000003</v>
      </c>
      <c r="Q61" s="104">
        <v>807.24</v>
      </c>
      <c r="R61" s="77">
        <f t="shared" si="7"/>
        <v>0.16800000000000001</v>
      </c>
      <c r="S61" s="104">
        <v>8730</v>
      </c>
      <c r="T61" s="77">
        <f t="shared" si="8"/>
        <v>0.29099999999999998</v>
      </c>
      <c r="U61" s="104">
        <v>3033.8002000000001</v>
      </c>
      <c r="V61" s="77">
        <f t="shared" si="221"/>
        <v>0.21099999999999999</v>
      </c>
      <c r="W61" s="104">
        <v>1342.7261000000001</v>
      </c>
      <c r="X61" s="77">
        <f t="shared" si="222"/>
        <v>0.13900000000000001</v>
      </c>
      <c r="Y61" s="104">
        <v>7507.32</v>
      </c>
      <c r="Z61" s="77">
        <f t="shared" si="9"/>
        <v>0.14599999999999999</v>
      </c>
      <c r="AA61" s="104">
        <v>5558.4960000000001</v>
      </c>
      <c r="AB61" s="77">
        <f t="shared" si="10"/>
        <v>0.12</v>
      </c>
      <c r="AC61" s="5"/>
      <c r="AD61" s="66">
        <f t="shared" si="40"/>
        <v>59</v>
      </c>
      <c r="AE61" s="78">
        <v>2847.9935999999998</v>
      </c>
      <c r="AF61" s="104">
        <v>273.7</v>
      </c>
      <c r="AG61" s="78">
        <v>59.5</v>
      </c>
      <c r="AH61" s="61">
        <f t="shared" si="11"/>
        <v>3.1999999999999994E-2</v>
      </c>
      <c r="AI61" s="61">
        <f t="shared" si="12"/>
        <v>0.11899999999999999</v>
      </c>
      <c r="AJ61" s="61">
        <f t="shared" si="13"/>
        <v>0.11899999999999999</v>
      </c>
      <c r="AK61" s="77">
        <v>40.698</v>
      </c>
      <c r="AL61" s="104">
        <v>756.83399999999995</v>
      </c>
      <c r="AM61" s="61">
        <f t="shared" si="223"/>
        <v>6.3E-2</v>
      </c>
      <c r="AN61" s="57">
        <f t="shared" si="224"/>
        <v>6.4999999999999988E-2</v>
      </c>
      <c r="AO61" s="78">
        <v>19579.400000000001</v>
      </c>
      <c r="AP61" s="104">
        <v>14178.9</v>
      </c>
      <c r="AQ61" s="61">
        <f t="shared" si="14"/>
        <v>0.43900000000000006</v>
      </c>
      <c r="AR61" s="57">
        <f t="shared" si="15"/>
        <v>0.60399999999999998</v>
      </c>
      <c r="AS61" s="45"/>
      <c r="AT61" s="78">
        <v>1095.884</v>
      </c>
      <c r="AU61" s="77">
        <f t="shared" si="225"/>
        <v>0.445000121819496</v>
      </c>
      <c r="AV61" s="78">
        <v>949.03599999999994</v>
      </c>
      <c r="AW61" s="77">
        <f t="shared" si="226"/>
        <v>0.59056378344741756</v>
      </c>
      <c r="AX61" s="78">
        <v>1121.4780000000001</v>
      </c>
      <c r="AY61" s="77">
        <f t="shared" si="16"/>
        <v>0.5784392407674851</v>
      </c>
      <c r="AZ61" s="45"/>
      <c r="BA61" s="75">
        <v>51358.995000000003</v>
      </c>
      <c r="BB61" s="77">
        <f t="shared" si="17"/>
        <v>0.73770491803278682</v>
      </c>
      <c r="BC61" s="45"/>
      <c r="BD61" s="105">
        <v>12061.620999999999</v>
      </c>
      <c r="BE61" s="45">
        <v>0</v>
      </c>
      <c r="BF61" s="106">
        <v>0</v>
      </c>
      <c r="BG61" s="107">
        <f t="shared" si="18"/>
        <v>0.3699883742331288</v>
      </c>
      <c r="BH61" s="108">
        <f t="shared" si="19"/>
        <v>0</v>
      </c>
      <c r="BI61" s="106">
        <v>0</v>
      </c>
      <c r="BJ61" s="106">
        <v>0</v>
      </c>
      <c r="BK61" s="106">
        <v>0</v>
      </c>
      <c r="BL61" s="106">
        <v>3369.8330000000001</v>
      </c>
      <c r="BM61" s="107">
        <f t="shared" si="20"/>
        <v>0.25002470692981155</v>
      </c>
      <c r="BN61" s="108">
        <f t="shared" si="21"/>
        <v>0</v>
      </c>
      <c r="BO61" s="45">
        <v>7668</v>
      </c>
      <c r="BP61" s="45">
        <v>651.21695723000005</v>
      </c>
      <c r="BQ61" s="45"/>
      <c r="BR61" s="109">
        <v>-700</v>
      </c>
      <c r="BS61" s="45">
        <f t="shared" si="22"/>
        <v>0</v>
      </c>
      <c r="BT61" s="45">
        <v>4485</v>
      </c>
      <c r="BU61" s="45">
        <f t="shared" si="22"/>
        <v>4485</v>
      </c>
      <c r="BV61" s="45">
        <v>0</v>
      </c>
      <c r="BW61" s="45">
        <f t="shared" ref="BW61:BY61" si="383">IF(BV61&gt;0,BV61,0)</f>
        <v>0</v>
      </c>
      <c r="BX61" s="45">
        <v>-5000</v>
      </c>
      <c r="BY61" s="45">
        <f t="shared" si="383"/>
        <v>0</v>
      </c>
      <c r="BZ61" s="45">
        <v>903.51395279999997</v>
      </c>
      <c r="CA61" s="45">
        <f t="shared" ref="CA61:CC61" si="384">IF(BZ61&gt;0,BZ61,0)</f>
        <v>903.51395279999997</v>
      </c>
      <c r="CB61" s="45">
        <v>-4000</v>
      </c>
      <c r="CC61" s="45">
        <f t="shared" si="384"/>
        <v>0</v>
      </c>
      <c r="CD61" s="45">
        <v>4800</v>
      </c>
      <c r="CE61" s="45">
        <f t="shared" ref="CE61:CG61" si="385">IF(CD61&gt;0,CD61,0)</f>
        <v>4800</v>
      </c>
      <c r="CF61" s="45">
        <v>7627.5549282299999</v>
      </c>
      <c r="CG61" s="45">
        <f t="shared" si="385"/>
        <v>7627.5549282299999</v>
      </c>
      <c r="CH61" s="107">
        <f t="shared" si="26"/>
        <v>17816.068881029998</v>
      </c>
      <c r="CI61" s="45"/>
      <c r="CJ61" s="109">
        <v>-700</v>
      </c>
      <c r="CK61" s="45">
        <f t="shared" si="27"/>
        <v>700</v>
      </c>
      <c r="CL61" s="45">
        <v>4485</v>
      </c>
      <c r="CM61" s="45">
        <f t="shared" si="27"/>
        <v>0</v>
      </c>
      <c r="CN61" s="45">
        <v>0</v>
      </c>
      <c r="CO61" s="45">
        <f t="shared" ref="CO61:CQ61" si="386">IF(CN61&lt;0,-CN61,0)</f>
        <v>0</v>
      </c>
      <c r="CP61" s="45">
        <v>-5000</v>
      </c>
      <c r="CQ61" s="45">
        <f t="shared" si="386"/>
        <v>5000</v>
      </c>
      <c r="CR61" s="45">
        <v>903.51395279999997</v>
      </c>
      <c r="CS61" s="45">
        <f t="shared" ref="CS61:CU61" si="387">IF(CR61&lt;0,-CR61,0)</f>
        <v>0</v>
      </c>
      <c r="CT61" s="45">
        <v>-4000</v>
      </c>
      <c r="CU61" s="45">
        <f t="shared" si="387"/>
        <v>4000</v>
      </c>
      <c r="CV61" s="45">
        <v>4800</v>
      </c>
      <c r="CW61" s="45">
        <f t="shared" ref="CW61:CY61" si="388">IF(CV61&lt;0,-CV61,0)</f>
        <v>0</v>
      </c>
      <c r="CX61" s="45">
        <v>7627.5549282299999</v>
      </c>
      <c r="CY61" s="45">
        <f t="shared" si="388"/>
        <v>0</v>
      </c>
      <c r="CZ61" s="107">
        <f t="shared" si="31"/>
        <v>9700</v>
      </c>
      <c r="DA61" s="45"/>
      <c r="DB61" s="110">
        <v>40973.608999999997</v>
      </c>
      <c r="DC61" s="57">
        <v>2006.8</v>
      </c>
      <c r="DD61" s="61">
        <v>1892.0631596722001</v>
      </c>
      <c r="DE61" s="61">
        <f t="shared" si="32"/>
        <v>44872.472159672201</v>
      </c>
      <c r="DF61" s="110">
        <v>10830.951999999999</v>
      </c>
      <c r="DG61" s="110">
        <v>59107.411</v>
      </c>
      <c r="DH61" s="57">
        <v>6244</v>
      </c>
      <c r="DI61" s="107">
        <f t="shared" si="33"/>
        <v>65351.411</v>
      </c>
      <c r="DJ61" s="45"/>
      <c r="DK61" s="110">
        <v>916.75800000000004</v>
      </c>
      <c r="DL61" s="57">
        <v>10571.615847326309</v>
      </c>
      <c r="DM61" s="57">
        <f t="shared" si="34"/>
        <v>11488.373847326309</v>
      </c>
      <c r="DN61" s="61">
        <v>1673.5984636371261</v>
      </c>
      <c r="DO61" s="61">
        <v>2940.8339741909822</v>
      </c>
      <c r="DP61" s="61">
        <v>0</v>
      </c>
      <c r="DQ61" s="57">
        <f t="shared" si="35"/>
        <v>2940.8339741909822</v>
      </c>
      <c r="DR61" s="57">
        <v>163.37966523283239</v>
      </c>
      <c r="DS61" s="57">
        <v>163.37966523283239</v>
      </c>
      <c r="DT61" s="5"/>
      <c r="DU61" s="73">
        <v>0</v>
      </c>
      <c r="DV61" s="156">
        <v>4696.97295132</v>
      </c>
      <c r="DW61" s="155">
        <v>944.58008299999995</v>
      </c>
      <c r="DX61" s="155">
        <v>0</v>
      </c>
      <c r="DY61" s="73">
        <v>0</v>
      </c>
      <c r="DZ61" s="156">
        <v>1553.672292</v>
      </c>
      <c r="EA61" s="73">
        <v>0</v>
      </c>
      <c r="EB61" s="156">
        <v>222.58285531000001</v>
      </c>
      <c r="EC61" s="73">
        <v>0</v>
      </c>
      <c r="ED61" s="156">
        <v>847.5</v>
      </c>
      <c r="EE61" s="73">
        <v>0</v>
      </c>
      <c r="EF61" s="156">
        <v>7286.9760388200002</v>
      </c>
      <c r="EG61" s="73">
        <v>0</v>
      </c>
      <c r="EH61" s="156">
        <v>4696.97295132</v>
      </c>
      <c r="EI61" s="159">
        <v>1553.672292</v>
      </c>
      <c r="EJ61" s="162">
        <v>847.5</v>
      </c>
      <c r="EK61" s="165">
        <v>735.83500000000004</v>
      </c>
      <c r="EL61" s="159">
        <v>0</v>
      </c>
      <c r="EM61" s="159">
        <f t="shared" si="36"/>
        <v>9301.6389771300001</v>
      </c>
      <c r="EN61" s="159">
        <f t="shared" si="37"/>
        <v>0</v>
      </c>
      <c r="EP61" s="2">
        <v>20998.500749999999</v>
      </c>
      <c r="EQ61" s="5">
        <f t="shared" si="38"/>
        <v>0.85499999999999987</v>
      </c>
    </row>
    <row r="62" spans="13:147" x14ac:dyDescent="0.35">
      <c r="M62" s="5"/>
      <c r="N62" s="66">
        <f t="shared" si="39"/>
        <v>60</v>
      </c>
      <c r="O62" s="78">
        <v>28718</v>
      </c>
      <c r="P62" s="77">
        <f t="shared" si="6"/>
        <v>0.34599999999999997</v>
      </c>
      <c r="Q62" s="104">
        <v>1316.57</v>
      </c>
      <c r="R62" s="77">
        <f t="shared" si="7"/>
        <v>0.27399999999999997</v>
      </c>
      <c r="S62" s="104">
        <v>12540</v>
      </c>
      <c r="T62" s="77">
        <f t="shared" si="8"/>
        <v>0.41799999999999998</v>
      </c>
      <c r="U62" s="104">
        <v>5276.7993999999999</v>
      </c>
      <c r="V62" s="77">
        <f t="shared" si="221"/>
        <v>0.36699999999999999</v>
      </c>
      <c r="W62" s="104">
        <v>2414.9749999999999</v>
      </c>
      <c r="X62" s="77">
        <f t="shared" si="222"/>
        <v>0.25</v>
      </c>
      <c r="Y62" s="104">
        <v>11569.5</v>
      </c>
      <c r="Z62" s="77">
        <f t="shared" si="9"/>
        <v>0.22500000000000001</v>
      </c>
      <c r="AA62" s="104">
        <v>8569.348</v>
      </c>
      <c r="AB62" s="77">
        <f t="shared" si="10"/>
        <v>0.185</v>
      </c>
      <c r="AC62" s="5"/>
      <c r="AD62" s="66">
        <f t="shared" si="40"/>
        <v>60</v>
      </c>
      <c r="AE62" s="78">
        <v>1334.9970000000001</v>
      </c>
      <c r="AF62" s="104">
        <v>262.2</v>
      </c>
      <c r="AG62" s="78">
        <v>57</v>
      </c>
      <c r="AH62" s="61">
        <f t="shared" si="11"/>
        <v>1.4999999999999999E-2</v>
      </c>
      <c r="AI62" s="61">
        <f t="shared" si="12"/>
        <v>0.11399999999999999</v>
      </c>
      <c r="AJ62" s="61">
        <f t="shared" si="13"/>
        <v>0.114</v>
      </c>
      <c r="AK62" s="77">
        <v>34.884</v>
      </c>
      <c r="AL62" s="104">
        <v>349.30799999999999</v>
      </c>
      <c r="AM62" s="61">
        <f t="shared" si="223"/>
        <v>5.3999999999999999E-2</v>
      </c>
      <c r="AN62" s="57">
        <f t="shared" si="224"/>
        <v>0.03</v>
      </c>
      <c r="AO62" s="78">
        <v>19178</v>
      </c>
      <c r="AP62" s="104">
        <v>13404.225</v>
      </c>
      <c r="AQ62" s="61">
        <f t="shared" si="14"/>
        <v>0.43</v>
      </c>
      <c r="AR62" s="57">
        <f t="shared" si="15"/>
        <v>0.57100000000000006</v>
      </c>
      <c r="AS62" s="45"/>
      <c r="AT62" s="78">
        <v>1054.018</v>
      </c>
      <c r="AU62" s="77">
        <f t="shared" si="225"/>
        <v>0.42799980508880647</v>
      </c>
      <c r="AV62" s="78">
        <v>946.38800000000003</v>
      </c>
      <c r="AW62" s="77">
        <f t="shared" si="226"/>
        <v>0.58891599253266957</v>
      </c>
      <c r="AX62" s="78">
        <v>1121.4780000000001</v>
      </c>
      <c r="AY62" s="77">
        <f t="shared" si="16"/>
        <v>0.5784392407674851</v>
      </c>
      <c r="AZ62" s="45"/>
      <c r="BA62" s="75">
        <v>51358.995000000003</v>
      </c>
      <c r="BB62" s="77">
        <f t="shared" si="17"/>
        <v>0.73770491803278682</v>
      </c>
      <c r="BC62" s="45"/>
      <c r="BD62" s="105">
        <v>15103.945</v>
      </c>
      <c r="BE62" s="45">
        <v>0</v>
      </c>
      <c r="BF62" s="106">
        <v>0</v>
      </c>
      <c r="BG62" s="107">
        <f t="shared" si="18"/>
        <v>0.4633111963190184</v>
      </c>
      <c r="BH62" s="108">
        <f t="shared" si="19"/>
        <v>0</v>
      </c>
      <c r="BI62" s="106">
        <v>0</v>
      </c>
      <c r="BJ62" s="106">
        <v>0</v>
      </c>
      <c r="BK62" s="106">
        <v>0</v>
      </c>
      <c r="BL62" s="106">
        <v>4921.4520000000002</v>
      </c>
      <c r="BM62" s="107">
        <f t="shared" si="20"/>
        <v>0.3651470544591186</v>
      </c>
      <c r="BN62" s="108">
        <f t="shared" si="21"/>
        <v>0</v>
      </c>
      <c r="BO62" s="45">
        <v>7668</v>
      </c>
      <c r="BP62" s="45">
        <v>485.25243639000001</v>
      </c>
      <c r="BQ62" s="45"/>
      <c r="BR62" s="109">
        <v>-700</v>
      </c>
      <c r="BS62" s="45">
        <f t="shared" si="22"/>
        <v>0</v>
      </c>
      <c r="BT62" s="45">
        <v>4485</v>
      </c>
      <c r="BU62" s="45">
        <f t="shared" si="22"/>
        <v>4485</v>
      </c>
      <c r="BV62" s="45">
        <v>0</v>
      </c>
      <c r="BW62" s="45">
        <f t="shared" ref="BW62:BY62" si="389">IF(BV62&gt;0,BV62,0)</f>
        <v>0</v>
      </c>
      <c r="BX62" s="45">
        <v>-5000</v>
      </c>
      <c r="BY62" s="45">
        <f t="shared" si="389"/>
        <v>0</v>
      </c>
      <c r="BZ62" s="45">
        <v>2304.0527207599998</v>
      </c>
      <c r="CA62" s="45">
        <f t="shared" ref="CA62:CC62" si="390">IF(BZ62&gt;0,BZ62,0)</f>
        <v>2304.0527207599998</v>
      </c>
      <c r="CB62" s="45">
        <v>-4000</v>
      </c>
      <c r="CC62" s="45">
        <f t="shared" si="390"/>
        <v>0</v>
      </c>
      <c r="CD62" s="45">
        <v>4800</v>
      </c>
      <c r="CE62" s="45">
        <f t="shared" ref="CE62:CG62" si="391">IF(CD62&gt;0,CD62,0)</f>
        <v>4800</v>
      </c>
      <c r="CF62" s="45">
        <v>7784.1574998899996</v>
      </c>
      <c r="CG62" s="45">
        <f t="shared" si="391"/>
        <v>7784.1574998899996</v>
      </c>
      <c r="CH62" s="107">
        <f t="shared" si="26"/>
        <v>19373.210220649999</v>
      </c>
      <c r="CI62" s="45"/>
      <c r="CJ62" s="109">
        <v>-700</v>
      </c>
      <c r="CK62" s="45">
        <f t="shared" si="27"/>
        <v>700</v>
      </c>
      <c r="CL62" s="45">
        <v>4485</v>
      </c>
      <c r="CM62" s="45">
        <f t="shared" si="27"/>
        <v>0</v>
      </c>
      <c r="CN62" s="45">
        <v>0</v>
      </c>
      <c r="CO62" s="45">
        <f t="shared" ref="CO62:CQ62" si="392">IF(CN62&lt;0,-CN62,0)</f>
        <v>0</v>
      </c>
      <c r="CP62" s="45">
        <v>-5000</v>
      </c>
      <c r="CQ62" s="45">
        <f t="shared" si="392"/>
        <v>5000</v>
      </c>
      <c r="CR62" s="45">
        <v>2304.0527207599998</v>
      </c>
      <c r="CS62" s="45">
        <f t="shared" ref="CS62:CU62" si="393">IF(CR62&lt;0,-CR62,0)</f>
        <v>0</v>
      </c>
      <c r="CT62" s="45">
        <v>-4000</v>
      </c>
      <c r="CU62" s="45">
        <f t="shared" si="393"/>
        <v>4000</v>
      </c>
      <c r="CV62" s="45">
        <v>4800</v>
      </c>
      <c r="CW62" s="45">
        <f t="shared" ref="CW62:CY62" si="394">IF(CV62&lt;0,-CV62,0)</f>
        <v>0</v>
      </c>
      <c r="CX62" s="45">
        <v>7784.1574998899996</v>
      </c>
      <c r="CY62" s="45">
        <f t="shared" si="394"/>
        <v>0</v>
      </c>
      <c r="CZ62" s="107">
        <f t="shared" si="31"/>
        <v>9700</v>
      </c>
      <c r="DA62" s="45"/>
      <c r="DB62" s="110">
        <v>41134.824999999997</v>
      </c>
      <c r="DC62" s="57">
        <v>1826.9739999999999</v>
      </c>
      <c r="DD62" s="61">
        <v>2331.6311476760002</v>
      </c>
      <c r="DE62" s="61">
        <f t="shared" si="32"/>
        <v>45293.430147676001</v>
      </c>
      <c r="DF62" s="110">
        <v>12183.69</v>
      </c>
      <c r="DG62" s="110">
        <v>60694.411</v>
      </c>
      <c r="DH62" s="57">
        <v>5957</v>
      </c>
      <c r="DI62" s="107">
        <f t="shared" si="33"/>
        <v>66651.410999999993</v>
      </c>
      <c r="DJ62" s="45"/>
      <c r="DK62" s="110">
        <v>853.30600000000004</v>
      </c>
      <c r="DL62" s="57">
        <v>10555.905846475949</v>
      </c>
      <c r="DM62" s="57">
        <f t="shared" si="34"/>
        <v>11409.21184647595</v>
      </c>
      <c r="DN62" s="61">
        <v>1673.5984636371261</v>
      </c>
      <c r="DO62" s="61">
        <v>2932.5560997657399</v>
      </c>
      <c r="DP62" s="61">
        <v>0</v>
      </c>
      <c r="DQ62" s="57">
        <f t="shared" si="35"/>
        <v>2932.5560997657399</v>
      </c>
      <c r="DR62" s="57">
        <v>162.91978332031891</v>
      </c>
      <c r="DS62" s="57">
        <v>162.91978332031891</v>
      </c>
      <c r="DT62" s="5"/>
      <c r="DU62" s="73">
        <v>0</v>
      </c>
      <c r="DV62" s="156">
        <v>5742.3328332299998</v>
      </c>
      <c r="DW62" s="155">
        <v>1196.160083</v>
      </c>
      <c r="DX62" s="155">
        <v>0</v>
      </c>
      <c r="DY62" s="73">
        <v>0</v>
      </c>
      <c r="DZ62" s="156">
        <v>1553.672292</v>
      </c>
      <c r="EA62" s="73">
        <v>0</v>
      </c>
      <c r="EB62" s="156">
        <v>914.01777947000005</v>
      </c>
      <c r="EC62" s="73">
        <v>0</v>
      </c>
      <c r="ED62" s="156">
        <v>847.5</v>
      </c>
      <c r="EE62" s="73">
        <v>0</v>
      </c>
      <c r="EF62" s="156">
        <v>7397.5988710000001</v>
      </c>
      <c r="EG62" s="73">
        <v>0</v>
      </c>
      <c r="EH62" s="156">
        <v>5742.3328332299998</v>
      </c>
      <c r="EI62" s="159">
        <v>1553.672292</v>
      </c>
      <c r="EJ62" s="162">
        <v>847.5</v>
      </c>
      <c r="EK62" s="165">
        <v>735.83500000000004</v>
      </c>
      <c r="EL62" s="159">
        <v>0</v>
      </c>
      <c r="EM62" s="159">
        <f t="shared" si="36"/>
        <v>10355.27673347</v>
      </c>
      <c r="EN62" s="159">
        <f t="shared" si="37"/>
        <v>0</v>
      </c>
      <c r="EP62" s="2">
        <v>20531.867399999999</v>
      </c>
      <c r="EQ62" s="5">
        <f t="shared" si="38"/>
        <v>0.83599999999999997</v>
      </c>
    </row>
    <row r="63" spans="13:147" x14ac:dyDescent="0.35">
      <c r="M63" s="5"/>
      <c r="N63" s="66">
        <f t="shared" si="39"/>
        <v>61</v>
      </c>
      <c r="O63" s="78">
        <v>30793</v>
      </c>
      <c r="P63" s="77">
        <f t="shared" si="6"/>
        <v>0.371</v>
      </c>
      <c r="Q63" s="104">
        <v>1648.115</v>
      </c>
      <c r="R63" s="77">
        <f t="shared" si="7"/>
        <v>0.34300000000000003</v>
      </c>
      <c r="S63" s="104">
        <v>14670</v>
      </c>
      <c r="T63" s="77">
        <f t="shared" si="8"/>
        <v>0.48899999999999999</v>
      </c>
      <c r="U63" s="104">
        <v>6815.2668000000003</v>
      </c>
      <c r="V63" s="77">
        <f t="shared" si="221"/>
        <v>0.47399999999999998</v>
      </c>
      <c r="W63" s="104">
        <v>3178.1071000000002</v>
      </c>
      <c r="X63" s="77">
        <f t="shared" si="222"/>
        <v>0.32900000000000001</v>
      </c>
      <c r="Y63" s="104">
        <v>13523.46</v>
      </c>
      <c r="Z63" s="77">
        <f t="shared" si="9"/>
        <v>0.26299999999999996</v>
      </c>
      <c r="AA63" s="104">
        <v>10051.613600000001</v>
      </c>
      <c r="AB63" s="77">
        <f t="shared" si="10"/>
        <v>0.217</v>
      </c>
      <c r="AC63" s="5"/>
      <c r="AD63" s="66">
        <f t="shared" si="40"/>
        <v>61</v>
      </c>
      <c r="AE63" s="78">
        <v>978.99779999999998</v>
      </c>
      <c r="AF63" s="104">
        <v>269.10000000000002</v>
      </c>
      <c r="AG63" s="78">
        <v>58.5</v>
      </c>
      <c r="AH63" s="61">
        <f t="shared" si="11"/>
        <v>1.0999999999999999E-2</v>
      </c>
      <c r="AI63" s="61">
        <f t="shared" si="12"/>
        <v>0.11700000000000001</v>
      </c>
      <c r="AJ63" s="61">
        <f t="shared" si="13"/>
        <v>0.11700000000000001</v>
      </c>
      <c r="AK63" s="77">
        <v>29.716000000000001</v>
      </c>
      <c r="AL63" s="104">
        <v>221.22839999999999</v>
      </c>
      <c r="AM63" s="61">
        <f t="shared" si="223"/>
        <v>4.5999999999999999E-2</v>
      </c>
      <c r="AN63" s="57">
        <f t="shared" si="224"/>
        <v>1.9E-2</v>
      </c>
      <c r="AO63" s="78">
        <v>19980.8</v>
      </c>
      <c r="AP63" s="104">
        <v>12911.25</v>
      </c>
      <c r="AQ63" s="61">
        <f t="shared" si="14"/>
        <v>0.44800000000000001</v>
      </c>
      <c r="AR63" s="57">
        <f t="shared" si="15"/>
        <v>0.55000000000000004</v>
      </c>
      <c r="AS63" s="45"/>
      <c r="AT63" s="78">
        <v>1046.6300000000001</v>
      </c>
      <c r="AU63" s="77">
        <f t="shared" si="225"/>
        <v>0.42499979696750673</v>
      </c>
      <c r="AV63" s="78">
        <v>944.37</v>
      </c>
      <c r="AW63" s="77">
        <f t="shared" si="226"/>
        <v>0.58766023646546361</v>
      </c>
      <c r="AX63" s="78">
        <v>1121.4780000000001</v>
      </c>
      <c r="AY63" s="77">
        <f t="shared" si="16"/>
        <v>0.5784392407674851</v>
      </c>
      <c r="AZ63" s="45"/>
      <c r="BA63" s="75">
        <v>51358.995000000003</v>
      </c>
      <c r="BB63" s="77">
        <f t="shared" si="17"/>
        <v>0.73770491803278682</v>
      </c>
      <c r="BC63" s="45"/>
      <c r="BD63" s="105">
        <v>16784.896000000001</v>
      </c>
      <c r="BE63" s="45">
        <v>0</v>
      </c>
      <c r="BF63" s="106">
        <v>0</v>
      </c>
      <c r="BG63" s="107">
        <f t="shared" si="18"/>
        <v>0.51487411042944786</v>
      </c>
      <c r="BH63" s="108">
        <f t="shared" si="19"/>
        <v>0</v>
      </c>
      <c r="BI63" s="106">
        <v>0</v>
      </c>
      <c r="BJ63" s="106">
        <v>0</v>
      </c>
      <c r="BK63" s="106">
        <v>0</v>
      </c>
      <c r="BL63" s="106">
        <v>5987.5630000000001</v>
      </c>
      <c r="BM63" s="107">
        <f t="shared" si="20"/>
        <v>0.44424714349309985</v>
      </c>
      <c r="BN63" s="108">
        <f t="shared" si="21"/>
        <v>0</v>
      </c>
      <c r="BO63" s="45">
        <v>7668</v>
      </c>
      <c r="BP63" s="45">
        <v>0</v>
      </c>
      <c r="BQ63" s="45"/>
      <c r="BR63" s="109">
        <v>-700</v>
      </c>
      <c r="BS63" s="45">
        <f t="shared" si="22"/>
        <v>0</v>
      </c>
      <c r="BT63" s="45">
        <v>4485</v>
      </c>
      <c r="BU63" s="45">
        <f t="shared" si="22"/>
        <v>4485</v>
      </c>
      <c r="BV63" s="45">
        <v>0</v>
      </c>
      <c r="BW63" s="45">
        <f t="shared" ref="BW63:BY63" si="395">IF(BV63&gt;0,BV63,0)</f>
        <v>0</v>
      </c>
      <c r="BX63" s="45">
        <v>-5000</v>
      </c>
      <c r="BY63" s="45">
        <f t="shared" si="395"/>
        <v>0</v>
      </c>
      <c r="BZ63" s="45">
        <v>2731.3758492299999</v>
      </c>
      <c r="CA63" s="45">
        <f t="shared" ref="CA63:CC63" si="396">IF(BZ63&gt;0,BZ63,0)</f>
        <v>2731.3758492299999</v>
      </c>
      <c r="CB63" s="45">
        <v>-4000</v>
      </c>
      <c r="CC63" s="45">
        <f t="shared" si="396"/>
        <v>0</v>
      </c>
      <c r="CD63" s="45">
        <v>4800</v>
      </c>
      <c r="CE63" s="45">
        <f t="shared" ref="CE63:CG63" si="397">IF(CD63&gt;0,CD63,0)</f>
        <v>4800</v>
      </c>
      <c r="CF63" s="45">
        <v>7687.1621045499996</v>
      </c>
      <c r="CG63" s="45">
        <f t="shared" si="397"/>
        <v>7687.1621045499996</v>
      </c>
      <c r="CH63" s="107">
        <f t="shared" si="26"/>
        <v>19703.53795378</v>
      </c>
      <c r="CI63" s="45"/>
      <c r="CJ63" s="109">
        <v>-700</v>
      </c>
      <c r="CK63" s="45">
        <f t="shared" si="27"/>
        <v>700</v>
      </c>
      <c r="CL63" s="45">
        <v>4485</v>
      </c>
      <c r="CM63" s="45">
        <f t="shared" si="27"/>
        <v>0</v>
      </c>
      <c r="CN63" s="45">
        <v>0</v>
      </c>
      <c r="CO63" s="45">
        <f t="shared" ref="CO63:CQ63" si="398">IF(CN63&lt;0,-CN63,0)</f>
        <v>0</v>
      </c>
      <c r="CP63" s="45">
        <v>-5000</v>
      </c>
      <c r="CQ63" s="45">
        <f t="shared" si="398"/>
        <v>5000</v>
      </c>
      <c r="CR63" s="45">
        <v>2731.3758492299999</v>
      </c>
      <c r="CS63" s="45">
        <f t="shared" ref="CS63:CU63" si="399">IF(CR63&lt;0,-CR63,0)</f>
        <v>0</v>
      </c>
      <c r="CT63" s="45">
        <v>-4000</v>
      </c>
      <c r="CU63" s="45">
        <f t="shared" si="399"/>
        <v>4000</v>
      </c>
      <c r="CV63" s="45">
        <v>4800</v>
      </c>
      <c r="CW63" s="45">
        <f t="shared" ref="CW63:CY63" si="400">IF(CV63&lt;0,-CV63,0)</f>
        <v>0</v>
      </c>
      <c r="CX63" s="45">
        <v>7687.1621045499996</v>
      </c>
      <c r="CY63" s="45">
        <f t="shared" si="400"/>
        <v>0</v>
      </c>
      <c r="CZ63" s="107">
        <f t="shared" si="31"/>
        <v>9700</v>
      </c>
      <c r="DA63" s="45"/>
      <c r="DB63" s="110">
        <v>41330.938999999998</v>
      </c>
      <c r="DC63" s="57">
        <v>1733.329</v>
      </c>
      <c r="DD63" s="61">
        <v>2513.3795602269001</v>
      </c>
      <c r="DE63" s="61">
        <f t="shared" si="32"/>
        <v>45577.647560226898</v>
      </c>
      <c r="DF63" s="110">
        <v>13204.603999999999</v>
      </c>
      <c r="DG63" s="110">
        <v>61511.411</v>
      </c>
      <c r="DH63" s="57">
        <v>5582</v>
      </c>
      <c r="DI63" s="107">
        <f t="shared" si="33"/>
        <v>67093.410999999993</v>
      </c>
      <c r="DJ63" s="45"/>
      <c r="DK63" s="110">
        <v>769.79499999999996</v>
      </c>
      <c r="DL63" s="57">
        <v>10540.1958456256</v>
      </c>
      <c r="DM63" s="57">
        <f t="shared" si="34"/>
        <v>11309.9908456256</v>
      </c>
      <c r="DN63" s="61">
        <v>1622.0424233861261</v>
      </c>
      <c r="DO63" s="61">
        <v>2924.2782253404971</v>
      </c>
      <c r="DP63" s="61">
        <v>436.85739666000001</v>
      </c>
      <c r="DQ63" s="57">
        <f t="shared" si="35"/>
        <v>3361.1356220004973</v>
      </c>
      <c r="DR63" s="57">
        <v>162.4599014078054</v>
      </c>
      <c r="DS63" s="57">
        <v>162.4599014078054</v>
      </c>
      <c r="DT63" s="5"/>
      <c r="DU63" s="73">
        <v>0</v>
      </c>
      <c r="DV63" s="156">
        <v>6779.6610170000004</v>
      </c>
      <c r="DW63" s="155">
        <v>1447.7400829999999</v>
      </c>
      <c r="DX63" s="155">
        <v>0</v>
      </c>
      <c r="DY63" s="73">
        <v>0</v>
      </c>
      <c r="DZ63" s="156">
        <v>1553.672292</v>
      </c>
      <c r="EA63" s="73">
        <v>0</v>
      </c>
      <c r="EB63" s="156">
        <v>1271.1864410000001</v>
      </c>
      <c r="EC63" s="73">
        <v>0</v>
      </c>
      <c r="ED63" s="156">
        <v>847.5</v>
      </c>
      <c r="EE63" s="73">
        <v>0</v>
      </c>
      <c r="EF63" s="156">
        <v>7397.5988710000001</v>
      </c>
      <c r="EG63" s="73">
        <v>0</v>
      </c>
      <c r="EH63" s="156">
        <v>6779.6610170000004</v>
      </c>
      <c r="EI63" s="159">
        <v>1553.672292</v>
      </c>
      <c r="EJ63" s="162">
        <v>847.5</v>
      </c>
      <c r="EK63" s="165">
        <v>735.83500000000004</v>
      </c>
      <c r="EL63" s="159">
        <v>436.85739666000001</v>
      </c>
      <c r="EM63" s="159">
        <f t="shared" si="36"/>
        <v>10964.025395000001</v>
      </c>
      <c r="EN63" s="159">
        <f t="shared" si="37"/>
        <v>0</v>
      </c>
      <c r="EP63" s="2">
        <v>20998.500749999999</v>
      </c>
      <c r="EQ63" s="5">
        <f t="shared" si="38"/>
        <v>0.85499999999999987</v>
      </c>
    </row>
    <row r="64" spans="13:147" x14ac:dyDescent="0.35">
      <c r="M64" s="5"/>
      <c r="N64" s="66">
        <f t="shared" si="39"/>
        <v>62</v>
      </c>
      <c r="O64" s="78">
        <v>31374</v>
      </c>
      <c r="P64" s="77">
        <f t="shared" si="6"/>
        <v>0.378</v>
      </c>
      <c r="Q64" s="104">
        <v>1696.165</v>
      </c>
      <c r="R64" s="77">
        <f t="shared" si="7"/>
        <v>0.35299999999999998</v>
      </c>
      <c r="S64" s="104">
        <v>14940</v>
      </c>
      <c r="T64" s="77">
        <f t="shared" si="8"/>
        <v>0.498</v>
      </c>
      <c r="U64" s="104">
        <v>7447.9075999999995</v>
      </c>
      <c r="V64" s="77">
        <f t="shared" si="221"/>
        <v>0.5179999999999999</v>
      </c>
      <c r="W64" s="104">
        <v>3487.2239</v>
      </c>
      <c r="X64" s="77">
        <f t="shared" si="222"/>
        <v>0.36099999999999999</v>
      </c>
      <c r="Y64" s="104">
        <v>13472.04</v>
      </c>
      <c r="Z64" s="77">
        <f t="shared" si="9"/>
        <v>0.26200000000000001</v>
      </c>
      <c r="AA64" s="104">
        <v>9958.9719999999998</v>
      </c>
      <c r="AB64" s="77">
        <f t="shared" si="10"/>
        <v>0.21499999999999997</v>
      </c>
      <c r="AC64" s="5"/>
      <c r="AD64" s="66">
        <f t="shared" si="40"/>
        <v>62</v>
      </c>
      <c r="AE64" s="78">
        <v>889.99800000000005</v>
      </c>
      <c r="AF64" s="104">
        <v>278.3</v>
      </c>
      <c r="AG64" s="78">
        <v>60.5</v>
      </c>
      <c r="AH64" s="61">
        <f t="shared" si="11"/>
        <v>0.01</v>
      </c>
      <c r="AI64" s="61">
        <f t="shared" si="12"/>
        <v>0.12100000000000001</v>
      </c>
      <c r="AJ64" s="61">
        <f t="shared" si="13"/>
        <v>0.121</v>
      </c>
      <c r="AK64" s="77">
        <v>29.07</v>
      </c>
      <c r="AL64" s="104">
        <v>151.36680000000001</v>
      </c>
      <c r="AM64" s="61">
        <f t="shared" si="223"/>
        <v>4.4999999999999998E-2</v>
      </c>
      <c r="AN64" s="57">
        <f t="shared" si="224"/>
        <v>1.3000000000000001E-2</v>
      </c>
      <c r="AO64" s="78">
        <v>19088.8</v>
      </c>
      <c r="AP64" s="104">
        <v>12653.025</v>
      </c>
      <c r="AQ64" s="61">
        <f t="shared" si="14"/>
        <v>0.42799999999999999</v>
      </c>
      <c r="AR64" s="57">
        <f t="shared" si="15"/>
        <v>0.53900000000000003</v>
      </c>
      <c r="AS64" s="45"/>
      <c r="AT64" s="78">
        <v>1051.556</v>
      </c>
      <c r="AU64" s="77">
        <f t="shared" si="225"/>
        <v>0.42700007309169763</v>
      </c>
      <c r="AV64" s="78">
        <v>945.005</v>
      </c>
      <c r="AW64" s="77">
        <f t="shared" si="226"/>
        <v>0.58805538270068447</v>
      </c>
      <c r="AX64" s="78">
        <v>1121.4780000000001</v>
      </c>
      <c r="AY64" s="77">
        <f t="shared" si="16"/>
        <v>0.5784392407674851</v>
      </c>
      <c r="AZ64" s="45"/>
      <c r="BA64" s="75">
        <v>51358.995000000003</v>
      </c>
      <c r="BB64" s="77">
        <f t="shared" si="17"/>
        <v>0.73770491803278682</v>
      </c>
      <c r="BC64" s="45"/>
      <c r="BD64" s="105">
        <v>17020.629000000001</v>
      </c>
      <c r="BE64" s="45">
        <v>0</v>
      </c>
      <c r="BF64" s="106">
        <v>0</v>
      </c>
      <c r="BG64" s="107">
        <f t="shared" si="18"/>
        <v>0.5221051840490798</v>
      </c>
      <c r="BH64" s="108">
        <f t="shared" si="19"/>
        <v>0</v>
      </c>
      <c r="BI64" s="106">
        <v>0</v>
      </c>
      <c r="BJ64" s="106">
        <v>0</v>
      </c>
      <c r="BK64" s="106">
        <v>0</v>
      </c>
      <c r="BL64" s="106">
        <v>6418.5349999999999</v>
      </c>
      <c r="BM64" s="107">
        <f t="shared" si="20"/>
        <v>0.47622310431814807</v>
      </c>
      <c r="BN64" s="108">
        <f t="shared" si="21"/>
        <v>0</v>
      </c>
      <c r="BO64" s="45">
        <v>7668</v>
      </c>
      <c r="BP64" s="45">
        <v>0</v>
      </c>
      <c r="BQ64" s="45"/>
      <c r="BR64" s="109">
        <v>-700</v>
      </c>
      <c r="BS64" s="45">
        <f t="shared" si="22"/>
        <v>0</v>
      </c>
      <c r="BT64" s="45">
        <v>4485</v>
      </c>
      <c r="BU64" s="45">
        <f t="shared" si="22"/>
        <v>4485</v>
      </c>
      <c r="BV64" s="45">
        <v>0</v>
      </c>
      <c r="BW64" s="45">
        <f t="shared" ref="BW64:BY64" si="401">IF(BV64&gt;0,BV64,0)</f>
        <v>0</v>
      </c>
      <c r="BX64" s="45">
        <v>-5000</v>
      </c>
      <c r="BY64" s="45">
        <f t="shared" si="401"/>
        <v>0</v>
      </c>
      <c r="BZ64" s="45">
        <v>2682.4424395999999</v>
      </c>
      <c r="CA64" s="45">
        <f t="shared" ref="CA64:CC64" si="402">IF(BZ64&gt;0,BZ64,0)</f>
        <v>2682.4424395999999</v>
      </c>
      <c r="CB64" s="45">
        <v>-4000</v>
      </c>
      <c r="CC64" s="45">
        <f t="shared" si="402"/>
        <v>0</v>
      </c>
      <c r="CD64" s="45">
        <v>4800</v>
      </c>
      <c r="CE64" s="45">
        <f t="shared" ref="CE64:CG64" si="403">IF(CD64&gt;0,CD64,0)</f>
        <v>4800</v>
      </c>
      <c r="CF64" s="45">
        <v>8357.5496819700002</v>
      </c>
      <c r="CG64" s="45">
        <f t="shared" si="403"/>
        <v>8357.5496819700002</v>
      </c>
      <c r="CH64" s="107">
        <f t="shared" si="26"/>
        <v>20324.992121570001</v>
      </c>
      <c r="CI64" s="45"/>
      <c r="CJ64" s="109">
        <v>-700</v>
      </c>
      <c r="CK64" s="45">
        <f t="shared" si="27"/>
        <v>700</v>
      </c>
      <c r="CL64" s="45">
        <v>4485</v>
      </c>
      <c r="CM64" s="45">
        <f t="shared" si="27"/>
        <v>0</v>
      </c>
      <c r="CN64" s="45">
        <v>0</v>
      </c>
      <c r="CO64" s="45">
        <f t="shared" ref="CO64:CQ64" si="404">IF(CN64&lt;0,-CN64,0)</f>
        <v>0</v>
      </c>
      <c r="CP64" s="45">
        <v>-5000</v>
      </c>
      <c r="CQ64" s="45">
        <f t="shared" si="404"/>
        <v>5000</v>
      </c>
      <c r="CR64" s="45">
        <v>2682.4424395999999</v>
      </c>
      <c r="CS64" s="45">
        <f t="shared" ref="CS64:CU64" si="405">IF(CR64&lt;0,-CR64,0)</f>
        <v>0</v>
      </c>
      <c r="CT64" s="45">
        <v>-4000</v>
      </c>
      <c r="CU64" s="45">
        <f t="shared" si="405"/>
        <v>4000</v>
      </c>
      <c r="CV64" s="45">
        <v>4800</v>
      </c>
      <c r="CW64" s="45">
        <f t="shared" ref="CW64:CY64" si="406">IF(CV64&lt;0,-CV64,0)</f>
        <v>0</v>
      </c>
      <c r="CX64" s="45">
        <v>8357.5496819700002</v>
      </c>
      <c r="CY64" s="45">
        <f t="shared" si="406"/>
        <v>0</v>
      </c>
      <c r="CZ64" s="107">
        <f t="shared" si="31"/>
        <v>9700</v>
      </c>
      <c r="DA64" s="45"/>
      <c r="DB64" s="110">
        <v>41198.928999999996</v>
      </c>
      <c r="DC64" s="57">
        <v>1578.932</v>
      </c>
      <c r="DD64" s="61">
        <v>2222.8491306196001</v>
      </c>
      <c r="DE64" s="61">
        <f t="shared" si="32"/>
        <v>45000.710130619598</v>
      </c>
      <c r="DF64" s="110">
        <v>13282.134</v>
      </c>
      <c r="DG64" s="110">
        <v>59626.411</v>
      </c>
      <c r="DH64" s="57">
        <v>5457</v>
      </c>
      <c r="DI64" s="107">
        <f t="shared" si="33"/>
        <v>65083.411</v>
      </c>
      <c r="DJ64" s="45"/>
      <c r="DK64" s="110">
        <v>745.81299999999999</v>
      </c>
      <c r="DL64" s="57">
        <v>10540.1958456256</v>
      </c>
      <c r="DM64" s="57">
        <f t="shared" si="34"/>
        <v>11286.0088456256</v>
      </c>
      <c r="DN64" s="61">
        <v>1647.8204435116261</v>
      </c>
      <c r="DO64" s="61">
        <v>2924.2782253404971</v>
      </c>
      <c r="DP64" s="61">
        <v>436.85739666000001</v>
      </c>
      <c r="DQ64" s="57">
        <f t="shared" si="35"/>
        <v>3361.1356220004973</v>
      </c>
      <c r="DR64" s="57">
        <v>162.4599014078054</v>
      </c>
      <c r="DS64" s="57">
        <v>162.4599014078054</v>
      </c>
      <c r="DT64" s="5"/>
      <c r="DU64" s="73">
        <v>0</v>
      </c>
      <c r="DV64" s="156">
        <v>6779.6610170000004</v>
      </c>
      <c r="DW64" s="155">
        <v>1447.7400829999999</v>
      </c>
      <c r="DX64" s="155">
        <v>0</v>
      </c>
      <c r="DY64" s="73">
        <v>0</v>
      </c>
      <c r="DZ64" s="156">
        <v>1553.672292</v>
      </c>
      <c r="EA64" s="73">
        <v>0</v>
      </c>
      <c r="EB64" s="156">
        <v>1271.1864410000001</v>
      </c>
      <c r="EC64" s="73">
        <v>0</v>
      </c>
      <c r="ED64" s="156">
        <v>847.5</v>
      </c>
      <c r="EE64" s="73">
        <v>0</v>
      </c>
      <c r="EF64" s="156">
        <v>7397.5988710000001</v>
      </c>
      <c r="EG64" s="73">
        <v>0</v>
      </c>
      <c r="EH64" s="156">
        <v>6779.6610170000004</v>
      </c>
      <c r="EI64" s="159">
        <v>1553.672292</v>
      </c>
      <c r="EJ64" s="162">
        <v>847.5</v>
      </c>
      <c r="EK64" s="165">
        <v>735.83500000000004</v>
      </c>
      <c r="EL64" s="159">
        <v>436.85739666000001</v>
      </c>
      <c r="EM64" s="159">
        <f t="shared" si="36"/>
        <v>10964.025395000001</v>
      </c>
      <c r="EN64" s="159">
        <f t="shared" si="37"/>
        <v>0</v>
      </c>
      <c r="EP64" s="2">
        <v>21465.134099999999</v>
      </c>
      <c r="EQ64" s="5">
        <f t="shared" si="38"/>
        <v>0.87399999999999989</v>
      </c>
    </row>
    <row r="65" spans="13:147" x14ac:dyDescent="0.35">
      <c r="M65" s="5"/>
      <c r="N65" s="66">
        <f t="shared" si="39"/>
        <v>63</v>
      </c>
      <c r="O65" s="78">
        <v>30876</v>
      </c>
      <c r="P65" s="77">
        <f t="shared" si="6"/>
        <v>0.372</v>
      </c>
      <c r="Q65" s="104">
        <v>1460.72</v>
      </c>
      <c r="R65" s="77">
        <f t="shared" si="7"/>
        <v>0.30399999999999999</v>
      </c>
      <c r="S65" s="104">
        <v>13410</v>
      </c>
      <c r="T65" s="77">
        <f t="shared" si="8"/>
        <v>0.44700000000000001</v>
      </c>
      <c r="U65" s="104">
        <v>7074.0744000000004</v>
      </c>
      <c r="V65" s="77">
        <f t="shared" si="221"/>
        <v>0.49199999999999999</v>
      </c>
      <c r="W65" s="104">
        <v>3265.0462000000002</v>
      </c>
      <c r="X65" s="77">
        <f t="shared" si="222"/>
        <v>0.33800000000000002</v>
      </c>
      <c r="Y65" s="104">
        <v>11363.82</v>
      </c>
      <c r="Z65" s="77">
        <f t="shared" si="9"/>
        <v>0.221</v>
      </c>
      <c r="AA65" s="104">
        <v>8291.4231999999993</v>
      </c>
      <c r="AB65" s="77">
        <f t="shared" si="10"/>
        <v>0.17899999999999996</v>
      </c>
      <c r="AC65" s="5"/>
      <c r="AD65" s="66">
        <f t="shared" si="40"/>
        <v>63</v>
      </c>
      <c r="AE65" s="78">
        <v>889.99800000000005</v>
      </c>
      <c r="AF65" s="104">
        <v>280.60000000000002</v>
      </c>
      <c r="AG65" s="78">
        <v>61</v>
      </c>
      <c r="AH65" s="61">
        <f t="shared" si="11"/>
        <v>0.01</v>
      </c>
      <c r="AI65" s="61">
        <f t="shared" si="12"/>
        <v>0.12200000000000001</v>
      </c>
      <c r="AJ65" s="61">
        <f t="shared" si="13"/>
        <v>0.122</v>
      </c>
      <c r="AK65" s="77">
        <v>33.591999999999999</v>
      </c>
      <c r="AL65" s="104">
        <v>139.72319999999999</v>
      </c>
      <c r="AM65" s="61">
        <f t="shared" si="223"/>
        <v>5.1999999999999998E-2</v>
      </c>
      <c r="AN65" s="57">
        <f t="shared" si="224"/>
        <v>1.1999999999999999E-2</v>
      </c>
      <c r="AO65" s="78">
        <v>17037.2</v>
      </c>
      <c r="AP65" s="104">
        <v>12699.975</v>
      </c>
      <c r="AQ65" s="61">
        <f t="shared" si="14"/>
        <v>0.38200000000000001</v>
      </c>
      <c r="AR65" s="57">
        <f t="shared" si="15"/>
        <v>0.54100000000000004</v>
      </c>
      <c r="AS65" s="45"/>
      <c r="AT65" s="78">
        <v>1046.6300000000001</v>
      </c>
      <c r="AU65" s="77">
        <f t="shared" si="225"/>
        <v>0.42499979696750673</v>
      </c>
      <c r="AV65" s="78">
        <v>937.21799999999996</v>
      </c>
      <c r="AW65" s="77">
        <f t="shared" si="226"/>
        <v>0.58320970752955814</v>
      </c>
      <c r="AX65" s="78">
        <v>1121.4780000000001</v>
      </c>
      <c r="AY65" s="77">
        <f t="shared" si="16"/>
        <v>0.5784392407674851</v>
      </c>
      <c r="AZ65" s="45"/>
      <c r="BA65" s="75">
        <v>51358.995000000003</v>
      </c>
      <c r="BB65" s="77">
        <f t="shared" si="17"/>
        <v>0.73770491803278682</v>
      </c>
      <c r="BC65" s="45"/>
      <c r="BD65" s="105">
        <v>15938.634</v>
      </c>
      <c r="BE65" s="45">
        <v>0</v>
      </c>
      <c r="BF65" s="106">
        <v>0</v>
      </c>
      <c r="BG65" s="107">
        <f t="shared" si="18"/>
        <v>0.48891515337423314</v>
      </c>
      <c r="BH65" s="108">
        <f t="shared" si="19"/>
        <v>0</v>
      </c>
      <c r="BI65" s="106">
        <v>0</v>
      </c>
      <c r="BJ65" s="106">
        <v>0</v>
      </c>
      <c r="BK65" s="106">
        <v>0</v>
      </c>
      <c r="BL65" s="106">
        <v>6163.6549999999997</v>
      </c>
      <c r="BM65" s="107">
        <f t="shared" si="20"/>
        <v>0.45731228668941976</v>
      </c>
      <c r="BN65" s="108">
        <f t="shared" si="21"/>
        <v>0</v>
      </c>
      <c r="BO65" s="45">
        <v>7668</v>
      </c>
      <c r="BP65" s="45">
        <v>0</v>
      </c>
      <c r="BQ65" s="45"/>
      <c r="BR65" s="109">
        <v>-700</v>
      </c>
      <c r="BS65" s="45">
        <f t="shared" si="22"/>
        <v>0</v>
      </c>
      <c r="BT65" s="45">
        <v>4485</v>
      </c>
      <c r="BU65" s="45">
        <f t="shared" si="22"/>
        <v>4485</v>
      </c>
      <c r="BV65" s="45">
        <v>0</v>
      </c>
      <c r="BW65" s="45">
        <f t="shared" ref="BW65:BY65" si="407">IF(BV65&gt;0,BV65,0)</f>
        <v>0</v>
      </c>
      <c r="BX65" s="45">
        <v>-5000</v>
      </c>
      <c r="BY65" s="45">
        <f t="shared" si="407"/>
        <v>0</v>
      </c>
      <c r="BZ65" s="45">
        <v>2216.00056288</v>
      </c>
      <c r="CA65" s="45">
        <f t="shared" ref="CA65:CC65" si="408">IF(BZ65&gt;0,BZ65,0)</f>
        <v>2216.00056288</v>
      </c>
      <c r="CB65" s="45">
        <v>-4000</v>
      </c>
      <c r="CC65" s="45">
        <f t="shared" si="408"/>
        <v>0</v>
      </c>
      <c r="CD65" s="45">
        <v>4800</v>
      </c>
      <c r="CE65" s="45">
        <f t="shared" ref="CE65:CG65" si="409">IF(CD65&gt;0,CD65,0)</f>
        <v>4800</v>
      </c>
      <c r="CF65" s="45">
        <v>7249.7830947900002</v>
      </c>
      <c r="CG65" s="45">
        <f t="shared" si="409"/>
        <v>7249.7830947900002</v>
      </c>
      <c r="CH65" s="107">
        <f t="shared" si="26"/>
        <v>18750.783657669999</v>
      </c>
      <c r="CI65" s="45"/>
      <c r="CJ65" s="109">
        <v>-700</v>
      </c>
      <c r="CK65" s="45">
        <f t="shared" si="27"/>
        <v>700</v>
      </c>
      <c r="CL65" s="45">
        <v>4485</v>
      </c>
      <c r="CM65" s="45">
        <f t="shared" si="27"/>
        <v>0</v>
      </c>
      <c r="CN65" s="45">
        <v>0</v>
      </c>
      <c r="CO65" s="45">
        <f t="shared" ref="CO65:CQ65" si="410">IF(CN65&lt;0,-CN65,0)</f>
        <v>0</v>
      </c>
      <c r="CP65" s="45">
        <v>-5000</v>
      </c>
      <c r="CQ65" s="45">
        <f t="shared" si="410"/>
        <v>5000</v>
      </c>
      <c r="CR65" s="45">
        <v>2216.00056288</v>
      </c>
      <c r="CS65" s="45">
        <f t="shared" ref="CS65:CU65" si="411">IF(CR65&lt;0,-CR65,0)</f>
        <v>0</v>
      </c>
      <c r="CT65" s="45">
        <v>-4000</v>
      </c>
      <c r="CU65" s="45">
        <f t="shared" si="411"/>
        <v>4000</v>
      </c>
      <c r="CV65" s="45">
        <v>4800</v>
      </c>
      <c r="CW65" s="45">
        <f t="shared" ref="CW65:CY65" si="412">IF(CV65&lt;0,-CV65,0)</f>
        <v>0</v>
      </c>
      <c r="CX65" s="45">
        <v>7249.7830947900002</v>
      </c>
      <c r="CY65" s="45">
        <f t="shared" si="412"/>
        <v>0</v>
      </c>
      <c r="CZ65" s="107">
        <f t="shared" si="31"/>
        <v>9700</v>
      </c>
      <c r="DA65" s="45"/>
      <c r="DB65" s="110">
        <v>40566.576999999997</v>
      </c>
      <c r="DC65" s="57">
        <v>1579.009</v>
      </c>
      <c r="DD65" s="61">
        <v>1662.0000771989</v>
      </c>
      <c r="DE65" s="61">
        <f t="shared" si="32"/>
        <v>43807.586077198896</v>
      </c>
      <c r="DF65" s="110">
        <v>12964.388000000001</v>
      </c>
      <c r="DG65" s="110">
        <v>59900.411</v>
      </c>
      <c r="DH65" s="57">
        <v>5444</v>
      </c>
      <c r="DI65" s="107">
        <f t="shared" si="33"/>
        <v>65344.411</v>
      </c>
      <c r="DJ65" s="45"/>
      <c r="DK65" s="110">
        <v>754.66</v>
      </c>
      <c r="DL65" s="57">
        <v>10555.905846475949</v>
      </c>
      <c r="DM65" s="57">
        <f t="shared" si="34"/>
        <v>11310.565846475949</v>
      </c>
      <c r="DN65" s="61">
        <v>1622.0424233861261</v>
      </c>
      <c r="DO65" s="61">
        <v>2932.5560997657399</v>
      </c>
      <c r="DP65" s="61">
        <v>0</v>
      </c>
      <c r="DQ65" s="57">
        <f t="shared" si="35"/>
        <v>2932.5560997657399</v>
      </c>
      <c r="DR65" s="57">
        <v>162.91978332031891</v>
      </c>
      <c r="DS65" s="57">
        <v>162.91978332031891</v>
      </c>
      <c r="DT65" s="5"/>
      <c r="DU65" s="73">
        <v>0</v>
      </c>
      <c r="DV65" s="156">
        <v>6093.3312093699997</v>
      </c>
      <c r="DW65" s="155">
        <v>1196.160083</v>
      </c>
      <c r="DX65" s="155">
        <v>0</v>
      </c>
      <c r="DY65" s="73">
        <v>0</v>
      </c>
      <c r="DZ65" s="156">
        <v>1553.672292</v>
      </c>
      <c r="EA65" s="73">
        <v>0</v>
      </c>
      <c r="EB65" s="156">
        <v>1265.0161556</v>
      </c>
      <c r="EC65" s="73">
        <v>0</v>
      </c>
      <c r="ED65" s="156">
        <v>847.5</v>
      </c>
      <c r="EE65" s="73">
        <v>0</v>
      </c>
      <c r="EF65" s="156">
        <v>7397.5988710000001</v>
      </c>
      <c r="EG65" s="73">
        <v>0</v>
      </c>
      <c r="EH65" s="156">
        <v>6093.3312093699997</v>
      </c>
      <c r="EI65" s="159">
        <v>1553.672292</v>
      </c>
      <c r="EJ65" s="162">
        <v>847.5</v>
      </c>
      <c r="EK65" s="165">
        <v>735.83500000000004</v>
      </c>
      <c r="EL65" s="159">
        <v>0</v>
      </c>
      <c r="EM65" s="159">
        <f t="shared" si="36"/>
        <v>10706.275109599999</v>
      </c>
      <c r="EN65" s="159">
        <f t="shared" si="37"/>
        <v>0</v>
      </c>
      <c r="EP65" s="2">
        <v>21465.134099999999</v>
      </c>
      <c r="EQ65" s="5">
        <f t="shared" si="38"/>
        <v>0.87399999999999989</v>
      </c>
    </row>
    <row r="66" spans="13:147" x14ac:dyDescent="0.35">
      <c r="M66" s="5"/>
      <c r="N66" s="66">
        <f t="shared" si="39"/>
        <v>64</v>
      </c>
      <c r="O66" s="78">
        <v>28635</v>
      </c>
      <c r="P66" s="77">
        <f t="shared" si="6"/>
        <v>0.34499999999999997</v>
      </c>
      <c r="Q66" s="104">
        <v>1013.855</v>
      </c>
      <c r="R66" s="77">
        <f t="shared" si="7"/>
        <v>0.21099999999999999</v>
      </c>
      <c r="S66" s="104">
        <v>10290</v>
      </c>
      <c r="T66" s="77">
        <f t="shared" si="8"/>
        <v>0.34300000000000003</v>
      </c>
      <c r="U66" s="104">
        <v>5837.5492000000004</v>
      </c>
      <c r="V66" s="77">
        <f t="shared" si="221"/>
        <v>0.40600000000000003</v>
      </c>
      <c r="W66" s="104">
        <v>2588.8532</v>
      </c>
      <c r="X66" s="77">
        <f t="shared" si="222"/>
        <v>0.26800000000000002</v>
      </c>
      <c r="Y66" s="104">
        <v>7815.84</v>
      </c>
      <c r="Z66" s="77">
        <f t="shared" si="9"/>
        <v>0.152</v>
      </c>
      <c r="AA66" s="104">
        <v>5512.1751999999997</v>
      </c>
      <c r="AB66" s="77">
        <f t="shared" si="10"/>
        <v>0.11899999999999998</v>
      </c>
      <c r="AC66" s="5"/>
      <c r="AD66" s="66">
        <f t="shared" si="40"/>
        <v>64</v>
      </c>
      <c r="AE66" s="78">
        <v>978.99779999999998</v>
      </c>
      <c r="AF66" s="104">
        <v>276</v>
      </c>
      <c r="AG66" s="78">
        <v>60</v>
      </c>
      <c r="AH66" s="61">
        <f t="shared" si="11"/>
        <v>1.0999999999999999E-2</v>
      </c>
      <c r="AI66" s="61">
        <f t="shared" si="12"/>
        <v>0.12</v>
      </c>
      <c r="AJ66" s="61">
        <f t="shared" si="13"/>
        <v>0.12</v>
      </c>
      <c r="AK66" s="77">
        <v>45.866</v>
      </c>
      <c r="AL66" s="104">
        <v>197.94120000000001</v>
      </c>
      <c r="AM66" s="61">
        <f t="shared" si="223"/>
        <v>7.0999999999999994E-2</v>
      </c>
      <c r="AN66" s="57">
        <f t="shared" si="224"/>
        <v>1.7000000000000001E-2</v>
      </c>
      <c r="AO66" s="78">
        <v>15074.8</v>
      </c>
      <c r="AP66" s="104">
        <v>12582.6</v>
      </c>
      <c r="AQ66" s="61">
        <f t="shared" si="14"/>
        <v>0.33799999999999997</v>
      </c>
      <c r="AR66" s="57">
        <f t="shared" si="15"/>
        <v>0.53600000000000003</v>
      </c>
      <c r="AS66" s="45"/>
      <c r="AT66" s="78">
        <v>1058.944</v>
      </c>
      <c r="AU66" s="77">
        <f t="shared" si="225"/>
        <v>0.43000008121299732</v>
      </c>
      <c r="AV66" s="78">
        <v>940.53800000000001</v>
      </c>
      <c r="AW66" s="77">
        <f t="shared" si="226"/>
        <v>0.58527566894835092</v>
      </c>
      <c r="AX66" s="78">
        <v>1121.4780000000001</v>
      </c>
      <c r="AY66" s="77">
        <f t="shared" si="16"/>
        <v>0.5784392407674851</v>
      </c>
      <c r="AZ66" s="45"/>
      <c r="BA66" s="75">
        <v>51358.995000000003</v>
      </c>
      <c r="BB66" s="77">
        <f t="shared" si="17"/>
        <v>0.73770491803278682</v>
      </c>
      <c r="BC66" s="45"/>
      <c r="BD66" s="105">
        <v>13494.522999999999</v>
      </c>
      <c r="BE66" s="45">
        <v>0</v>
      </c>
      <c r="BF66" s="106">
        <v>0</v>
      </c>
      <c r="BG66" s="107">
        <f t="shared" si="18"/>
        <v>0.41394242331288339</v>
      </c>
      <c r="BH66" s="108">
        <f t="shared" si="19"/>
        <v>0</v>
      </c>
      <c r="BI66" s="106">
        <v>0</v>
      </c>
      <c r="BJ66" s="106">
        <v>0</v>
      </c>
      <c r="BK66" s="106">
        <v>0</v>
      </c>
      <c r="BL66" s="106">
        <v>5306.1279999999997</v>
      </c>
      <c r="BM66" s="107">
        <f t="shared" si="20"/>
        <v>0.39368808428550228</v>
      </c>
      <c r="BN66" s="108">
        <f t="shared" si="21"/>
        <v>0</v>
      </c>
      <c r="BO66" s="45">
        <v>7668</v>
      </c>
      <c r="BP66" s="45">
        <v>651.21695723000005</v>
      </c>
      <c r="BQ66" s="45"/>
      <c r="BR66" s="109">
        <v>-700</v>
      </c>
      <c r="BS66" s="45">
        <f t="shared" si="22"/>
        <v>0</v>
      </c>
      <c r="BT66" s="45">
        <v>4485</v>
      </c>
      <c r="BU66" s="45">
        <f t="shared" si="22"/>
        <v>4485</v>
      </c>
      <c r="BV66" s="45">
        <v>0</v>
      </c>
      <c r="BW66" s="45">
        <f t="shared" ref="BW66:BY66" si="413">IF(BV66&gt;0,BV66,0)</f>
        <v>0</v>
      </c>
      <c r="BX66" s="45">
        <v>-5000</v>
      </c>
      <c r="BY66" s="45">
        <f t="shared" si="413"/>
        <v>0</v>
      </c>
      <c r="BZ66" s="45">
        <v>1085.00171707</v>
      </c>
      <c r="CA66" s="45">
        <f t="shared" ref="CA66:CC66" si="414">IF(BZ66&gt;0,BZ66,0)</f>
        <v>1085.00171707</v>
      </c>
      <c r="CB66" s="45">
        <v>-4000</v>
      </c>
      <c r="CC66" s="45">
        <f t="shared" si="414"/>
        <v>0</v>
      </c>
      <c r="CD66" s="45">
        <v>4800</v>
      </c>
      <c r="CE66" s="45">
        <f t="shared" ref="CE66:CG66" si="415">IF(CD66&gt;0,CD66,0)</f>
        <v>4800</v>
      </c>
      <c r="CF66" s="45">
        <v>6282.3735026799995</v>
      </c>
      <c r="CG66" s="45">
        <f t="shared" si="415"/>
        <v>6282.3735026799995</v>
      </c>
      <c r="CH66" s="107">
        <f t="shared" si="26"/>
        <v>16652.37521975</v>
      </c>
      <c r="CI66" s="45"/>
      <c r="CJ66" s="109">
        <v>-700</v>
      </c>
      <c r="CK66" s="45">
        <f t="shared" si="27"/>
        <v>700</v>
      </c>
      <c r="CL66" s="45">
        <v>4485</v>
      </c>
      <c r="CM66" s="45">
        <f t="shared" si="27"/>
        <v>0</v>
      </c>
      <c r="CN66" s="45">
        <v>0</v>
      </c>
      <c r="CO66" s="45">
        <f t="shared" ref="CO66:CQ66" si="416">IF(CN66&lt;0,-CN66,0)</f>
        <v>0</v>
      </c>
      <c r="CP66" s="45">
        <v>-5000</v>
      </c>
      <c r="CQ66" s="45">
        <f t="shared" si="416"/>
        <v>5000</v>
      </c>
      <c r="CR66" s="45">
        <v>1085.00171707</v>
      </c>
      <c r="CS66" s="45">
        <f t="shared" ref="CS66:CU66" si="417">IF(CR66&lt;0,-CR66,0)</f>
        <v>0</v>
      </c>
      <c r="CT66" s="45">
        <v>-4000</v>
      </c>
      <c r="CU66" s="45">
        <f t="shared" si="417"/>
        <v>4000</v>
      </c>
      <c r="CV66" s="45">
        <v>4800</v>
      </c>
      <c r="CW66" s="45">
        <f t="shared" ref="CW66:CY66" si="418">IF(CV66&lt;0,-CV66,0)</f>
        <v>0</v>
      </c>
      <c r="CX66" s="45">
        <v>6282.3735026799995</v>
      </c>
      <c r="CY66" s="45">
        <f t="shared" si="418"/>
        <v>0</v>
      </c>
      <c r="CZ66" s="107">
        <f t="shared" si="31"/>
        <v>9700</v>
      </c>
      <c r="DA66" s="45"/>
      <c r="DB66" s="110">
        <v>40450.872000000003</v>
      </c>
      <c r="DC66" s="57">
        <v>1701.982</v>
      </c>
      <c r="DD66" s="61">
        <v>1403.5900764764999</v>
      </c>
      <c r="DE66" s="61">
        <f t="shared" si="32"/>
        <v>43556.44407647651</v>
      </c>
      <c r="DF66" s="110">
        <v>12244.002</v>
      </c>
      <c r="DG66" s="110">
        <v>61758.411</v>
      </c>
      <c r="DH66" s="57">
        <v>5948</v>
      </c>
      <c r="DI66" s="107">
        <f t="shared" si="33"/>
        <v>67706.410999999993</v>
      </c>
      <c r="DJ66" s="45"/>
      <c r="DK66" s="110">
        <v>777.29</v>
      </c>
      <c r="DL66" s="57">
        <v>10571.615847326309</v>
      </c>
      <c r="DM66" s="57">
        <f t="shared" si="34"/>
        <v>11348.90584732631</v>
      </c>
      <c r="DN66" s="61">
        <v>1622.0424233861261</v>
      </c>
      <c r="DO66" s="61">
        <v>2940.8339741909822</v>
      </c>
      <c r="DP66" s="61">
        <v>0</v>
      </c>
      <c r="DQ66" s="57">
        <f t="shared" si="35"/>
        <v>2940.8339741909822</v>
      </c>
      <c r="DR66" s="57">
        <v>163.37966523283239</v>
      </c>
      <c r="DS66" s="57">
        <v>163.37966523283239</v>
      </c>
      <c r="DT66" s="5"/>
      <c r="DU66" s="73">
        <v>0</v>
      </c>
      <c r="DV66" s="156">
        <v>5047.9713274599999</v>
      </c>
      <c r="DW66" s="155">
        <v>944.58008299999995</v>
      </c>
      <c r="DX66" s="155">
        <v>0</v>
      </c>
      <c r="DY66" s="73">
        <v>0</v>
      </c>
      <c r="DZ66" s="156">
        <v>1553.672292</v>
      </c>
      <c r="EA66" s="73">
        <v>0</v>
      </c>
      <c r="EB66" s="156">
        <v>462.95839926000002</v>
      </c>
      <c r="EC66" s="73">
        <v>0</v>
      </c>
      <c r="ED66" s="156">
        <v>847.5</v>
      </c>
      <c r="EE66" s="73">
        <v>0</v>
      </c>
      <c r="EF66" s="156">
        <v>7397.5988710000001</v>
      </c>
      <c r="EG66" s="73">
        <v>0</v>
      </c>
      <c r="EH66" s="156">
        <v>5047.9713274599999</v>
      </c>
      <c r="EI66" s="159">
        <v>1553.672292</v>
      </c>
      <c r="EJ66" s="162">
        <v>847.5</v>
      </c>
      <c r="EK66" s="165">
        <v>735.83500000000004</v>
      </c>
      <c r="EL66" s="159">
        <v>0</v>
      </c>
      <c r="EM66" s="159">
        <f t="shared" si="36"/>
        <v>9652.637353260001</v>
      </c>
      <c r="EN66" s="159">
        <f t="shared" si="37"/>
        <v>0</v>
      </c>
      <c r="EP66" s="2">
        <v>21465.134099999999</v>
      </c>
      <c r="EQ66" s="5">
        <f t="shared" si="38"/>
        <v>0.87399999999999989</v>
      </c>
    </row>
    <row r="67" spans="13:147" x14ac:dyDescent="0.35">
      <c r="M67" s="5"/>
      <c r="N67" s="66">
        <f t="shared" si="39"/>
        <v>65</v>
      </c>
      <c r="O67" s="78">
        <v>20003</v>
      </c>
      <c r="P67" s="77">
        <f t="shared" si="6"/>
        <v>0.24099999999999999</v>
      </c>
      <c r="Q67" s="104">
        <v>480.5</v>
      </c>
      <c r="R67" s="77">
        <f t="shared" si="7"/>
        <v>0.1</v>
      </c>
      <c r="S67" s="104">
        <v>6000</v>
      </c>
      <c r="T67" s="77">
        <f t="shared" si="8"/>
        <v>0.2</v>
      </c>
      <c r="U67" s="104">
        <v>4011.5178000000001</v>
      </c>
      <c r="V67" s="77">
        <f t="shared" ref="V67:V98" si="419">U67/$B$6</f>
        <v>0.27899999999999997</v>
      </c>
      <c r="W67" s="104">
        <v>1593.8834999999999</v>
      </c>
      <c r="X67" s="77">
        <f t="shared" ref="X67:X98" si="420">W67/$B$7</f>
        <v>0.16500000000000001</v>
      </c>
      <c r="Y67" s="104">
        <v>3393.72</v>
      </c>
      <c r="Z67" s="77">
        <f t="shared" si="9"/>
        <v>6.5999999999999989E-2</v>
      </c>
      <c r="AA67" s="104">
        <v>2223.3984</v>
      </c>
      <c r="AB67" s="77">
        <f t="shared" si="10"/>
        <v>4.8000000000000001E-2</v>
      </c>
      <c r="AC67" s="5"/>
      <c r="AD67" s="66">
        <f t="shared" si="40"/>
        <v>65</v>
      </c>
      <c r="AE67" s="78">
        <v>889.99800000000005</v>
      </c>
      <c r="AF67" s="104">
        <v>278.3</v>
      </c>
      <c r="AG67" s="78">
        <v>60.5</v>
      </c>
      <c r="AH67" s="61">
        <f t="shared" si="11"/>
        <v>0.01</v>
      </c>
      <c r="AI67" s="61">
        <f t="shared" si="12"/>
        <v>0.12100000000000001</v>
      </c>
      <c r="AJ67" s="61">
        <f t="shared" si="13"/>
        <v>0.121</v>
      </c>
      <c r="AK67" s="77">
        <v>58.14</v>
      </c>
      <c r="AL67" s="104">
        <v>279.44639999999998</v>
      </c>
      <c r="AM67" s="61">
        <f t="shared" ref="AM67:AM98" si="421">AK67/$B$9</f>
        <v>0.09</v>
      </c>
      <c r="AN67" s="57">
        <f t="shared" ref="AN67:AN98" si="422">AL67/$B$8</f>
        <v>2.3999999999999997E-2</v>
      </c>
      <c r="AO67" s="78">
        <v>13424.6</v>
      </c>
      <c r="AP67" s="104">
        <v>12277.424999999999</v>
      </c>
      <c r="AQ67" s="61">
        <f t="shared" si="14"/>
        <v>0.30099999999999999</v>
      </c>
      <c r="AR67" s="57">
        <f t="shared" si="15"/>
        <v>0.52300000000000002</v>
      </c>
      <c r="AS67" s="45"/>
      <c r="AT67" s="78">
        <v>1071.2570000000001</v>
      </c>
      <c r="AU67" s="77">
        <f t="shared" ref="AU67:AU98" si="423">AT67/$B$10</f>
        <v>0.43499995939350139</v>
      </c>
      <c r="AV67" s="78">
        <v>955.12699999999995</v>
      </c>
      <c r="AW67" s="77">
        <f t="shared" ref="AW67:AW98" si="424">AV67/$B$11</f>
        <v>0.59435407591785938</v>
      </c>
      <c r="AX67" s="78">
        <v>1121.4780000000001</v>
      </c>
      <c r="AY67" s="77">
        <f t="shared" si="16"/>
        <v>0.5784392407674851</v>
      </c>
      <c r="AZ67" s="45"/>
      <c r="BA67" s="75">
        <v>51358.995000000003</v>
      </c>
      <c r="BB67" s="77">
        <f t="shared" si="17"/>
        <v>0.73770491803278682</v>
      </c>
      <c r="BC67" s="45"/>
      <c r="BD67" s="105">
        <v>8757.2540000000008</v>
      </c>
      <c r="BE67" s="45">
        <v>0</v>
      </c>
      <c r="BF67" s="106">
        <v>0</v>
      </c>
      <c r="BG67" s="107">
        <f t="shared" si="18"/>
        <v>0.26862742331288347</v>
      </c>
      <c r="BH67" s="108">
        <f t="shared" si="19"/>
        <v>0</v>
      </c>
      <c r="BI67" s="106">
        <v>0</v>
      </c>
      <c r="BJ67" s="106">
        <v>0</v>
      </c>
      <c r="BK67" s="106">
        <v>0</v>
      </c>
      <c r="BL67" s="106">
        <v>3990.8629999999998</v>
      </c>
      <c r="BM67" s="107">
        <f t="shared" si="20"/>
        <v>0.29610201810357617</v>
      </c>
      <c r="BN67" s="108">
        <f t="shared" si="21"/>
        <v>0</v>
      </c>
      <c r="BO67" s="45">
        <v>7668</v>
      </c>
      <c r="BP67" s="45">
        <v>651.21695723000005</v>
      </c>
      <c r="BQ67" s="45"/>
      <c r="BR67" s="109">
        <v>-700</v>
      </c>
      <c r="BS67" s="45">
        <f t="shared" si="22"/>
        <v>0</v>
      </c>
      <c r="BT67" s="45">
        <v>4485</v>
      </c>
      <c r="BU67" s="45">
        <f t="shared" si="22"/>
        <v>4485</v>
      </c>
      <c r="BV67" s="45">
        <v>0</v>
      </c>
      <c r="BW67" s="45">
        <f t="shared" ref="BW67:BY67" si="425">IF(BV67&gt;0,BV67,0)</f>
        <v>0</v>
      </c>
      <c r="BX67" s="45">
        <v>-5000</v>
      </c>
      <c r="BY67" s="45">
        <f t="shared" si="425"/>
        <v>0</v>
      </c>
      <c r="BZ67" s="45">
        <v>296.32136652000003</v>
      </c>
      <c r="CA67" s="45">
        <f t="shared" ref="CA67:CC67" si="426">IF(BZ67&gt;0,BZ67,0)</f>
        <v>296.32136652000003</v>
      </c>
      <c r="CB67" s="45">
        <v>-4000</v>
      </c>
      <c r="CC67" s="45">
        <f t="shared" si="426"/>
        <v>0</v>
      </c>
      <c r="CD67" s="45">
        <v>4800</v>
      </c>
      <c r="CE67" s="45">
        <f t="shared" ref="CE67:CG67" si="427">IF(CD67&gt;0,CD67,0)</f>
        <v>4800</v>
      </c>
      <c r="CF67" s="45">
        <v>6718.8256398200001</v>
      </c>
      <c r="CG67" s="45">
        <f t="shared" si="427"/>
        <v>6718.8256398200001</v>
      </c>
      <c r="CH67" s="107">
        <f t="shared" si="26"/>
        <v>16300.147006340001</v>
      </c>
      <c r="CI67" s="45"/>
      <c r="CJ67" s="109">
        <v>-700</v>
      </c>
      <c r="CK67" s="45">
        <f t="shared" si="27"/>
        <v>700</v>
      </c>
      <c r="CL67" s="45">
        <v>4485</v>
      </c>
      <c r="CM67" s="45">
        <f t="shared" si="27"/>
        <v>0</v>
      </c>
      <c r="CN67" s="45">
        <v>0</v>
      </c>
      <c r="CO67" s="45">
        <f t="shared" ref="CO67:CQ67" si="428">IF(CN67&lt;0,-CN67,0)</f>
        <v>0</v>
      </c>
      <c r="CP67" s="45">
        <v>-5000</v>
      </c>
      <c r="CQ67" s="45">
        <f t="shared" si="428"/>
        <v>5000</v>
      </c>
      <c r="CR67" s="45">
        <v>296.32136652000003</v>
      </c>
      <c r="CS67" s="45">
        <f t="shared" ref="CS67:CU67" si="429">IF(CR67&lt;0,-CR67,0)</f>
        <v>0</v>
      </c>
      <c r="CT67" s="45">
        <v>-4000</v>
      </c>
      <c r="CU67" s="45">
        <f t="shared" si="429"/>
        <v>4000</v>
      </c>
      <c r="CV67" s="45">
        <v>4800</v>
      </c>
      <c r="CW67" s="45">
        <f t="shared" ref="CW67:CY67" si="430">IF(CV67&lt;0,-CV67,0)</f>
        <v>0</v>
      </c>
      <c r="CX67" s="45">
        <v>6718.8256398200001</v>
      </c>
      <c r="CY67" s="45">
        <f t="shared" si="430"/>
        <v>0</v>
      </c>
      <c r="CZ67" s="107">
        <f t="shared" si="31"/>
        <v>9700</v>
      </c>
      <c r="DA67" s="45"/>
      <c r="DB67" s="110">
        <v>40796.947999999997</v>
      </c>
      <c r="DC67" s="57">
        <v>2043.7380000000001</v>
      </c>
      <c r="DD67" s="61">
        <v>1402.2078902389001</v>
      </c>
      <c r="DE67" s="61">
        <f t="shared" si="32"/>
        <v>44242.893890238891</v>
      </c>
      <c r="DF67" s="110">
        <v>11416.52</v>
      </c>
      <c r="DG67" s="110">
        <v>65278.411</v>
      </c>
      <c r="DH67" s="57">
        <v>6006</v>
      </c>
      <c r="DI67" s="107">
        <f t="shared" si="33"/>
        <v>71284.410999999993</v>
      </c>
      <c r="DJ67" s="45"/>
      <c r="DK67" s="110">
        <v>803.51800000000003</v>
      </c>
      <c r="DL67" s="57">
        <v>10571.615847326309</v>
      </c>
      <c r="DM67" s="57">
        <f t="shared" si="34"/>
        <v>11375.133847326309</v>
      </c>
      <c r="DN67" s="61">
        <v>1622.0424233861261</v>
      </c>
      <c r="DO67" s="61">
        <v>2940.8339741909822</v>
      </c>
      <c r="DP67" s="61">
        <v>0</v>
      </c>
      <c r="DQ67" s="57">
        <f t="shared" si="35"/>
        <v>2940.8339741909822</v>
      </c>
      <c r="DR67" s="57">
        <v>163.37966523283239</v>
      </c>
      <c r="DS67" s="57">
        <v>163.37966523283239</v>
      </c>
      <c r="DT67" s="5"/>
      <c r="DU67" s="73">
        <v>0</v>
      </c>
      <c r="DV67" s="156">
        <v>4003.0713274599998</v>
      </c>
      <c r="DW67" s="155">
        <v>819.53302766000002</v>
      </c>
      <c r="DX67" s="155">
        <v>0</v>
      </c>
      <c r="DY67" s="73">
        <v>0</v>
      </c>
      <c r="DZ67" s="156">
        <v>1553.672292</v>
      </c>
      <c r="EA67" s="73">
        <v>0</v>
      </c>
      <c r="EB67" s="156">
        <v>112.03494259</v>
      </c>
      <c r="EC67" s="73">
        <v>0</v>
      </c>
      <c r="ED67" s="156">
        <v>847.5</v>
      </c>
      <c r="EE67" s="73">
        <v>0</v>
      </c>
      <c r="EF67" s="156">
        <v>6828.6693830100003</v>
      </c>
      <c r="EG67" s="73">
        <v>0</v>
      </c>
      <c r="EH67" s="156">
        <v>4003.0713274599998</v>
      </c>
      <c r="EI67" s="159">
        <v>1553.672292</v>
      </c>
      <c r="EJ67" s="162">
        <v>847.5</v>
      </c>
      <c r="EK67" s="165">
        <v>735.83500000000004</v>
      </c>
      <c r="EL67" s="159">
        <v>0</v>
      </c>
      <c r="EM67" s="159">
        <f t="shared" si="36"/>
        <v>8607.7373532599995</v>
      </c>
      <c r="EN67" s="159">
        <f t="shared" si="37"/>
        <v>0</v>
      </c>
      <c r="EP67" s="2">
        <v>21465.134099999999</v>
      </c>
      <c r="EQ67" s="5">
        <f t="shared" si="38"/>
        <v>0.87399999999999989</v>
      </c>
    </row>
    <row r="68" spans="13:147" x14ac:dyDescent="0.35">
      <c r="M68" s="5"/>
      <c r="N68" s="66">
        <f t="shared" si="39"/>
        <v>66</v>
      </c>
      <c r="O68" s="78">
        <v>4565</v>
      </c>
      <c r="P68" s="77">
        <f t="shared" ref="P68:P131" si="431">O68/$E$5</f>
        <v>5.5E-2</v>
      </c>
      <c r="Q68" s="104">
        <v>0</v>
      </c>
      <c r="R68" s="77">
        <f t="shared" ref="R68:R131" si="432">Q68/$E$8</f>
        <v>0</v>
      </c>
      <c r="S68" s="104">
        <v>1560</v>
      </c>
      <c r="T68" s="77">
        <f t="shared" ref="T68:T131" si="433">S68/$E$17</f>
        <v>5.1999999999999998E-2</v>
      </c>
      <c r="U68" s="104">
        <v>1768.5186000000001</v>
      </c>
      <c r="V68" s="77">
        <f t="shared" si="419"/>
        <v>0.123</v>
      </c>
      <c r="W68" s="104">
        <v>579.59400000000005</v>
      </c>
      <c r="X68" s="77">
        <f t="shared" si="420"/>
        <v>6.0000000000000005E-2</v>
      </c>
      <c r="Y68" s="104">
        <v>0</v>
      </c>
      <c r="Z68" s="77">
        <f t="shared" ref="Z68:Z131" si="434">Y68/$K$6</f>
        <v>0</v>
      </c>
      <c r="AA68" s="104">
        <v>0</v>
      </c>
      <c r="AB68" s="77">
        <f t="shared" ref="AB68:AB131" si="435">AA68/$K$16</f>
        <v>0</v>
      </c>
      <c r="AC68" s="5"/>
      <c r="AD68" s="66">
        <f t="shared" si="40"/>
        <v>66</v>
      </c>
      <c r="AE68" s="78">
        <v>1601.9964</v>
      </c>
      <c r="AF68" s="104">
        <v>282.89999999999998</v>
      </c>
      <c r="AG68" s="78">
        <v>61.5</v>
      </c>
      <c r="AH68" s="61">
        <f t="shared" ref="AH68:AH131" si="436">AE68/$E$4</f>
        <v>1.7999999999999999E-2</v>
      </c>
      <c r="AI68" s="61">
        <f t="shared" ref="AI68:AI131" si="437">AF68/$E$6</f>
        <v>0.12299999999999998</v>
      </c>
      <c r="AJ68" s="61">
        <f t="shared" ref="AJ68:AJ131" si="438">AG68/$E$7</f>
        <v>0.123</v>
      </c>
      <c r="AK68" s="77">
        <v>69.122</v>
      </c>
      <c r="AL68" s="104">
        <v>454.10039999999998</v>
      </c>
      <c r="AM68" s="61">
        <f t="shared" si="421"/>
        <v>0.107</v>
      </c>
      <c r="AN68" s="57">
        <f t="shared" si="422"/>
        <v>3.9E-2</v>
      </c>
      <c r="AO68" s="78">
        <v>11908.2</v>
      </c>
      <c r="AP68" s="104">
        <v>11972.25</v>
      </c>
      <c r="AQ68" s="61">
        <f t="shared" ref="AQ68:AQ131" si="439">AO68/$K$5</f>
        <v>0.26700000000000002</v>
      </c>
      <c r="AR68" s="57">
        <f t="shared" ref="AR68:AR131" si="440">AP68/$K$7</f>
        <v>0.51</v>
      </c>
      <c r="AS68" s="45"/>
      <c r="AT68" s="78">
        <v>1083.57</v>
      </c>
      <c r="AU68" s="77">
        <f t="shared" si="423"/>
        <v>0.43999983757400535</v>
      </c>
      <c r="AV68" s="78">
        <v>963.37900000000002</v>
      </c>
      <c r="AW68" s="77">
        <f t="shared" si="424"/>
        <v>0.59948911014312389</v>
      </c>
      <c r="AX68" s="78">
        <v>1121.4780000000001</v>
      </c>
      <c r="AY68" s="77">
        <f t="shared" ref="AY68:AY131" si="441">AX68/$K$8</f>
        <v>0.5784392407674851</v>
      </c>
      <c r="AZ68" s="45"/>
      <c r="BA68" s="75">
        <v>51358.995000000003</v>
      </c>
      <c r="BB68" s="77">
        <f t="shared" ref="BB68:BB131" si="442">BA68/$K$3</f>
        <v>0.73770491803278682</v>
      </c>
      <c r="BC68" s="45"/>
      <c r="BD68" s="105">
        <v>2695.768</v>
      </c>
      <c r="BE68" s="45">
        <v>0</v>
      </c>
      <c r="BF68" s="106">
        <v>0</v>
      </c>
      <c r="BG68" s="107">
        <f t="shared" ref="BG68:BG131" si="443">BD68/$E$20</f>
        <v>8.2692269938650309E-2</v>
      </c>
      <c r="BH68" s="108">
        <f t="shared" ref="BH68:BH131" si="444">BE68/$E$18+BF68/$E$19</f>
        <v>0</v>
      </c>
      <c r="BI68" s="106">
        <v>0</v>
      </c>
      <c r="BJ68" s="106">
        <v>0</v>
      </c>
      <c r="BK68" s="106">
        <v>0</v>
      </c>
      <c r="BL68" s="106">
        <v>2507.9609999999998</v>
      </c>
      <c r="BM68" s="107">
        <f t="shared" ref="BM68:BM131" si="445">BL68/$H$17</f>
        <v>0.18607812731859324</v>
      </c>
      <c r="BN68" s="108">
        <f t="shared" ref="BN68:BN131" si="446">BI68/$H$14+BJ68/$H$15+BK68/$H$16</f>
        <v>0</v>
      </c>
      <c r="BO68" s="45">
        <v>7668</v>
      </c>
      <c r="BP68" s="45">
        <v>651.21695723000005</v>
      </c>
      <c r="BQ68" s="45"/>
      <c r="BR68" s="109">
        <v>-700</v>
      </c>
      <c r="BS68" s="45">
        <f t="shared" ref="BS68:BU131" si="447">IF(BR68&gt;0,BR68,0)</f>
        <v>0</v>
      </c>
      <c r="BT68" s="45">
        <v>4485</v>
      </c>
      <c r="BU68" s="45">
        <f t="shared" si="447"/>
        <v>4485</v>
      </c>
      <c r="BV68" s="45">
        <v>0</v>
      </c>
      <c r="BW68" s="45">
        <f t="shared" ref="BW68:BY68" si="448">IF(BV68&gt;0,BV68,0)</f>
        <v>0</v>
      </c>
      <c r="BX68" s="45">
        <v>-5000</v>
      </c>
      <c r="BY68" s="45">
        <f t="shared" si="448"/>
        <v>0</v>
      </c>
      <c r="BZ68" s="45">
        <v>3800</v>
      </c>
      <c r="CA68" s="45">
        <f t="shared" ref="CA68:CC68" si="449">IF(BZ68&gt;0,BZ68,0)</f>
        <v>3800</v>
      </c>
      <c r="CB68" s="45">
        <v>-4000</v>
      </c>
      <c r="CC68" s="45">
        <f t="shared" si="449"/>
        <v>0</v>
      </c>
      <c r="CD68" s="45">
        <v>4800</v>
      </c>
      <c r="CE68" s="45">
        <f t="shared" ref="CE68:CG68" si="450">IF(CD68&gt;0,CD68,0)</f>
        <v>4800</v>
      </c>
      <c r="CF68" s="45">
        <v>6471.9486094699996</v>
      </c>
      <c r="CG68" s="45">
        <f t="shared" si="450"/>
        <v>6471.9486094699996</v>
      </c>
      <c r="CH68" s="107">
        <f t="shared" ref="CH68:CH131" si="451">BS68+BU68+BW68+BY68+CA68+CC68+CE68+CG68</f>
        <v>19556.948609470001</v>
      </c>
      <c r="CI68" s="45"/>
      <c r="CJ68" s="109">
        <v>-700</v>
      </c>
      <c r="CK68" s="45">
        <f t="shared" ref="CK68:CM131" si="452">IF(CJ68&lt;0,-CJ68,0)</f>
        <v>700</v>
      </c>
      <c r="CL68" s="45">
        <v>4485</v>
      </c>
      <c r="CM68" s="45">
        <f t="shared" si="452"/>
        <v>0</v>
      </c>
      <c r="CN68" s="45">
        <v>0</v>
      </c>
      <c r="CO68" s="45">
        <f t="shared" ref="CO68:CQ68" si="453">IF(CN68&lt;0,-CN68,0)</f>
        <v>0</v>
      </c>
      <c r="CP68" s="45">
        <v>-5000</v>
      </c>
      <c r="CQ68" s="45">
        <f t="shared" si="453"/>
        <v>5000</v>
      </c>
      <c r="CR68" s="45">
        <v>3800</v>
      </c>
      <c r="CS68" s="45">
        <f t="shared" ref="CS68:CU68" si="454">IF(CR68&lt;0,-CR68,0)</f>
        <v>0</v>
      </c>
      <c r="CT68" s="45">
        <v>-4000</v>
      </c>
      <c r="CU68" s="45">
        <f t="shared" si="454"/>
        <v>4000</v>
      </c>
      <c r="CV68" s="45">
        <v>4800</v>
      </c>
      <c r="CW68" s="45">
        <f t="shared" ref="CW68:CY68" si="455">IF(CV68&lt;0,-CV68,0)</f>
        <v>0</v>
      </c>
      <c r="CX68" s="45">
        <v>6471.9486094699996</v>
      </c>
      <c r="CY68" s="45">
        <f t="shared" si="455"/>
        <v>0</v>
      </c>
      <c r="CZ68" s="107">
        <f t="shared" ref="CZ68:CZ131" si="456">CK68+CM68+CO68+CQ68+CS68+CU68+CW68+CY68</f>
        <v>9700</v>
      </c>
      <c r="DA68" s="45"/>
      <c r="DB68" s="110">
        <v>42707.71</v>
      </c>
      <c r="DC68" s="57">
        <v>2261.3470000000002</v>
      </c>
      <c r="DD68" s="61">
        <v>1473.643678124</v>
      </c>
      <c r="DE68" s="61">
        <f t="shared" ref="DE68:DE131" si="457">DB68+DC68+DD68</f>
        <v>46442.700678123998</v>
      </c>
      <c r="DF68" s="110">
        <v>10732.584999999999</v>
      </c>
      <c r="DG68" s="110">
        <v>70038.410999999993</v>
      </c>
      <c r="DH68" s="57">
        <v>6350</v>
      </c>
      <c r="DI68" s="107">
        <f t="shared" ref="DI68:DI131" si="458">DG68+DH68</f>
        <v>76388.410999999993</v>
      </c>
      <c r="DJ68" s="45"/>
      <c r="DK68" s="110">
        <v>819.53200000000004</v>
      </c>
      <c r="DL68" s="57">
        <v>10571.615847326309</v>
      </c>
      <c r="DM68" s="57">
        <f t="shared" ref="DM68:DM131" si="459">DK68+DL68</f>
        <v>11391.147847326309</v>
      </c>
      <c r="DN68" s="61">
        <v>1622.0424233861261</v>
      </c>
      <c r="DO68" s="61">
        <v>2940.8339741909822</v>
      </c>
      <c r="DP68" s="61">
        <v>0</v>
      </c>
      <c r="DQ68" s="57">
        <f t="shared" ref="DQ68:DQ131" si="460">DO68+DP68</f>
        <v>2940.8339741909822</v>
      </c>
      <c r="DR68" s="57">
        <v>163.37966523283239</v>
      </c>
      <c r="DS68" s="57">
        <v>163.37966523283239</v>
      </c>
      <c r="DT68" s="5"/>
      <c r="DU68" s="73">
        <v>0</v>
      </c>
      <c r="DV68" s="156">
        <v>2958.1713274600002</v>
      </c>
      <c r="DW68" s="155">
        <v>567.95302765999998</v>
      </c>
      <c r="DX68" s="155">
        <v>0</v>
      </c>
      <c r="DY68" s="73">
        <v>0</v>
      </c>
      <c r="DZ68" s="156">
        <v>1553.672292</v>
      </c>
      <c r="EA68" s="73">
        <v>0</v>
      </c>
      <c r="EB68" s="156">
        <v>206.41494259000001</v>
      </c>
      <c r="EC68" s="73">
        <v>0</v>
      </c>
      <c r="ED68" s="156">
        <v>847.5</v>
      </c>
      <c r="EE68" s="73">
        <v>0</v>
      </c>
      <c r="EF68" s="156">
        <v>5940.9693830099995</v>
      </c>
      <c r="EG68" s="73">
        <v>0</v>
      </c>
      <c r="EH68" s="156">
        <v>2958.1713274600002</v>
      </c>
      <c r="EI68" s="159">
        <v>1553.672292</v>
      </c>
      <c r="EJ68" s="162">
        <v>847.5</v>
      </c>
      <c r="EK68" s="165">
        <v>735.83500000000004</v>
      </c>
      <c r="EL68" s="159">
        <v>0</v>
      </c>
      <c r="EM68" s="159">
        <f t="shared" ref="EM68:EM131" si="461">DW68+EB68+ED68+EF68</f>
        <v>7562.8373532599999</v>
      </c>
      <c r="EN68" s="159">
        <f t="shared" ref="EN68:EN131" si="462">DX68+EA68+EC68+EE68</f>
        <v>0</v>
      </c>
      <c r="EP68" s="2">
        <v>21465.134099999999</v>
      </c>
      <c r="EQ68" s="5">
        <f t="shared" ref="EQ68:EQ131" si="463">EP68/$E$2</f>
        <v>0.87399999999999989</v>
      </c>
    </row>
    <row r="69" spans="13:147" x14ac:dyDescent="0.35">
      <c r="M69" s="5"/>
      <c r="N69" s="66">
        <f t="shared" ref="N69:N132" si="464">1+N68</f>
        <v>67</v>
      </c>
      <c r="O69" s="78">
        <v>0</v>
      </c>
      <c r="P69" s="77">
        <f t="shared" si="431"/>
        <v>0</v>
      </c>
      <c r="Q69" s="104">
        <v>0</v>
      </c>
      <c r="R69" s="77">
        <f t="shared" si="432"/>
        <v>0</v>
      </c>
      <c r="S69" s="104">
        <v>0</v>
      </c>
      <c r="T69" s="77">
        <f t="shared" si="433"/>
        <v>0</v>
      </c>
      <c r="U69" s="104">
        <v>0</v>
      </c>
      <c r="V69" s="77">
        <f t="shared" si="419"/>
        <v>0</v>
      </c>
      <c r="W69" s="104">
        <v>0</v>
      </c>
      <c r="X69" s="77">
        <f t="shared" si="420"/>
        <v>0</v>
      </c>
      <c r="Y69" s="104">
        <v>0</v>
      </c>
      <c r="Z69" s="77">
        <f t="shared" si="434"/>
        <v>0</v>
      </c>
      <c r="AA69" s="104">
        <v>0</v>
      </c>
      <c r="AB69" s="77">
        <f t="shared" si="435"/>
        <v>0</v>
      </c>
      <c r="AC69" s="5"/>
      <c r="AD69" s="66">
        <f t="shared" ref="AD69:AD132" si="465">1+AD68</f>
        <v>67</v>
      </c>
      <c r="AE69" s="78">
        <v>2847.9935999999998</v>
      </c>
      <c r="AF69" s="104">
        <v>292.10000000000002</v>
      </c>
      <c r="AG69" s="78">
        <v>63.5</v>
      </c>
      <c r="AH69" s="61">
        <f t="shared" si="436"/>
        <v>3.1999999999999994E-2</v>
      </c>
      <c r="AI69" s="61">
        <f t="shared" si="437"/>
        <v>0.127</v>
      </c>
      <c r="AJ69" s="61">
        <f t="shared" si="438"/>
        <v>0.127</v>
      </c>
      <c r="AK69" s="77">
        <v>79.457999999999998</v>
      </c>
      <c r="AL69" s="104">
        <v>803.40840000000003</v>
      </c>
      <c r="AM69" s="61">
        <f t="shared" si="421"/>
        <v>0.123</v>
      </c>
      <c r="AN69" s="57">
        <f t="shared" si="422"/>
        <v>6.9000000000000006E-2</v>
      </c>
      <c r="AO69" s="78">
        <v>10659.4</v>
      </c>
      <c r="AP69" s="104">
        <v>11784.45</v>
      </c>
      <c r="AQ69" s="61">
        <f t="shared" si="439"/>
        <v>0.23899999999999999</v>
      </c>
      <c r="AR69" s="57">
        <f t="shared" si="440"/>
        <v>0.502</v>
      </c>
      <c r="AS69" s="45"/>
      <c r="AT69" s="78">
        <v>1150.0619999999999</v>
      </c>
      <c r="AU69" s="77">
        <f t="shared" si="423"/>
        <v>0.4669999106657029</v>
      </c>
      <c r="AV69" s="78">
        <v>971.005</v>
      </c>
      <c r="AW69" s="77">
        <f t="shared" si="424"/>
        <v>0.60423459863098938</v>
      </c>
      <c r="AX69" s="78">
        <v>1121.4780000000001</v>
      </c>
      <c r="AY69" s="77">
        <f t="shared" si="441"/>
        <v>0.5784392407674851</v>
      </c>
      <c r="AZ69" s="45"/>
      <c r="BA69" s="75">
        <v>51358.995000000003</v>
      </c>
      <c r="BB69" s="77">
        <f t="shared" si="442"/>
        <v>0.73770491803278682</v>
      </c>
      <c r="BC69" s="45"/>
      <c r="BD69" s="105">
        <v>1229.972</v>
      </c>
      <c r="BE69" s="45">
        <v>0</v>
      </c>
      <c r="BF69" s="106">
        <v>0</v>
      </c>
      <c r="BG69" s="107">
        <f t="shared" si="443"/>
        <v>3.7729202453987733E-2</v>
      </c>
      <c r="BH69" s="108">
        <f t="shared" si="444"/>
        <v>0</v>
      </c>
      <c r="BI69" s="106">
        <v>0</v>
      </c>
      <c r="BJ69" s="106">
        <v>0</v>
      </c>
      <c r="BK69" s="106">
        <v>0</v>
      </c>
      <c r="BL69" s="106">
        <v>1544.55</v>
      </c>
      <c r="BM69" s="107">
        <f t="shared" si="445"/>
        <v>0.11459786318444873</v>
      </c>
      <c r="BN69" s="108">
        <f t="shared" si="446"/>
        <v>0</v>
      </c>
      <c r="BO69" s="45">
        <v>7525.3788426200008</v>
      </c>
      <c r="BP69" s="45">
        <v>0</v>
      </c>
      <c r="BQ69" s="45"/>
      <c r="BR69" s="109">
        <v>-700</v>
      </c>
      <c r="BS69" s="45">
        <f t="shared" si="447"/>
        <v>0</v>
      </c>
      <c r="BT69" s="45">
        <v>4485</v>
      </c>
      <c r="BU69" s="45">
        <f t="shared" si="447"/>
        <v>4485</v>
      </c>
      <c r="BV69" s="45">
        <v>0</v>
      </c>
      <c r="BW69" s="45">
        <f t="shared" ref="BW69:BY69" si="466">IF(BV69&gt;0,BV69,0)</f>
        <v>0</v>
      </c>
      <c r="BX69" s="45">
        <v>-5000</v>
      </c>
      <c r="BY69" s="45">
        <f t="shared" si="466"/>
        <v>0</v>
      </c>
      <c r="BZ69" s="45">
        <v>3800</v>
      </c>
      <c r="CA69" s="45">
        <f t="shared" ref="CA69:CC69" si="467">IF(BZ69&gt;0,BZ69,0)</f>
        <v>3800</v>
      </c>
      <c r="CB69" s="45">
        <v>-4000</v>
      </c>
      <c r="CC69" s="45">
        <f t="shared" si="467"/>
        <v>0</v>
      </c>
      <c r="CD69" s="45">
        <v>4800</v>
      </c>
      <c r="CE69" s="45">
        <f t="shared" ref="CE69:CG69" si="468">IF(CD69&gt;0,CD69,0)</f>
        <v>4800</v>
      </c>
      <c r="CF69" s="45">
        <v>4860.1496099799997</v>
      </c>
      <c r="CG69" s="45">
        <f t="shared" si="468"/>
        <v>4860.1496099799997</v>
      </c>
      <c r="CH69" s="107">
        <f t="shared" si="451"/>
        <v>17945.149609979999</v>
      </c>
      <c r="CI69" s="45"/>
      <c r="CJ69" s="109">
        <v>-700</v>
      </c>
      <c r="CK69" s="45">
        <f t="shared" si="452"/>
        <v>700</v>
      </c>
      <c r="CL69" s="45">
        <v>4485</v>
      </c>
      <c r="CM69" s="45">
        <f t="shared" si="452"/>
        <v>0</v>
      </c>
      <c r="CN69" s="45">
        <v>0</v>
      </c>
      <c r="CO69" s="45">
        <f t="shared" ref="CO69:CQ69" si="469">IF(CN69&lt;0,-CN69,0)</f>
        <v>0</v>
      </c>
      <c r="CP69" s="45">
        <v>-5000</v>
      </c>
      <c r="CQ69" s="45">
        <f t="shared" si="469"/>
        <v>5000</v>
      </c>
      <c r="CR69" s="45">
        <v>3800</v>
      </c>
      <c r="CS69" s="45">
        <f t="shared" ref="CS69:CU69" si="470">IF(CR69&lt;0,-CR69,0)</f>
        <v>0</v>
      </c>
      <c r="CT69" s="45">
        <v>-4000</v>
      </c>
      <c r="CU69" s="45">
        <f t="shared" si="470"/>
        <v>4000</v>
      </c>
      <c r="CV69" s="45">
        <v>4800</v>
      </c>
      <c r="CW69" s="45">
        <f t="shared" ref="CW69:CY69" si="471">IF(CV69&lt;0,-CV69,0)</f>
        <v>0</v>
      </c>
      <c r="CX69" s="45">
        <v>4860.1496099799997</v>
      </c>
      <c r="CY69" s="45">
        <f t="shared" si="471"/>
        <v>0</v>
      </c>
      <c r="CZ69" s="107">
        <f t="shared" si="456"/>
        <v>9700</v>
      </c>
      <c r="DA69" s="45"/>
      <c r="DB69" s="110">
        <v>43829.343999999997</v>
      </c>
      <c r="DC69" s="57">
        <v>2318.3209999999999</v>
      </c>
      <c r="DD69" s="61">
        <v>1590.4000349846001</v>
      </c>
      <c r="DE69" s="61">
        <f t="shared" si="457"/>
        <v>47738.065034984596</v>
      </c>
      <c r="DF69" s="110">
        <v>10391.522000000001</v>
      </c>
      <c r="DG69" s="110">
        <v>73190.410999999993</v>
      </c>
      <c r="DH69" s="57">
        <v>6073</v>
      </c>
      <c r="DI69" s="107">
        <f t="shared" si="458"/>
        <v>79263.410999999993</v>
      </c>
      <c r="DJ69" s="45"/>
      <c r="DK69" s="110">
        <v>794.15200000000004</v>
      </c>
      <c r="DL69" s="57">
        <v>10555.905846475949</v>
      </c>
      <c r="DM69" s="57">
        <f t="shared" si="459"/>
        <v>11350.057846475949</v>
      </c>
      <c r="DN69" s="61">
        <v>1622.0424233861261</v>
      </c>
      <c r="DO69" s="61">
        <v>2932.5560997657399</v>
      </c>
      <c r="DP69" s="61">
        <v>0</v>
      </c>
      <c r="DQ69" s="57">
        <f t="shared" si="460"/>
        <v>2932.5560997657399</v>
      </c>
      <c r="DR69" s="57">
        <v>162.91978332031891</v>
      </c>
      <c r="DS69" s="57">
        <v>162.91978332031891</v>
      </c>
      <c r="DT69" s="5"/>
      <c r="DU69" s="73">
        <v>0</v>
      </c>
      <c r="DV69" s="156">
        <v>1262.97413405</v>
      </c>
      <c r="DW69" s="155">
        <v>316.37302765999999</v>
      </c>
      <c r="DX69" s="155">
        <v>0</v>
      </c>
      <c r="DY69" s="73">
        <v>0</v>
      </c>
      <c r="DZ69" s="156">
        <v>902.91521667999996</v>
      </c>
      <c r="EA69" s="73">
        <v>483.84553376999997</v>
      </c>
      <c r="EB69" s="156">
        <v>0</v>
      </c>
      <c r="EC69" s="73">
        <v>0</v>
      </c>
      <c r="ED69" s="156">
        <v>847.5</v>
      </c>
      <c r="EE69" s="73">
        <v>0</v>
      </c>
      <c r="EF69" s="156">
        <v>5053.2693830099997</v>
      </c>
      <c r="EG69" s="73">
        <v>0</v>
      </c>
      <c r="EH69" s="156">
        <v>1262.97413405</v>
      </c>
      <c r="EI69" s="159">
        <v>902.91521667999996</v>
      </c>
      <c r="EJ69" s="162">
        <v>847.5</v>
      </c>
      <c r="EK69" s="165">
        <v>735.83500000000004</v>
      </c>
      <c r="EL69" s="159">
        <v>0</v>
      </c>
      <c r="EM69" s="159">
        <f t="shared" si="461"/>
        <v>6217.1424106699997</v>
      </c>
      <c r="EN69" s="159">
        <f t="shared" si="462"/>
        <v>483.84553376999997</v>
      </c>
      <c r="EP69" s="2">
        <v>21465.134099999999</v>
      </c>
      <c r="EQ69" s="5">
        <f t="shared" si="463"/>
        <v>0.87399999999999989</v>
      </c>
    </row>
    <row r="70" spans="13:147" x14ac:dyDescent="0.35">
      <c r="M70" s="5"/>
      <c r="N70" s="66">
        <f t="shared" si="464"/>
        <v>68</v>
      </c>
      <c r="O70" s="78">
        <v>0</v>
      </c>
      <c r="P70" s="77">
        <f t="shared" si="431"/>
        <v>0</v>
      </c>
      <c r="Q70" s="104">
        <v>0</v>
      </c>
      <c r="R70" s="77">
        <f t="shared" si="432"/>
        <v>0</v>
      </c>
      <c r="S70" s="104">
        <v>0</v>
      </c>
      <c r="T70" s="77">
        <f t="shared" si="433"/>
        <v>0</v>
      </c>
      <c r="U70" s="104">
        <v>0</v>
      </c>
      <c r="V70" s="77">
        <f t="shared" si="419"/>
        <v>0</v>
      </c>
      <c r="W70" s="104">
        <v>0</v>
      </c>
      <c r="X70" s="77">
        <f t="shared" si="420"/>
        <v>0</v>
      </c>
      <c r="Y70" s="104">
        <v>0</v>
      </c>
      <c r="Z70" s="77">
        <f t="shared" si="434"/>
        <v>0</v>
      </c>
      <c r="AA70" s="104">
        <v>0</v>
      </c>
      <c r="AB70" s="77">
        <f t="shared" si="435"/>
        <v>0</v>
      </c>
      <c r="AC70" s="5"/>
      <c r="AD70" s="66">
        <f t="shared" si="465"/>
        <v>68</v>
      </c>
      <c r="AE70" s="78">
        <v>2936.9933999999998</v>
      </c>
      <c r="AF70" s="104">
        <v>312.8</v>
      </c>
      <c r="AG70" s="78">
        <v>68</v>
      </c>
      <c r="AH70" s="61">
        <f t="shared" si="436"/>
        <v>3.2999999999999995E-2</v>
      </c>
      <c r="AI70" s="61">
        <f t="shared" si="437"/>
        <v>0.13600000000000001</v>
      </c>
      <c r="AJ70" s="61">
        <f t="shared" si="438"/>
        <v>0.13600000000000001</v>
      </c>
      <c r="AK70" s="77">
        <v>85.272000000000006</v>
      </c>
      <c r="AL70" s="104">
        <v>989.70600000000002</v>
      </c>
      <c r="AM70" s="61">
        <f t="shared" si="421"/>
        <v>0.13200000000000001</v>
      </c>
      <c r="AN70" s="57">
        <f t="shared" si="422"/>
        <v>8.4999999999999992E-2</v>
      </c>
      <c r="AO70" s="78">
        <v>9990.4</v>
      </c>
      <c r="AP70" s="104">
        <v>11549.7</v>
      </c>
      <c r="AQ70" s="61">
        <f t="shared" si="439"/>
        <v>0.224</v>
      </c>
      <c r="AR70" s="57">
        <f t="shared" si="440"/>
        <v>0.49200000000000005</v>
      </c>
      <c r="AS70" s="45"/>
      <c r="AT70" s="78">
        <v>1164.838</v>
      </c>
      <c r="AU70" s="77">
        <f t="shared" si="423"/>
        <v>0.47299992690830239</v>
      </c>
      <c r="AV70" s="78">
        <v>969.59500000000003</v>
      </c>
      <c r="AW70" s="77">
        <f t="shared" si="424"/>
        <v>0.60335718730553833</v>
      </c>
      <c r="AX70" s="78">
        <v>1121.4780000000001</v>
      </c>
      <c r="AY70" s="77">
        <f t="shared" si="441"/>
        <v>0.5784392407674851</v>
      </c>
      <c r="AZ70" s="45"/>
      <c r="BA70" s="75">
        <v>51358.995000000003</v>
      </c>
      <c r="BB70" s="77">
        <f t="shared" si="442"/>
        <v>0.73770491803278682</v>
      </c>
      <c r="BC70" s="45"/>
      <c r="BD70" s="105">
        <v>1255.2819999999999</v>
      </c>
      <c r="BE70" s="45">
        <v>0</v>
      </c>
      <c r="BF70" s="106">
        <v>0</v>
      </c>
      <c r="BG70" s="107">
        <f t="shared" si="443"/>
        <v>3.8505582822085889E-2</v>
      </c>
      <c r="BH70" s="108">
        <f t="shared" si="444"/>
        <v>0</v>
      </c>
      <c r="BI70" s="106">
        <v>0</v>
      </c>
      <c r="BJ70" s="106">
        <v>0</v>
      </c>
      <c r="BK70" s="106">
        <v>0</v>
      </c>
      <c r="BL70" s="106">
        <v>1638.6089999999999</v>
      </c>
      <c r="BM70" s="107">
        <f t="shared" si="445"/>
        <v>0.12157656922392046</v>
      </c>
      <c r="BN70" s="108">
        <f t="shared" si="446"/>
        <v>0</v>
      </c>
      <c r="BO70" s="45">
        <v>7668</v>
      </c>
      <c r="BP70" s="45">
        <v>66.009875670000014</v>
      </c>
      <c r="BQ70" s="45"/>
      <c r="BR70" s="109">
        <v>-700</v>
      </c>
      <c r="BS70" s="45">
        <f t="shared" si="447"/>
        <v>0</v>
      </c>
      <c r="BT70" s="45">
        <v>4485</v>
      </c>
      <c r="BU70" s="45">
        <f t="shared" si="447"/>
        <v>4485</v>
      </c>
      <c r="BV70" s="45">
        <v>0</v>
      </c>
      <c r="BW70" s="45">
        <f t="shared" ref="BW70:BY70" si="472">IF(BV70&gt;0,BV70,0)</f>
        <v>0</v>
      </c>
      <c r="BX70" s="45">
        <v>-5000</v>
      </c>
      <c r="BY70" s="45">
        <f t="shared" si="472"/>
        <v>0</v>
      </c>
      <c r="BZ70" s="45">
        <v>3800</v>
      </c>
      <c r="CA70" s="45">
        <f t="shared" ref="CA70:CC70" si="473">IF(BZ70&gt;0,BZ70,0)</f>
        <v>3800</v>
      </c>
      <c r="CB70" s="45">
        <v>-4000</v>
      </c>
      <c r="CC70" s="45">
        <f t="shared" si="473"/>
        <v>0</v>
      </c>
      <c r="CD70" s="45">
        <v>4800</v>
      </c>
      <c r="CE70" s="45">
        <f t="shared" ref="CE70:CG70" si="474">IF(CD70&gt;0,CD70,0)</f>
        <v>4800</v>
      </c>
      <c r="CF70" s="45">
        <v>4606.77648881</v>
      </c>
      <c r="CG70" s="45">
        <f t="shared" si="474"/>
        <v>4606.77648881</v>
      </c>
      <c r="CH70" s="107">
        <f t="shared" si="451"/>
        <v>17691.776488809999</v>
      </c>
      <c r="CI70" s="45"/>
      <c r="CJ70" s="109">
        <v>-700</v>
      </c>
      <c r="CK70" s="45">
        <f t="shared" si="452"/>
        <v>700</v>
      </c>
      <c r="CL70" s="45">
        <v>4485</v>
      </c>
      <c r="CM70" s="45">
        <f t="shared" si="452"/>
        <v>0</v>
      </c>
      <c r="CN70" s="45">
        <v>0</v>
      </c>
      <c r="CO70" s="45">
        <f t="shared" ref="CO70:CQ70" si="475">IF(CN70&lt;0,-CN70,0)</f>
        <v>0</v>
      </c>
      <c r="CP70" s="45">
        <v>-5000</v>
      </c>
      <c r="CQ70" s="45">
        <f t="shared" si="475"/>
        <v>5000</v>
      </c>
      <c r="CR70" s="45">
        <v>3800</v>
      </c>
      <c r="CS70" s="45">
        <f t="shared" ref="CS70:CU70" si="476">IF(CR70&lt;0,-CR70,0)</f>
        <v>0</v>
      </c>
      <c r="CT70" s="45">
        <v>-4000</v>
      </c>
      <c r="CU70" s="45">
        <f t="shared" si="476"/>
        <v>4000</v>
      </c>
      <c r="CV70" s="45">
        <v>4800</v>
      </c>
      <c r="CW70" s="45">
        <f t="shared" ref="CW70:CY70" si="477">IF(CV70&lt;0,-CV70,0)</f>
        <v>0</v>
      </c>
      <c r="CX70" s="45">
        <v>4606.77648881</v>
      </c>
      <c r="CY70" s="45">
        <f t="shared" si="477"/>
        <v>0</v>
      </c>
      <c r="CZ70" s="107">
        <f t="shared" si="456"/>
        <v>9700</v>
      </c>
      <c r="DA70" s="45"/>
      <c r="DB70" s="110">
        <v>43425.197</v>
      </c>
      <c r="DC70" s="57">
        <v>2319.8420000000001</v>
      </c>
      <c r="DD70" s="61">
        <v>1741.9059094183999</v>
      </c>
      <c r="DE70" s="61">
        <f t="shared" si="457"/>
        <v>47486.944909418395</v>
      </c>
      <c r="DF70" s="110">
        <v>10445.103999999999</v>
      </c>
      <c r="DG70" s="110">
        <v>72036.410999999993</v>
      </c>
      <c r="DH70" s="57">
        <v>5707</v>
      </c>
      <c r="DI70" s="107">
        <f t="shared" si="458"/>
        <v>77743.410999999993</v>
      </c>
      <c r="DJ70" s="45"/>
      <c r="DK70" s="110">
        <v>785.529</v>
      </c>
      <c r="DL70" s="57">
        <v>10540.1958456256</v>
      </c>
      <c r="DM70" s="57">
        <f t="shared" si="459"/>
        <v>11325.7248456256</v>
      </c>
      <c r="DN70" s="61">
        <v>1467.3743026331269</v>
      </c>
      <c r="DO70" s="61">
        <v>2924.2782253404971</v>
      </c>
      <c r="DP70" s="61">
        <v>0</v>
      </c>
      <c r="DQ70" s="57">
        <f t="shared" si="460"/>
        <v>2924.2782253404971</v>
      </c>
      <c r="DR70" s="57">
        <v>162.4599014078054</v>
      </c>
      <c r="DS70" s="57">
        <v>162.4599014078054</v>
      </c>
      <c r="DT70" s="5"/>
      <c r="DU70" s="73">
        <v>0</v>
      </c>
      <c r="DV70" s="156">
        <v>285.00377354</v>
      </c>
      <c r="DW70" s="155">
        <v>64.793027660000007</v>
      </c>
      <c r="DX70" s="155">
        <v>0</v>
      </c>
      <c r="DY70" s="73">
        <v>0</v>
      </c>
      <c r="DZ70" s="156">
        <v>969.38497426000004</v>
      </c>
      <c r="EA70" s="73">
        <v>171.63686247000001</v>
      </c>
      <c r="EB70" s="156">
        <v>0</v>
      </c>
      <c r="EC70" s="73">
        <v>0</v>
      </c>
      <c r="ED70" s="156">
        <v>847.5</v>
      </c>
      <c r="EE70" s="73">
        <v>0</v>
      </c>
      <c r="EF70" s="156">
        <v>4165.5693830099999</v>
      </c>
      <c r="EG70" s="73">
        <v>0</v>
      </c>
      <c r="EH70" s="156">
        <v>285.00377354</v>
      </c>
      <c r="EI70" s="159">
        <v>969.38497426000004</v>
      </c>
      <c r="EJ70" s="162">
        <v>847.5</v>
      </c>
      <c r="EK70" s="165">
        <v>735.83500000000004</v>
      </c>
      <c r="EL70" s="159">
        <v>0</v>
      </c>
      <c r="EM70" s="159">
        <f t="shared" si="461"/>
        <v>5077.8624106699999</v>
      </c>
      <c r="EN70" s="159">
        <f t="shared" si="462"/>
        <v>171.63686247000001</v>
      </c>
      <c r="EP70" s="2">
        <v>21465.134099999999</v>
      </c>
      <c r="EQ70" s="5">
        <f t="shared" si="463"/>
        <v>0.87399999999999989</v>
      </c>
    </row>
    <row r="71" spans="13:147" x14ac:dyDescent="0.35">
      <c r="M71" s="5"/>
      <c r="N71" s="66">
        <f t="shared" si="464"/>
        <v>69</v>
      </c>
      <c r="O71" s="78">
        <v>0</v>
      </c>
      <c r="P71" s="77">
        <f t="shared" si="431"/>
        <v>0</v>
      </c>
      <c r="Q71" s="104">
        <v>0</v>
      </c>
      <c r="R71" s="77">
        <f t="shared" si="432"/>
        <v>0</v>
      </c>
      <c r="S71" s="104">
        <v>0</v>
      </c>
      <c r="T71" s="77">
        <f t="shared" si="433"/>
        <v>0</v>
      </c>
      <c r="U71" s="104">
        <v>0</v>
      </c>
      <c r="V71" s="77">
        <f t="shared" si="419"/>
        <v>0</v>
      </c>
      <c r="W71" s="104">
        <v>0</v>
      </c>
      <c r="X71" s="77">
        <f t="shared" si="420"/>
        <v>0</v>
      </c>
      <c r="Y71" s="104">
        <v>0</v>
      </c>
      <c r="Z71" s="77">
        <f t="shared" si="434"/>
        <v>0</v>
      </c>
      <c r="AA71" s="104">
        <v>0</v>
      </c>
      <c r="AB71" s="77">
        <f t="shared" si="435"/>
        <v>0</v>
      </c>
      <c r="AC71" s="5"/>
      <c r="AD71" s="66">
        <f t="shared" si="465"/>
        <v>69</v>
      </c>
      <c r="AE71" s="78">
        <v>1957.9956</v>
      </c>
      <c r="AF71" s="104">
        <v>349.6</v>
      </c>
      <c r="AG71" s="78">
        <v>76</v>
      </c>
      <c r="AH71" s="61">
        <f t="shared" si="436"/>
        <v>2.1999999999999999E-2</v>
      </c>
      <c r="AI71" s="61">
        <f t="shared" si="437"/>
        <v>0.152</v>
      </c>
      <c r="AJ71" s="61">
        <f t="shared" si="438"/>
        <v>0.152</v>
      </c>
      <c r="AK71" s="77">
        <v>85.918000000000006</v>
      </c>
      <c r="AL71" s="104">
        <v>861.62639999999999</v>
      </c>
      <c r="AM71" s="61">
        <f t="shared" si="421"/>
        <v>0.13300000000000001</v>
      </c>
      <c r="AN71" s="57">
        <f t="shared" si="422"/>
        <v>7.3999999999999996E-2</v>
      </c>
      <c r="AO71" s="78">
        <v>9633.6</v>
      </c>
      <c r="AP71" s="104">
        <v>11526.225</v>
      </c>
      <c r="AQ71" s="61">
        <f t="shared" si="439"/>
        <v>0.216</v>
      </c>
      <c r="AR71" s="57">
        <f t="shared" si="440"/>
        <v>0.49099999999999999</v>
      </c>
      <c r="AS71" s="45"/>
      <c r="AT71" s="78">
        <v>1137.749</v>
      </c>
      <c r="AU71" s="77">
        <f t="shared" si="423"/>
        <v>0.46200003248519894</v>
      </c>
      <c r="AV71" s="78">
        <v>968.63599999999997</v>
      </c>
      <c r="AW71" s="77">
        <f t="shared" si="424"/>
        <v>0.60276042314872436</v>
      </c>
      <c r="AX71" s="78">
        <v>1121.4780000000001</v>
      </c>
      <c r="AY71" s="77">
        <f t="shared" si="441"/>
        <v>0.5784392407674851</v>
      </c>
      <c r="AZ71" s="45"/>
      <c r="BA71" s="75">
        <v>51358.995000000003</v>
      </c>
      <c r="BB71" s="77">
        <f t="shared" si="442"/>
        <v>0.73770491803278682</v>
      </c>
      <c r="BC71" s="45"/>
      <c r="BD71" s="105">
        <v>826.98400000000004</v>
      </c>
      <c r="BE71" s="45">
        <v>0</v>
      </c>
      <c r="BF71" s="106">
        <v>0</v>
      </c>
      <c r="BG71" s="107">
        <f t="shared" si="443"/>
        <v>2.5367607361963192E-2</v>
      </c>
      <c r="BH71" s="108">
        <f t="shared" si="444"/>
        <v>0</v>
      </c>
      <c r="BI71" s="106">
        <v>0</v>
      </c>
      <c r="BJ71" s="106">
        <v>0</v>
      </c>
      <c r="BK71" s="106">
        <v>0</v>
      </c>
      <c r="BL71" s="106">
        <v>1644.817</v>
      </c>
      <c r="BM71" s="107">
        <f t="shared" si="445"/>
        <v>0.12203717168719394</v>
      </c>
      <c r="BN71" s="108">
        <f t="shared" si="446"/>
        <v>0</v>
      </c>
      <c r="BO71" s="45">
        <v>7668</v>
      </c>
      <c r="BP71" s="45">
        <v>649.83731149999994</v>
      </c>
      <c r="BQ71" s="45"/>
      <c r="BR71" s="109">
        <v>-700</v>
      </c>
      <c r="BS71" s="45">
        <f t="shared" si="447"/>
        <v>0</v>
      </c>
      <c r="BT71" s="45">
        <v>4485</v>
      </c>
      <c r="BU71" s="45">
        <f t="shared" si="447"/>
        <v>4485</v>
      </c>
      <c r="BV71" s="45">
        <v>0</v>
      </c>
      <c r="BW71" s="45">
        <f t="shared" ref="BW71:BY71" si="478">IF(BV71&gt;0,BV71,0)</f>
        <v>0</v>
      </c>
      <c r="BX71" s="45">
        <v>-5000</v>
      </c>
      <c r="BY71" s="45">
        <f t="shared" si="478"/>
        <v>0</v>
      </c>
      <c r="BZ71" s="45">
        <v>3800</v>
      </c>
      <c r="CA71" s="45">
        <f t="shared" ref="CA71:CC71" si="479">IF(BZ71&gt;0,BZ71,0)</f>
        <v>3800</v>
      </c>
      <c r="CB71" s="45">
        <v>-4000</v>
      </c>
      <c r="CC71" s="45">
        <f t="shared" si="479"/>
        <v>0</v>
      </c>
      <c r="CD71" s="45">
        <v>4800</v>
      </c>
      <c r="CE71" s="45">
        <f t="shared" ref="CE71:CG71" si="480">IF(CD71&gt;0,CD71,0)</f>
        <v>4800</v>
      </c>
      <c r="CF71" s="45">
        <v>4787.3901767400002</v>
      </c>
      <c r="CG71" s="45">
        <f t="shared" si="480"/>
        <v>4787.3901767400002</v>
      </c>
      <c r="CH71" s="107">
        <f t="shared" si="451"/>
        <v>17872.390176740002</v>
      </c>
      <c r="CI71" s="45"/>
      <c r="CJ71" s="109">
        <v>-700</v>
      </c>
      <c r="CK71" s="45">
        <f t="shared" si="452"/>
        <v>700</v>
      </c>
      <c r="CL71" s="45">
        <v>4485</v>
      </c>
      <c r="CM71" s="45">
        <f t="shared" si="452"/>
        <v>0</v>
      </c>
      <c r="CN71" s="45">
        <v>0</v>
      </c>
      <c r="CO71" s="45">
        <f t="shared" ref="CO71:CQ71" si="481">IF(CN71&lt;0,-CN71,0)</f>
        <v>0</v>
      </c>
      <c r="CP71" s="45">
        <v>-5000</v>
      </c>
      <c r="CQ71" s="45">
        <f t="shared" si="481"/>
        <v>5000</v>
      </c>
      <c r="CR71" s="45">
        <v>3800</v>
      </c>
      <c r="CS71" s="45">
        <f t="shared" ref="CS71:CU71" si="482">IF(CR71&lt;0,-CR71,0)</f>
        <v>0</v>
      </c>
      <c r="CT71" s="45">
        <v>-4000</v>
      </c>
      <c r="CU71" s="45">
        <f t="shared" si="482"/>
        <v>4000</v>
      </c>
      <c r="CV71" s="45">
        <v>4800</v>
      </c>
      <c r="CW71" s="45">
        <f t="shared" ref="CW71:CY71" si="483">IF(CV71&lt;0,-CV71,0)</f>
        <v>0</v>
      </c>
      <c r="CX71" s="45">
        <v>4787.3901767400002</v>
      </c>
      <c r="CY71" s="45">
        <f t="shared" si="483"/>
        <v>0</v>
      </c>
      <c r="CZ71" s="107">
        <f t="shared" si="456"/>
        <v>9700</v>
      </c>
      <c r="DA71" s="45"/>
      <c r="DB71" s="110">
        <v>41835.870999999999</v>
      </c>
      <c r="DC71" s="57">
        <v>2320.1529999999998</v>
      </c>
      <c r="DD71" s="61">
        <v>1744.6248222501999</v>
      </c>
      <c r="DE71" s="61">
        <f t="shared" si="457"/>
        <v>45900.648822250194</v>
      </c>
      <c r="DF71" s="110">
        <v>10074.316999999999</v>
      </c>
      <c r="DG71" s="110">
        <v>67673.410999999993</v>
      </c>
      <c r="DH71" s="57">
        <v>5772</v>
      </c>
      <c r="DI71" s="107">
        <f t="shared" si="458"/>
        <v>73445.410999999993</v>
      </c>
      <c r="DJ71" s="45"/>
      <c r="DK71" s="110">
        <v>773.23599999999999</v>
      </c>
      <c r="DL71" s="57">
        <v>10524.485844775239</v>
      </c>
      <c r="DM71" s="57">
        <f t="shared" si="459"/>
        <v>11297.72184477524</v>
      </c>
      <c r="DN71" s="61">
        <v>1364.2622221311269</v>
      </c>
      <c r="DO71" s="61">
        <v>2916.0003509152548</v>
      </c>
      <c r="DP71" s="61">
        <v>0</v>
      </c>
      <c r="DQ71" s="57">
        <f t="shared" si="460"/>
        <v>2916.0003509152548</v>
      </c>
      <c r="DR71" s="57">
        <v>162.00001949529189</v>
      </c>
      <c r="DS71" s="57">
        <v>162.00001949529189</v>
      </c>
      <c r="DT71" s="5"/>
      <c r="DU71" s="73">
        <v>175.14902681000001</v>
      </c>
      <c r="DV71" s="156">
        <v>0</v>
      </c>
      <c r="DW71" s="155">
        <v>316.37302765999999</v>
      </c>
      <c r="DX71" s="155">
        <v>0</v>
      </c>
      <c r="DY71" s="73">
        <v>0</v>
      </c>
      <c r="DZ71" s="156">
        <v>1553.672292</v>
      </c>
      <c r="EA71" s="73">
        <v>0</v>
      </c>
      <c r="EB71" s="156">
        <v>0</v>
      </c>
      <c r="EC71" s="73">
        <v>0</v>
      </c>
      <c r="ED71" s="156">
        <v>847.5</v>
      </c>
      <c r="EE71" s="73">
        <v>0</v>
      </c>
      <c r="EF71" s="156">
        <v>3290.4775946200002</v>
      </c>
      <c r="EG71" s="73">
        <v>175.14902681000001</v>
      </c>
      <c r="EH71" s="156">
        <v>0</v>
      </c>
      <c r="EI71" s="159">
        <v>1553.672292</v>
      </c>
      <c r="EJ71" s="162">
        <v>847.5</v>
      </c>
      <c r="EK71" s="165">
        <v>735.83500000000004</v>
      </c>
      <c r="EL71" s="159">
        <v>0</v>
      </c>
      <c r="EM71" s="159">
        <f t="shared" si="461"/>
        <v>4454.3506222800006</v>
      </c>
      <c r="EN71" s="159">
        <f t="shared" si="462"/>
        <v>0</v>
      </c>
      <c r="EP71" s="2">
        <v>21465.134099999999</v>
      </c>
      <c r="EQ71" s="5">
        <f t="shared" si="463"/>
        <v>0.87399999999999989</v>
      </c>
    </row>
    <row r="72" spans="13:147" x14ac:dyDescent="0.35">
      <c r="M72" s="5"/>
      <c r="N72" s="66">
        <f t="shared" si="464"/>
        <v>70</v>
      </c>
      <c r="O72" s="78">
        <v>0</v>
      </c>
      <c r="P72" s="77">
        <f t="shared" si="431"/>
        <v>0</v>
      </c>
      <c r="Q72" s="104">
        <v>0</v>
      </c>
      <c r="R72" s="77">
        <f t="shared" si="432"/>
        <v>0</v>
      </c>
      <c r="S72" s="104">
        <v>0</v>
      </c>
      <c r="T72" s="77">
        <f t="shared" si="433"/>
        <v>0</v>
      </c>
      <c r="U72" s="104">
        <v>0</v>
      </c>
      <c r="V72" s="77">
        <f t="shared" si="419"/>
        <v>0</v>
      </c>
      <c r="W72" s="104">
        <v>0</v>
      </c>
      <c r="X72" s="77">
        <f t="shared" si="420"/>
        <v>0</v>
      </c>
      <c r="Y72" s="104">
        <v>0</v>
      </c>
      <c r="Z72" s="77">
        <f t="shared" si="434"/>
        <v>0</v>
      </c>
      <c r="AA72" s="104">
        <v>0</v>
      </c>
      <c r="AB72" s="77">
        <f t="shared" si="435"/>
        <v>0</v>
      </c>
      <c r="AC72" s="5"/>
      <c r="AD72" s="66">
        <f t="shared" si="465"/>
        <v>70</v>
      </c>
      <c r="AE72" s="78">
        <v>1512.9965999999999</v>
      </c>
      <c r="AF72" s="104">
        <v>397.9</v>
      </c>
      <c r="AG72" s="78">
        <v>86.5</v>
      </c>
      <c r="AH72" s="61">
        <f t="shared" si="436"/>
        <v>1.6999999999999998E-2</v>
      </c>
      <c r="AI72" s="61">
        <f t="shared" si="437"/>
        <v>0.17299999999999999</v>
      </c>
      <c r="AJ72" s="61">
        <f t="shared" si="438"/>
        <v>0.17299999999999999</v>
      </c>
      <c r="AK72" s="77">
        <v>80.75</v>
      </c>
      <c r="AL72" s="104">
        <v>733.54679999999996</v>
      </c>
      <c r="AM72" s="61">
        <f t="shared" si="421"/>
        <v>0.125</v>
      </c>
      <c r="AN72" s="57">
        <f t="shared" si="422"/>
        <v>6.3E-2</v>
      </c>
      <c r="AO72" s="78">
        <v>9321.4</v>
      </c>
      <c r="AP72" s="104">
        <v>11268</v>
      </c>
      <c r="AQ72" s="61">
        <f t="shared" si="439"/>
        <v>0.20899999999999999</v>
      </c>
      <c r="AR72" s="57">
        <f t="shared" si="440"/>
        <v>0.48</v>
      </c>
      <c r="AS72" s="45"/>
      <c r="AT72" s="78">
        <v>1142.674</v>
      </c>
      <c r="AU72" s="77">
        <f t="shared" si="423"/>
        <v>0.46399990254440321</v>
      </c>
      <c r="AV72" s="78">
        <v>956.91300000000001</v>
      </c>
      <c r="AW72" s="77">
        <f t="shared" si="424"/>
        <v>0.59546546359676411</v>
      </c>
      <c r="AX72" s="78">
        <v>1121.4780000000001</v>
      </c>
      <c r="AY72" s="77">
        <f t="shared" si="441"/>
        <v>0.5784392407674851</v>
      </c>
      <c r="AZ72" s="45"/>
      <c r="BA72" s="75">
        <v>51358.995000000003</v>
      </c>
      <c r="BB72" s="77">
        <f t="shared" si="442"/>
        <v>0.73770491803278682</v>
      </c>
      <c r="BC72" s="45"/>
      <c r="BD72" s="105">
        <v>664.49900000000002</v>
      </c>
      <c r="BE72" s="45">
        <v>0</v>
      </c>
      <c r="BF72" s="106">
        <v>0</v>
      </c>
      <c r="BG72" s="107">
        <f t="shared" si="443"/>
        <v>2.038340490797546E-2</v>
      </c>
      <c r="BH72" s="108">
        <f t="shared" si="444"/>
        <v>0</v>
      </c>
      <c r="BI72" s="106">
        <v>0</v>
      </c>
      <c r="BJ72" s="106">
        <v>0</v>
      </c>
      <c r="BK72" s="106">
        <v>0</v>
      </c>
      <c r="BL72" s="106">
        <v>1537.12</v>
      </c>
      <c r="BM72" s="107">
        <f t="shared" si="445"/>
        <v>0.11404659445021516</v>
      </c>
      <c r="BN72" s="108">
        <f t="shared" si="446"/>
        <v>0</v>
      </c>
      <c r="BO72" s="45">
        <v>7668</v>
      </c>
      <c r="BP72" s="45">
        <v>649.3774295799999</v>
      </c>
      <c r="BQ72" s="45"/>
      <c r="BR72" s="109">
        <v>-700</v>
      </c>
      <c r="BS72" s="45">
        <f t="shared" si="447"/>
        <v>0</v>
      </c>
      <c r="BT72" s="45">
        <v>4485</v>
      </c>
      <c r="BU72" s="45">
        <f t="shared" si="447"/>
        <v>4485</v>
      </c>
      <c r="BV72" s="45">
        <v>0</v>
      </c>
      <c r="BW72" s="45">
        <f t="shared" ref="BW72:BY72" si="484">IF(BV72&gt;0,BV72,0)</f>
        <v>0</v>
      </c>
      <c r="BX72" s="45">
        <v>-5000</v>
      </c>
      <c r="BY72" s="45">
        <f t="shared" si="484"/>
        <v>0</v>
      </c>
      <c r="BZ72" s="45">
        <v>3800</v>
      </c>
      <c r="CA72" s="45">
        <f t="shared" ref="CA72:CC72" si="485">IF(BZ72&gt;0,BZ72,0)</f>
        <v>3800</v>
      </c>
      <c r="CB72" s="45">
        <v>-4000</v>
      </c>
      <c r="CC72" s="45">
        <f t="shared" si="485"/>
        <v>0</v>
      </c>
      <c r="CD72" s="45">
        <v>4800</v>
      </c>
      <c r="CE72" s="45">
        <f t="shared" ref="CE72:CG72" si="486">IF(CD72&gt;0,CD72,0)</f>
        <v>4800</v>
      </c>
      <c r="CF72" s="45">
        <v>7088.93204668</v>
      </c>
      <c r="CG72" s="45">
        <f t="shared" si="486"/>
        <v>7088.93204668</v>
      </c>
      <c r="CH72" s="107">
        <f t="shared" si="451"/>
        <v>20173.932046679998</v>
      </c>
      <c r="CI72" s="45"/>
      <c r="CJ72" s="109">
        <v>-700</v>
      </c>
      <c r="CK72" s="45">
        <f t="shared" si="452"/>
        <v>700</v>
      </c>
      <c r="CL72" s="45">
        <v>4485</v>
      </c>
      <c r="CM72" s="45">
        <f t="shared" si="452"/>
        <v>0</v>
      </c>
      <c r="CN72" s="45">
        <v>0</v>
      </c>
      <c r="CO72" s="45">
        <f t="shared" ref="CO72:CQ72" si="487">IF(CN72&lt;0,-CN72,0)</f>
        <v>0</v>
      </c>
      <c r="CP72" s="45">
        <v>-5000</v>
      </c>
      <c r="CQ72" s="45">
        <f t="shared" si="487"/>
        <v>5000</v>
      </c>
      <c r="CR72" s="45">
        <v>3800</v>
      </c>
      <c r="CS72" s="45">
        <f t="shared" ref="CS72:CU72" si="488">IF(CR72&lt;0,-CR72,0)</f>
        <v>0</v>
      </c>
      <c r="CT72" s="45">
        <v>-4000</v>
      </c>
      <c r="CU72" s="45">
        <f t="shared" si="488"/>
        <v>4000</v>
      </c>
      <c r="CV72" s="45">
        <v>4800</v>
      </c>
      <c r="CW72" s="45">
        <f t="shared" ref="CW72:CY72" si="489">IF(CV72&lt;0,-CV72,0)</f>
        <v>0</v>
      </c>
      <c r="CX72" s="45">
        <v>7088.93204668</v>
      </c>
      <c r="CY72" s="45">
        <f t="shared" si="489"/>
        <v>0</v>
      </c>
      <c r="CZ72" s="107">
        <f t="shared" si="456"/>
        <v>9700</v>
      </c>
      <c r="DA72" s="45"/>
      <c r="DB72" s="110">
        <v>39266.557000000001</v>
      </c>
      <c r="DC72" s="57">
        <v>2320.4050000000002</v>
      </c>
      <c r="DD72" s="61">
        <v>1694.4395131905001</v>
      </c>
      <c r="DE72" s="61">
        <f t="shared" si="457"/>
        <v>43281.401513190496</v>
      </c>
      <c r="DF72" s="110">
        <v>9552.4509999999991</v>
      </c>
      <c r="DG72" s="110">
        <v>64652.411</v>
      </c>
      <c r="DH72" s="57">
        <v>5559</v>
      </c>
      <c r="DI72" s="107">
        <f t="shared" si="458"/>
        <v>70211.410999999993</v>
      </c>
      <c r="DJ72" s="45"/>
      <c r="DK72" s="110">
        <v>694.82399999999996</v>
      </c>
      <c r="DL72" s="57">
        <v>10508.77584392489</v>
      </c>
      <c r="DM72" s="57">
        <f t="shared" si="459"/>
        <v>11203.599843924891</v>
      </c>
      <c r="DN72" s="61">
        <v>1286.9281617546269</v>
      </c>
      <c r="DO72" s="61">
        <v>2907.722476490012</v>
      </c>
      <c r="DP72" s="61">
        <v>0</v>
      </c>
      <c r="DQ72" s="57">
        <f t="shared" si="460"/>
        <v>2907.722476490012</v>
      </c>
      <c r="DR72" s="57">
        <v>161.54013758277841</v>
      </c>
      <c r="DS72" s="57">
        <v>161.54013758277841</v>
      </c>
      <c r="DT72" s="5"/>
      <c r="DU72" s="73">
        <v>1219.5891448899999</v>
      </c>
      <c r="DV72" s="156">
        <v>0</v>
      </c>
      <c r="DW72" s="155">
        <v>167.91078400000001</v>
      </c>
      <c r="DX72" s="155">
        <v>0</v>
      </c>
      <c r="DY72" s="73">
        <v>0</v>
      </c>
      <c r="DZ72" s="156">
        <v>1553.672292</v>
      </c>
      <c r="EA72" s="73">
        <v>0</v>
      </c>
      <c r="EB72" s="156">
        <v>0</v>
      </c>
      <c r="EC72" s="73">
        <v>0</v>
      </c>
      <c r="ED72" s="156">
        <v>847.5</v>
      </c>
      <c r="EE72" s="73">
        <v>0</v>
      </c>
      <c r="EF72" s="156">
        <v>2402.7775946199999</v>
      </c>
      <c r="EG72" s="73">
        <v>1219.5891448899999</v>
      </c>
      <c r="EH72" s="156">
        <v>0</v>
      </c>
      <c r="EI72" s="159">
        <v>1553.672292</v>
      </c>
      <c r="EJ72" s="162">
        <v>847.5</v>
      </c>
      <c r="EK72" s="165">
        <v>735.83500000000004</v>
      </c>
      <c r="EL72" s="159">
        <v>0</v>
      </c>
      <c r="EM72" s="159">
        <f t="shared" si="461"/>
        <v>3418.1883786200001</v>
      </c>
      <c r="EN72" s="159">
        <f t="shared" si="462"/>
        <v>0</v>
      </c>
      <c r="EP72" s="2">
        <v>21465.134099999999</v>
      </c>
      <c r="EQ72" s="5">
        <f t="shared" si="463"/>
        <v>0.87399999999999989</v>
      </c>
    </row>
    <row r="73" spans="13:147" x14ac:dyDescent="0.35">
      <c r="M73" s="5"/>
      <c r="N73" s="66">
        <f t="shared" si="464"/>
        <v>71</v>
      </c>
      <c r="O73" s="78">
        <v>0</v>
      </c>
      <c r="P73" s="77">
        <f t="shared" si="431"/>
        <v>0</v>
      </c>
      <c r="Q73" s="104">
        <v>0</v>
      </c>
      <c r="R73" s="77">
        <f t="shared" si="432"/>
        <v>0</v>
      </c>
      <c r="S73" s="104">
        <v>0</v>
      </c>
      <c r="T73" s="77">
        <f t="shared" si="433"/>
        <v>0</v>
      </c>
      <c r="U73" s="104">
        <v>0</v>
      </c>
      <c r="V73" s="77">
        <f t="shared" si="419"/>
        <v>0</v>
      </c>
      <c r="W73" s="104">
        <v>0</v>
      </c>
      <c r="X73" s="77">
        <f t="shared" si="420"/>
        <v>0</v>
      </c>
      <c r="Y73" s="104">
        <v>0</v>
      </c>
      <c r="Z73" s="77">
        <f t="shared" si="434"/>
        <v>0</v>
      </c>
      <c r="AA73" s="104">
        <v>0</v>
      </c>
      <c r="AB73" s="77">
        <f t="shared" si="435"/>
        <v>0</v>
      </c>
      <c r="AC73" s="5"/>
      <c r="AD73" s="66">
        <f t="shared" si="465"/>
        <v>71</v>
      </c>
      <c r="AE73" s="78">
        <v>1690.9962</v>
      </c>
      <c r="AF73" s="104">
        <v>466.9</v>
      </c>
      <c r="AG73" s="78">
        <v>101.5</v>
      </c>
      <c r="AH73" s="61">
        <f t="shared" si="436"/>
        <v>1.9E-2</v>
      </c>
      <c r="AI73" s="61">
        <f t="shared" si="437"/>
        <v>0.20299999999999999</v>
      </c>
      <c r="AJ73" s="61">
        <f t="shared" si="438"/>
        <v>0.20300000000000001</v>
      </c>
      <c r="AK73" s="77">
        <v>77.52</v>
      </c>
      <c r="AL73" s="104">
        <v>652.04160000000002</v>
      </c>
      <c r="AM73" s="61">
        <f t="shared" si="421"/>
        <v>0.12</v>
      </c>
      <c r="AN73" s="57">
        <f t="shared" si="422"/>
        <v>5.6000000000000001E-2</v>
      </c>
      <c r="AO73" s="78">
        <v>8563.2000000000007</v>
      </c>
      <c r="AP73" s="104">
        <v>10915.875</v>
      </c>
      <c r="AQ73" s="61">
        <f t="shared" si="439"/>
        <v>0.192</v>
      </c>
      <c r="AR73" s="57">
        <f t="shared" si="440"/>
        <v>0.46500000000000002</v>
      </c>
      <c r="AS73" s="45"/>
      <c r="AT73" s="78">
        <v>1083.57</v>
      </c>
      <c r="AU73" s="77">
        <f t="shared" si="423"/>
        <v>0.43999983757400535</v>
      </c>
      <c r="AV73" s="78">
        <v>951.15300000000002</v>
      </c>
      <c r="AW73" s="77">
        <f t="shared" si="424"/>
        <v>0.5918811449906658</v>
      </c>
      <c r="AX73" s="78">
        <v>1121.4780000000001</v>
      </c>
      <c r="AY73" s="77">
        <f t="shared" si="441"/>
        <v>0.5784392407674851</v>
      </c>
      <c r="AZ73" s="45"/>
      <c r="BA73" s="75">
        <v>51358.995000000003</v>
      </c>
      <c r="BB73" s="77">
        <f t="shared" si="442"/>
        <v>0.73770491803278682</v>
      </c>
      <c r="BC73" s="45"/>
      <c r="BD73" s="105">
        <v>711.42499999999995</v>
      </c>
      <c r="BE73" s="45">
        <v>0</v>
      </c>
      <c r="BF73" s="106">
        <v>0</v>
      </c>
      <c r="BG73" s="107">
        <f t="shared" si="443"/>
        <v>2.1822852760736196E-2</v>
      </c>
      <c r="BH73" s="108">
        <f t="shared" si="444"/>
        <v>0</v>
      </c>
      <c r="BI73" s="106">
        <v>0</v>
      </c>
      <c r="BJ73" s="106">
        <v>0</v>
      </c>
      <c r="BK73" s="106">
        <v>0</v>
      </c>
      <c r="BL73" s="106">
        <v>1472.2329999999999</v>
      </c>
      <c r="BM73" s="107">
        <f t="shared" si="445"/>
        <v>0.10923230449621606</v>
      </c>
      <c r="BN73" s="108">
        <f t="shared" si="446"/>
        <v>0</v>
      </c>
      <c r="BO73" s="45">
        <v>7668</v>
      </c>
      <c r="BP73" s="45">
        <v>648.91754766999998</v>
      </c>
      <c r="BQ73" s="45"/>
      <c r="BR73" s="109">
        <v>-700</v>
      </c>
      <c r="BS73" s="45">
        <f t="shared" si="447"/>
        <v>0</v>
      </c>
      <c r="BT73" s="45">
        <v>4485</v>
      </c>
      <c r="BU73" s="45">
        <f t="shared" si="447"/>
        <v>4485</v>
      </c>
      <c r="BV73" s="45">
        <v>0</v>
      </c>
      <c r="BW73" s="45">
        <f t="shared" ref="BW73:BY73" si="490">IF(BV73&gt;0,BV73,0)</f>
        <v>0</v>
      </c>
      <c r="BX73" s="45">
        <v>-5000</v>
      </c>
      <c r="BY73" s="45">
        <f t="shared" si="490"/>
        <v>0</v>
      </c>
      <c r="BZ73" s="45">
        <v>3800</v>
      </c>
      <c r="CA73" s="45">
        <f t="shared" ref="CA73:CC73" si="491">IF(BZ73&gt;0,BZ73,0)</f>
        <v>3800</v>
      </c>
      <c r="CB73" s="45">
        <v>-4000</v>
      </c>
      <c r="CC73" s="45">
        <f t="shared" si="491"/>
        <v>0</v>
      </c>
      <c r="CD73" s="45">
        <v>4800</v>
      </c>
      <c r="CE73" s="45">
        <f t="shared" ref="CE73:CG73" si="492">IF(CD73&gt;0,CD73,0)</f>
        <v>4800</v>
      </c>
      <c r="CF73" s="45">
        <v>6307.0313634300001</v>
      </c>
      <c r="CG73" s="45">
        <f t="shared" si="492"/>
        <v>6307.0313634300001</v>
      </c>
      <c r="CH73" s="107">
        <f t="shared" si="451"/>
        <v>19392.03136343</v>
      </c>
      <c r="CI73" s="45"/>
      <c r="CJ73" s="109">
        <v>-700</v>
      </c>
      <c r="CK73" s="45">
        <f t="shared" si="452"/>
        <v>700</v>
      </c>
      <c r="CL73" s="45">
        <v>4485</v>
      </c>
      <c r="CM73" s="45">
        <f t="shared" si="452"/>
        <v>0</v>
      </c>
      <c r="CN73" s="45">
        <v>0</v>
      </c>
      <c r="CO73" s="45">
        <f t="shared" ref="CO73:CQ73" si="493">IF(CN73&lt;0,-CN73,0)</f>
        <v>0</v>
      </c>
      <c r="CP73" s="45">
        <v>-5000</v>
      </c>
      <c r="CQ73" s="45">
        <f t="shared" si="493"/>
        <v>5000</v>
      </c>
      <c r="CR73" s="45">
        <v>3800</v>
      </c>
      <c r="CS73" s="45">
        <f t="shared" ref="CS73:CU73" si="494">IF(CR73&lt;0,-CR73,0)</f>
        <v>0</v>
      </c>
      <c r="CT73" s="45">
        <v>-4000</v>
      </c>
      <c r="CU73" s="45">
        <f t="shared" si="494"/>
        <v>4000</v>
      </c>
      <c r="CV73" s="45">
        <v>4800</v>
      </c>
      <c r="CW73" s="45">
        <f t="shared" ref="CW73:CY73" si="495">IF(CV73&lt;0,-CV73,0)</f>
        <v>0</v>
      </c>
      <c r="CX73" s="45">
        <v>6307.0313634300001</v>
      </c>
      <c r="CY73" s="45">
        <f t="shared" si="495"/>
        <v>0</v>
      </c>
      <c r="CZ73" s="107">
        <f t="shared" si="456"/>
        <v>9700</v>
      </c>
      <c r="DA73" s="45"/>
      <c r="DB73" s="110">
        <v>36728.167999999998</v>
      </c>
      <c r="DC73" s="57">
        <v>2266.5590000000002</v>
      </c>
      <c r="DD73" s="61">
        <v>1721.6488409190999</v>
      </c>
      <c r="DE73" s="61">
        <f t="shared" si="457"/>
        <v>40716.3758409191</v>
      </c>
      <c r="DF73" s="110">
        <v>9466.8449999999993</v>
      </c>
      <c r="DG73" s="110">
        <v>64030.411</v>
      </c>
      <c r="DH73" s="57">
        <v>5841</v>
      </c>
      <c r="DI73" s="107">
        <f t="shared" si="458"/>
        <v>69871.410999999993</v>
      </c>
      <c r="DJ73" s="45"/>
      <c r="DK73" s="110">
        <v>611.86500000000001</v>
      </c>
      <c r="DL73" s="57">
        <v>10493.065843074541</v>
      </c>
      <c r="DM73" s="57">
        <f t="shared" si="459"/>
        <v>11104.93084307454</v>
      </c>
      <c r="DN73" s="61">
        <v>1235.3721215036271</v>
      </c>
      <c r="DO73" s="61">
        <v>2899.4446020647688</v>
      </c>
      <c r="DP73" s="61">
        <v>0</v>
      </c>
      <c r="DQ73" s="57">
        <f t="shared" si="460"/>
        <v>2899.4446020647688</v>
      </c>
      <c r="DR73" s="57">
        <v>161.08025567026499</v>
      </c>
      <c r="DS73" s="57">
        <v>161.08025567026499</v>
      </c>
      <c r="DT73" s="5"/>
      <c r="DU73" s="73">
        <v>2264.0292629800001</v>
      </c>
      <c r="DV73" s="156">
        <v>0</v>
      </c>
      <c r="DW73" s="155">
        <v>19.44854033</v>
      </c>
      <c r="DX73" s="155">
        <v>0</v>
      </c>
      <c r="DY73" s="73">
        <v>0</v>
      </c>
      <c r="DZ73" s="156">
        <v>1553.672292</v>
      </c>
      <c r="EA73" s="73">
        <v>0</v>
      </c>
      <c r="EB73" s="156">
        <v>0</v>
      </c>
      <c r="EC73" s="73">
        <v>0</v>
      </c>
      <c r="ED73" s="156">
        <v>847.5</v>
      </c>
      <c r="EE73" s="73">
        <v>0</v>
      </c>
      <c r="EF73" s="156">
        <v>1515.0775946199999</v>
      </c>
      <c r="EG73" s="73">
        <v>2264.0292629800001</v>
      </c>
      <c r="EH73" s="156">
        <v>0</v>
      </c>
      <c r="EI73" s="159">
        <v>1553.672292</v>
      </c>
      <c r="EJ73" s="162">
        <v>847.5</v>
      </c>
      <c r="EK73" s="165">
        <v>735.83500000000004</v>
      </c>
      <c r="EL73" s="159">
        <v>0</v>
      </c>
      <c r="EM73" s="159">
        <f t="shared" si="461"/>
        <v>2382.0261349499997</v>
      </c>
      <c r="EN73" s="159">
        <f t="shared" si="462"/>
        <v>0</v>
      </c>
      <c r="EP73" s="2">
        <v>20998.500749999999</v>
      </c>
      <c r="EQ73" s="5">
        <f t="shared" si="463"/>
        <v>0.85499999999999987</v>
      </c>
    </row>
    <row r="74" spans="13:147" x14ac:dyDescent="0.35">
      <c r="M74" s="5"/>
      <c r="N74" s="66">
        <f t="shared" si="464"/>
        <v>72</v>
      </c>
      <c r="O74" s="78">
        <v>0</v>
      </c>
      <c r="P74" s="77">
        <f t="shared" si="431"/>
        <v>0</v>
      </c>
      <c r="Q74" s="104">
        <v>0</v>
      </c>
      <c r="R74" s="77">
        <f t="shared" si="432"/>
        <v>0</v>
      </c>
      <c r="S74" s="104">
        <v>0</v>
      </c>
      <c r="T74" s="77">
        <f t="shared" si="433"/>
        <v>0</v>
      </c>
      <c r="U74" s="104">
        <v>0</v>
      </c>
      <c r="V74" s="77">
        <f t="shared" si="419"/>
        <v>0</v>
      </c>
      <c r="W74" s="104">
        <v>0</v>
      </c>
      <c r="X74" s="77">
        <f t="shared" si="420"/>
        <v>0</v>
      </c>
      <c r="Y74" s="104">
        <v>0</v>
      </c>
      <c r="Z74" s="77">
        <f t="shared" si="434"/>
        <v>0</v>
      </c>
      <c r="AA74" s="104">
        <v>0</v>
      </c>
      <c r="AB74" s="77">
        <f t="shared" si="435"/>
        <v>0</v>
      </c>
      <c r="AC74" s="5"/>
      <c r="AD74" s="66">
        <f t="shared" si="465"/>
        <v>72</v>
      </c>
      <c r="AE74" s="78">
        <v>1690.9962</v>
      </c>
      <c r="AF74" s="104">
        <v>552</v>
      </c>
      <c r="AG74" s="78">
        <v>120</v>
      </c>
      <c r="AH74" s="61">
        <f t="shared" si="436"/>
        <v>1.9E-2</v>
      </c>
      <c r="AI74" s="61">
        <f t="shared" si="437"/>
        <v>0.24</v>
      </c>
      <c r="AJ74" s="61">
        <f t="shared" si="438"/>
        <v>0.24</v>
      </c>
      <c r="AK74" s="77">
        <v>70.414000000000001</v>
      </c>
      <c r="AL74" s="104">
        <v>593.82360000000006</v>
      </c>
      <c r="AM74" s="61">
        <f t="shared" si="421"/>
        <v>0.109</v>
      </c>
      <c r="AN74" s="57">
        <f t="shared" si="422"/>
        <v>5.1000000000000004E-2</v>
      </c>
      <c r="AO74" s="78">
        <v>8251</v>
      </c>
      <c r="AP74" s="104">
        <v>10728.075000000001</v>
      </c>
      <c r="AQ74" s="61">
        <f t="shared" si="439"/>
        <v>0.185</v>
      </c>
      <c r="AR74" s="57">
        <f t="shared" si="440"/>
        <v>0.45700000000000002</v>
      </c>
      <c r="AS74" s="45"/>
      <c r="AT74" s="78">
        <v>1063.8689999999999</v>
      </c>
      <c r="AU74" s="77">
        <f t="shared" si="423"/>
        <v>0.43199995127220159</v>
      </c>
      <c r="AV74" s="78">
        <v>945.851</v>
      </c>
      <c r="AW74" s="77">
        <f t="shared" si="424"/>
        <v>0.58858182949595517</v>
      </c>
      <c r="AX74" s="78">
        <v>1121.4780000000001</v>
      </c>
      <c r="AY74" s="77">
        <f t="shared" si="441"/>
        <v>0.5784392407674851</v>
      </c>
      <c r="AZ74" s="45"/>
      <c r="BA74" s="75">
        <v>52500.305999999997</v>
      </c>
      <c r="BB74" s="77">
        <f t="shared" si="442"/>
        <v>0.75409836065573765</v>
      </c>
      <c r="BC74" s="45"/>
      <c r="BD74" s="105">
        <v>738.65300000000002</v>
      </c>
      <c r="BE74" s="45">
        <v>0</v>
      </c>
      <c r="BF74" s="106">
        <v>0</v>
      </c>
      <c r="BG74" s="107">
        <f t="shared" si="443"/>
        <v>2.2658067484662578E-2</v>
      </c>
      <c r="BH74" s="108">
        <f t="shared" si="444"/>
        <v>0</v>
      </c>
      <c r="BI74" s="106">
        <v>0</v>
      </c>
      <c r="BJ74" s="106">
        <v>0</v>
      </c>
      <c r="BK74" s="106">
        <v>0</v>
      </c>
      <c r="BL74" s="106">
        <v>1402.748</v>
      </c>
      <c r="BM74" s="107">
        <f t="shared" si="445"/>
        <v>0.10407686600385814</v>
      </c>
      <c r="BN74" s="108">
        <f t="shared" si="446"/>
        <v>0</v>
      </c>
      <c r="BO74" s="45">
        <v>7668</v>
      </c>
      <c r="BP74" s="45">
        <v>648.91754766999998</v>
      </c>
      <c r="BQ74" s="45"/>
      <c r="BR74" s="109">
        <v>-700</v>
      </c>
      <c r="BS74" s="45">
        <f t="shared" si="447"/>
        <v>0</v>
      </c>
      <c r="BT74" s="45">
        <v>4485</v>
      </c>
      <c r="BU74" s="45">
        <f t="shared" si="447"/>
        <v>4485</v>
      </c>
      <c r="BV74" s="45">
        <v>0</v>
      </c>
      <c r="BW74" s="45">
        <f t="shared" ref="BW74:BY74" si="496">IF(BV74&gt;0,BV74,0)</f>
        <v>0</v>
      </c>
      <c r="BX74" s="45">
        <v>-5000</v>
      </c>
      <c r="BY74" s="45">
        <f t="shared" si="496"/>
        <v>0</v>
      </c>
      <c r="BZ74" s="45">
        <v>3800</v>
      </c>
      <c r="CA74" s="45">
        <f t="shared" ref="CA74:CC74" si="497">IF(BZ74&gt;0,BZ74,0)</f>
        <v>3800</v>
      </c>
      <c r="CB74" s="45">
        <v>-4000</v>
      </c>
      <c r="CC74" s="45">
        <f t="shared" si="497"/>
        <v>0</v>
      </c>
      <c r="CD74" s="45">
        <v>4800</v>
      </c>
      <c r="CE74" s="45">
        <f t="shared" ref="CE74:CG74" si="498">IF(CD74&gt;0,CD74,0)</f>
        <v>4800</v>
      </c>
      <c r="CF74" s="45">
        <v>9009.3530017199992</v>
      </c>
      <c r="CG74" s="45">
        <f t="shared" si="498"/>
        <v>9009.3530017199992</v>
      </c>
      <c r="CH74" s="107">
        <f t="shared" si="451"/>
        <v>22094.353001719999</v>
      </c>
      <c r="CI74" s="45"/>
      <c r="CJ74" s="109">
        <v>-700</v>
      </c>
      <c r="CK74" s="45">
        <f t="shared" si="452"/>
        <v>700</v>
      </c>
      <c r="CL74" s="45">
        <v>4485</v>
      </c>
      <c r="CM74" s="45">
        <f t="shared" si="452"/>
        <v>0</v>
      </c>
      <c r="CN74" s="45">
        <v>0</v>
      </c>
      <c r="CO74" s="45">
        <f t="shared" ref="CO74:CQ74" si="499">IF(CN74&lt;0,-CN74,0)</f>
        <v>0</v>
      </c>
      <c r="CP74" s="45">
        <v>-5000</v>
      </c>
      <c r="CQ74" s="45">
        <f t="shared" si="499"/>
        <v>5000</v>
      </c>
      <c r="CR74" s="45">
        <v>3800</v>
      </c>
      <c r="CS74" s="45">
        <f t="shared" ref="CS74:CU74" si="500">IF(CR74&lt;0,-CR74,0)</f>
        <v>0</v>
      </c>
      <c r="CT74" s="45">
        <v>-4000</v>
      </c>
      <c r="CU74" s="45">
        <f t="shared" si="500"/>
        <v>4000</v>
      </c>
      <c r="CV74" s="45">
        <v>4800</v>
      </c>
      <c r="CW74" s="45">
        <f t="shared" ref="CW74:CY74" si="501">IF(CV74&lt;0,-CV74,0)</f>
        <v>0</v>
      </c>
      <c r="CX74" s="45">
        <v>9009.3530017199992</v>
      </c>
      <c r="CY74" s="45">
        <f t="shared" si="501"/>
        <v>0</v>
      </c>
      <c r="CZ74" s="107">
        <f t="shared" si="456"/>
        <v>9700</v>
      </c>
      <c r="DA74" s="45"/>
      <c r="DB74" s="110">
        <v>34412.786999999997</v>
      </c>
      <c r="DC74" s="57">
        <v>2159.2689999999998</v>
      </c>
      <c r="DD74" s="61">
        <v>1434.8104802531</v>
      </c>
      <c r="DE74" s="61">
        <f t="shared" si="457"/>
        <v>38006.866480253098</v>
      </c>
      <c r="DF74" s="110">
        <v>9017.3680000000004</v>
      </c>
      <c r="DG74" s="110">
        <v>61866.411</v>
      </c>
      <c r="DH74" s="57">
        <v>6051</v>
      </c>
      <c r="DI74" s="107">
        <f t="shared" si="458"/>
        <v>67917.410999999993</v>
      </c>
      <c r="DJ74" s="45"/>
      <c r="DK74" s="110">
        <v>590.39700000000005</v>
      </c>
      <c r="DL74" s="57">
        <v>10493.065843074541</v>
      </c>
      <c r="DM74" s="57">
        <f t="shared" si="459"/>
        <v>11083.462843074542</v>
      </c>
      <c r="DN74" s="61">
        <v>1235.3721215036271</v>
      </c>
      <c r="DO74" s="61">
        <v>2899.4446020647688</v>
      </c>
      <c r="DP74" s="61">
        <v>0</v>
      </c>
      <c r="DQ74" s="57">
        <f t="shared" si="460"/>
        <v>2899.4446020647688</v>
      </c>
      <c r="DR74" s="57">
        <v>161.08025567026499</v>
      </c>
      <c r="DS74" s="57">
        <v>161.08025567026499</v>
      </c>
      <c r="DT74" s="5"/>
      <c r="DU74" s="73">
        <v>1982.3732839500001</v>
      </c>
      <c r="DV74" s="156">
        <v>0</v>
      </c>
      <c r="DW74" s="155">
        <v>271.02854033</v>
      </c>
      <c r="DX74" s="155">
        <v>0</v>
      </c>
      <c r="DY74" s="73">
        <v>0</v>
      </c>
      <c r="DZ74" s="156">
        <v>1553.672292</v>
      </c>
      <c r="EA74" s="73">
        <v>0</v>
      </c>
      <c r="EB74" s="156">
        <v>0</v>
      </c>
      <c r="EC74" s="73">
        <v>0</v>
      </c>
      <c r="ED74" s="156">
        <v>847.5</v>
      </c>
      <c r="EE74" s="73">
        <v>0</v>
      </c>
      <c r="EF74" s="156">
        <v>1545.15357365</v>
      </c>
      <c r="EG74" s="73">
        <v>1982.3732839500001</v>
      </c>
      <c r="EH74" s="156">
        <v>0</v>
      </c>
      <c r="EI74" s="159">
        <v>1553.672292</v>
      </c>
      <c r="EJ74" s="162">
        <v>847.5</v>
      </c>
      <c r="EK74" s="165">
        <v>735.83500000000004</v>
      </c>
      <c r="EL74" s="159">
        <v>0</v>
      </c>
      <c r="EM74" s="159">
        <f t="shared" si="461"/>
        <v>2663.6821139799999</v>
      </c>
      <c r="EN74" s="159">
        <f t="shared" si="462"/>
        <v>0</v>
      </c>
      <c r="EP74" s="2">
        <v>21465.134099999999</v>
      </c>
      <c r="EQ74" s="5">
        <f t="shared" si="463"/>
        <v>0.87399999999999989</v>
      </c>
    </row>
    <row r="75" spans="13:147" x14ac:dyDescent="0.35">
      <c r="M75" s="5"/>
      <c r="N75" s="66">
        <f t="shared" si="464"/>
        <v>73</v>
      </c>
      <c r="O75" s="78">
        <v>0</v>
      </c>
      <c r="P75" s="77">
        <f t="shared" si="431"/>
        <v>0</v>
      </c>
      <c r="Q75" s="104">
        <v>0</v>
      </c>
      <c r="R75" s="77">
        <f t="shared" si="432"/>
        <v>0</v>
      </c>
      <c r="S75" s="104">
        <v>0</v>
      </c>
      <c r="T75" s="77">
        <f t="shared" si="433"/>
        <v>0</v>
      </c>
      <c r="U75" s="104">
        <v>0</v>
      </c>
      <c r="V75" s="77">
        <f t="shared" si="419"/>
        <v>0</v>
      </c>
      <c r="W75" s="104">
        <v>0</v>
      </c>
      <c r="X75" s="77">
        <f t="shared" si="420"/>
        <v>0</v>
      </c>
      <c r="Y75" s="104">
        <v>0</v>
      </c>
      <c r="Z75" s="77">
        <f t="shared" si="434"/>
        <v>0</v>
      </c>
      <c r="AA75" s="104">
        <v>0</v>
      </c>
      <c r="AB75" s="77">
        <f t="shared" si="435"/>
        <v>0</v>
      </c>
      <c r="AC75" s="5"/>
      <c r="AD75" s="66">
        <f t="shared" si="465"/>
        <v>73</v>
      </c>
      <c r="AE75" s="78">
        <v>2046.9954</v>
      </c>
      <c r="AF75" s="104">
        <v>650.9</v>
      </c>
      <c r="AG75" s="78">
        <v>141.5</v>
      </c>
      <c r="AH75" s="61">
        <f t="shared" si="436"/>
        <v>2.3E-2</v>
      </c>
      <c r="AI75" s="61">
        <f t="shared" si="437"/>
        <v>0.28299999999999997</v>
      </c>
      <c r="AJ75" s="61">
        <f t="shared" si="438"/>
        <v>0.28299999999999997</v>
      </c>
      <c r="AK75" s="77">
        <v>65.891999999999996</v>
      </c>
      <c r="AL75" s="104">
        <v>570.53639999999996</v>
      </c>
      <c r="AM75" s="61">
        <f t="shared" si="421"/>
        <v>0.10199999999999999</v>
      </c>
      <c r="AN75" s="57">
        <f t="shared" si="422"/>
        <v>4.8999999999999995E-2</v>
      </c>
      <c r="AO75" s="78">
        <v>7403.6</v>
      </c>
      <c r="AP75" s="104">
        <v>10375.950000000001</v>
      </c>
      <c r="AQ75" s="61">
        <f t="shared" si="439"/>
        <v>0.16600000000000001</v>
      </c>
      <c r="AR75" s="57">
        <f t="shared" si="440"/>
        <v>0.442</v>
      </c>
      <c r="AS75" s="45"/>
      <c r="AT75" s="78">
        <v>1004.765</v>
      </c>
      <c r="AU75" s="77">
        <f t="shared" si="423"/>
        <v>0.40799988630180378</v>
      </c>
      <c r="AV75" s="78">
        <v>856.40499999999997</v>
      </c>
      <c r="AW75" s="77">
        <f t="shared" si="424"/>
        <v>0.53292159303049158</v>
      </c>
      <c r="AX75" s="78">
        <v>1121.4780000000001</v>
      </c>
      <c r="AY75" s="77">
        <f t="shared" si="441"/>
        <v>0.5784392407674851</v>
      </c>
      <c r="AZ75" s="45"/>
      <c r="BA75" s="75">
        <v>52500.305999999997</v>
      </c>
      <c r="BB75" s="77">
        <f t="shared" si="442"/>
        <v>0.75409836065573765</v>
      </c>
      <c r="BC75" s="45"/>
      <c r="BD75" s="105">
        <v>866.29899999999998</v>
      </c>
      <c r="BE75" s="45">
        <v>0</v>
      </c>
      <c r="BF75" s="106">
        <v>0</v>
      </c>
      <c r="BG75" s="107">
        <f t="shared" si="443"/>
        <v>2.6573588957055215E-2</v>
      </c>
      <c r="BH75" s="108">
        <f t="shared" si="444"/>
        <v>0</v>
      </c>
      <c r="BI75" s="106">
        <v>0</v>
      </c>
      <c r="BJ75" s="106">
        <v>0</v>
      </c>
      <c r="BK75" s="106">
        <v>0</v>
      </c>
      <c r="BL75" s="106">
        <v>1354.944</v>
      </c>
      <c r="BM75" s="107">
        <f t="shared" si="445"/>
        <v>0.10053004896868971</v>
      </c>
      <c r="BN75" s="108">
        <f t="shared" si="446"/>
        <v>0</v>
      </c>
      <c r="BO75" s="45">
        <v>7668</v>
      </c>
      <c r="BP75" s="45">
        <v>648.91656161999992</v>
      </c>
      <c r="BQ75" s="45"/>
      <c r="BR75" s="109">
        <v>-700</v>
      </c>
      <c r="BS75" s="45">
        <f t="shared" si="447"/>
        <v>0</v>
      </c>
      <c r="BT75" s="45">
        <v>4485</v>
      </c>
      <c r="BU75" s="45">
        <f t="shared" si="447"/>
        <v>4485</v>
      </c>
      <c r="BV75" s="45">
        <v>0</v>
      </c>
      <c r="BW75" s="45">
        <f t="shared" ref="BW75:BY75" si="502">IF(BV75&gt;0,BV75,0)</f>
        <v>0</v>
      </c>
      <c r="BX75" s="45">
        <v>-5000</v>
      </c>
      <c r="BY75" s="45">
        <f t="shared" si="502"/>
        <v>0</v>
      </c>
      <c r="BZ75" s="45">
        <v>3800</v>
      </c>
      <c r="CA75" s="45">
        <f t="shared" ref="CA75:CC75" si="503">IF(BZ75&gt;0,BZ75,0)</f>
        <v>3800</v>
      </c>
      <c r="CB75" s="45">
        <v>-4000</v>
      </c>
      <c r="CC75" s="45">
        <f t="shared" si="503"/>
        <v>0</v>
      </c>
      <c r="CD75" s="45">
        <v>4800</v>
      </c>
      <c r="CE75" s="45">
        <f t="shared" ref="CE75:CG75" si="504">IF(CD75&gt;0,CD75,0)</f>
        <v>4800</v>
      </c>
      <c r="CF75" s="45">
        <v>11018.10151181</v>
      </c>
      <c r="CG75" s="45">
        <f t="shared" si="504"/>
        <v>11018.10151181</v>
      </c>
      <c r="CH75" s="107">
        <f t="shared" si="451"/>
        <v>24103.10151181</v>
      </c>
      <c r="CI75" s="45"/>
      <c r="CJ75" s="109">
        <v>-700</v>
      </c>
      <c r="CK75" s="45">
        <f t="shared" si="452"/>
        <v>700</v>
      </c>
      <c r="CL75" s="45">
        <v>4485</v>
      </c>
      <c r="CM75" s="45">
        <f t="shared" si="452"/>
        <v>0</v>
      </c>
      <c r="CN75" s="45">
        <v>0</v>
      </c>
      <c r="CO75" s="45">
        <f t="shared" ref="CO75:CQ75" si="505">IF(CN75&lt;0,-CN75,0)</f>
        <v>0</v>
      </c>
      <c r="CP75" s="45">
        <v>-5000</v>
      </c>
      <c r="CQ75" s="45">
        <f t="shared" si="505"/>
        <v>5000</v>
      </c>
      <c r="CR75" s="45">
        <v>3800</v>
      </c>
      <c r="CS75" s="45">
        <f t="shared" ref="CS75:CU75" si="506">IF(CR75&lt;0,-CR75,0)</f>
        <v>0</v>
      </c>
      <c r="CT75" s="45">
        <v>-4000</v>
      </c>
      <c r="CU75" s="45">
        <f t="shared" si="506"/>
        <v>4000</v>
      </c>
      <c r="CV75" s="45">
        <v>4800</v>
      </c>
      <c r="CW75" s="45">
        <f t="shared" ref="CW75:CY75" si="507">IF(CV75&lt;0,-CV75,0)</f>
        <v>0</v>
      </c>
      <c r="CX75" s="45">
        <v>11018.10151181</v>
      </c>
      <c r="CY75" s="45">
        <f t="shared" si="507"/>
        <v>0</v>
      </c>
      <c r="CZ75" s="107">
        <f t="shared" si="456"/>
        <v>9700</v>
      </c>
      <c r="DA75" s="45"/>
      <c r="DB75" s="110">
        <v>31879.097000000002</v>
      </c>
      <c r="DC75" s="57">
        <v>2071.857</v>
      </c>
      <c r="DD75" s="61">
        <v>1179.3368011982</v>
      </c>
      <c r="DE75" s="61">
        <f t="shared" si="457"/>
        <v>35130.2908011982</v>
      </c>
      <c r="DF75" s="110">
        <v>8306.5280000000002</v>
      </c>
      <c r="DG75" s="110">
        <v>57591.411</v>
      </c>
      <c r="DH75" s="57">
        <v>6075</v>
      </c>
      <c r="DI75" s="107">
        <f t="shared" si="458"/>
        <v>63666.411</v>
      </c>
      <c r="DJ75" s="45"/>
      <c r="DK75" s="110">
        <v>659.68</v>
      </c>
      <c r="DL75" s="57">
        <v>10493.065843074541</v>
      </c>
      <c r="DM75" s="57">
        <f t="shared" si="459"/>
        <v>11152.745843074541</v>
      </c>
      <c r="DN75" s="61">
        <v>1169.3240409390189</v>
      </c>
      <c r="DO75" s="61">
        <v>2899.4268531643638</v>
      </c>
      <c r="DP75" s="61">
        <v>0</v>
      </c>
      <c r="DQ75" s="57">
        <f t="shared" si="460"/>
        <v>2899.4268531643638</v>
      </c>
      <c r="DR75" s="57">
        <v>161.07926962024251</v>
      </c>
      <c r="DS75" s="57">
        <v>161.07926962024251</v>
      </c>
      <c r="DT75" s="5"/>
      <c r="DU75" s="73">
        <v>1859.63639734</v>
      </c>
      <c r="DV75" s="156">
        <v>0</v>
      </c>
      <c r="DW75" s="155">
        <v>522.60854032999998</v>
      </c>
      <c r="DX75" s="155">
        <v>0</v>
      </c>
      <c r="DY75" s="73">
        <v>0</v>
      </c>
      <c r="DZ75" s="156">
        <v>1553.672292</v>
      </c>
      <c r="EA75" s="73">
        <v>0</v>
      </c>
      <c r="EB75" s="156">
        <v>0</v>
      </c>
      <c r="EC75" s="73">
        <v>0</v>
      </c>
      <c r="ED75" s="156">
        <v>847.5</v>
      </c>
      <c r="EE75" s="73">
        <v>0</v>
      </c>
      <c r="EF75" s="156">
        <v>1416.3282091599999</v>
      </c>
      <c r="EG75" s="73">
        <v>1859.63639734</v>
      </c>
      <c r="EH75" s="156">
        <v>0</v>
      </c>
      <c r="EI75" s="159">
        <v>1553.672292</v>
      </c>
      <c r="EJ75" s="162">
        <v>847.5</v>
      </c>
      <c r="EK75" s="165">
        <v>735.83500000000004</v>
      </c>
      <c r="EL75" s="159">
        <v>0</v>
      </c>
      <c r="EM75" s="159">
        <f t="shared" si="461"/>
        <v>2786.4367494899998</v>
      </c>
      <c r="EN75" s="159">
        <f t="shared" si="462"/>
        <v>0</v>
      </c>
      <c r="EP75" s="2">
        <v>20531.867399999999</v>
      </c>
      <c r="EQ75" s="5">
        <f t="shared" si="463"/>
        <v>0.83599999999999997</v>
      </c>
    </row>
    <row r="76" spans="13:147" x14ac:dyDescent="0.35">
      <c r="M76" s="5"/>
      <c r="N76" s="66">
        <f t="shared" si="464"/>
        <v>74</v>
      </c>
      <c r="O76" s="78">
        <v>0</v>
      </c>
      <c r="P76" s="77">
        <f t="shared" si="431"/>
        <v>0</v>
      </c>
      <c r="Q76" s="104">
        <v>0</v>
      </c>
      <c r="R76" s="77">
        <f t="shared" si="432"/>
        <v>0</v>
      </c>
      <c r="S76" s="104">
        <v>0</v>
      </c>
      <c r="T76" s="77">
        <f t="shared" si="433"/>
        <v>0</v>
      </c>
      <c r="U76" s="104">
        <v>0</v>
      </c>
      <c r="V76" s="77">
        <f t="shared" si="419"/>
        <v>0</v>
      </c>
      <c r="W76" s="104">
        <v>0</v>
      </c>
      <c r="X76" s="77">
        <f t="shared" si="420"/>
        <v>0</v>
      </c>
      <c r="Y76" s="104">
        <v>0</v>
      </c>
      <c r="Z76" s="77">
        <f t="shared" si="434"/>
        <v>0</v>
      </c>
      <c r="AA76" s="104">
        <v>0</v>
      </c>
      <c r="AB76" s="77">
        <f t="shared" si="435"/>
        <v>0</v>
      </c>
      <c r="AC76" s="5"/>
      <c r="AD76" s="66">
        <f t="shared" si="465"/>
        <v>74</v>
      </c>
      <c r="AE76" s="78">
        <v>2402.9946</v>
      </c>
      <c r="AF76" s="104">
        <v>759</v>
      </c>
      <c r="AG76" s="78">
        <v>165</v>
      </c>
      <c r="AH76" s="61">
        <f t="shared" si="436"/>
        <v>2.7E-2</v>
      </c>
      <c r="AI76" s="61">
        <f t="shared" si="437"/>
        <v>0.33</v>
      </c>
      <c r="AJ76" s="61">
        <f t="shared" si="438"/>
        <v>0.33</v>
      </c>
      <c r="AK76" s="77">
        <v>61.37</v>
      </c>
      <c r="AL76" s="104">
        <v>558.89279999999997</v>
      </c>
      <c r="AM76" s="61">
        <f t="shared" si="421"/>
        <v>9.5000000000000001E-2</v>
      </c>
      <c r="AN76" s="57">
        <f t="shared" si="422"/>
        <v>4.7999999999999994E-2</v>
      </c>
      <c r="AO76" s="78">
        <v>7046.8</v>
      </c>
      <c r="AP76" s="104">
        <v>10305.525</v>
      </c>
      <c r="AQ76" s="61">
        <f t="shared" si="439"/>
        <v>0.158</v>
      </c>
      <c r="AR76" s="57">
        <f t="shared" si="440"/>
        <v>0.439</v>
      </c>
      <c r="AS76" s="45"/>
      <c r="AT76" s="78">
        <v>982.601</v>
      </c>
      <c r="AU76" s="77">
        <f t="shared" si="423"/>
        <v>0.39899986193790454</v>
      </c>
      <c r="AV76" s="78">
        <v>849.18200000000002</v>
      </c>
      <c r="AW76" s="77">
        <f t="shared" si="424"/>
        <v>0.52842688238954572</v>
      </c>
      <c r="AX76" s="78">
        <v>1121.4780000000001</v>
      </c>
      <c r="AY76" s="77">
        <f t="shared" si="441"/>
        <v>0.5784392407674851</v>
      </c>
      <c r="AZ76" s="45"/>
      <c r="BA76" s="75">
        <v>52500.305999999997</v>
      </c>
      <c r="BB76" s="77">
        <f t="shared" si="442"/>
        <v>0.75409836065573765</v>
      </c>
      <c r="BC76" s="45"/>
      <c r="BD76" s="105">
        <v>1015.79</v>
      </c>
      <c r="BE76" s="45">
        <v>0</v>
      </c>
      <c r="BF76" s="106">
        <v>0</v>
      </c>
      <c r="BG76" s="107">
        <f t="shared" si="443"/>
        <v>3.115920245398773E-2</v>
      </c>
      <c r="BH76" s="108">
        <f t="shared" si="444"/>
        <v>0</v>
      </c>
      <c r="BI76" s="106">
        <v>0</v>
      </c>
      <c r="BJ76" s="106">
        <v>0</v>
      </c>
      <c r="BK76" s="106">
        <v>0</v>
      </c>
      <c r="BL76" s="106">
        <v>1271.5160000000001</v>
      </c>
      <c r="BM76" s="107">
        <f t="shared" si="445"/>
        <v>9.4340109808576947E-2</v>
      </c>
      <c r="BN76" s="108">
        <f t="shared" si="446"/>
        <v>0</v>
      </c>
      <c r="BO76" s="45">
        <v>7668</v>
      </c>
      <c r="BP76" s="45">
        <v>648.91656161999992</v>
      </c>
      <c r="BQ76" s="45"/>
      <c r="BR76" s="109">
        <v>-700</v>
      </c>
      <c r="BS76" s="45">
        <f t="shared" si="447"/>
        <v>0</v>
      </c>
      <c r="BT76" s="45">
        <v>4485</v>
      </c>
      <c r="BU76" s="45">
        <f t="shared" si="447"/>
        <v>4485</v>
      </c>
      <c r="BV76" s="45">
        <v>0</v>
      </c>
      <c r="BW76" s="45">
        <f t="shared" ref="BW76:BY76" si="508">IF(BV76&gt;0,BV76,0)</f>
        <v>0</v>
      </c>
      <c r="BX76" s="45">
        <v>-5000</v>
      </c>
      <c r="BY76" s="45">
        <f t="shared" si="508"/>
        <v>0</v>
      </c>
      <c r="BZ76" s="45">
        <v>3800</v>
      </c>
      <c r="CA76" s="45">
        <f t="shared" ref="CA76:CC76" si="509">IF(BZ76&gt;0,BZ76,0)</f>
        <v>3800</v>
      </c>
      <c r="CB76" s="45">
        <v>-4000</v>
      </c>
      <c r="CC76" s="45">
        <f t="shared" si="509"/>
        <v>0</v>
      </c>
      <c r="CD76" s="45">
        <v>4800</v>
      </c>
      <c r="CE76" s="45">
        <f t="shared" ref="CE76:CG76" si="510">IF(CD76&gt;0,CD76,0)</f>
        <v>4800</v>
      </c>
      <c r="CF76" s="45">
        <v>11369.140885389999</v>
      </c>
      <c r="CG76" s="45">
        <f t="shared" si="510"/>
        <v>11369.140885389999</v>
      </c>
      <c r="CH76" s="107">
        <f t="shared" si="451"/>
        <v>24454.140885389999</v>
      </c>
      <c r="CI76" s="45"/>
      <c r="CJ76" s="109">
        <v>-700</v>
      </c>
      <c r="CK76" s="45">
        <f t="shared" si="452"/>
        <v>700</v>
      </c>
      <c r="CL76" s="45">
        <v>4485</v>
      </c>
      <c r="CM76" s="45">
        <f t="shared" si="452"/>
        <v>0</v>
      </c>
      <c r="CN76" s="45">
        <v>0</v>
      </c>
      <c r="CO76" s="45">
        <f t="shared" ref="CO76:CQ76" si="511">IF(CN76&lt;0,-CN76,0)</f>
        <v>0</v>
      </c>
      <c r="CP76" s="45">
        <v>-5000</v>
      </c>
      <c r="CQ76" s="45">
        <f t="shared" si="511"/>
        <v>5000</v>
      </c>
      <c r="CR76" s="45">
        <v>3800</v>
      </c>
      <c r="CS76" s="45">
        <f t="shared" ref="CS76:CU76" si="512">IF(CR76&lt;0,-CR76,0)</f>
        <v>0</v>
      </c>
      <c r="CT76" s="45">
        <v>-4000</v>
      </c>
      <c r="CU76" s="45">
        <f t="shared" si="512"/>
        <v>4000</v>
      </c>
      <c r="CV76" s="45">
        <v>4800</v>
      </c>
      <c r="CW76" s="45">
        <f t="shared" ref="CW76:CY76" si="513">IF(CV76&lt;0,-CV76,0)</f>
        <v>0</v>
      </c>
      <c r="CX76" s="45">
        <v>11369.140885389999</v>
      </c>
      <c r="CY76" s="45">
        <f t="shared" si="513"/>
        <v>0</v>
      </c>
      <c r="CZ76" s="107">
        <f t="shared" si="456"/>
        <v>9700</v>
      </c>
      <c r="DA76" s="45"/>
      <c r="DB76" s="110">
        <v>30150.97</v>
      </c>
      <c r="DC76" s="57">
        <v>1998.008</v>
      </c>
      <c r="DD76" s="61">
        <v>896.42868943259998</v>
      </c>
      <c r="DE76" s="61">
        <f t="shared" si="457"/>
        <v>33045.406689432602</v>
      </c>
      <c r="DF76" s="110">
        <v>7898.0619999999999</v>
      </c>
      <c r="DG76" s="110">
        <v>55661.411</v>
      </c>
      <c r="DH76" s="57">
        <v>6145</v>
      </c>
      <c r="DI76" s="107">
        <f t="shared" si="458"/>
        <v>61806.411</v>
      </c>
      <c r="DJ76" s="45"/>
      <c r="DK76" s="110">
        <v>624.99900000000002</v>
      </c>
      <c r="DL76" s="57">
        <v>10493.065843074541</v>
      </c>
      <c r="DM76" s="57">
        <f t="shared" si="459"/>
        <v>11118.06484307454</v>
      </c>
      <c r="DN76" s="61">
        <v>1169.3240409390189</v>
      </c>
      <c r="DO76" s="61">
        <v>2899.4268531643638</v>
      </c>
      <c r="DP76" s="61">
        <v>0</v>
      </c>
      <c r="DQ76" s="57">
        <f t="shared" si="460"/>
        <v>2899.4268531643638</v>
      </c>
      <c r="DR76" s="57">
        <v>161.07926962024251</v>
      </c>
      <c r="DS76" s="57">
        <v>161.07926962024251</v>
      </c>
      <c r="DT76" s="5"/>
      <c r="DU76" s="73">
        <v>1812.7316673400001</v>
      </c>
      <c r="DV76" s="156">
        <v>0</v>
      </c>
      <c r="DW76" s="155">
        <v>774.18854033000002</v>
      </c>
      <c r="DX76" s="155">
        <v>0</v>
      </c>
      <c r="DY76" s="73">
        <v>0</v>
      </c>
      <c r="DZ76" s="156">
        <v>1553.672292</v>
      </c>
      <c r="EA76" s="73">
        <v>0</v>
      </c>
      <c r="EB76" s="156">
        <v>0</v>
      </c>
      <c r="EC76" s="73">
        <v>0</v>
      </c>
      <c r="ED76" s="156">
        <v>847.5</v>
      </c>
      <c r="EE76" s="73">
        <v>0</v>
      </c>
      <c r="EF76" s="156">
        <v>1211.65293916</v>
      </c>
      <c r="EG76" s="73">
        <v>1812.7316673400001</v>
      </c>
      <c r="EH76" s="156">
        <v>0</v>
      </c>
      <c r="EI76" s="159">
        <v>1553.672292</v>
      </c>
      <c r="EJ76" s="162">
        <v>847.5</v>
      </c>
      <c r="EK76" s="165">
        <v>735.83500000000004</v>
      </c>
      <c r="EL76" s="159">
        <v>0</v>
      </c>
      <c r="EM76" s="159">
        <f t="shared" si="461"/>
        <v>2833.34147949</v>
      </c>
      <c r="EN76" s="159">
        <f t="shared" si="462"/>
        <v>0</v>
      </c>
      <c r="EP76" s="2">
        <v>20065.234049999999</v>
      </c>
      <c r="EQ76" s="5">
        <f t="shared" si="463"/>
        <v>0.81699999999999995</v>
      </c>
    </row>
    <row r="77" spans="13:147" x14ac:dyDescent="0.35">
      <c r="M77" s="5"/>
      <c r="N77" s="66">
        <f t="shared" si="464"/>
        <v>75</v>
      </c>
      <c r="O77" s="78">
        <v>0</v>
      </c>
      <c r="P77" s="77">
        <f t="shared" si="431"/>
        <v>0</v>
      </c>
      <c r="Q77" s="104">
        <v>0</v>
      </c>
      <c r="R77" s="77">
        <f t="shared" si="432"/>
        <v>0</v>
      </c>
      <c r="S77" s="104">
        <v>0</v>
      </c>
      <c r="T77" s="77">
        <f t="shared" si="433"/>
        <v>0</v>
      </c>
      <c r="U77" s="104">
        <v>0</v>
      </c>
      <c r="V77" s="77">
        <f t="shared" si="419"/>
        <v>0</v>
      </c>
      <c r="W77" s="104">
        <v>0</v>
      </c>
      <c r="X77" s="77">
        <f t="shared" si="420"/>
        <v>0</v>
      </c>
      <c r="Y77" s="104">
        <v>0</v>
      </c>
      <c r="Z77" s="77">
        <f t="shared" si="434"/>
        <v>0</v>
      </c>
      <c r="AA77" s="104">
        <v>0</v>
      </c>
      <c r="AB77" s="77">
        <f t="shared" si="435"/>
        <v>0</v>
      </c>
      <c r="AC77" s="5"/>
      <c r="AD77" s="66">
        <f t="shared" si="465"/>
        <v>75</v>
      </c>
      <c r="AE77" s="78">
        <v>2936.9933999999998</v>
      </c>
      <c r="AF77" s="104">
        <v>867.1</v>
      </c>
      <c r="AG77" s="78">
        <v>188.5</v>
      </c>
      <c r="AH77" s="61">
        <f t="shared" si="436"/>
        <v>3.2999999999999995E-2</v>
      </c>
      <c r="AI77" s="61">
        <f t="shared" si="437"/>
        <v>0.377</v>
      </c>
      <c r="AJ77" s="61">
        <f t="shared" si="438"/>
        <v>0.377</v>
      </c>
      <c r="AK77" s="77">
        <v>60.078000000000003</v>
      </c>
      <c r="AL77" s="104">
        <v>547.24919999999997</v>
      </c>
      <c r="AM77" s="61">
        <f t="shared" si="421"/>
        <v>9.2999999999999999E-2</v>
      </c>
      <c r="AN77" s="57">
        <f t="shared" si="422"/>
        <v>4.6999999999999993E-2</v>
      </c>
      <c r="AO77" s="78">
        <v>6645.4</v>
      </c>
      <c r="AP77" s="104">
        <v>10188.15</v>
      </c>
      <c r="AQ77" s="61">
        <f t="shared" si="439"/>
        <v>0.14899999999999999</v>
      </c>
      <c r="AR77" s="57">
        <f t="shared" si="440"/>
        <v>0.434</v>
      </c>
      <c r="AS77" s="45"/>
      <c r="AT77" s="78">
        <v>980.13900000000001</v>
      </c>
      <c r="AU77" s="77">
        <f t="shared" si="423"/>
        <v>0.39800012994079575</v>
      </c>
      <c r="AV77" s="78">
        <v>845.53800000000001</v>
      </c>
      <c r="AW77" s="77">
        <f t="shared" si="424"/>
        <v>0.52615930304915992</v>
      </c>
      <c r="AX77" s="78">
        <v>1121.4780000000001</v>
      </c>
      <c r="AY77" s="77">
        <f t="shared" si="441"/>
        <v>0.5784392407674851</v>
      </c>
      <c r="AZ77" s="45"/>
      <c r="BA77" s="75">
        <v>52500.305999999997</v>
      </c>
      <c r="BB77" s="77">
        <f t="shared" si="442"/>
        <v>0.75409836065573765</v>
      </c>
      <c r="BC77" s="45"/>
      <c r="BD77" s="105">
        <v>1240.731</v>
      </c>
      <c r="BE77" s="45">
        <v>0</v>
      </c>
      <c r="BF77" s="106">
        <v>0</v>
      </c>
      <c r="BG77" s="107">
        <f t="shared" si="443"/>
        <v>3.8059233128834358E-2</v>
      </c>
      <c r="BH77" s="108">
        <f t="shared" si="444"/>
        <v>0</v>
      </c>
      <c r="BI77" s="106">
        <v>0</v>
      </c>
      <c r="BJ77" s="106">
        <v>0</v>
      </c>
      <c r="BK77" s="106">
        <v>0</v>
      </c>
      <c r="BL77" s="106">
        <v>1259.7349999999999</v>
      </c>
      <c r="BM77" s="107">
        <f t="shared" si="445"/>
        <v>9.3466018697136069E-2</v>
      </c>
      <c r="BN77" s="108">
        <f t="shared" si="446"/>
        <v>0</v>
      </c>
      <c r="BO77" s="45">
        <v>7668</v>
      </c>
      <c r="BP77" s="45">
        <v>648.91656161999992</v>
      </c>
      <c r="BQ77" s="45"/>
      <c r="BR77" s="109">
        <v>-700</v>
      </c>
      <c r="BS77" s="45">
        <f t="shared" si="447"/>
        <v>0</v>
      </c>
      <c r="BT77" s="45">
        <v>4485</v>
      </c>
      <c r="BU77" s="45">
        <f t="shared" si="447"/>
        <v>4485</v>
      </c>
      <c r="BV77" s="45">
        <v>0</v>
      </c>
      <c r="BW77" s="45">
        <f t="shared" ref="BW77:BY77" si="514">IF(BV77&gt;0,BV77,0)</f>
        <v>0</v>
      </c>
      <c r="BX77" s="45">
        <v>-5000</v>
      </c>
      <c r="BY77" s="45">
        <f t="shared" si="514"/>
        <v>0</v>
      </c>
      <c r="BZ77" s="45">
        <v>3798.7846338999998</v>
      </c>
      <c r="CA77" s="45">
        <f t="shared" ref="CA77:CC77" si="515">IF(BZ77&gt;0,BZ77,0)</f>
        <v>3798.7846338999998</v>
      </c>
      <c r="CB77" s="45">
        <v>-4000</v>
      </c>
      <c r="CC77" s="45">
        <f t="shared" si="515"/>
        <v>0</v>
      </c>
      <c r="CD77" s="45">
        <v>4800</v>
      </c>
      <c r="CE77" s="45">
        <f t="shared" ref="CE77:CG77" si="516">IF(CD77&gt;0,CD77,0)</f>
        <v>4800</v>
      </c>
      <c r="CF77" s="45">
        <v>10764.868305280001</v>
      </c>
      <c r="CG77" s="45">
        <f t="shared" si="516"/>
        <v>10764.868305280001</v>
      </c>
      <c r="CH77" s="107">
        <f t="shared" si="451"/>
        <v>23848.65293918</v>
      </c>
      <c r="CI77" s="45"/>
      <c r="CJ77" s="109">
        <v>-700</v>
      </c>
      <c r="CK77" s="45">
        <f t="shared" si="452"/>
        <v>700</v>
      </c>
      <c r="CL77" s="45">
        <v>4485</v>
      </c>
      <c r="CM77" s="45">
        <f t="shared" si="452"/>
        <v>0</v>
      </c>
      <c r="CN77" s="45">
        <v>0</v>
      </c>
      <c r="CO77" s="45">
        <f t="shared" ref="CO77:CQ77" si="517">IF(CN77&lt;0,-CN77,0)</f>
        <v>0</v>
      </c>
      <c r="CP77" s="45">
        <v>-5000</v>
      </c>
      <c r="CQ77" s="45">
        <f t="shared" si="517"/>
        <v>5000</v>
      </c>
      <c r="CR77" s="45">
        <v>3798.7846338999998</v>
      </c>
      <c r="CS77" s="45">
        <f t="shared" ref="CS77:CU77" si="518">IF(CR77&lt;0,-CR77,0)</f>
        <v>0</v>
      </c>
      <c r="CT77" s="45">
        <v>-4000</v>
      </c>
      <c r="CU77" s="45">
        <f t="shared" si="518"/>
        <v>4000</v>
      </c>
      <c r="CV77" s="45">
        <v>4800</v>
      </c>
      <c r="CW77" s="45">
        <f t="shared" ref="CW77:CY77" si="519">IF(CV77&lt;0,-CV77,0)</f>
        <v>0</v>
      </c>
      <c r="CX77" s="45">
        <v>10764.868305280001</v>
      </c>
      <c r="CY77" s="45">
        <f t="shared" si="519"/>
        <v>0</v>
      </c>
      <c r="CZ77" s="107">
        <f t="shared" si="456"/>
        <v>9700</v>
      </c>
      <c r="DA77" s="45"/>
      <c r="DB77" s="110">
        <v>29181.821</v>
      </c>
      <c r="DC77" s="57">
        <v>1956.6310000000001</v>
      </c>
      <c r="DD77" s="61">
        <v>1480.1251400051999</v>
      </c>
      <c r="DE77" s="61">
        <f t="shared" si="457"/>
        <v>32618.5771400052</v>
      </c>
      <c r="DF77" s="110">
        <v>7535.4129999999996</v>
      </c>
      <c r="DG77" s="110">
        <v>52966.411</v>
      </c>
      <c r="DH77" s="57">
        <v>6266</v>
      </c>
      <c r="DI77" s="107">
        <f t="shared" si="458"/>
        <v>59232.411</v>
      </c>
      <c r="DJ77" s="45"/>
      <c r="DK77" s="110">
        <v>721.03</v>
      </c>
      <c r="DL77" s="57">
        <v>10493.065843074541</v>
      </c>
      <c r="DM77" s="57">
        <f t="shared" si="459"/>
        <v>11214.095843074541</v>
      </c>
      <c r="DN77" s="61">
        <v>1169.3240409390189</v>
      </c>
      <c r="DO77" s="61">
        <v>2899.4268531643638</v>
      </c>
      <c r="DP77" s="61">
        <v>0</v>
      </c>
      <c r="DQ77" s="57">
        <f t="shared" si="460"/>
        <v>2899.4268531643638</v>
      </c>
      <c r="DR77" s="57">
        <v>161.07926962024251</v>
      </c>
      <c r="DS77" s="57">
        <v>161.07926962024251</v>
      </c>
      <c r="DT77" s="5"/>
      <c r="DU77" s="73">
        <v>1661.3880673399999</v>
      </c>
      <c r="DV77" s="156">
        <v>0</v>
      </c>
      <c r="DW77" s="155">
        <v>522.60854032999998</v>
      </c>
      <c r="DX77" s="155">
        <v>0</v>
      </c>
      <c r="DY77" s="73">
        <v>0</v>
      </c>
      <c r="DZ77" s="156">
        <v>1553.672292</v>
      </c>
      <c r="EA77" s="73">
        <v>0</v>
      </c>
      <c r="EB77" s="156">
        <v>0</v>
      </c>
      <c r="EC77" s="73">
        <v>0</v>
      </c>
      <c r="ED77" s="156">
        <v>847.5</v>
      </c>
      <c r="EE77" s="73">
        <v>0</v>
      </c>
      <c r="EF77" s="156">
        <v>1614.57653916</v>
      </c>
      <c r="EG77" s="73">
        <v>1661.3880673399999</v>
      </c>
      <c r="EH77" s="156">
        <v>0</v>
      </c>
      <c r="EI77" s="159">
        <v>1553.672292</v>
      </c>
      <c r="EJ77" s="162">
        <v>847.5</v>
      </c>
      <c r="EK77" s="165">
        <v>735.83500000000004</v>
      </c>
      <c r="EL77" s="159">
        <v>0</v>
      </c>
      <c r="EM77" s="159">
        <f t="shared" si="461"/>
        <v>2984.6850794900001</v>
      </c>
      <c r="EN77" s="159">
        <f t="shared" si="462"/>
        <v>0</v>
      </c>
      <c r="EP77" s="2">
        <v>20065.234049999999</v>
      </c>
      <c r="EQ77" s="5">
        <f t="shared" si="463"/>
        <v>0.81699999999999995</v>
      </c>
    </row>
    <row r="78" spans="13:147" x14ac:dyDescent="0.35">
      <c r="M78" s="5"/>
      <c r="N78" s="66">
        <f t="shared" si="464"/>
        <v>76</v>
      </c>
      <c r="O78" s="78">
        <v>0</v>
      </c>
      <c r="P78" s="77">
        <f t="shared" si="431"/>
        <v>0</v>
      </c>
      <c r="Q78" s="104">
        <v>0</v>
      </c>
      <c r="R78" s="77">
        <f t="shared" si="432"/>
        <v>0</v>
      </c>
      <c r="S78" s="104">
        <v>0</v>
      </c>
      <c r="T78" s="77">
        <f t="shared" si="433"/>
        <v>0</v>
      </c>
      <c r="U78" s="104">
        <v>0</v>
      </c>
      <c r="V78" s="77">
        <f t="shared" si="419"/>
        <v>0</v>
      </c>
      <c r="W78" s="104">
        <v>0</v>
      </c>
      <c r="X78" s="77">
        <f t="shared" si="420"/>
        <v>0</v>
      </c>
      <c r="Y78" s="104">
        <v>0</v>
      </c>
      <c r="Z78" s="77">
        <f t="shared" si="434"/>
        <v>0</v>
      </c>
      <c r="AA78" s="104">
        <v>0</v>
      </c>
      <c r="AB78" s="77">
        <f t="shared" si="435"/>
        <v>0</v>
      </c>
      <c r="AC78" s="5"/>
      <c r="AD78" s="66">
        <f t="shared" si="465"/>
        <v>76</v>
      </c>
      <c r="AE78" s="78">
        <v>3648.9917999999998</v>
      </c>
      <c r="AF78" s="104">
        <v>959.1</v>
      </c>
      <c r="AG78" s="78">
        <v>208.5</v>
      </c>
      <c r="AH78" s="61">
        <f t="shared" si="436"/>
        <v>4.0999999999999995E-2</v>
      </c>
      <c r="AI78" s="61">
        <f t="shared" si="437"/>
        <v>0.41700000000000004</v>
      </c>
      <c r="AJ78" s="61">
        <f t="shared" si="438"/>
        <v>0.41699999999999998</v>
      </c>
      <c r="AK78" s="77">
        <v>60.078000000000003</v>
      </c>
      <c r="AL78" s="104">
        <v>500.6748</v>
      </c>
      <c r="AM78" s="61">
        <f t="shared" si="421"/>
        <v>9.2999999999999999E-2</v>
      </c>
      <c r="AN78" s="57">
        <f t="shared" si="422"/>
        <v>4.2999999999999997E-2</v>
      </c>
      <c r="AO78" s="78">
        <v>6467</v>
      </c>
      <c r="AP78" s="104">
        <v>10493.325000000001</v>
      </c>
      <c r="AQ78" s="61">
        <f t="shared" si="439"/>
        <v>0.14499999999999999</v>
      </c>
      <c r="AR78" s="57">
        <f t="shared" si="440"/>
        <v>0.44700000000000001</v>
      </c>
      <c r="AS78" s="45"/>
      <c r="AT78" s="78">
        <v>975.21299999999997</v>
      </c>
      <c r="AU78" s="77">
        <f t="shared" si="423"/>
        <v>0.3959998538166048</v>
      </c>
      <c r="AV78" s="78">
        <v>846.03599999999994</v>
      </c>
      <c r="AW78" s="77">
        <f t="shared" si="424"/>
        <v>0.52646919726197883</v>
      </c>
      <c r="AX78" s="78">
        <v>1121.4780000000001</v>
      </c>
      <c r="AY78" s="77">
        <f t="shared" si="441"/>
        <v>0.5784392407674851</v>
      </c>
      <c r="AZ78" s="45"/>
      <c r="BA78" s="75">
        <v>52500.305999999997</v>
      </c>
      <c r="BB78" s="77">
        <f t="shared" si="442"/>
        <v>0.75409836065573765</v>
      </c>
      <c r="BC78" s="45"/>
      <c r="BD78" s="105">
        <v>1542.0930000000001</v>
      </c>
      <c r="BE78" s="45">
        <v>0</v>
      </c>
      <c r="BF78" s="106">
        <v>0</v>
      </c>
      <c r="BG78" s="107">
        <f t="shared" si="443"/>
        <v>4.7303466257668715E-2</v>
      </c>
      <c r="BH78" s="108">
        <f t="shared" si="444"/>
        <v>0</v>
      </c>
      <c r="BI78" s="106">
        <v>0</v>
      </c>
      <c r="BJ78" s="106">
        <v>0</v>
      </c>
      <c r="BK78" s="106">
        <v>0</v>
      </c>
      <c r="BL78" s="106">
        <v>1268.848</v>
      </c>
      <c r="BM78" s="107">
        <f t="shared" si="445"/>
        <v>9.4142157590146908E-2</v>
      </c>
      <c r="BN78" s="108">
        <f t="shared" si="446"/>
        <v>0</v>
      </c>
      <c r="BO78" s="45">
        <v>7668</v>
      </c>
      <c r="BP78" s="45">
        <v>648.91656161999992</v>
      </c>
      <c r="BQ78" s="45"/>
      <c r="BR78" s="109">
        <v>-700</v>
      </c>
      <c r="BS78" s="45">
        <f t="shared" si="447"/>
        <v>0</v>
      </c>
      <c r="BT78" s="45">
        <v>4485</v>
      </c>
      <c r="BU78" s="45">
        <f t="shared" si="447"/>
        <v>4485</v>
      </c>
      <c r="BV78" s="45">
        <v>0</v>
      </c>
      <c r="BW78" s="45">
        <f t="shared" ref="BW78:BY78" si="520">IF(BV78&gt;0,BV78,0)</f>
        <v>0</v>
      </c>
      <c r="BX78" s="45">
        <v>-5000</v>
      </c>
      <c r="BY78" s="45">
        <f t="shared" si="520"/>
        <v>0</v>
      </c>
      <c r="BZ78" s="45">
        <v>1594.56085736</v>
      </c>
      <c r="CA78" s="45">
        <f t="shared" ref="CA78:CC78" si="521">IF(BZ78&gt;0,BZ78,0)</f>
        <v>1594.56085736</v>
      </c>
      <c r="CB78" s="45">
        <v>-4000</v>
      </c>
      <c r="CC78" s="45">
        <f t="shared" si="521"/>
        <v>0</v>
      </c>
      <c r="CD78" s="45">
        <v>4800</v>
      </c>
      <c r="CE78" s="45">
        <f t="shared" ref="CE78:CG78" si="522">IF(CD78&gt;0,CD78,0)</f>
        <v>4800</v>
      </c>
      <c r="CF78" s="45">
        <v>10379.93016704</v>
      </c>
      <c r="CG78" s="45">
        <f t="shared" si="522"/>
        <v>10379.93016704</v>
      </c>
      <c r="CH78" s="107">
        <f t="shared" si="451"/>
        <v>21259.491024399998</v>
      </c>
      <c r="CI78" s="45"/>
      <c r="CJ78" s="109">
        <v>-700</v>
      </c>
      <c r="CK78" s="45">
        <f t="shared" si="452"/>
        <v>700</v>
      </c>
      <c r="CL78" s="45">
        <v>4485</v>
      </c>
      <c r="CM78" s="45">
        <f t="shared" si="452"/>
        <v>0</v>
      </c>
      <c r="CN78" s="45">
        <v>0</v>
      </c>
      <c r="CO78" s="45">
        <f t="shared" ref="CO78:CQ78" si="523">IF(CN78&lt;0,-CN78,0)</f>
        <v>0</v>
      </c>
      <c r="CP78" s="45">
        <v>-5000</v>
      </c>
      <c r="CQ78" s="45">
        <f t="shared" si="523"/>
        <v>5000</v>
      </c>
      <c r="CR78" s="45">
        <v>1594.56085736</v>
      </c>
      <c r="CS78" s="45">
        <f t="shared" ref="CS78:CU78" si="524">IF(CR78&lt;0,-CR78,0)</f>
        <v>0</v>
      </c>
      <c r="CT78" s="45">
        <v>-4000</v>
      </c>
      <c r="CU78" s="45">
        <f t="shared" si="524"/>
        <v>4000</v>
      </c>
      <c r="CV78" s="45">
        <v>4800</v>
      </c>
      <c r="CW78" s="45">
        <f t="shared" ref="CW78:CY78" si="525">IF(CV78&lt;0,-CV78,0)</f>
        <v>0</v>
      </c>
      <c r="CX78" s="45">
        <v>10379.93016704</v>
      </c>
      <c r="CY78" s="45">
        <f t="shared" si="525"/>
        <v>0</v>
      </c>
      <c r="CZ78" s="107">
        <f t="shared" si="456"/>
        <v>9700</v>
      </c>
      <c r="DA78" s="45"/>
      <c r="DB78" s="110">
        <v>28856.415000000001</v>
      </c>
      <c r="DC78" s="57">
        <v>1936.335</v>
      </c>
      <c r="DD78" s="61">
        <v>2351.6052025873</v>
      </c>
      <c r="DE78" s="61">
        <f t="shared" si="457"/>
        <v>33144.3552025873</v>
      </c>
      <c r="DF78" s="110">
        <v>7377.8919999999998</v>
      </c>
      <c r="DG78" s="110">
        <v>51412.411</v>
      </c>
      <c r="DH78" s="57">
        <v>6202</v>
      </c>
      <c r="DI78" s="107">
        <f t="shared" si="458"/>
        <v>57614.411</v>
      </c>
      <c r="DJ78" s="45"/>
      <c r="DK78" s="110">
        <v>887.73900000000003</v>
      </c>
      <c r="DL78" s="57">
        <v>10493.065843074541</v>
      </c>
      <c r="DM78" s="57">
        <f t="shared" si="459"/>
        <v>11380.80484307454</v>
      </c>
      <c r="DN78" s="61">
        <v>1169.3240409390189</v>
      </c>
      <c r="DO78" s="61">
        <v>2899.4268531643638</v>
      </c>
      <c r="DP78" s="61">
        <v>0</v>
      </c>
      <c r="DQ78" s="57">
        <f t="shared" si="460"/>
        <v>2899.4268531643638</v>
      </c>
      <c r="DR78" s="57">
        <v>161.07926962024251</v>
      </c>
      <c r="DS78" s="57">
        <v>161.07926962024251</v>
      </c>
      <c r="DT78" s="5"/>
      <c r="DU78" s="73">
        <v>1440.95081734</v>
      </c>
      <c r="DV78" s="156">
        <v>0</v>
      </c>
      <c r="DW78" s="155">
        <v>271.02854033</v>
      </c>
      <c r="DX78" s="155">
        <v>0</v>
      </c>
      <c r="DY78" s="73">
        <v>0</v>
      </c>
      <c r="DZ78" s="156">
        <v>1553.672292</v>
      </c>
      <c r="EA78" s="73">
        <v>0</v>
      </c>
      <c r="EB78" s="156">
        <v>0</v>
      </c>
      <c r="EC78" s="73">
        <v>0</v>
      </c>
      <c r="ED78" s="156">
        <v>847.5</v>
      </c>
      <c r="EE78" s="73">
        <v>0</v>
      </c>
      <c r="EF78" s="156">
        <v>2086.5937891600001</v>
      </c>
      <c r="EG78" s="73">
        <v>1440.95081734</v>
      </c>
      <c r="EH78" s="156">
        <v>0</v>
      </c>
      <c r="EI78" s="159">
        <v>1553.672292</v>
      </c>
      <c r="EJ78" s="162">
        <v>847.5</v>
      </c>
      <c r="EK78" s="165">
        <v>735.83500000000004</v>
      </c>
      <c r="EL78" s="159">
        <v>0</v>
      </c>
      <c r="EM78" s="159">
        <f t="shared" si="461"/>
        <v>3205.1223294900001</v>
      </c>
      <c r="EN78" s="159">
        <f t="shared" si="462"/>
        <v>0</v>
      </c>
      <c r="EP78" s="2">
        <v>20065.234049999999</v>
      </c>
      <c r="EQ78" s="5">
        <f t="shared" si="463"/>
        <v>0.81699999999999995</v>
      </c>
    </row>
    <row r="79" spans="13:147" x14ac:dyDescent="0.35">
      <c r="M79" s="5"/>
      <c r="N79" s="66">
        <f t="shared" si="464"/>
        <v>77</v>
      </c>
      <c r="O79" s="78">
        <v>0</v>
      </c>
      <c r="P79" s="77">
        <f t="shared" si="431"/>
        <v>0</v>
      </c>
      <c r="Q79" s="104">
        <v>0</v>
      </c>
      <c r="R79" s="77">
        <f t="shared" si="432"/>
        <v>0</v>
      </c>
      <c r="S79" s="104">
        <v>0</v>
      </c>
      <c r="T79" s="77">
        <f t="shared" si="433"/>
        <v>0</v>
      </c>
      <c r="U79" s="104">
        <v>0</v>
      </c>
      <c r="V79" s="77">
        <f t="shared" si="419"/>
        <v>0</v>
      </c>
      <c r="W79" s="104">
        <v>0</v>
      </c>
      <c r="X79" s="77">
        <f t="shared" si="420"/>
        <v>0</v>
      </c>
      <c r="Y79" s="104">
        <v>0</v>
      </c>
      <c r="Z79" s="77">
        <f t="shared" si="434"/>
        <v>0</v>
      </c>
      <c r="AA79" s="104">
        <v>0</v>
      </c>
      <c r="AB79" s="77">
        <f t="shared" si="435"/>
        <v>0</v>
      </c>
      <c r="AC79" s="5"/>
      <c r="AD79" s="66">
        <f t="shared" si="465"/>
        <v>77</v>
      </c>
      <c r="AE79" s="78">
        <v>4538.9898000000003</v>
      </c>
      <c r="AF79" s="104">
        <v>1014.3</v>
      </c>
      <c r="AG79" s="78">
        <v>220.5</v>
      </c>
      <c r="AH79" s="61">
        <f t="shared" si="436"/>
        <v>5.1000000000000004E-2</v>
      </c>
      <c r="AI79" s="61">
        <f t="shared" si="437"/>
        <v>0.441</v>
      </c>
      <c r="AJ79" s="61">
        <f t="shared" si="438"/>
        <v>0.441</v>
      </c>
      <c r="AK79" s="77">
        <v>63.954000000000001</v>
      </c>
      <c r="AL79" s="104">
        <v>454.10039999999998</v>
      </c>
      <c r="AM79" s="61">
        <f t="shared" si="421"/>
        <v>9.9000000000000005E-2</v>
      </c>
      <c r="AN79" s="57">
        <f t="shared" si="422"/>
        <v>3.9E-2</v>
      </c>
      <c r="AO79" s="78">
        <v>6600.8</v>
      </c>
      <c r="AP79" s="104">
        <v>11103.674999999999</v>
      </c>
      <c r="AQ79" s="61">
        <f t="shared" si="439"/>
        <v>0.14799999999999999</v>
      </c>
      <c r="AR79" s="57">
        <f t="shared" si="440"/>
        <v>0.47299999999999998</v>
      </c>
      <c r="AS79" s="45"/>
      <c r="AT79" s="78">
        <v>989.98900000000003</v>
      </c>
      <c r="AU79" s="77">
        <f t="shared" si="423"/>
        <v>0.40199987005920429</v>
      </c>
      <c r="AV79" s="78">
        <v>848.31799999999998</v>
      </c>
      <c r="AW79" s="77">
        <f t="shared" si="424"/>
        <v>0.52788923459863102</v>
      </c>
      <c r="AX79" s="78">
        <v>1121.4780000000001</v>
      </c>
      <c r="AY79" s="77">
        <f t="shared" si="441"/>
        <v>0.5784392407674851</v>
      </c>
      <c r="AZ79" s="45"/>
      <c r="BA79" s="75">
        <v>52500.305999999997</v>
      </c>
      <c r="BB79" s="77">
        <f t="shared" si="442"/>
        <v>0.75409836065573765</v>
      </c>
      <c r="BC79" s="45"/>
      <c r="BD79" s="105">
        <v>1937.31</v>
      </c>
      <c r="BE79" s="45">
        <v>0</v>
      </c>
      <c r="BF79" s="106">
        <v>0</v>
      </c>
      <c r="BG79" s="107">
        <f t="shared" si="443"/>
        <v>5.9426687116564417E-2</v>
      </c>
      <c r="BH79" s="108">
        <f t="shared" si="444"/>
        <v>0</v>
      </c>
      <c r="BI79" s="106">
        <v>0</v>
      </c>
      <c r="BJ79" s="106">
        <v>0</v>
      </c>
      <c r="BK79" s="106">
        <v>0</v>
      </c>
      <c r="BL79" s="106">
        <v>1309.0920000000001</v>
      </c>
      <c r="BM79" s="107">
        <f t="shared" si="445"/>
        <v>9.7128060543107297E-2</v>
      </c>
      <c r="BN79" s="108">
        <f t="shared" si="446"/>
        <v>0</v>
      </c>
      <c r="BO79" s="45">
        <v>7668</v>
      </c>
      <c r="BP79" s="45">
        <v>649.37644352999996</v>
      </c>
      <c r="BQ79" s="45"/>
      <c r="BR79" s="109">
        <v>-700</v>
      </c>
      <c r="BS79" s="45">
        <f t="shared" si="447"/>
        <v>0</v>
      </c>
      <c r="BT79" s="45">
        <v>4485</v>
      </c>
      <c r="BU79" s="45">
        <f t="shared" si="447"/>
        <v>4485</v>
      </c>
      <c r="BV79" s="45">
        <v>0</v>
      </c>
      <c r="BW79" s="45">
        <f t="shared" ref="BW79:BY79" si="526">IF(BV79&gt;0,BV79,0)</f>
        <v>0</v>
      </c>
      <c r="BX79" s="45">
        <v>-5000</v>
      </c>
      <c r="BY79" s="45">
        <f t="shared" si="526"/>
        <v>0</v>
      </c>
      <c r="BZ79" s="45">
        <v>567.11536215000001</v>
      </c>
      <c r="CA79" s="45">
        <f t="shared" ref="CA79:CC79" si="527">IF(BZ79&gt;0,BZ79,0)</f>
        <v>567.11536215000001</v>
      </c>
      <c r="CB79" s="45">
        <v>-4000</v>
      </c>
      <c r="CC79" s="45">
        <f t="shared" si="527"/>
        <v>0</v>
      </c>
      <c r="CD79" s="45">
        <v>4800</v>
      </c>
      <c r="CE79" s="45">
        <f t="shared" ref="CE79:CG79" si="528">IF(CD79&gt;0,CD79,0)</f>
        <v>4800</v>
      </c>
      <c r="CF79" s="45">
        <v>9985.9656742299994</v>
      </c>
      <c r="CG79" s="45">
        <f t="shared" si="528"/>
        <v>9985.9656742299994</v>
      </c>
      <c r="CH79" s="107">
        <f t="shared" si="451"/>
        <v>19838.081036379997</v>
      </c>
      <c r="CI79" s="45"/>
      <c r="CJ79" s="109">
        <v>-700</v>
      </c>
      <c r="CK79" s="45">
        <f t="shared" si="452"/>
        <v>700</v>
      </c>
      <c r="CL79" s="45">
        <v>4485</v>
      </c>
      <c r="CM79" s="45">
        <f t="shared" si="452"/>
        <v>0</v>
      </c>
      <c r="CN79" s="45">
        <v>0</v>
      </c>
      <c r="CO79" s="45">
        <f t="shared" ref="CO79:CQ79" si="529">IF(CN79&lt;0,-CN79,0)</f>
        <v>0</v>
      </c>
      <c r="CP79" s="45">
        <v>-5000</v>
      </c>
      <c r="CQ79" s="45">
        <f t="shared" si="529"/>
        <v>5000</v>
      </c>
      <c r="CR79" s="45">
        <v>567.11536215000001</v>
      </c>
      <c r="CS79" s="45">
        <f t="shared" ref="CS79:CU79" si="530">IF(CR79&lt;0,-CR79,0)</f>
        <v>0</v>
      </c>
      <c r="CT79" s="45">
        <v>-4000</v>
      </c>
      <c r="CU79" s="45">
        <f t="shared" si="530"/>
        <v>4000</v>
      </c>
      <c r="CV79" s="45">
        <v>4800</v>
      </c>
      <c r="CW79" s="45">
        <f t="shared" ref="CW79:CY79" si="531">IF(CV79&lt;0,-CV79,0)</f>
        <v>0</v>
      </c>
      <c r="CX79" s="45">
        <v>9985.9656742299994</v>
      </c>
      <c r="CY79" s="45">
        <f t="shared" si="531"/>
        <v>0</v>
      </c>
      <c r="CZ79" s="107">
        <f t="shared" si="456"/>
        <v>9700</v>
      </c>
      <c r="DA79" s="45"/>
      <c r="DB79" s="110">
        <v>29612.21</v>
      </c>
      <c r="DC79" s="57">
        <v>1929.404</v>
      </c>
      <c r="DD79" s="61">
        <v>2647.9356198762998</v>
      </c>
      <c r="DE79" s="61">
        <f t="shared" si="457"/>
        <v>34189.549619876299</v>
      </c>
      <c r="DF79" s="110">
        <v>7355.5519999999997</v>
      </c>
      <c r="DG79" s="110">
        <v>51749.411</v>
      </c>
      <c r="DH79" s="57">
        <v>6327</v>
      </c>
      <c r="DI79" s="107">
        <f t="shared" si="458"/>
        <v>58076.411</v>
      </c>
      <c r="DJ79" s="45"/>
      <c r="DK79" s="110">
        <v>1077.923</v>
      </c>
      <c r="DL79" s="57">
        <v>10508.77584392489</v>
      </c>
      <c r="DM79" s="57">
        <f t="shared" si="459"/>
        <v>11586.698843924891</v>
      </c>
      <c r="DN79" s="61">
        <v>1169.3240409390189</v>
      </c>
      <c r="DO79" s="61">
        <v>2907.704727589607</v>
      </c>
      <c r="DP79" s="61">
        <v>0</v>
      </c>
      <c r="DQ79" s="57">
        <f t="shared" si="460"/>
        <v>2907.704727589607</v>
      </c>
      <c r="DR79" s="57">
        <v>161.53915153275599</v>
      </c>
      <c r="DS79" s="57">
        <v>161.53915153275599</v>
      </c>
      <c r="DT79" s="5"/>
      <c r="DU79" s="73">
        <v>1147.9433901</v>
      </c>
      <c r="DV79" s="156">
        <v>0</v>
      </c>
      <c r="DW79" s="155">
        <v>159.61015599999999</v>
      </c>
      <c r="DX79" s="155">
        <v>0</v>
      </c>
      <c r="DY79" s="73">
        <v>0</v>
      </c>
      <c r="DZ79" s="156">
        <v>1553.672292</v>
      </c>
      <c r="EA79" s="73">
        <v>0</v>
      </c>
      <c r="EB79" s="156">
        <v>0</v>
      </c>
      <c r="EC79" s="73">
        <v>0</v>
      </c>
      <c r="ED79" s="156">
        <v>847.5</v>
      </c>
      <c r="EE79" s="73">
        <v>0</v>
      </c>
      <c r="EF79" s="156">
        <v>2482.7417263100001</v>
      </c>
      <c r="EG79" s="73">
        <v>1147.9433901</v>
      </c>
      <c r="EH79" s="156">
        <v>0</v>
      </c>
      <c r="EI79" s="159">
        <v>1553.672292</v>
      </c>
      <c r="EJ79" s="162">
        <v>847.5</v>
      </c>
      <c r="EK79" s="165">
        <v>735.83500000000004</v>
      </c>
      <c r="EL79" s="159">
        <v>0</v>
      </c>
      <c r="EM79" s="159">
        <f t="shared" si="461"/>
        <v>3489.8518823100003</v>
      </c>
      <c r="EN79" s="159">
        <f t="shared" si="462"/>
        <v>0</v>
      </c>
      <c r="EP79" s="2">
        <v>19598.600699999999</v>
      </c>
      <c r="EQ79" s="5">
        <f t="shared" si="463"/>
        <v>0.79799999999999993</v>
      </c>
    </row>
    <row r="80" spans="13:147" x14ac:dyDescent="0.35">
      <c r="M80" s="5"/>
      <c r="N80" s="66">
        <f t="shared" si="464"/>
        <v>78</v>
      </c>
      <c r="O80" s="78">
        <v>0</v>
      </c>
      <c r="P80" s="77">
        <f t="shared" si="431"/>
        <v>0</v>
      </c>
      <c r="Q80" s="104">
        <v>0</v>
      </c>
      <c r="R80" s="77">
        <f t="shared" si="432"/>
        <v>0</v>
      </c>
      <c r="S80" s="104">
        <v>0</v>
      </c>
      <c r="T80" s="77">
        <f t="shared" si="433"/>
        <v>0</v>
      </c>
      <c r="U80" s="104">
        <v>0</v>
      </c>
      <c r="V80" s="77">
        <f t="shared" si="419"/>
        <v>0</v>
      </c>
      <c r="W80" s="104">
        <v>0</v>
      </c>
      <c r="X80" s="77">
        <f t="shared" si="420"/>
        <v>0</v>
      </c>
      <c r="Y80" s="104">
        <v>0</v>
      </c>
      <c r="Z80" s="77">
        <f t="shared" si="434"/>
        <v>0</v>
      </c>
      <c r="AA80" s="104">
        <v>0</v>
      </c>
      <c r="AB80" s="77">
        <f t="shared" si="435"/>
        <v>0</v>
      </c>
      <c r="AC80" s="5"/>
      <c r="AD80" s="66">
        <f t="shared" si="465"/>
        <v>78</v>
      </c>
      <c r="AE80" s="78">
        <v>5250.9881999999998</v>
      </c>
      <c r="AF80" s="104">
        <v>1048.8</v>
      </c>
      <c r="AG80" s="78">
        <v>228</v>
      </c>
      <c r="AH80" s="61">
        <f t="shared" si="436"/>
        <v>5.8999999999999997E-2</v>
      </c>
      <c r="AI80" s="61">
        <f t="shared" si="437"/>
        <v>0.45599999999999996</v>
      </c>
      <c r="AJ80" s="61">
        <f t="shared" si="438"/>
        <v>0.45600000000000002</v>
      </c>
      <c r="AK80" s="77">
        <v>68.475999999999999</v>
      </c>
      <c r="AL80" s="104">
        <v>454.10039999999998</v>
      </c>
      <c r="AM80" s="61">
        <f t="shared" si="421"/>
        <v>0.106</v>
      </c>
      <c r="AN80" s="57">
        <f t="shared" si="422"/>
        <v>3.9E-2</v>
      </c>
      <c r="AO80" s="78">
        <v>6957.6</v>
      </c>
      <c r="AP80" s="104">
        <v>11972.25</v>
      </c>
      <c r="AQ80" s="61">
        <f t="shared" si="439"/>
        <v>0.156</v>
      </c>
      <c r="AR80" s="57">
        <f t="shared" si="440"/>
        <v>0.51</v>
      </c>
      <c r="AS80" s="45"/>
      <c r="AT80" s="78">
        <v>1004.765</v>
      </c>
      <c r="AU80" s="77">
        <f t="shared" si="423"/>
        <v>0.40799988630180378</v>
      </c>
      <c r="AV80" s="78">
        <v>868.93600000000004</v>
      </c>
      <c r="AW80" s="77">
        <f t="shared" si="424"/>
        <v>0.54071935283136285</v>
      </c>
      <c r="AX80" s="78">
        <v>1121.4780000000001</v>
      </c>
      <c r="AY80" s="77">
        <f t="shared" si="441"/>
        <v>0.5784392407674851</v>
      </c>
      <c r="AZ80" s="45"/>
      <c r="BA80" s="75">
        <v>52500.305999999997</v>
      </c>
      <c r="BB80" s="77">
        <f t="shared" si="442"/>
        <v>0.75409836065573765</v>
      </c>
      <c r="BC80" s="45"/>
      <c r="BD80" s="105">
        <v>2256.1840000000002</v>
      </c>
      <c r="BE80" s="45">
        <v>0</v>
      </c>
      <c r="BF80" s="106">
        <v>0</v>
      </c>
      <c r="BG80" s="107">
        <f t="shared" si="443"/>
        <v>6.9208098159509207E-2</v>
      </c>
      <c r="BH80" s="108">
        <f t="shared" si="444"/>
        <v>0</v>
      </c>
      <c r="BI80" s="106">
        <v>0</v>
      </c>
      <c r="BJ80" s="106">
        <v>0</v>
      </c>
      <c r="BK80" s="106">
        <v>0</v>
      </c>
      <c r="BL80" s="106">
        <v>1367.037</v>
      </c>
      <c r="BM80" s="107">
        <f t="shared" si="445"/>
        <v>0.10142728891526934</v>
      </c>
      <c r="BN80" s="108">
        <f t="shared" si="446"/>
        <v>0</v>
      </c>
      <c r="BO80" s="45">
        <v>7668</v>
      </c>
      <c r="BP80" s="45">
        <v>650.29620735999993</v>
      </c>
      <c r="BQ80" s="45"/>
      <c r="BR80" s="109">
        <v>-700</v>
      </c>
      <c r="BS80" s="45">
        <f t="shared" si="447"/>
        <v>0</v>
      </c>
      <c r="BT80" s="45">
        <v>4485</v>
      </c>
      <c r="BU80" s="45">
        <f t="shared" si="447"/>
        <v>4485</v>
      </c>
      <c r="BV80" s="45">
        <v>0</v>
      </c>
      <c r="BW80" s="45">
        <f t="shared" ref="BW80:BY80" si="532">IF(BV80&gt;0,BV80,0)</f>
        <v>0</v>
      </c>
      <c r="BX80" s="45">
        <v>-5000</v>
      </c>
      <c r="BY80" s="45">
        <f t="shared" si="532"/>
        <v>0</v>
      </c>
      <c r="BZ80" s="45">
        <v>-1553.6763155900001</v>
      </c>
      <c r="CA80" s="45">
        <f t="shared" ref="CA80:CC80" si="533">IF(BZ80&gt;0,BZ80,0)</f>
        <v>0</v>
      </c>
      <c r="CB80" s="45">
        <v>-4000</v>
      </c>
      <c r="CC80" s="45">
        <f t="shared" si="533"/>
        <v>0</v>
      </c>
      <c r="CD80" s="45">
        <v>4800</v>
      </c>
      <c r="CE80" s="45">
        <f t="shared" ref="CE80:CG80" si="534">IF(CD80&gt;0,CD80,0)</f>
        <v>4800</v>
      </c>
      <c r="CF80" s="45">
        <v>7800.20036299</v>
      </c>
      <c r="CG80" s="45">
        <f t="shared" si="534"/>
        <v>7800.20036299</v>
      </c>
      <c r="CH80" s="107">
        <f t="shared" si="451"/>
        <v>17085.200362989999</v>
      </c>
      <c r="CI80" s="45"/>
      <c r="CJ80" s="109">
        <v>-700</v>
      </c>
      <c r="CK80" s="45">
        <f t="shared" si="452"/>
        <v>700</v>
      </c>
      <c r="CL80" s="45">
        <v>4485</v>
      </c>
      <c r="CM80" s="45">
        <f t="shared" si="452"/>
        <v>0</v>
      </c>
      <c r="CN80" s="45">
        <v>0</v>
      </c>
      <c r="CO80" s="45">
        <f t="shared" ref="CO80:CQ80" si="535">IF(CN80&lt;0,-CN80,0)</f>
        <v>0</v>
      </c>
      <c r="CP80" s="45">
        <v>-5000</v>
      </c>
      <c r="CQ80" s="45">
        <f t="shared" si="535"/>
        <v>5000</v>
      </c>
      <c r="CR80" s="45">
        <v>-1553.6763155900001</v>
      </c>
      <c r="CS80" s="45">
        <f t="shared" ref="CS80:CU80" si="536">IF(CR80&lt;0,-CR80,0)</f>
        <v>1553.6763155900001</v>
      </c>
      <c r="CT80" s="45">
        <v>-4000</v>
      </c>
      <c r="CU80" s="45">
        <f t="shared" si="536"/>
        <v>4000</v>
      </c>
      <c r="CV80" s="45">
        <v>4800</v>
      </c>
      <c r="CW80" s="45">
        <f t="shared" ref="CW80:CY80" si="537">IF(CV80&lt;0,-CV80,0)</f>
        <v>0</v>
      </c>
      <c r="CX80" s="45">
        <v>7800.20036299</v>
      </c>
      <c r="CY80" s="45">
        <f t="shared" si="537"/>
        <v>0</v>
      </c>
      <c r="CZ80" s="107">
        <f t="shared" si="456"/>
        <v>11253.676315590001</v>
      </c>
      <c r="DA80" s="45"/>
      <c r="DB80" s="110">
        <v>31739.401999999998</v>
      </c>
      <c r="DC80" s="57">
        <v>1941.3789999999999</v>
      </c>
      <c r="DD80" s="61">
        <v>2859.1121627580001</v>
      </c>
      <c r="DE80" s="61">
        <f t="shared" si="457"/>
        <v>36539.893162757995</v>
      </c>
      <c r="DF80" s="110">
        <v>7492.3559999999998</v>
      </c>
      <c r="DG80" s="110">
        <v>54057.411</v>
      </c>
      <c r="DH80" s="57">
        <v>6467</v>
      </c>
      <c r="DI80" s="107">
        <f t="shared" si="458"/>
        <v>60524.411</v>
      </c>
      <c r="DJ80" s="45"/>
      <c r="DK80" s="110">
        <v>916.45799999999997</v>
      </c>
      <c r="DL80" s="57">
        <v>10540.1958456256</v>
      </c>
      <c r="DM80" s="57">
        <f t="shared" si="459"/>
        <v>11456.6538456256</v>
      </c>
      <c r="DN80" s="61">
        <v>1267.2805174159189</v>
      </c>
      <c r="DO80" s="61">
        <v>2924.2604764400921</v>
      </c>
      <c r="DP80" s="61">
        <v>0</v>
      </c>
      <c r="DQ80" s="57">
        <f t="shared" si="460"/>
        <v>2924.2604764400921</v>
      </c>
      <c r="DR80" s="57">
        <v>162.4589153577829</v>
      </c>
      <c r="DS80" s="57">
        <v>162.4589153577829</v>
      </c>
      <c r="DT80" s="5"/>
      <c r="DU80" s="73">
        <v>281.75628548999998</v>
      </c>
      <c r="DV80" s="156">
        <v>0</v>
      </c>
      <c r="DW80" s="155">
        <v>121.54151176000001</v>
      </c>
      <c r="DX80" s="155">
        <v>0</v>
      </c>
      <c r="DY80" s="73">
        <v>0</v>
      </c>
      <c r="DZ80" s="156">
        <v>1553.672292</v>
      </c>
      <c r="EA80" s="73">
        <v>0</v>
      </c>
      <c r="EB80" s="156">
        <v>0</v>
      </c>
      <c r="EC80" s="73">
        <v>0</v>
      </c>
      <c r="ED80" s="156">
        <v>847.5</v>
      </c>
      <c r="EE80" s="73">
        <v>0</v>
      </c>
      <c r="EF80" s="156">
        <v>3370.4417263099999</v>
      </c>
      <c r="EG80" s="73">
        <v>281.75628548999998</v>
      </c>
      <c r="EH80" s="156">
        <v>0</v>
      </c>
      <c r="EI80" s="159">
        <v>1553.672292</v>
      </c>
      <c r="EJ80" s="162">
        <v>847.5</v>
      </c>
      <c r="EK80" s="165">
        <v>735.83500000000004</v>
      </c>
      <c r="EL80" s="159">
        <v>0</v>
      </c>
      <c r="EM80" s="159">
        <f t="shared" si="461"/>
        <v>4339.48323807</v>
      </c>
      <c r="EN80" s="159">
        <f t="shared" si="462"/>
        <v>0</v>
      </c>
      <c r="EP80" s="2">
        <v>19131.967349999999</v>
      </c>
      <c r="EQ80" s="5">
        <f t="shared" si="463"/>
        <v>0.77899999999999991</v>
      </c>
    </row>
    <row r="81" spans="13:147" x14ac:dyDescent="0.35">
      <c r="M81" s="5"/>
      <c r="N81" s="66">
        <f t="shared" si="464"/>
        <v>79</v>
      </c>
      <c r="O81" s="78">
        <v>0</v>
      </c>
      <c r="P81" s="77">
        <f t="shared" si="431"/>
        <v>0</v>
      </c>
      <c r="Q81" s="104">
        <v>0</v>
      </c>
      <c r="R81" s="77">
        <f t="shared" si="432"/>
        <v>0</v>
      </c>
      <c r="S81" s="104">
        <v>0</v>
      </c>
      <c r="T81" s="77">
        <f t="shared" si="433"/>
        <v>0</v>
      </c>
      <c r="U81" s="104">
        <v>0</v>
      </c>
      <c r="V81" s="77">
        <f t="shared" si="419"/>
        <v>0</v>
      </c>
      <c r="W81" s="104">
        <v>0</v>
      </c>
      <c r="X81" s="77">
        <f t="shared" si="420"/>
        <v>0</v>
      </c>
      <c r="Y81" s="104">
        <v>0</v>
      </c>
      <c r="Z81" s="77">
        <f t="shared" si="434"/>
        <v>0</v>
      </c>
      <c r="AA81" s="104">
        <v>0</v>
      </c>
      <c r="AB81" s="77">
        <f t="shared" si="435"/>
        <v>0</v>
      </c>
      <c r="AC81" s="5"/>
      <c r="AD81" s="66">
        <f t="shared" si="465"/>
        <v>79</v>
      </c>
      <c r="AE81" s="78">
        <v>5873.9867999999997</v>
      </c>
      <c r="AF81" s="104">
        <v>1092.5</v>
      </c>
      <c r="AG81" s="78">
        <v>237.5</v>
      </c>
      <c r="AH81" s="61">
        <f t="shared" si="436"/>
        <v>6.5999999999999989E-2</v>
      </c>
      <c r="AI81" s="61">
        <f t="shared" si="437"/>
        <v>0.47499999999999998</v>
      </c>
      <c r="AJ81" s="61">
        <f t="shared" si="438"/>
        <v>0.47499999999999998</v>
      </c>
      <c r="AK81" s="77">
        <v>74.290000000000006</v>
      </c>
      <c r="AL81" s="104">
        <v>535.60559999999998</v>
      </c>
      <c r="AM81" s="61">
        <f t="shared" si="421"/>
        <v>0.115</v>
      </c>
      <c r="AN81" s="57">
        <f t="shared" si="422"/>
        <v>4.5999999999999999E-2</v>
      </c>
      <c r="AO81" s="78">
        <v>7537.4</v>
      </c>
      <c r="AP81" s="104">
        <v>13005.15</v>
      </c>
      <c r="AQ81" s="61">
        <f t="shared" si="439"/>
        <v>0.16899999999999998</v>
      </c>
      <c r="AR81" s="57">
        <f t="shared" si="440"/>
        <v>0.55399999999999994</v>
      </c>
      <c r="AS81" s="45"/>
      <c r="AT81" s="78">
        <v>1014.616</v>
      </c>
      <c r="AU81" s="77">
        <f t="shared" si="423"/>
        <v>0.41200003248519895</v>
      </c>
      <c r="AV81" s="78">
        <v>871.84100000000001</v>
      </c>
      <c r="AW81" s="77">
        <f t="shared" si="424"/>
        <v>0.54252706907280646</v>
      </c>
      <c r="AX81" s="78">
        <v>1121.4780000000001</v>
      </c>
      <c r="AY81" s="77">
        <f t="shared" si="441"/>
        <v>0.5784392407674851</v>
      </c>
      <c r="AZ81" s="45"/>
      <c r="BA81" s="75">
        <v>52500.305999999997</v>
      </c>
      <c r="BB81" s="77">
        <f t="shared" si="442"/>
        <v>0.75409836065573765</v>
      </c>
      <c r="BC81" s="45"/>
      <c r="BD81" s="105">
        <v>2510.2950000000001</v>
      </c>
      <c r="BE81" s="45">
        <v>0</v>
      </c>
      <c r="BF81" s="106">
        <v>0</v>
      </c>
      <c r="BG81" s="107">
        <f t="shared" si="443"/>
        <v>7.7002914110429449E-2</v>
      </c>
      <c r="BH81" s="108">
        <f t="shared" si="444"/>
        <v>0</v>
      </c>
      <c r="BI81" s="106">
        <v>0</v>
      </c>
      <c r="BJ81" s="106">
        <v>0</v>
      </c>
      <c r="BK81" s="106">
        <v>0</v>
      </c>
      <c r="BL81" s="106">
        <v>1435.5350000000001</v>
      </c>
      <c r="BM81" s="107">
        <f t="shared" si="445"/>
        <v>0.10650949695800564</v>
      </c>
      <c r="BN81" s="108">
        <f t="shared" si="446"/>
        <v>0</v>
      </c>
      <c r="BO81" s="45">
        <v>7668</v>
      </c>
      <c r="BP81" s="45">
        <v>650.75608927000007</v>
      </c>
      <c r="BQ81" s="45"/>
      <c r="BR81" s="109">
        <v>-700</v>
      </c>
      <c r="BS81" s="45">
        <f t="shared" si="447"/>
        <v>0</v>
      </c>
      <c r="BT81" s="45">
        <v>4485</v>
      </c>
      <c r="BU81" s="45">
        <f t="shared" si="447"/>
        <v>4485</v>
      </c>
      <c r="BV81" s="45">
        <v>0</v>
      </c>
      <c r="BW81" s="45">
        <f t="shared" ref="BW81:BY81" si="538">IF(BV81&gt;0,BV81,0)</f>
        <v>0</v>
      </c>
      <c r="BX81" s="45">
        <v>-5000</v>
      </c>
      <c r="BY81" s="45">
        <f t="shared" si="538"/>
        <v>0</v>
      </c>
      <c r="BZ81" s="45">
        <v>1008.36745999</v>
      </c>
      <c r="CA81" s="45">
        <f t="shared" ref="CA81:CC81" si="539">IF(BZ81&gt;0,BZ81,0)</f>
        <v>1008.36745999</v>
      </c>
      <c r="CB81" s="45">
        <v>-4000</v>
      </c>
      <c r="CC81" s="45">
        <f t="shared" si="539"/>
        <v>0</v>
      </c>
      <c r="CD81" s="45">
        <v>4800</v>
      </c>
      <c r="CE81" s="45">
        <f t="shared" ref="CE81:CG81" si="540">IF(CD81&gt;0,CD81,0)</f>
        <v>4800</v>
      </c>
      <c r="CF81" s="45">
        <v>7690.6581196899997</v>
      </c>
      <c r="CG81" s="45">
        <f t="shared" si="540"/>
        <v>7690.6581196899997</v>
      </c>
      <c r="CH81" s="107">
        <f t="shared" si="451"/>
        <v>17984.025579680001</v>
      </c>
      <c r="CI81" s="45"/>
      <c r="CJ81" s="109">
        <v>-700</v>
      </c>
      <c r="CK81" s="45">
        <f t="shared" si="452"/>
        <v>700</v>
      </c>
      <c r="CL81" s="45">
        <v>4485</v>
      </c>
      <c r="CM81" s="45">
        <f t="shared" si="452"/>
        <v>0</v>
      </c>
      <c r="CN81" s="45">
        <v>0</v>
      </c>
      <c r="CO81" s="45">
        <f t="shared" ref="CO81:CQ81" si="541">IF(CN81&lt;0,-CN81,0)</f>
        <v>0</v>
      </c>
      <c r="CP81" s="45">
        <v>-5000</v>
      </c>
      <c r="CQ81" s="45">
        <f t="shared" si="541"/>
        <v>5000</v>
      </c>
      <c r="CR81" s="45">
        <v>1008.36745999</v>
      </c>
      <c r="CS81" s="45">
        <f t="shared" ref="CS81:CU81" si="542">IF(CR81&lt;0,-CR81,0)</f>
        <v>0</v>
      </c>
      <c r="CT81" s="45">
        <v>-4000</v>
      </c>
      <c r="CU81" s="45">
        <f t="shared" si="542"/>
        <v>4000</v>
      </c>
      <c r="CV81" s="45">
        <v>4800</v>
      </c>
      <c r="CW81" s="45">
        <f t="shared" ref="CW81:CY81" si="543">IF(CV81&lt;0,-CV81,0)</f>
        <v>0</v>
      </c>
      <c r="CX81" s="45">
        <v>7690.6581196899997</v>
      </c>
      <c r="CY81" s="45">
        <f t="shared" si="543"/>
        <v>0</v>
      </c>
      <c r="CZ81" s="107">
        <f t="shared" si="456"/>
        <v>9700</v>
      </c>
      <c r="DA81" s="45"/>
      <c r="DB81" s="110">
        <v>34758.542000000001</v>
      </c>
      <c r="DC81" s="57">
        <v>1999.7629999999999</v>
      </c>
      <c r="DD81" s="61">
        <v>3630.2791162924</v>
      </c>
      <c r="DE81" s="61">
        <f t="shared" si="457"/>
        <v>40388.584116292397</v>
      </c>
      <c r="DF81" s="110">
        <v>7856.6260000000002</v>
      </c>
      <c r="DG81" s="110">
        <v>58367.411</v>
      </c>
      <c r="DH81" s="57">
        <v>6280</v>
      </c>
      <c r="DI81" s="107">
        <f t="shared" si="458"/>
        <v>64647.411</v>
      </c>
      <c r="DJ81" s="45"/>
      <c r="DK81" s="110">
        <v>916.37900000000002</v>
      </c>
      <c r="DL81" s="57">
        <v>10555.905846475949</v>
      </c>
      <c r="DM81" s="57">
        <f t="shared" si="459"/>
        <v>11472.28484647595</v>
      </c>
      <c r="DN81" s="61">
        <v>1365.2369938928191</v>
      </c>
      <c r="DO81" s="61">
        <v>2932.5383508653349</v>
      </c>
      <c r="DP81" s="61">
        <v>0</v>
      </c>
      <c r="DQ81" s="57">
        <f t="shared" si="460"/>
        <v>2932.5383508653349</v>
      </c>
      <c r="DR81" s="57">
        <v>162.91879727029641</v>
      </c>
      <c r="DS81" s="57">
        <v>162.91879727029641</v>
      </c>
      <c r="DT81" s="5"/>
      <c r="DU81" s="73">
        <v>0</v>
      </c>
      <c r="DV81" s="156">
        <v>762.68383259999996</v>
      </c>
      <c r="DW81" s="155">
        <v>270.00375542</v>
      </c>
      <c r="DX81" s="155">
        <v>0</v>
      </c>
      <c r="DY81" s="73">
        <v>0</v>
      </c>
      <c r="DZ81" s="156">
        <v>1553.672292</v>
      </c>
      <c r="EA81" s="73">
        <v>0</v>
      </c>
      <c r="EB81" s="156">
        <v>0</v>
      </c>
      <c r="EC81" s="73">
        <v>0</v>
      </c>
      <c r="ED81" s="156">
        <v>847.5</v>
      </c>
      <c r="EE81" s="73">
        <v>0</v>
      </c>
      <c r="EF81" s="156">
        <v>4258.1417263100002</v>
      </c>
      <c r="EG81" s="73">
        <v>0</v>
      </c>
      <c r="EH81" s="156">
        <v>762.68383259999996</v>
      </c>
      <c r="EI81" s="159">
        <v>1553.672292</v>
      </c>
      <c r="EJ81" s="162">
        <v>847.5</v>
      </c>
      <c r="EK81" s="165">
        <v>735.83500000000004</v>
      </c>
      <c r="EL81" s="159">
        <v>0</v>
      </c>
      <c r="EM81" s="159">
        <f t="shared" si="461"/>
        <v>5375.64548173</v>
      </c>
      <c r="EN81" s="159">
        <f t="shared" si="462"/>
        <v>0</v>
      </c>
      <c r="EP81" s="2">
        <v>19598.600699999999</v>
      </c>
      <c r="EQ81" s="5">
        <f t="shared" si="463"/>
        <v>0.79799999999999993</v>
      </c>
    </row>
    <row r="82" spans="13:147" x14ac:dyDescent="0.35">
      <c r="M82" s="5"/>
      <c r="N82" s="66">
        <f t="shared" si="464"/>
        <v>80</v>
      </c>
      <c r="O82" s="78">
        <v>0</v>
      </c>
      <c r="P82" s="77">
        <f t="shared" si="431"/>
        <v>0</v>
      </c>
      <c r="Q82" s="104">
        <v>0</v>
      </c>
      <c r="R82" s="77">
        <f t="shared" si="432"/>
        <v>0</v>
      </c>
      <c r="S82" s="104">
        <v>0</v>
      </c>
      <c r="T82" s="77">
        <f t="shared" si="433"/>
        <v>0</v>
      </c>
      <c r="U82" s="104">
        <v>0</v>
      </c>
      <c r="V82" s="77">
        <f t="shared" si="419"/>
        <v>0</v>
      </c>
      <c r="W82" s="104">
        <v>0</v>
      </c>
      <c r="X82" s="77">
        <f t="shared" si="420"/>
        <v>0</v>
      </c>
      <c r="Y82" s="104">
        <v>0</v>
      </c>
      <c r="Z82" s="77">
        <f t="shared" si="434"/>
        <v>0</v>
      </c>
      <c r="AA82" s="104">
        <v>0</v>
      </c>
      <c r="AB82" s="77">
        <f t="shared" si="435"/>
        <v>0</v>
      </c>
      <c r="AC82" s="5"/>
      <c r="AD82" s="66">
        <f t="shared" si="465"/>
        <v>80</v>
      </c>
      <c r="AE82" s="78">
        <v>6229.9859999999999</v>
      </c>
      <c r="AF82" s="104">
        <v>1145.4000000000001</v>
      </c>
      <c r="AG82" s="78">
        <v>249</v>
      </c>
      <c r="AH82" s="61">
        <f t="shared" si="436"/>
        <v>6.9999999999999993E-2</v>
      </c>
      <c r="AI82" s="61">
        <f t="shared" si="437"/>
        <v>0.49800000000000005</v>
      </c>
      <c r="AJ82" s="61">
        <f t="shared" si="438"/>
        <v>0.498</v>
      </c>
      <c r="AK82" s="77">
        <v>77.52</v>
      </c>
      <c r="AL82" s="104">
        <v>675.3288</v>
      </c>
      <c r="AM82" s="61">
        <f t="shared" si="421"/>
        <v>0.12</v>
      </c>
      <c r="AN82" s="57">
        <f t="shared" si="422"/>
        <v>5.7999999999999996E-2</v>
      </c>
      <c r="AO82" s="78">
        <v>8072.6</v>
      </c>
      <c r="AP82" s="104">
        <v>14789.25</v>
      </c>
      <c r="AQ82" s="61">
        <f t="shared" si="439"/>
        <v>0.18100000000000002</v>
      </c>
      <c r="AR82" s="57">
        <f t="shared" si="440"/>
        <v>0.63</v>
      </c>
      <c r="AS82" s="45"/>
      <c r="AT82" s="78">
        <v>1022.004</v>
      </c>
      <c r="AU82" s="77">
        <f t="shared" si="423"/>
        <v>0.4150000406064987</v>
      </c>
      <c r="AV82" s="78">
        <v>923.83699999999999</v>
      </c>
      <c r="AW82" s="77">
        <f t="shared" si="424"/>
        <v>0.57488301182327317</v>
      </c>
      <c r="AX82" s="78">
        <v>1121.4780000000001</v>
      </c>
      <c r="AY82" s="77">
        <f t="shared" si="441"/>
        <v>0.5784392407674851</v>
      </c>
      <c r="AZ82" s="45"/>
      <c r="BA82" s="75">
        <v>52500.305999999997</v>
      </c>
      <c r="BB82" s="77">
        <f t="shared" si="442"/>
        <v>0.75409836065573765</v>
      </c>
      <c r="BC82" s="45"/>
      <c r="BD82" s="105">
        <v>2658.8310000000001</v>
      </c>
      <c r="BE82" s="45">
        <v>0</v>
      </c>
      <c r="BF82" s="106">
        <v>0</v>
      </c>
      <c r="BG82" s="107">
        <f t="shared" si="443"/>
        <v>8.1559233128834355E-2</v>
      </c>
      <c r="BH82" s="108">
        <f t="shared" si="444"/>
        <v>0</v>
      </c>
      <c r="BI82" s="106">
        <v>0</v>
      </c>
      <c r="BJ82" s="106">
        <v>0</v>
      </c>
      <c r="BK82" s="106">
        <v>0</v>
      </c>
      <c r="BL82" s="106">
        <v>1453.38</v>
      </c>
      <c r="BM82" s="107">
        <f t="shared" si="445"/>
        <v>0.10783350645496365</v>
      </c>
      <c r="BN82" s="108">
        <f t="shared" si="446"/>
        <v>0</v>
      </c>
      <c r="BO82" s="45">
        <v>7668</v>
      </c>
      <c r="BP82" s="45">
        <v>651.21597118999989</v>
      </c>
      <c r="BQ82" s="45"/>
      <c r="BR82" s="109">
        <v>-700</v>
      </c>
      <c r="BS82" s="45">
        <f t="shared" si="447"/>
        <v>0</v>
      </c>
      <c r="BT82" s="45">
        <v>4485</v>
      </c>
      <c r="BU82" s="45">
        <f t="shared" si="447"/>
        <v>4485</v>
      </c>
      <c r="BV82" s="45">
        <v>0</v>
      </c>
      <c r="BW82" s="45">
        <f t="shared" ref="BW82:BY82" si="544">IF(BV82&gt;0,BV82,0)</f>
        <v>0</v>
      </c>
      <c r="BX82" s="45">
        <v>-5000</v>
      </c>
      <c r="BY82" s="45">
        <f t="shared" si="544"/>
        <v>0</v>
      </c>
      <c r="BZ82" s="45">
        <v>1614.51731098</v>
      </c>
      <c r="CA82" s="45">
        <f t="shared" ref="CA82:CC82" si="545">IF(BZ82&gt;0,BZ82,0)</f>
        <v>1614.51731098</v>
      </c>
      <c r="CB82" s="45">
        <v>-4000</v>
      </c>
      <c r="CC82" s="45">
        <f t="shared" si="545"/>
        <v>0</v>
      </c>
      <c r="CD82" s="45">
        <v>4800</v>
      </c>
      <c r="CE82" s="45">
        <f t="shared" ref="CE82:CG82" si="546">IF(CD82&gt;0,CD82,0)</f>
        <v>4800</v>
      </c>
      <c r="CF82" s="45">
        <v>8240.0985475500001</v>
      </c>
      <c r="CG82" s="45">
        <f t="shared" si="546"/>
        <v>8240.0985475500001</v>
      </c>
      <c r="CH82" s="107">
        <f t="shared" si="451"/>
        <v>19139.61585853</v>
      </c>
      <c r="CI82" s="45"/>
      <c r="CJ82" s="109">
        <v>-700</v>
      </c>
      <c r="CK82" s="45">
        <f t="shared" si="452"/>
        <v>700</v>
      </c>
      <c r="CL82" s="45">
        <v>4485</v>
      </c>
      <c r="CM82" s="45">
        <f t="shared" si="452"/>
        <v>0</v>
      </c>
      <c r="CN82" s="45">
        <v>0</v>
      </c>
      <c r="CO82" s="45">
        <f t="shared" ref="CO82:CQ82" si="547">IF(CN82&lt;0,-CN82,0)</f>
        <v>0</v>
      </c>
      <c r="CP82" s="45">
        <v>-5000</v>
      </c>
      <c r="CQ82" s="45">
        <f t="shared" si="547"/>
        <v>5000</v>
      </c>
      <c r="CR82" s="45">
        <v>1614.51731098</v>
      </c>
      <c r="CS82" s="45">
        <f t="shared" ref="CS82:CU82" si="548">IF(CR82&lt;0,-CR82,0)</f>
        <v>0</v>
      </c>
      <c r="CT82" s="45">
        <v>-4000</v>
      </c>
      <c r="CU82" s="45">
        <f t="shared" si="548"/>
        <v>4000</v>
      </c>
      <c r="CV82" s="45">
        <v>4800</v>
      </c>
      <c r="CW82" s="45">
        <f t="shared" ref="CW82:CY82" si="549">IF(CV82&lt;0,-CV82,0)</f>
        <v>0</v>
      </c>
      <c r="CX82" s="45">
        <v>8240.0985475500001</v>
      </c>
      <c r="CY82" s="45">
        <f t="shared" si="549"/>
        <v>0</v>
      </c>
      <c r="CZ82" s="107">
        <f t="shared" si="456"/>
        <v>9700</v>
      </c>
      <c r="DA82" s="45"/>
      <c r="DB82" s="110">
        <v>37452.898999999998</v>
      </c>
      <c r="DC82" s="57">
        <v>2105.3020000000001</v>
      </c>
      <c r="DD82" s="61">
        <v>4067.2652655975999</v>
      </c>
      <c r="DE82" s="61">
        <f t="shared" si="457"/>
        <v>43625.466265597599</v>
      </c>
      <c r="DF82" s="110">
        <v>8405.4380000000001</v>
      </c>
      <c r="DG82" s="110">
        <v>60716.411</v>
      </c>
      <c r="DH82" s="57">
        <v>6607</v>
      </c>
      <c r="DI82" s="107">
        <f t="shared" si="458"/>
        <v>67323.410999999993</v>
      </c>
      <c r="DJ82" s="45"/>
      <c r="DK82" s="110">
        <v>875.30200000000002</v>
      </c>
      <c r="DL82" s="57">
        <v>10571.615847326309</v>
      </c>
      <c r="DM82" s="57">
        <f t="shared" si="459"/>
        <v>11446.917847326309</v>
      </c>
      <c r="DN82" s="61">
        <v>1458.037866344619</v>
      </c>
      <c r="DO82" s="61">
        <v>2940.8162252905781</v>
      </c>
      <c r="DP82" s="61">
        <v>0</v>
      </c>
      <c r="DQ82" s="57">
        <f t="shared" si="460"/>
        <v>2940.8162252905781</v>
      </c>
      <c r="DR82" s="57">
        <v>163.37867918280989</v>
      </c>
      <c r="DS82" s="57">
        <v>163.37867918280989</v>
      </c>
      <c r="DT82" s="5"/>
      <c r="DU82" s="73">
        <v>0</v>
      </c>
      <c r="DV82" s="156">
        <v>1807.12395068</v>
      </c>
      <c r="DW82" s="155">
        <v>418.46599908000002</v>
      </c>
      <c r="DX82" s="155">
        <v>0</v>
      </c>
      <c r="DY82" s="73">
        <v>0</v>
      </c>
      <c r="DZ82" s="156">
        <v>1553.672292</v>
      </c>
      <c r="EA82" s="73">
        <v>0</v>
      </c>
      <c r="EB82" s="156">
        <v>0</v>
      </c>
      <c r="EC82" s="73">
        <v>0</v>
      </c>
      <c r="ED82" s="156">
        <v>847.5</v>
      </c>
      <c r="EE82" s="73">
        <v>0</v>
      </c>
      <c r="EF82" s="156">
        <v>5145.84172631</v>
      </c>
      <c r="EG82" s="73">
        <v>0</v>
      </c>
      <c r="EH82" s="156">
        <v>1807.12395068</v>
      </c>
      <c r="EI82" s="159">
        <v>1553.672292</v>
      </c>
      <c r="EJ82" s="162">
        <v>847.5</v>
      </c>
      <c r="EK82" s="165">
        <v>735.83500000000004</v>
      </c>
      <c r="EL82" s="159">
        <v>0</v>
      </c>
      <c r="EM82" s="159">
        <f t="shared" si="461"/>
        <v>6411.8077253900001</v>
      </c>
      <c r="EN82" s="159">
        <f t="shared" si="462"/>
        <v>0</v>
      </c>
      <c r="EP82" s="2">
        <v>19131.967349999999</v>
      </c>
      <c r="EQ82" s="5">
        <f t="shared" si="463"/>
        <v>0.77899999999999991</v>
      </c>
    </row>
    <row r="83" spans="13:147" x14ac:dyDescent="0.35">
      <c r="M83" s="5"/>
      <c r="N83" s="66">
        <f t="shared" si="464"/>
        <v>81</v>
      </c>
      <c r="O83" s="78">
        <v>0</v>
      </c>
      <c r="P83" s="77">
        <f t="shared" si="431"/>
        <v>0</v>
      </c>
      <c r="Q83" s="104">
        <v>0</v>
      </c>
      <c r="R83" s="77">
        <f t="shared" si="432"/>
        <v>0</v>
      </c>
      <c r="S83" s="104">
        <v>0</v>
      </c>
      <c r="T83" s="77">
        <f t="shared" si="433"/>
        <v>0</v>
      </c>
      <c r="U83" s="104">
        <v>0</v>
      </c>
      <c r="V83" s="77">
        <f t="shared" si="419"/>
        <v>0</v>
      </c>
      <c r="W83" s="104">
        <v>0</v>
      </c>
      <c r="X83" s="77">
        <f t="shared" si="420"/>
        <v>0</v>
      </c>
      <c r="Y83" s="104">
        <v>0</v>
      </c>
      <c r="Z83" s="77">
        <f t="shared" si="434"/>
        <v>0</v>
      </c>
      <c r="AA83" s="104">
        <v>0</v>
      </c>
      <c r="AB83" s="77">
        <f t="shared" si="435"/>
        <v>0</v>
      </c>
      <c r="AC83" s="5"/>
      <c r="AD83" s="66">
        <f t="shared" si="465"/>
        <v>81</v>
      </c>
      <c r="AE83" s="78">
        <v>7030.9841999999999</v>
      </c>
      <c r="AF83" s="104">
        <v>1202.9000000000001</v>
      </c>
      <c r="AG83" s="78">
        <v>261.5</v>
      </c>
      <c r="AH83" s="61">
        <f t="shared" si="436"/>
        <v>7.9000000000000001E-2</v>
      </c>
      <c r="AI83" s="61">
        <f t="shared" si="437"/>
        <v>0.52300000000000002</v>
      </c>
      <c r="AJ83" s="61">
        <f t="shared" si="438"/>
        <v>0.52300000000000002</v>
      </c>
      <c r="AK83" s="77">
        <v>81.396000000000001</v>
      </c>
      <c r="AL83" s="104">
        <v>873.27</v>
      </c>
      <c r="AM83" s="61">
        <f t="shared" si="421"/>
        <v>0.126</v>
      </c>
      <c r="AN83" s="57">
        <f t="shared" si="422"/>
        <v>7.4999999999999997E-2</v>
      </c>
      <c r="AO83" s="78">
        <v>9187.6</v>
      </c>
      <c r="AP83" s="104">
        <v>17019.375</v>
      </c>
      <c r="AQ83" s="61">
        <f t="shared" si="439"/>
        <v>0.20600000000000002</v>
      </c>
      <c r="AR83" s="57">
        <f t="shared" si="440"/>
        <v>0.72499999999999998</v>
      </c>
      <c r="AS83" s="45"/>
      <c r="AT83" s="78">
        <v>1083.57</v>
      </c>
      <c r="AU83" s="77">
        <f t="shared" si="423"/>
        <v>0.43999983757400535</v>
      </c>
      <c r="AV83" s="78">
        <v>937.77200000000005</v>
      </c>
      <c r="AW83" s="77">
        <f t="shared" si="424"/>
        <v>0.58355444928438083</v>
      </c>
      <c r="AX83" s="78">
        <v>1121.4780000000001</v>
      </c>
      <c r="AY83" s="77">
        <f t="shared" si="441"/>
        <v>0.5784392407674851</v>
      </c>
      <c r="AZ83" s="45"/>
      <c r="BA83" s="75">
        <v>52500.305999999997</v>
      </c>
      <c r="BB83" s="77">
        <f t="shared" si="442"/>
        <v>0.75409836065573765</v>
      </c>
      <c r="BC83" s="45"/>
      <c r="BD83" s="105">
        <v>3122.98</v>
      </c>
      <c r="BE83" s="45">
        <v>0</v>
      </c>
      <c r="BF83" s="106">
        <v>0</v>
      </c>
      <c r="BG83" s="107">
        <f t="shared" si="443"/>
        <v>9.5796932515337427E-2</v>
      </c>
      <c r="BH83" s="108">
        <f t="shared" si="444"/>
        <v>0</v>
      </c>
      <c r="BI83" s="106">
        <v>0</v>
      </c>
      <c r="BJ83" s="106">
        <v>0</v>
      </c>
      <c r="BK83" s="106">
        <v>0</v>
      </c>
      <c r="BL83" s="106">
        <v>1487.923</v>
      </c>
      <c r="BM83" s="107">
        <f t="shared" si="445"/>
        <v>0.11039642380175101</v>
      </c>
      <c r="BN83" s="108">
        <f t="shared" si="446"/>
        <v>0</v>
      </c>
      <c r="BO83" s="45">
        <v>7668</v>
      </c>
      <c r="BP83" s="45">
        <v>651.21597118999989</v>
      </c>
      <c r="BQ83" s="45"/>
      <c r="BR83" s="109">
        <v>-700</v>
      </c>
      <c r="BS83" s="45">
        <f t="shared" si="447"/>
        <v>0</v>
      </c>
      <c r="BT83" s="45">
        <v>4485</v>
      </c>
      <c r="BU83" s="45">
        <f t="shared" si="447"/>
        <v>4485</v>
      </c>
      <c r="BV83" s="45">
        <v>0</v>
      </c>
      <c r="BW83" s="45">
        <f t="shared" ref="BW83:BY83" si="550">IF(BV83&gt;0,BV83,0)</f>
        <v>0</v>
      </c>
      <c r="BX83" s="45">
        <v>-5000</v>
      </c>
      <c r="BY83" s="45">
        <f t="shared" si="550"/>
        <v>0</v>
      </c>
      <c r="BZ83" s="45">
        <v>-3369.1975594999999</v>
      </c>
      <c r="CA83" s="45">
        <f t="shared" ref="CA83:CC83" si="551">IF(BZ83&gt;0,BZ83,0)</f>
        <v>0</v>
      </c>
      <c r="CB83" s="45">
        <v>-4000</v>
      </c>
      <c r="CC83" s="45">
        <f t="shared" si="551"/>
        <v>0</v>
      </c>
      <c r="CD83" s="45">
        <v>4800</v>
      </c>
      <c r="CE83" s="45">
        <f t="shared" ref="CE83:CG83" si="552">IF(CD83&gt;0,CD83,0)</f>
        <v>4800</v>
      </c>
      <c r="CF83" s="45">
        <v>9738.1909303800003</v>
      </c>
      <c r="CG83" s="45">
        <f t="shared" si="552"/>
        <v>9738.1909303800003</v>
      </c>
      <c r="CH83" s="107">
        <f t="shared" si="451"/>
        <v>19023.190930379998</v>
      </c>
      <c r="CI83" s="45"/>
      <c r="CJ83" s="109">
        <v>-700</v>
      </c>
      <c r="CK83" s="45">
        <f t="shared" si="452"/>
        <v>700</v>
      </c>
      <c r="CL83" s="45">
        <v>4485</v>
      </c>
      <c r="CM83" s="45">
        <f t="shared" si="452"/>
        <v>0</v>
      </c>
      <c r="CN83" s="45">
        <v>0</v>
      </c>
      <c r="CO83" s="45">
        <f t="shared" ref="CO83:CQ83" si="553">IF(CN83&lt;0,-CN83,0)</f>
        <v>0</v>
      </c>
      <c r="CP83" s="45">
        <v>-5000</v>
      </c>
      <c r="CQ83" s="45">
        <f t="shared" si="553"/>
        <v>5000</v>
      </c>
      <c r="CR83" s="45">
        <v>-3369.1975594999999</v>
      </c>
      <c r="CS83" s="45">
        <f t="shared" ref="CS83:CU83" si="554">IF(CR83&lt;0,-CR83,0)</f>
        <v>3369.1975594999999</v>
      </c>
      <c r="CT83" s="45">
        <v>-4000</v>
      </c>
      <c r="CU83" s="45">
        <f t="shared" si="554"/>
        <v>4000</v>
      </c>
      <c r="CV83" s="45">
        <v>4800</v>
      </c>
      <c r="CW83" s="45">
        <f t="shared" ref="CW83:CY83" si="555">IF(CV83&lt;0,-CV83,0)</f>
        <v>0</v>
      </c>
      <c r="CX83" s="45">
        <v>9738.1909303800003</v>
      </c>
      <c r="CY83" s="45">
        <f t="shared" si="555"/>
        <v>0</v>
      </c>
      <c r="CZ83" s="107">
        <f t="shared" si="456"/>
        <v>13069.1975595</v>
      </c>
      <c r="DA83" s="45"/>
      <c r="DB83" s="110">
        <v>39424.396999999997</v>
      </c>
      <c r="DC83" s="57">
        <v>2162.46</v>
      </c>
      <c r="DD83" s="61">
        <v>3926.2400369482998</v>
      </c>
      <c r="DE83" s="61">
        <f t="shared" si="457"/>
        <v>45513.097036948297</v>
      </c>
      <c r="DF83" s="110">
        <v>8931.36</v>
      </c>
      <c r="DG83" s="110">
        <v>60698.411</v>
      </c>
      <c r="DH83" s="57">
        <v>7681</v>
      </c>
      <c r="DI83" s="107">
        <f t="shared" si="458"/>
        <v>68379.410999999993</v>
      </c>
      <c r="DJ83" s="45"/>
      <c r="DK83" s="110">
        <v>832.85500000000002</v>
      </c>
      <c r="DL83" s="57">
        <v>10571.615847326309</v>
      </c>
      <c r="DM83" s="57">
        <f t="shared" si="459"/>
        <v>11404.470847326309</v>
      </c>
      <c r="DN83" s="61">
        <v>1555.9943428215181</v>
      </c>
      <c r="DO83" s="61">
        <v>2940.8162252905781</v>
      </c>
      <c r="DP83" s="61">
        <v>0</v>
      </c>
      <c r="DQ83" s="57">
        <f t="shared" si="460"/>
        <v>2940.8162252905781</v>
      </c>
      <c r="DR83" s="57">
        <v>163.37867918280989</v>
      </c>
      <c r="DS83" s="57">
        <v>163.37867918280989</v>
      </c>
      <c r="DT83" s="5"/>
      <c r="DU83" s="73">
        <v>0</v>
      </c>
      <c r="DV83" s="156">
        <v>2852.0239506799999</v>
      </c>
      <c r="DW83" s="155">
        <v>575.66599908000001</v>
      </c>
      <c r="DX83" s="155">
        <v>0</v>
      </c>
      <c r="DY83" s="73">
        <v>0</v>
      </c>
      <c r="DZ83" s="156">
        <v>1553.672292</v>
      </c>
      <c r="EA83" s="73">
        <v>0</v>
      </c>
      <c r="EB83" s="156">
        <v>0</v>
      </c>
      <c r="EC83" s="73">
        <v>0</v>
      </c>
      <c r="ED83" s="156">
        <v>847.5</v>
      </c>
      <c r="EE83" s="73">
        <v>0</v>
      </c>
      <c r="EF83" s="156">
        <v>6033.5417263099998</v>
      </c>
      <c r="EG83" s="73">
        <v>0</v>
      </c>
      <c r="EH83" s="156">
        <v>2852.0239506799999</v>
      </c>
      <c r="EI83" s="159">
        <v>1553.672292</v>
      </c>
      <c r="EJ83" s="162">
        <v>847.5</v>
      </c>
      <c r="EK83" s="165">
        <v>735.83500000000004</v>
      </c>
      <c r="EL83" s="159">
        <v>0</v>
      </c>
      <c r="EM83" s="159">
        <f t="shared" si="461"/>
        <v>7456.7077253899997</v>
      </c>
      <c r="EN83" s="159">
        <f t="shared" si="462"/>
        <v>0</v>
      </c>
      <c r="EP83" s="2">
        <v>19131.967349999999</v>
      </c>
      <c r="EQ83" s="5">
        <f t="shared" si="463"/>
        <v>0.77899999999999991</v>
      </c>
    </row>
    <row r="84" spans="13:147" x14ac:dyDescent="0.35">
      <c r="M84" s="5"/>
      <c r="N84" s="66">
        <f t="shared" si="464"/>
        <v>82</v>
      </c>
      <c r="O84" s="78">
        <v>5561</v>
      </c>
      <c r="P84" s="77">
        <f t="shared" si="431"/>
        <v>6.7000000000000004E-2</v>
      </c>
      <c r="Q84" s="104">
        <v>110.515</v>
      </c>
      <c r="R84" s="77">
        <f t="shared" si="432"/>
        <v>2.3E-2</v>
      </c>
      <c r="S84" s="104">
        <v>2460</v>
      </c>
      <c r="T84" s="77">
        <f t="shared" si="433"/>
        <v>8.2000000000000003E-2</v>
      </c>
      <c r="U84" s="104">
        <v>431.346</v>
      </c>
      <c r="V84" s="77">
        <f t="shared" si="419"/>
        <v>0.03</v>
      </c>
      <c r="W84" s="104">
        <v>241.4975</v>
      </c>
      <c r="X84" s="77">
        <f t="shared" si="420"/>
        <v>2.5000000000000001E-2</v>
      </c>
      <c r="Y84" s="104">
        <v>3342.3</v>
      </c>
      <c r="Z84" s="77">
        <f t="shared" si="434"/>
        <v>6.5000000000000002E-2</v>
      </c>
      <c r="AA84" s="104">
        <v>2408.6815999999999</v>
      </c>
      <c r="AB84" s="77">
        <f t="shared" si="435"/>
        <v>5.1999999999999998E-2</v>
      </c>
      <c r="AC84" s="5"/>
      <c r="AD84" s="66">
        <f t="shared" si="465"/>
        <v>82</v>
      </c>
      <c r="AE84" s="78">
        <v>8098.9817999999996</v>
      </c>
      <c r="AF84" s="104">
        <v>1260.4000000000001</v>
      </c>
      <c r="AG84" s="78">
        <v>274</v>
      </c>
      <c r="AH84" s="61">
        <f t="shared" si="436"/>
        <v>9.0999999999999998E-2</v>
      </c>
      <c r="AI84" s="61">
        <f t="shared" si="437"/>
        <v>0.54800000000000004</v>
      </c>
      <c r="AJ84" s="61">
        <f t="shared" si="438"/>
        <v>0.54800000000000004</v>
      </c>
      <c r="AK84" s="77">
        <v>84.626000000000005</v>
      </c>
      <c r="AL84" s="104">
        <v>873.27</v>
      </c>
      <c r="AM84" s="61">
        <f t="shared" si="421"/>
        <v>0.13100000000000001</v>
      </c>
      <c r="AN84" s="57">
        <f t="shared" si="422"/>
        <v>7.4999999999999997E-2</v>
      </c>
      <c r="AO84" s="78">
        <v>10035</v>
      </c>
      <c r="AP84" s="104">
        <v>17700.150000000001</v>
      </c>
      <c r="AQ84" s="61">
        <f t="shared" si="439"/>
        <v>0.22500000000000001</v>
      </c>
      <c r="AR84" s="57">
        <f t="shared" si="440"/>
        <v>0.75400000000000011</v>
      </c>
      <c r="AS84" s="45"/>
      <c r="AT84" s="78">
        <v>1088.4960000000001</v>
      </c>
      <c r="AU84" s="77">
        <f t="shared" si="423"/>
        <v>0.44200011369819631</v>
      </c>
      <c r="AV84" s="78">
        <v>962.72500000000002</v>
      </c>
      <c r="AW84" s="77">
        <f t="shared" si="424"/>
        <v>0.59908214063472309</v>
      </c>
      <c r="AX84" s="78">
        <v>1121.4780000000001</v>
      </c>
      <c r="AY84" s="77">
        <f t="shared" si="441"/>
        <v>0.5784392407674851</v>
      </c>
      <c r="AZ84" s="45"/>
      <c r="BA84" s="75">
        <v>52500.305999999997</v>
      </c>
      <c r="BB84" s="77">
        <f t="shared" si="442"/>
        <v>0.75409836065573765</v>
      </c>
      <c r="BC84" s="45"/>
      <c r="BD84" s="105">
        <v>6284.8370000000004</v>
      </c>
      <c r="BE84" s="45">
        <v>0</v>
      </c>
      <c r="BF84" s="106">
        <v>0</v>
      </c>
      <c r="BG84" s="107">
        <f t="shared" si="443"/>
        <v>0.19278641104294481</v>
      </c>
      <c r="BH84" s="108">
        <f t="shared" si="444"/>
        <v>0</v>
      </c>
      <c r="BI84" s="106">
        <v>0</v>
      </c>
      <c r="BJ84" s="106">
        <v>0</v>
      </c>
      <c r="BK84" s="106">
        <v>0</v>
      </c>
      <c r="BL84" s="106">
        <v>1814.0229999999999</v>
      </c>
      <c r="BM84" s="107">
        <f t="shared" si="445"/>
        <v>0.13459140822080426</v>
      </c>
      <c r="BN84" s="108">
        <f t="shared" si="446"/>
        <v>0</v>
      </c>
      <c r="BO84" s="45">
        <v>7668</v>
      </c>
      <c r="BP84" s="45">
        <v>651.21597118999989</v>
      </c>
      <c r="BQ84" s="45"/>
      <c r="BR84" s="109">
        <v>-700</v>
      </c>
      <c r="BS84" s="45">
        <f t="shared" si="447"/>
        <v>0</v>
      </c>
      <c r="BT84" s="45">
        <v>4485</v>
      </c>
      <c r="BU84" s="45">
        <f t="shared" si="447"/>
        <v>4485</v>
      </c>
      <c r="BV84" s="45">
        <v>0</v>
      </c>
      <c r="BW84" s="45">
        <f t="shared" ref="BW84:BY84" si="556">IF(BV84&gt;0,BV84,0)</f>
        <v>0</v>
      </c>
      <c r="BX84" s="45">
        <v>-5000</v>
      </c>
      <c r="BY84" s="45">
        <f t="shared" si="556"/>
        <v>0</v>
      </c>
      <c r="BZ84" s="45">
        <v>-5300</v>
      </c>
      <c r="CA84" s="45">
        <f t="shared" ref="CA84:CC84" si="557">IF(BZ84&gt;0,BZ84,0)</f>
        <v>0</v>
      </c>
      <c r="CB84" s="45">
        <v>-4000</v>
      </c>
      <c r="CC84" s="45">
        <f t="shared" si="557"/>
        <v>0</v>
      </c>
      <c r="CD84" s="45">
        <v>4800</v>
      </c>
      <c r="CE84" s="45">
        <f t="shared" ref="CE84:CG84" si="558">IF(CD84&gt;0,CD84,0)</f>
        <v>4800</v>
      </c>
      <c r="CF84" s="45">
        <v>8958.0819039300004</v>
      </c>
      <c r="CG84" s="45">
        <f t="shared" si="558"/>
        <v>8958.0819039300004</v>
      </c>
      <c r="CH84" s="107">
        <f t="shared" si="451"/>
        <v>18243.08190393</v>
      </c>
      <c r="CI84" s="45"/>
      <c r="CJ84" s="109">
        <v>-700</v>
      </c>
      <c r="CK84" s="45">
        <f t="shared" si="452"/>
        <v>700</v>
      </c>
      <c r="CL84" s="45">
        <v>4485</v>
      </c>
      <c r="CM84" s="45">
        <f t="shared" si="452"/>
        <v>0</v>
      </c>
      <c r="CN84" s="45">
        <v>0</v>
      </c>
      <c r="CO84" s="45">
        <f t="shared" ref="CO84:CQ84" si="559">IF(CN84&lt;0,-CN84,0)</f>
        <v>0</v>
      </c>
      <c r="CP84" s="45">
        <v>-5000</v>
      </c>
      <c r="CQ84" s="45">
        <f t="shared" si="559"/>
        <v>5000</v>
      </c>
      <c r="CR84" s="45">
        <v>-5300</v>
      </c>
      <c r="CS84" s="45">
        <f t="shared" ref="CS84:CU84" si="560">IF(CR84&lt;0,-CR84,0)</f>
        <v>5300</v>
      </c>
      <c r="CT84" s="45">
        <v>-4000</v>
      </c>
      <c r="CU84" s="45">
        <f t="shared" si="560"/>
        <v>4000</v>
      </c>
      <c r="CV84" s="45">
        <v>4800</v>
      </c>
      <c r="CW84" s="45">
        <f t="shared" ref="CW84:CY84" si="561">IF(CV84&lt;0,-CV84,0)</f>
        <v>0</v>
      </c>
      <c r="CX84" s="45">
        <v>8958.0819039300004</v>
      </c>
      <c r="CY84" s="45">
        <f t="shared" si="561"/>
        <v>0</v>
      </c>
      <c r="CZ84" s="107">
        <f t="shared" si="456"/>
        <v>15000</v>
      </c>
      <c r="DA84" s="45"/>
      <c r="DB84" s="110">
        <v>41143.180999999997</v>
      </c>
      <c r="DC84" s="57">
        <v>1968.4670000000001</v>
      </c>
      <c r="DD84" s="61">
        <v>2452.9868270898</v>
      </c>
      <c r="DE84" s="61">
        <f t="shared" si="457"/>
        <v>45564.634827089794</v>
      </c>
      <c r="DF84" s="110">
        <v>9390.7790000000005</v>
      </c>
      <c r="DG84" s="110">
        <v>60386.411</v>
      </c>
      <c r="DH84" s="57">
        <v>8611</v>
      </c>
      <c r="DI84" s="107">
        <f t="shared" si="458"/>
        <v>68997.410999999993</v>
      </c>
      <c r="DJ84" s="45"/>
      <c r="DK84" s="110">
        <v>783.19399999999996</v>
      </c>
      <c r="DL84" s="57">
        <v>10571.615847326309</v>
      </c>
      <c r="DM84" s="57">
        <f t="shared" si="459"/>
        <v>11354.809847326309</v>
      </c>
      <c r="DN84" s="61">
        <v>1555.9943428215181</v>
      </c>
      <c r="DO84" s="61">
        <v>2940.8162252905781</v>
      </c>
      <c r="DP84" s="61">
        <v>0</v>
      </c>
      <c r="DQ84" s="57">
        <f t="shared" si="460"/>
        <v>2940.8162252905781</v>
      </c>
      <c r="DR84" s="57">
        <v>163.37867918280989</v>
      </c>
      <c r="DS84" s="57">
        <v>163.37867918280989</v>
      </c>
      <c r="DT84" s="5"/>
      <c r="DU84" s="73">
        <v>0</v>
      </c>
      <c r="DV84" s="156">
        <v>3896.92395068</v>
      </c>
      <c r="DW84" s="155">
        <v>827.24599908000005</v>
      </c>
      <c r="DX84" s="155">
        <v>0</v>
      </c>
      <c r="DY84" s="73">
        <v>0</v>
      </c>
      <c r="DZ84" s="156">
        <v>1553.672292</v>
      </c>
      <c r="EA84" s="73">
        <v>0</v>
      </c>
      <c r="EB84" s="156">
        <v>0</v>
      </c>
      <c r="EC84" s="73">
        <v>0</v>
      </c>
      <c r="ED84" s="156">
        <v>847.5</v>
      </c>
      <c r="EE84" s="73">
        <v>0</v>
      </c>
      <c r="EF84" s="156">
        <v>6826.8617263100004</v>
      </c>
      <c r="EG84" s="73">
        <v>0</v>
      </c>
      <c r="EH84" s="156">
        <v>3896.92395068</v>
      </c>
      <c r="EI84" s="159">
        <v>1553.672292</v>
      </c>
      <c r="EJ84" s="162">
        <v>847.5</v>
      </c>
      <c r="EK84" s="165">
        <v>735.83500000000004</v>
      </c>
      <c r="EL84" s="159">
        <v>0</v>
      </c>
      <c r="EM84" s="159">
        <f t="shared" si="461"/>
        <v>8501.6077253900003</v>
      </c>
      <c r="EN84" s="159">
        <f t="shared" si="462"/>
        <v>0</v>
      </c>
      <c r="EP84" s="2">
        <v>19131.967349999999</v>
      </c>
      <c r="EQ84" s="5">
        <f t="shared" si="463"/>
        <v>0.77899999999999991</v>
      </c>
    </row>
    <row r="85" spans="13:147" x14ac:dyDescent="0.35">
      <c r="M85" s="5"/>
      <c r="N85" s="66">
        <f t="shared" si="464"/>
        <v>83</v>
      </c>
      <c r="O85" s="78">
        <v>14110</v>
      </c>
      <c r="P85" s="77">
        <f t="shared" si="431"/>
        <v>0.17</v>
      </c>
      <c r="Q85" s="104">
        <v>259.47000000000003</v>
      </c>
      <c r="R85" s="77">
        <f t="shared" si="432"/>
        <v>5.4000000000000006E-2</v>
      </c>
      <c r="S85" s="104">
        <v>5820</v>
      </c>
      <c r="T85" s="77">
        <f t="shared" si="433"/>
        <v>0.19400000000000001</v>
      </c>
      <c r="U85" s="104">
        <v>1782.8968</v>
      </c>
      <c r="V85" s="77">
        <f t="shared" si="419"/>
        <v>0.124</v>
      </c>
      <c r="W85" s="104">
        <v>975.6499</v>
      </c>
      <c r="X85" s="77">
        <f t="shared" si="420"/>
        <v>0.10100000000000001</v>
      </c>
      <c r="Y85" s="104">
        <v>7661.58</v>
      </c>
      <c r="Z85" s="77">
        <f t="shared" si="434"/>
        <v>0.14899999999999999</v>
      </c>
      <c r="AA85" s="104">
        <v>5651.1376</v>
      </c>
      <c r="AB85" s="77">
        <f t="shared" si="435"/>
        <v>0.122</v>
      </c>
      <c r="AC85" s="5"/>
      <c r="AD85" s="66">
        <f t="shared" si="465"/>
        <v>83</v>
      </c>
      <c r="AE85" s="78">
        <v>8988.9797999999992</v>
      </c>
      <c r="AF85" s="104">
        <v>1334</v>
      </c>
      <c r="AG85" s="78">
        <v>290</v>
      </c>
      <c r="AH85" s="61">
        <f t="shared" si="436"/>
        <v>0.10099999999999999</v>
      </c>
      <c r="AI85" s="61">
        <f t="shared" si="437"/>
        <v>0.57999999999999996</v>
      </c>
      <c r="AJ85" s="61">
        <f t="shared" si="438"/>
        <v>0.57999999999999996</v>
      </c>
      <c r="AK85" s="77">
        <v>85.272000000000006</v>
      </c>
      <c r="AL85" s="104">
        <v>500.6748</v>
      </c>
      <c r="AM85" s="61">
        <f t="shared" si="421"/>
        <v>0.13200000000000001</v>
      </c>
      <c r="AN85" s="57">
        <f t="shared" si="422"/>
        <v>4.2999999999999997E-2</v>
      </c>
      <c r="AO85" s="78">
        <v>10481</v>
      </c>
      <c r="AP85" s="104">
        <v>17465.400000000001</v>
      </c>
      <c r="AQ85" s="61">
        <f t="shared" si="439"/>
        <v>0.23499999999999999</v>
      </c>
      <c r="AR85" s="57">
        <f t="shared" si="440"/>
        <v>0.74400000000000011</v>
      </c>
      <c r="AS85" s="45"/>
      <c r="AT85" s="78">
        <v>1044.1679999999999</v>
      </c>
      <c r="AU85" s="77">
        <f t="shared" si="423"/>
        <v>0.42400006497039783</v>
      </c>
      <c r="AV85" s="78">
        <v>963.25099999999998</v>
      </c>
      <c r="AW85" s="77">
        <f t="shared" si="424"/>
        <v>0.59940945861854389</v>
      </c>
      <c r="AX85" s="78">
        <v>1121.4780000000001</v>
      </c>
      <c r="AY85" s="77">
        <f t="shared" si="441"/>
        <v>0.5784392407674851</v>
      </c>
      <c r="AZ85" s="45"/>
      <c r="BA85" s="75">
        <v>52500.305999999997</v>
      </c>
      <c r="BB85" s="77">
        <f t="shared" si="442"/>
        <v>0.75409836065573765</v>
      </c>
      <c r="BC85" s="45"/>
      <c r="BD85" s="105">
        <v>10728.557000000001</v>
      </c>
      <c r="BE85" s="45">
        <v>0</v>
      </c>
      <c r="BF85" s="106">
        <v>0</v>
      </c>
      <c r="BG85" s="107">
        <f t="shared" si="443"/>
        <v>0.32909684049079757</v>
      </c>
      <c r="BH85" s="108">
        <f t="shared" si="444"/>
        <v>0</v>
      </c>
      <c r="BI85" s="106">
        <v>0</v>
      </c>
      <c r="BJ85" s="106">
        <v>0</v>
      </c>
      <c r="BK85" s="106">
        <v>0</v>
      </c>
      <c r="BL85" s="106">
        <v>2846.1219999999998</v>
      </c>
      <c r="BM85" s="107">
        <f t="shared" si="445"/>
        <v>0.21116797744472474</v>
      </c>
      <c r="BN85" s="108">
        <f t="shared" si="446"/>
        <v>0</v>
      </c>
      <c r="BO85" s="45">
        <v>7668</v>
      </c>
      <c r="BP85" s="45">
        <v>651.21597118999989</v>
      </c>
      <c r="BQ85" s="45"/>
      <c r="BR85" s="109">
        <v>-700</v>
      </c>
      <c r="BS85" s="45">
        <f t="shared" si="447"/>
        <v>0</v>
      </c>
      <c r="BT85" s="45">
        <v>4485</v>
      </c>
      <c r="BU85" s="45">
        <f t="shared" si="447"/>
        <v>4485</v>
      </c>
      <c r="BV85" s="45">
        <v>0</v>
      </c>
      <c r="BW85" s="45">
        <f t="shared" ref="BW85:BY85" si="562">IF(BV85&gt;0,BV85,0)</f>
        <v>0</v>
      </c>
      <c r="BX85" s="45">
        <v>-5000</v>
      </c>
      <c r="BY85" s="45">
        <f t="shared" si="562"/>
        <v>0</v>
      </c>
      <c r="BZ85" s="45">
        <v>-5300</v>
      </c>
      <c r="CA85" s="45">
        <f t="shared" ref="CA85:CC85" si="563">IF(BZ85&gt;0,BZ85,0)</f>
        <v>0</v>
      </c>
      <c r="CB85" s="45">
        <v>-4000</v>
      </c>
      <c r="CC85" s="45">
        <f t="shared" si="563"/>
        <v>0</v>
      </c>
      <c r="CD85" s="45">
        <v>4800</v>
      </c>
      <c r="CE85" s="45">
        <f t="shared" ref="CE85:CG85" si="564">IF(CD85&gt;0,CD85,0)</f>
        <v>4800</v>
      </c>
      <c r="CF85" s="45">
        <v>6588.5784726399997</v>
      </c>
      <c r="CG85" s="45">
        <f t="shared" si="564"/>
        <v>6588.5784726399997</v>
      </c>
      <c r="CH85" s="107">
        <f t="shared" si="451"/>
        <v>15873.57847264</v>
      </c>
      <c r="CI85" s="45"/>
      <c r="CJ85" s="109">
        <v>-700</v>
      </c>
      <c r="CK85" s="45">
        <f t="shared" si="452"/>
        <v>700</v>
      </c>
      <c r="CL85" s="45">
        <v>4485</v>
      </c>
      <c r="CM85" s="45">
        <f t="shared" si="452"/>
        <v>0</v>
      </c>
      <c r="CN85" s="45">
        <v>0</v>
      </c>
      <c r="CO85" s="45">
        <f t="shared" ref="CO85:CQ85" si="565">IF(CN85&lt;0,-CN85,0)</f>
        <v>0</v>
      </c>
      <c r="CP85" s="45">
        <v>-5000</v>
      </c>
      <c r="CQ85" s="45">
        <f t="shared" si="565"/>
        <v>5000</v>
      </c>
      <c r="CR85" s="45">
        <v>-5300</v>
      </c>
      <c r="CS85" s="45">
        <f t="shared" ref="CS85:CU85" si="566">IF(CR85&lt;0,-CR85,0)</f>
        <v>5300</v>
      </c>
      <c r="CT85" s="45">
        <v>-4000</v>
      </c>
      <c r="CU85" s="45">
        <f t="shared" si="566"/>
        <v>4000</v>
      </c>
      <c r="CV85" s="45">
        <v>4800</v>
      </c>
      <c r="CW85" s="45">
        <f t="shared" ref="CW85:CY85" si="567">IF(CV85&lt;0,-CV85,0)</f>
        <v>0</v>
      </c>
      <c r="CX85" s="45">
        <v>6588.5784726399997</v>
      </c>
      <c r="CY85" s="45">
        <f t="shared" si="567"/>
        <v>0</v>
      </c>
      <c r="CZ85" s="107">
        <f t="shared" si="456"/>
        <v>15000</v>
      </c>
      <c r="DA85" s="45"/>
      <c r="DB85" s="110">
        <v>41322.707000000002</v>
      </c>
      <c r="DC85" s="57">
        <v>1576.356</v>
      </c>
      <c r="DD85" s="61">
        <v>1954.1065422992001</v>
      </c>
      <c r="DE85" s="61">
        <f t="shared" si="457"/>
        <v>44853.169542299205</v>
      </c>
      <c r="DF85" s="110">
        <v>10080.695</v>
      </c>
      <c r="DG85" s="110">
        <v>60214.411</v>
      </c>
      <c r="DH85" s="57">
        <v>7933</v>
      </c>
      <c r="DI85" s="107">
        <f t="shared" si="458"/>
        <v>68147.410999999993</v>
      </c>
      <c r="DJ85" s="45"/>
      <c r="DK85" s="110">
        <v>767.87699999999995</v>
      </c>
      <c r="DL85" s="57">
        <v>10571.615847326309</v>
      </c>
      <c r="DM85" s="57">
        <f t="shared" si="459"/>
        <v>11339.49284732631</v>
      </c>
      <c r="DN85" s="61">
        <v>1607.5503830725179</v>
      </c>
      <c r="DO85" s="61">
        <v>2940.8162252905781</v>
      </c>
      <c r="DP85" s="61">
        <v>0</v>
      </c>
      <c r="DQ85" s="57">
        <f t="shared" si="460"/>
        <v>2940.8162252905781</v>
      </c>
      <c r="DR85" s="57">
        <v>163.37867918280989</v>
      </c>
      <c r="DS85" s="57">
        <v>163.37867918280989</v>
      </c>
      <c r="DT85" s="5"/>
      <c r="DU85" s="73">
        <v>0</v>
      </c>
      <c r="DV85" s="156">
        <v>4941.8239506800001</v>
      </c>
      <c r="DW85" s="155">
        <v>944.58008299999995</v>
      </c>
      <c r="DX85" s="155">
        <v>0</v>
      </c>
      <c r="DY85" s="73">
        <v>0</v>
      </c>
      <c r="DZ85" s="156">
        <v>1553.672292</v>
      </c>
      <c r="EA85" s="73">
        <v>0</v>
      </c>
      <c r="EB85" s="156">
        <v>356.82877138999999</v>
      </c>
      <c r="EC85" s="73">
        <v>0</v>
      </c>
      <c r="ED85" s="156">
        <v>847.5</v>
      </c>
      <c r="EE85" s="73">
        <v>0</v>
      </c>
      <c r="EF85" s="156">
        <v>7397.5988710000001</v>
      </c>
      <c r="EG85" s="73">
        <v>0</v>
      </c>
      <c r="EH85" s="156">
        <v>4941.8239506800001</v>
      </c>
      <c r="EI85" s="159">
        <v>1553.672292</v>
      </c>
      <c r="EJ85" s="162">
        <v>847.5</v>
      </c>
      <c r="EK85" s="165">
        <v>735.83500000000004</v>
      </c>
      <c r="EL85" s="159">
        <v>0</v>
      </c>
      <c r="EM85" s="159">
        <f t="shared" si="461"/>
        <v>9546.5077253899999</v>
      </c>
      <c r="EN85" s="159">
        <f t="shared" si="462"/>
        <v>0</v>
      </c>
      <c r="EP85" s="2">
        <v>19598.600699999999</v>
      </c>
      <c r="EQ85" s="5">
        <f t="shared" si="463"/>
        <v>0.79799999999999993</v>
      </c>
    </row>
    <row r="86" spans="13:147" x14ac:dyDescent="0.35">
      <c r="M86" s="5"/>
      <c r="N86" s="66">
        <f t="shared" si="464"/>
        <v>84</v>
      </c>
      <c r="O86" s="78">
        <v>19671</v>
      </c>
      <c r="P86" s="77">
        <f t="shared" si="431"/>
        <v>0.23699999999999999</v>
      </c>
      <c r="Q86" s="104">
        <v>413.23</v>
      </c>
      <c r="R86" s="77">
        <f t="shared" si="432"/>
        <v>8.6000000000000007E-2</v>
      </c>
      <c r="S86" s="104">
        <v>8550</v>
      </c>
      <c r="T86" s="77">
        <f t="shared" si="433"/>
        <v>0.28499999999999998</v>
      </c>
      <c r="U86" s="104">
        <v>3206.3386</v>
      </c>
      <c r="V86" s="77">
        <f t="shared" si="419"/>
        <v>0.223</v>
      </c>
      <c r="W86" s="104">
        <v>1777.4215999999999</v>
      </c>
      <c r="X86" s="77">
        <f t="shared" si="420"/>
        <v>0.184</v>
      </c>
      <c r="Y86" s="104">
        <v>11415.24</v>
      </c>
      <c r="Z86" s="77">
        <f t="shared" si="434"/>
        <v>0.222</v>
      </c>
      <c r="AA86" s="104">
        <v>8523.0272000000004</v>
      </c>
      <c r="AB86" s="77">
        <f t="shared" si="435"/>
        <v>0.184</v>
      </c>
      <c r="AC86" s="5"/>
      <c r="AD86" s="66">
        <f t="shared" si="465"/>
        <v>84</v>
      </c>
      <c r="AE86" s="78">
        <v>10234.977000000001</v>
      </c>
      <c r="AF86" s="104">
        <v>1412.2</v>
      </c>
      <c r="AG86" s="78">
        <v>307</v>
      </c>
      <c r="AH86" s="61">
        <f t="shared" si="436"/>
        <v>0.115</v>
      </c>
      <c r="AI86" s="61">
        <f t="shared" si="437"/>
        <v>0.61399999999999999</v>
      </c>
      <c r="AJ86" s="61">
        <f t="shared" si="438"/>
        <v>0.61399999999999999</v>
      </c>
      <c r="AK86" s="77">
        <v>83.98</v>
      </c>
      <c r="AL86" s="104">
        <v>326.02080000000001</v>
      </c>
      <c r="AM86" s="61">
        <f t="shared" si="421"/>
        <v>0.13</v>
      </c>
      <c r="AN86" s="57">
        <f t="shared" si="422"/>
        <v>2.8000000000000001E-2</v>
      </c>
      <c r="AO86" s="78">
        <v>10748.6</v>
      </c>
      <c r="AP86" s="104">
        <v>17207.174999999999</v>
      </c>
      <c r="AQ86" s="61">
        <f t="shared" si="439"/>
        <v>0.24100000000000002</v>
      </c>
      <c r="AR86" s="57">
        <f t="shared" si="440"/>
        <v>0.73299999999999998</v>
      </c>
      <c r="AS86" s="45"/>
      <c r="AT86" s="78">
        <v>1068.7940000000001</v>
      </c>
      <c r="AU86" s="77">
        <f t="shared" si="423"/>
        <v>0.43399982133140597</v>
      </c>
      <c r="AV86" s="78">
        <v>965.08900000000006</v>
      </c>
      <c r="AW86" s="77">
        <f t="shared" si="424"/>
        <v>0.60055320472930929</v>
      </c>
      <c r="AX86" s="78">
        <v>1121.4780000000001</v>
      </c>
      <c r="AY86" s="77">
        <f t="shared" si="441"/>
        <v>0.5784392407674851</v>
      </c>
      <c r="AZ86" s="45"/>
      <c r="BA86" s="75">
        <v>52500.305999999997</v>
      </c>
      <c r="BB86" s="77">
        <f t="shared" si="442"/>
        <v>0.75409836065573765</v>
      </c>
      <c r="BC86" s="45"/>
      <c r="BD86" s="105">
        <v>14320.626</v>
      </c>
      <c r="BE86" s="45">
        <v>0</v>
      </c>
      <c r="BF86" s="106">
        <v>0</v>
      </c>
      <c r="BG86" s="107">
        <f t="shared" si="443"/>
        <v>0.43928300613496934</v>
      </c>
      <c r="BH86" s="108">
        <f t="shared" si="444"/>
        <v>0</v>
      </c>
      <c r="BI86" s="106">
        <v>0</v>
      </c>
      <c r="BJ86" s="106">
        <v>0</v>
      </c>
      <c r="BK86" s="106">
        <v>0</v>
      </c>
      <c r="BL86" s="106">
        <v>3933.8969999999999</v>
      </c>
      <c r="BM86" s="107">
        <f t="shared" si="445"/>
        <v>0.29187542662116039</v>
      </c>
      <c r="BN86" s="108">
        <f t="shared" si="446"/>
        <v>0</v>
      </c>
      <c r="BO86" s="45">
        <v>7668</v>
      </c>
      <c r="BP86" s="45">
        <v>650.75608927000007</v>
      </c>
      <c r="BQ86" s="45"/>
      <c r="BR86" s="109">
        <v>-700</v>
      </c>
      <c r="BS86" s="45">
        <f t="shared" si="447"/>
        <v>0</v>
      </c>
      <c r="BT86" s="45">
        <v>4485</v>
      </c>
      <c r="BU86" s="45">
        <f t="shared" si="447"/>
        <v>4485</v>
      </c>
      <c r="BV86" s="45">
        <v>0</v>
      </c>
      <c r="BW86" s="45">
        <f t="shared" ref="BW86:BY86" si="568">IF(BV86&gt;0,BV86,0)</f>
        <v>0</v>
      </c>
      <c r="BX86" s="45">
        <v>-5000</v>
      </c>
      <c r="BY86" s="45">
        <f t="shared" si="568"/>
        <v>0</v>
      </c>
      <c r="BZ86" s="45">
        <v>-5300</v>
      </c>
      <c r="CA86" s="45">
        <f t="shared" ref="CA86:CC86" si="569">IF(BZ86&gt;0,BZ86,0)</f>
        <v>0</v>
      </c>
      <c r="CB86" s="45">
        <v>-4000</v>
      </c>
      <c r="CC86" s="45">
        <f t="shared" si="569"/>
        <v>0</v>
      </c>
      <c r="CD86" s="45">
        <v>4800</v>
      </c>
      <c r="CE86" s="45">
        <f t="shared" ref="CE86:CG86" si="570">IF(CD86&gt;0,CD86,0)</f>
        <v>4800</v>
      </c>
      <c r="CF86" s="45">
        <v>5474.14883216</v>
      </c>
      <c r="CG86" s="45">
        <f t="shared" si="570"/>
        <v>5474.14883216</v>
      </c>
      <c r="CH86" s="107">
        <f t="shared" si="451"/>
        <v>14759.148832160001</v>
      </c>
      <c r="CI86" s="45"/>
      <c r="CJ86" s="109">
        <v>-700</v>
      </c>
      <c r="CK86" s="45">
        <f t="shared" si="452"/>
        <v>700</v>
      </c>
      <c r="CL86" s="45">
        <v>4485</v>
      </c>
      <c r="CM86" s="45">
        <f t="shared" si="452"/>
        <v>0</v>
      </c>
      <c r="CN86" s="45">
        <v>0</v>
      </c>
      <c r="CO86" s="45">
        <f t="shared" ref="CO86:CQ86" si="571">IF(CN86&lt;0,-CN86,0)</f>
        <v>0</v>
      </c>
      <c r="CP86" s="45">
        <v>-5000</v>
      </c>
      <c r="CQ86" s="45">
        <f t="shared" si="571"/>
        <v>5000</v>
      </c>
      <c r="CR86" s="45">
        <v>-5300</v>
      </c>
      <c r="CS86" s="45">
        <f t="shared" ref="CS86:CU86" si="572">IF(CR86&lt;0,-CR86,0)</f>
        <v>5300</v>
      </c>
      <c r="CT86" s="45">
        <v>-4000</v>
      </c>
      <c r="CU86" s="45">
        <f t="shared" si="572"/>
        <v>4000</v>
      </c>
      <c r="CV86" s="45">
        <v>4800</v>
      </c>
      <c r="CW86" s="45">
        <f t="shared" ref="CW86:CY86" si="573">IF(CV86&lt;0,-CV86,0)</f>
        <v>0</v>
      </c>
      <c r="CX86" s="45">
        <v>5474.14883216</v>
      </c>
      <c r="CY86" s="45">
        <f t="shared" si="573"/>
        <v>0</v>
      </c>
      <c r="CZ86" s="107">
        <f t="shared" si="456"/>
        <v>15000</v>
      </c>
      <c r="DA86" s="45"/>
      <c r="DB86" s="110">
        <v>41751.985999999997</v>
      </c>
      <c r="DC86" s="57">
        <v>1577.047</v>
      </c>
      <c r="DD86" s="61">
        <v>2464.8719474283998</v>
      </c>
      <c r="DE86" s="61">
        <f t="shared" si="457"/>
        <v>45793.904947428397</v>
      </c>
      <c r="DF86" s="110">
        <v>11007.325999999999</v>
      </c>
      <c r="DG86" s="110">
        <v>61560.411</v>
      </c>
      <c r="DH86" s="57">
        <v>7337</v>
      </c>
      <c r="DI86" s="107">
        <f t="shared" si="458"/>
        <v>68897.410999999993</v>
      </c>
      <c r="DJ86" s="45"/>
      <c r="DK86" s="110">
        <v>725.95100000000002</v>
      </c>
      <c r="DL86" s="57">
        <v>10555.905846475949</v>
      </c>
      <c r="DM86" s="57">
        <f t="shared" si="459"/>
        <v>11281.856846475948</v>
      </c>
      <c r="DN86" s="61">
        <v>1607.5503830725179</v>
      </c>
      <c r="DO86" s="61">
        <v>2932.5383508653349</v>
      </c>
      <c r="DP86" s="61">
        <v>0</v>
      </c>
      <c r="DQ86" s="57">
        <f t="shared" si="460"/>
        <v>2932.5383508653349</v>
      </c>
      <c r="DR86" s="57">
        <v>162.91879727029641</v>
      </c>
      <c r="DS86" s="57">
        <v>162.91879727029641</v>
      </c>
      <c r="DT86" s="5"/>
      <c r="DU86" s="73">
        <v>0</v>
      </c>
      <c r="DV86" s="156">
        <v>5987.1838325999997</v>
      </c>
      <c r="DW86" s="155">
        <v>1196.160083</v>
      </c>
      <c r="DX86" s="155">
        <v>0</v>
      </c>
      <c r="DY86" s="73">
        <v>0</v>
      </c>
      <c r="DZ86" s="156">
        <v>1553.672292</v>
      </c>
      <c r="EA86" s="73">
        <v>0</v>
      </c>
      <c r="EB86" s="156">
        <v>1158.8865277299999</v>
      </c>
      <c r="EC86" s="73">
        <v>0</v>
      </c>
      <c r="ED86" s="156">
        <v>847.5</v>
      </c>
      <c r="EE86" s="73">
        <v>0</v>
      </c>
      <c r="EF86" s="156">
        <v>7397.5988710000001</v>
      </c>
      <c r="EG86" s="73">
        <v>0</v>
      </c>
      <c r="EH86" s="156">
        <v>5987.1838325999997</v>
      </c>
      <c r="EI86" s="159">
        <v>1553.672292</v>
      </c>
      <c r="EJ86" s="162">
        <v>847.5</v>
      </c>
      <c r="EK86" s="165">
        <v>735.83500000000004</v>
      </c>
      <c r="EL86" s="159">
        <v>0</v>
      </c>
      <c r="EM86" s="159">
        <f t="shared" si="461"/>
        <v>10600.14548173</v>
      </c>
      <c r="EN86" s="159">
        <f t="shared" si="462"/>
        <v>0</v>
      </c>
      <c r="EP86" s="2">
        <v>19598.600699999999</v>
      </c>
      <c r="EQ86" s="5">
        <f t="shared" si="463"/>
        <v>0.79799999999999993</v>
      </c>
    </row>
    <row r="87" spans="13:147" x14ac:dyDescent="0.35">
      <c r="M87" s="5"/>
      <c r="N87" s="66">
        <f t="shared" si="464"/>
        <v>85</v>
      </c>
      <c r="O87" s="78">
        <v>23323</v>
      </c>
      <c r="P87" s="77">
        <f t="shared" si="431"/>
        <v>0.28100000000000003</v>
      </c>
      <c r="Q87" s="104">
        <v>538.16</v>
      </c>
      <c r="R87" s="77">
        <f t="shared" si="432"/>
        <v>0.11199999999999999</v>
      </c>
      <c r="S87" s="104">
        <v>10200</v>
      </c>
      <c r="T87" s="77">
        <f t="shared" si="433"/>
        <v>0.34</v>
      </c>
      <c r="U87" s="104">
        <v>4385.3509999999997</v>
      </c>
      <c r="V87" s="77">
        <f t="shared" si="419"/>
        <v>0.30499999999999994</v>
      </c>
      <c r="W87" s="104">
        <v>2366.6754999999998</v>
      </c>
      <c r="X87" s="77">
        <f t="shared" si="420"/>
        <v>0.245</v>
      </c>
      <c r="Y87" s="104">
        <v>13214.94</v>
      </c>
      <c r="Z87" s="77">
        <f t="shared" si="434"/>
        <v>0.25700000000000001</v>
      </c>
      <c r="AA87" s="104">
        <v>9866.3304000000007</v>
      </c>
      <c r="AB87" s="77">
        <f t="shared" si="435"/>
        <v>0.21299999999999999</v>
      </c>
      <c r="AC87" s="5"/>
      <c r="AD87" s="66">
        <f t="shared" si="465"/>
        <v>85</v>
      </c>
      <c r="AE87" s="78">
        <v>12281.972400000001</v>
      </c>
      <c r="AF87" s="104">
        <v>1476.6</v>
      </c>
      <c r="AG87" s="78">
        <v>321</v>
      </c>
      <c r="AH87" s="61">
        <f t="shared" si="436"/>
        <v>0.13800000000000001</v>
      </c>
      <c r="AI87" s="61">
        <f t="shared" si="437"/>
        <v>0.64200000000000002</v>
      </c>
      <c r="AJ87" s="61">
        <f t="shared" si="438"/>
        <v>0.64200000000000002</v>
      </c>
      <c r="AK87" s="77">
        <v>84.626000000000005</v>
      </c>
      <c r="AL87" s="104">
        <v>500.6748</v>
      </c>
      <c r="AM87" s="61">
        <f t="shared" si="421"/>
        <v>0.13100000000000001</v>
      </c>
      <c r="AN87" s="57">
        <f t="shared" si="422"/>
        <v>4.2999999999999997E-2</v>
      </c>
      <c r="AO87" s="78">
        <v>12354.2</v>
      </c>
      <c r="AP87" s="104">
        <v>17418.45</v>
      </c>
      <c r="AQ87" s="61">
        <f t="shared" si="439"/>
        <v>0.27700000000000002</v>
      </c>
      <c r="AR87" s="57">
        <f t="shared" si="440"/>
        <v>0.74199999999999999</v>
      </c>
      <c r="AS87" s="45"/>
      <c r="AT87" s="78">
        <v>1071.2570000000001</v>
      </c>
      <c r="AU87" s="77">
        <f t="shared" si="423"/>
        <v>0.43499995939350139</v>
      </c>
      <c r="AV87" s="78">
        <v>966.77700000000004</v>
      </c>
      <c r="AW87" s="77">
        <f t="shared" si="424"/>
        <v>0.60160360920970757</v>
      </c>
      <c r="AX87" s="78">
        <v>1121.4780000000001</v>
      </c>
      <c r="AY87" s="77">
        <f t="shared" si="441"/>
        <v>0.5784392407674851</v>
      </c>
      <c r="AZ87" s="45"/>
      <c r="BA87" s="75">
        <v>52500.305999999997</v>
      </c>
      <c r="BB87" s="77">
        <f t="shared" si="442"/>
        <v>0.75409836065573765</v>
      </c>
      <c r="BC87" s="45"/>
      <c r="BD87" s="105">
        <v>17043.322</v>
      </c>
      <c r="BE87" s="45">
        <v>0</v>
      </c>
      <c r="BF87" s="106">
        <v>0</v>
      </c>
      <c r="BG87" s="107">
        <f t="shared" si="443"/>
        <v>0.52280128834355832</v>
      </c>
      <c r="BH87" s="108">
        <f t="shared" si="444"/>
        <v>0</v>
      </c>
      <c r="BI87" s="106">
        <v>0</v>
      </c>
      <c r="BJ87" s="106">
        <v>0</v>
      </c>
      <c r="BK87" s="106">
        <v>0</v>
      </c>
      <c r="BL87" s="106">
        <v>4834.74</v>
      </c>
      <c r="BM87" s="107">
        <f t="shared" si="445"/>
        <v>0.35871345897017359</v>
      </c>
      <c r="BN87" s="108">
        <f t="shared" si="446"/>
        <v>0</v>
      </c>
      <c r="BO87" s="45">
        <v>7668</v>
      </c>
      <c r="BP87" s="45">
        <v>0</v>
      </c>
      <c r="BQ87" s="45"/>
      <c r="BR87" s="109">
        <v>-700</v>
      </c>
      <c r="BS87" s="45">
        <f t="shared" si="447"/>
        <v>0</v>
      </c>
      <c r="BT87" s="45">
        <v>4485</v>
      </c>
      <c r="BU87" s="45">
        <f t="shared" si="447"/>
        <v>4485</v>
      </c>
      <c r="BV87" s="45">
        <v>0</v>
      </c>
      <c r="BW87" s="45">
        <f t="shared" ref="BW87:BY87" si="574">IF(BV87&gt;0,BV87,0)</f>
        <v>0</v>
      </c>
      <c r="BX87" s="45">
        <v>-5000</v>
      </c>
      <c r="BY87" s="45">
        <f t="shared" si="574"/>
        <v>0</v>
      </c>
      <c r="BZ87" s="45">
        <v>-5300</v>
      </c>
      <c r="CA87" s="45">
        <f t="shared" ref="CA87:CC87" si="575">IF(BZ87&gt;0,BZ87,0)</f>
        <v>0</v>
      </c>
      <c r="CB87" s="45">
        <v>-1604.7777159100001</v>
      </c>
      <c r="CC87" s="45">
        <f t="shared" si="575"/>
        <v>0</v>
      </c>
      <c r="CD87" s="45">
        <v>4800</v>
      </c>
      <c r="CE87" s="45">
        <f t="shared" ref="CE87:CG87" si="576">IF(CD87&gt;0,CD87,0)</f>
        <v>4800</v>
      </c>
      <c r="CF87" s="45">
        <v>7017.5486883499998</v>
      </c>
      <c r="CG87" s="45">
        <f t="shared" si="576"/>
        <v>7017.5486883499998</v>
      </c>
      <c r="CH87" s="107">
        <f t="shared" si="451"/>
        <v>16302.54868835</v>
      </c>
      <c r="CI87" s="45"/>
      <c r="CJ87" s="109">
        <v>-700</v>
      </c>
      <c r="CK87" s="45">
        <f t="shared" si="452"/>
        <v>700</v>
      </c>
      <c r="CL87" s="45">
        <v>4485</v>
      </c>
      <c r="CM87" s="45">
        <f t="shared" si="452"/>
        <v>0</v>
      </c>
      <c r="CN87" s="45">
        <v>0</v>
      </c>
      <c r="CO87" s="45">
        <f t="shared" ref="CO87:CQ87" si="577">IF(CN87&lt;0,-CN87,0)</f>
        <v>0</v>
      </c>
      <c r="CP87" s="45">
        <v>-5000</v>
      </c>
      <c r="CQ87" s="45">
        <f t="shared" si="577"/>
        <v>5000</v>
      </c>
      <c r="CR87" s="45">
        <v>-5300</v>
      </c>
      <c r="CS87" s="45">
        <f t="shared" ref="CS87:CU87" si="578">IF(CR87&lt;0,-CR87,0)</f>
        <v>5300</v>
      </c>
      <c r="CT87" s="45">
        <v>-1604.7777159100001</v>
      </c>
      <c r="CU87" s="45">
        <f t="shared" si="578"/>
        <v>1604.7777159100001</v>
      </c>
      <c r="CV87" s="45">
        <v>4800</v>
      </c>
      <c r="CW87" s="45">
        <f t="shared" ref="CW87:CY87" si="579">IF(CV87&lt;0,-CV87,0)</f>
        <v>0</v>
      </c>
      <c r="CX87" s="45">
        <v>7017.5486883499998</v>
      </c>
      <c r="CY87" s="45">
        <f t="shared" si="579"/>
        <v>0</v>
      </c>
      <c r="CZ87" s="107">
        <f t="shared" si="456"/>
        <v>12604.777715910001</v>
      </c>
      <c r="DA87" s="45"/>
      <c r="DB87" s="110">
        <v>42150.303999999996</v>
      </c>
      <c r="DC87" s="57">
        <v>1577.826</v>
      </c>
      <c r="DD87" s="61">
        <v>2692.2592928988001</v>
      </c>
      <c r="DE87" s="61">
        <f t="shared" si="457"/>
        <v>46420.389292898799</v>
      </c>
      <c r="DF87" s="110">
        <v>11847.392</v>
      </c>
      <c r="DG87" s="110">
        <v>62508.411</v>
      </c>
      <c r="DH87" s="57">
        <v>6638</v>
      </c>
      <c r="DI87" s="107">
        <f t="shared" si="458"/>
        <v>69146.410999999993</v>
      </c>
      <c r="DJ87" s="45"/>
      <c r="DK87" s="110">
        <v>695.30499999999995</v>
      </c>
      <c r="DL87" s="57">
        <v>10540.1958456256</v>
      </c>
      <c r="DM87" s="57">
        <f t="shared" si="459"/>
        <v>11235.5008456256</v>
      </c>
      <c r="DN87" s="61">
        <v>1555.9943428215181</v>
      </c>
      <c r="DO87" s="61">
        <v>2924.2604764400921</v>
      </c>
      <c r="DP87" s="61">
        <v>436.87514556000002</v>
      </c>
      <c r="DQ87" s="57">
        <f t="shared" si="460"/>
        <v>3361.1356220000921</v>
      </c>
      <c r="DR87" s="57">
        <v>162.4589153577829</v>
      </c>
      <c r="DS87" s="57">
        <v>162.4589153577829</v>
      </c>
      <c r="DT87" s="5"/>
      <c r="DU87" s="73">
        <v>0</v>
      </c>
      <c r="DV87" s="156">
        <v>6779.6610170000004</v>
      </c>
      <c r="DW87" s="155">
        <v>1447.7400829999999</v>
      </c>
      <c r="DX87" s="155">
        <v>0</v>
      </c>
      <c r="DY87" s="73">
        <v>0</v>
      </c>
      <c r="DZ87" s="156">
        <v>1553.672292</v>
      </c>
      <c r="EA87" s="73">
        <v>0</v>
      </c>
      <c r="EB87" s="156">
        <v>1271.1864410000001</v>
      </c>
      <c r="EC87" s="73">
        <v>0</v>
      </c>
      <c r="ED87" s="156">
        <v>847.5</v>
      </c>
      <c r="EE87" s="73">
        <v>0</v>
      </c>
      <c r="EF87" s="156">
        <v>7397.5988710000001</v>
      </c>
      <c r="EG87" s="73">
        <v>0</v>
      </c>
      <c r="EH87" s="156">
        <v>6779.6610170000004</v>
      </c>
      <c r="EI87" s="159">
        <v>1553.672292</v>
      </c>
      <c r="EJ87" s="162">
        <v>847.5</v>
      </c>
      <c r="EK87" s="165">
        <v>735.83500000000004</v>
      </c>
      <c r="EL87" s="159">
        <v>436.87514556000002</v>
      </c>
      <c r="EM87" s="159">
        <f t="shared" si="461"/>
        <v>10964.025395000001</v>
      </c>
      <c r="EN87" s="159">
        <f t="shared" si="462"/>
        <v>0</v>
      </c>
      <c r="EP87" s="2">
        <v>19131.967349999999</v>
      </c>
      <c r="EQ87" s="5">
        <f t="shared" si="463"/>
        <v>0.77899999999999991</v>
      </c>
    </row>
    <row r="88" spans="13:147" x14ac:dyDescent="0.35">
      <c r="M88" s="5"/>
      <c r="N88" s="66">
        <f t="shared" si="464"/>
        <v>86</v>
      </c>
      <c r="O88" s="78">
        <v>24402</v>
      </c>
      <c r="P88" s="77">
        <f t="shared" si="431"/>
        <v>0.29399999999999998</v>
      </c>
      <c r="Q88" s="104">
        <v>586.21</v>
      </c>
      <c r="R88" s="77">
        <f t="shared" si="432"/>
        <v>0.12200000000000001</v>
      </c>
      <c r="S88" s="104">
        <v>10380</v>
      </c>
      <c r="T88" s="77">
        <f t="shared" si="433"/>
        <v>0.34599999999999997</v>
      </c>
      <c r="U88" s="104">
        <v>4960.4790000000003</v>
      </c>
      <c r="V88" s="77">
        <f t="shared" si="419"/>
        <v>0.34500000000000003</v>
      </c>
      <c r="W88" s="104">
        <v>2608.1729999999998</v>
      </c>
      <c r="X88" s="77">
        <f t="shared" si="420"/>
        <v>0.26999999999999996</v>
      </c>
      <c r="Y88" s="104">
        <v>13009.26</v>
      </c>
      <c r="Z88" s="77">
        <f t="shared" si="434"/>
        <v>0.253</v>
      </c>
      <c r="AA88" s="104">
        <v>9681.0472000000009</v>
      </c>
      <c r="AB88" s="77">
        <f t="shared" si="435"/>
        <v>0.20900000000000002</v>
      </c>
      <c r="AC88" s="5"/>
      <c r="AD88" s="66">
        <f t="shared" si="465"/>
        <v>86</v>
      </c>
      <c r="AE88" s="78">
        <v>14506.9674</v>
      </c>
      <c r="AF88" s="104">
        <v>1536.4</v>
      </c>
      <c r="AG88" s="78">
        <v>334</v>
      </c>
      <c r="AH88" s="61">
        <f t="shared" si="436"/>
        <v>0.16299999999999998</v>
      </c>
      <c r="AI88" s="61">
        <f t="shared" si="437"/>
        <v>0.66800000000000004</v>
      </c>
      <c r="AJ88" s="61">
        <f t="shared" si="438"/>
        <v>0.66800000000000004</v>
      </c>
      <c r="AK88" s="77">
        <v>99.483999999999995</v>
      </c>
      <c r="AL88" s="104">
        <v>1339.0139999999999</v>
      </c>
      <c r="AM88" s="61">
        <f t="shared" si="421"/>
        <v>0.154</v>
      </c>
      <c r="AN88" s="57">
        <f t="shared" si="422"/>
        <v>0.11499999999999999</v>
      </c>
      <c r="AO88" s="78">
        <v>14539.6</v>
      </c>
      <c r="AP88" s="104">
        <v>18404.400000000001</v>
      </c>
      <c r="AQ88" s="61">
        <f t="shared" si="439"/>
        <v>0.32600000000000001</v>
      </c>
      <c r="AR88" s="57">
        <f t="shared" si="440"/>
        <v>0.78400000000000003</v>
      </c>
      <c r="AS88" s="45"/>
      <c r="AT88" s="78">
        <v>1058.944</v>
      </c>
      <c r="AU88" s="77">
        <f t="shared" si="423"/>
        <v>0.43000008121299732</v>
      </c>
      <c r="AV88" s="78">
        <v>942.80899999999997</v>
      </c>
      <c r="AW88" s="77">
        <f t="shared" si="424"/>
        <v>0.5866888612321095</v>
      </c>
      <c r="AX88" s="78">
        <v>1121.4780000000001</v>
      </c>
      <c r="AY88" s="77">
        <f t="shared" si="441"/>
        <v>0.5784392407674851</v>
      </c>
      <c r="AZ88" s="45"/>
      <c r="BA88" s="75">
        <v>52500.305999999997</v>
      </c>
      <c r="BB88" s="77">
        <f t="shared" si="442"/>
        <v>0.75409836065573765</v>
      </c>
      <c r="BC88" s="45"/>
      <c r="BD88" s="105">
        <v>18341.349999999999</v>
      </c>
      <c r="BE88" s="45">
        <v>0</v>
      </c>
      <c r="BF88" s="106">
        <v>0</v>
      </c>
      <c r="BG88" s="107">
        <f t="shared" si="443"/>
        <v>0.56261809815950914</v>
      </c>
      <c r="BH88" s="108">
        <f t="shared" si="444"/>
        <v>0</v>
      </c>
      <c r="BI88" s="106">
        <v>0</v>
      </c>
      <c r="BJ88" s="106">
        <v>0</v>
      </c>
      <c r="BK88" s="106">
        <v>0</v>
      </c>
      <c r="BL88" s="106">
        <v>5441.5469999999996</v>
      </c>
      <c r="BM88" s="107">
        <f t="shared" si="445"/>
        <v>0.40373549488054605</v>
      </c>
      <c r="BN88" s="108">
        <f t="shared" si="446"/>
        <v>0</v>
      </c>
      <c r="BO88" s="45">
        <v>7668</v>
      </c>
      <c r="BP88" s="45">
        <v>0</v>
      </c>
      <c r="BQ88" s="45"/>
      <c r="BR88" s="109">
        <v>-700</v>
      </c>
      <c r="BS88" s="45">
        <f t="shared" si="447"/>
        <v>0</v>
      </c>
      <c r="BT88" s="45">
        <v>4485</v>
      </c>
      <c r="BU88" s="45">
        <f t="shared" si="447"/>
        <v>4485</v>
      </c>
      <c r="BV88" s="45">
        <v>0</v>
      </c>
      <c r="BW88" s="45">
        <f t="shared" ref="BW88:BY88" si="580">IF(BV88&gt;0,BV88,0)</f>
        <v>0</v>
      </c>
      <c r="BX88" s="45">
        <v>-5000</v>
      </c>
      <c r="BY88" s="45">
        <f t="shared" si="580"/>
        <v>0</v>
      </c>
      <c r="BZ88" s="45">
        <v>-5300</v>
      </c>
      <c r="CA88" s="45">
        <f t="shared" ref="CA88:CC88" si="581">IF(BZ88&gt;0,BZ88,0)</f>
        <v>0</v>
      </c>
      <c r="CB88" s="45">
        <v>-1406.0192195100001</v>
      </c>
      <c r="CC88" s="45">
        <f t="shared" si="581"/>
        <v>0</v>
      </c>
      <c r="CD88" s="45">
        <v>4800</v>
      </c>
      <c r="CE88" s="45">
        <f t="shared" ref="CE88:CG88" si="582">IF(CD88&gt;0,CD88,0)</f>
        <v>4800</v>
      </c>
      <c r="CF88" s="45">
        <v>9593.3341387</v>
      </c>
      <c r="CG88" s="45">
        <f t="shared" si="582"/>
        <v>9593.3341387</v>
      </c>
      <c r="CH88" s="107">
        <f t="shared" si="451"/>
        <v>18878.3341387</v>
      </c>
      <c r="CI88" s="45"/>
      <c r="CJ88" s="109">
        <v>-700</v>
      </c>
      <c r="CK88" s="45">
        <f t="shared" si="452"/>
        <v>700</v>
      </c>
      <c r="CL88" s="45">
        <v>4485</v>
      </c>
      <c r="CM88" s="45">
        <f t="shared" si="452"/>
        <v>0</v>
      </c>
      <c r="CN88" s="45">
        <v>0</v>
      </c>
      <c r="CO88" s="45">
        <f t="shared" ref="CO88:CQ88" si="583">IF(CN88&lt;0,-CN88,0)</f>
        <v>0</v>
      </c>
      <c r="CP88" s="45">
        <v>-5000</v>
      </c>
      <c r="CQ88" s="45">
        <f t="shared" si="583"/>
        <v>5000</v>
      </c>
      <c r="CR88" s="45">
        <v>-5300</v>
      </c>
      <c r="CS88" s="45">
        <f t="shared" ref="CS88:CU88" si="584">IF(CR88&lt;0,-CR88,0)</f>
        <v>5300</v>
      </c>
      <c r="CT88" s="45">
        <v>-1406.0192195100001</v>
      </c>
      <c r="CU88" s="45">
        <f t="shared" si="584"/>
        <v>1406.0192195100001</v>
      </c>
      <c r="CV88" s="45">
        <v>4800</v>
      </c>
      <c r="CW88" s="45">
        <f t="shared" ref="CW88:CY88" si="585">IF(CV88&lt;0,-CV88,0)</f>
        <v>0</v>
      </c>
      <c r="CX88" s="45">
        <v>9593.3341387</v>
      </c>
      <c r="CY88" s="45">
        <f t="shared" si="585"/>
        <v>0</v>
      </c>
      <c r="CZ88" s="107">
        <f t="shared" si="456"/>
        <v>12406.019219510001</v>
      </c>
      <c r="DA88" s="45"/>
      <c r="DB88" s="110">
        <v>42071.652999999998</v>
      </c>
      <c r="DC88" s="57">
        <v>1578.7850000000001</v>
      </c>
      <c r="DD88" s="61">
        <v>2386.7889066473999</v>
      </c>
      <c r="DE88" s="61">
        <f t="shared" si="457"/>
        <v>46037.226906647404</v>
      </c>
      <c r="DF88" s="110">
        <v>11933.457</v>
      </c>
      <c r="DG88" s="110">
        <v>60575.411</v>
      </c>
      <c r="DH88" s="57">
        <v>6263</v>
      </c>
      <c r="DI88" s="107">
        <f t="shared" si="458"/>
        <v>66838.410999999993</v>
      </c>
      <c r="DJ88" s="45"/>
      <c r="DK88" s="110">
        <v>717.61400000000003</v>
      </c>
      <c r="DL88" s="57">
        <v>10540.1958456256</v>
      </c>
      <c r="DM88" s="57">
        <f t="shared" si="459"/>
        <v>11257.809845625599</v>
      </c>
      <c r="DN88" s="61">
        <v>1581.7723629470181</v>
      </c>
      <c r="DO88" s="61">
        <v>2924.2604764400921</v>
      </c>
      <c r="DP88" s="61">
        <v>436.87514556000002</v>
      </c>
      <c r="DQ88" s="57">
        <f t="shared" si="460"/>
        <v>3361.1356220000921</v>
      </c>
      <c r="DR88" s="57">
        <v>162.4589153577829</v>
      </c>
      <c r="DS88" s="57">
        <v>162.4589153577829</v>
      </c>
      <c r="DT88" s="5"/>
      <c r="DU88" s="73">
        <v>0</v>
      </c>
      <c r="DV88" s="156">
        <v>6779.6610170000004</v>
      </c>
      <c r="DW88" s="155">
        <v>1447.7400829999999</v>
      </c>
      <c r="DX88" s="155">
        <v>0</v>
      </c>
      <c r="DY88" s="73">
        <v>0</v>
      </c>
      <c r="DZ88" s="156">
        <v>1495.88959449</v>
      </c>
      <c r="EA88" s="73">
        <v>0</v>
      </c>
      <c r="EB88" s="156">
        <v>1271.1864410000001</v>
      </c>
      <c r="EC88" s="73">
        <v>0</v>
      </c>
      <c r="ED88" s="156">
        <v>847.5</v>
      </c>
      <c r="EE88" s="73">
        <v>0</v>
      </c>
      <c r="EF88" s="156">
        <v>7397.5988710000001</v>
      </c>
      <c r="EG88" s="73">
        <v>0</v>
      </c>
      <c r="EH88" s="156">
        <v>6779.6610170000004</v>
      </c>
      <c r="EI88" s="159">
        <v>1495.88959449</v>
      </c>
      <c r="EJ88" s="162">
        <v>847.5</v>
      </c>
      <c r="EK88" s="165">
        <v>735.83500000000004</v>
      </c>
      <c r="EL88" s="159">
        <v>436.87514556000002</v>
      </c>
      <c r="EM88" s="159">
        <f t="shared" si="461"/>
        <v>10964.025395000001</v>
      </c>
      <c r="EN88" s="159">
        <f t="shared" si="462"/>
        <v>0</v>
      </c>
      <c r="EP88" s="2">
        <v>19131.967349999999</v>
      </c>
      <c r="EQ88" s="5">
        <f t="shared" si="463"/>
        <v>0.77899999999999991</v>
      </c>
    </row>
    <row r="89" spans="13:147" x14ac:dyDescent="0.35">
      <c r="M89" s="5"/>
      <c r="N89" s="66">
        <f t="shared" si="464"/>
        <v>87</v>
      </c>
      <c r="O89" s="78">
        <v>23406</v>
      </c>
      <c r="P89" s="77">
        <f t="shared" si="431"/>
        <v>0.28199999999999997</v>
      </c>
      <c r="Q89" s="104">
        <v>547.77</v>
      </c>
      <c r="R89" s="77">
        <f t="shared" si="432"/>
        <v>0.11399999999999999</v>
      </c>
      <c r="S89" s="104">
        <v>9210</v>
      </c>
      <c r="T89" s="77">
        <f t="shared" si="433"/>
        <v>0.307</v>
      </c>
      <c r="U89" s="104">
        <v>4816.6970000000001</v>
      </c>
      <c r="V89" s="77">
        <f t="shared" si="419"/>
        <v>0.33499999999999996</v>
      </c>
      <c r="W89" s="104">
        <v>2453.6145999999999</v>
      </c>
      <c r="X89" s="77">
        <f t="shared" si="420"/>
        <v>0.254</v>
      </c>
      <c r="Y89" s="104">
        <v>10849.62</v>
      </c>
      <c r="Z89" s="77">
        <f t="shared" si="434"/>
        <v>0.21100000000000002</v>
      </c>
      <c r="AA89" s="104">
        <v>7967.1776</v>
      </c>
      <c r="AB89" s="77">
        <f t="shared" si="435"/>
        <v>0.17199999999999999</v>
      </c>
      <c r="AC89" s="5"/>
      <c r="AD89" s="66">
        <f t="shared" si="465"/>
        <v>87</v>
      </c>
      <c r="AE89" s="78">
        <v>16731.9624</v>
      </c>
      <c r="AF89" s="104">
        <v>1607.7</v>
      </c>
      <c r="AG89" s="78">
        <v>349.5</v>
      </c>
      <c r="AH89" s="61">
        <f t="shared" si="436"/>
        <v>0.188</v>
      </c>
      <c r="AI89" s="61">
        <f t="shared" si="437"/>
        <v>0.69900000000000007</v>
      </c>
      <c r="AJ89" s="61">
        <f t="shared" si="438"/>
        <v>0.69899999999999995</v>
      </c>
      <c r="AK89" s="77">
        <v>124.678</v>
      </c>
      <c r="AL89" s="104">
        <v>2771.1768000000002</v>
      </c>
      <c r="AM89" s="61">
        <f t="shared" si="421"/>
        <v>0.193</v>
      </c>
      <c r="AN89" s="57">
        <f t="shared" si="422"/>
        <v>0.23800000000000002</v>
      </c>
      <c r="AO89" s="78">
        <v>17126.400000000001</v>
      </c>
      <c r="AP89" s="104">
        <v>19179.075000000001</v>
      </c>
      <c r="AQ89" s="61">
        <f t="shared" si="439"/>
        <v>0.38400000000000001</v>
      </c>
      <c r="AR89" s="57">
        <f t="shared" si="440"/>
        <v>0.81700000000000006</v>
      </c>
      <c r="AS89" s="45"/>
      <c r="AT89" s="78">
        <v>1063.8689999999999</v>
      </c>
      <c r="AU89" s="77">
        <f t="shared" si="423"/>
        <v>0.43199995127220159</v>
      </c>
      <c r="AV89" s="78">
        <v>938.899</v>
      </c>
      <c r="AW89" s="77">
        <f t="shared" si="424"/>
        <v>0.58425575606720592</v>
      </c>
      <c r="AX89" s="78">
        <v>1121.4780000000001</v>
      </c>
      <c r="AY89" s="77">
        <f t="shared" si="441"/>
        <v>0.5784392407674851</v>
      </c>
      <c r="AZ89" s="45"/>
      <c r="BA89" s="75">
        <v>52500.305999999997</v>
      </c>
      <c r="BB89" s="77">
        <f t="shared" si="442"/>
        <v>0.75409836065573765</v>
      </c>
      <c r="BC89" s="45"/>
      <c r="BD89" s="105">
        <v>18336.964</v>
      </c>
      <c r="BE89" s="45">
        <v>0</v>
      </c>
      <c r="BF89" s="106">
        <v>0</v>
      </c>
      <c r="BG89" s="107">
        <f t="shared" si="443"/>
        <v>0.56248355828220864</v>
      </c>
      <c r="BH89" s="108">
        <f t="shared" si="444"/>
        <v>0</v>
      </c>
      <c r="BI89" s="106">
        <v>0</v>
      </c>
      <c r="BJ89" s="106">
        <v>0</v>
      </c>
      <c r="BK89" s="106">
        <v>0</v>
      </c>
      <c r="BL89" s="106">
        <v>5619.7259999999997</v>
      </c>
      <c r="BM89" s="107">
        <f t="shared" si="445"/>
        <v>0.41695548300934854</v>
      </c>
      <c r="BN89" s="108">
        <f t="shared" si="446"/>
        <v>0</v>
      </c>
      <c r="BO89" s="45">
        <v>7668</v>
      </c>
      <c r="BP89" s="45">
        <v>0</v>
      </c>
      <c r="BQ89" s="45"/>
      <c r="BR89" s="109">
        <v>-700</v>
      </c>
      <c r="BS89" s="45">
        <f t="shared" si="447"/>
        <v>0</v>
      </c>
      <c r="BT89" s="45">
        <v>4485</v>
      </c>
      <c r="BU89" s="45">
        <f t="shared" si="447"/>
        <v>4485</v>
      </c>
      <c r="BV89" s="45">
        <v>0</v>
      </c>
      <c r="BW89" s="45">
        <f t="shared" ref="BW89:BY89" si="586">IF(BV89&gt;0,BV89,0)</f>
        <v>0</v>
      </c>
      <c r="BX89" s="45">
        <v>-5000</v>
      </c>
      <c r="BY89" s="45">
        <f t="shared" si="586"/>
        <v>0</v>
      </c>
      <c r="BZ89" s="45">
        <v>-5300</v>
      </c>
      <c r="CA89" s="45">
        <f t="shared" ref="CA89:CC89" si="587">IF(BZ89&gt;0,BZ89,0)</f>
        <v>0</v>
      </c>
      <c r="CB89" s="45">
        <v>-4000</v>
      </c>
      <c r="CC89" s="45">
        <f t="shared" si="587"/>
        <v>0</v>
      </c>
      <c r="CD89" s="45">
        <v>4800</v>
      </c>
      <c r="CE89" s="45">
        <f t="shared" ref="CE89:CG89" si="588">IF(CD89&gt;0,CD89,0)</f>
        <v>4800</v>
      </c>
      <c r="CF89" s="45">
        <v>9244.1269337800004</v>
      </c>
      <c r="CG89" s="45">
        <f t="shared" si="588"/>
        <v>9244.1269337800004</v>
      </c>
      <c r="CH89" s="107">
        <f t="shared" si="451"/>
        <v>18529.12693378</v>
      </c>
      <c r="CI89" s="45"/>
      <c r="CJ89" s="109">
        <v>-700</v>
      </c>
      <c r="CK89" s="45">
        <f t="shared" si="452"/>
        <v>700</v>
      </c>
      <c r="CL89" s="45">
        <v>4485</v>
      </c>
      <c r="CM89" s="45">
        <f t="shared" si="452"/>
        <v>0</v>
      </c>
      <c r="CN89" s="45">
        <v>0</v>
      </c>
      <c r="CO89" s="45">
        <f t="shared" ref="CO89:CQ89" si="589">IF(CN89&lt;0,-CN89,0)</f>
        <v>0</v>
      </c>
      <c r="CP89" s="45">
        <v>-5000</v>
      </c>
      <c r="CQ89" s="45">
        <f t="shared" si="589"/>
        <v>5000</v>
      </c>
      <c r="CR89" s="45">
        <v>-5300</v>
      </c>
      <c r="CS89" s="45">
        <f t="shared" ref="CS89:CU89" si="590">IF(CR89&lt;0,-CR89,0)</f>
        <v>5300</v>
      </c>
      <c r="CT89" s="45">
        <v>-4000</v>
      </c>
      <c r="CU89" s="45">
        <f t="shared" si="590"/>
        <v>4000</v>
      </c>
      <c r="CV89" s="45">
        <v>4800</v>
      </c>
      <c r="CW89" s="45">
        <f t="shared" ref="CW89:CY89" si="591">IF(CV89&lt;0,-CV89,0)</f>
        <v>0</v>
      </c>
      <c r="CX89" s="45">
        <v>9244.1269337800004</v>
      </c>
      <c r="CY89" s="45">
        <f t="shared" si="591"/>
        <v>0</v>
      </c>
      <c r="CZ89" s="107">
        <f t="shared" si="456"/>
        <v>15000</v>
      </c>
      <c r="DA89" s="45"/>
      <c r="DB89" s="110">
        <v>41364.531000000003</v>
      </c>
      <c r="DC89" s="57">
        <v>1578.509</v>
      </c>
      <c r="DD89" s="61">
        <v>1780.5198930878</v>
      </c>
      <c r="DE89" s="61">
        <f t="shared" si="457"/>
        <v>44723.559893087804</v>
      </c>
      <c r="DF89" s="110">
        <v>11761.205</v>
      </c>
      <c r="DG89" s="110">
        <v>60662.411</v>
      </c>
      <c r="DH89" s="57">
        <v>6061</v>
      </c>
      <c r="DI89" s="107">
        <f t="shared" si="458"/>
        <v>66723.410999999993</v>
      </c>
      <c r="DJ89" s="45"/>
      <c r="DK89" s="110">
        <v>705.69100000000003</v>
      </c>
      <c r="DL89" s="57">
        <v>10555.905846475949</v>
      </c>
      <c r="DM89" s="57">
        <f t="shared" si="459"/>
        <v>11261.59684647595</v>
      </c>
      <c r="DN89" s="61">
        <v>1555.9943428215181</v>
      </c>
      <c r="DO89" s="61">
        <v>2932.5383508653349</v>
      </c>
      <c r="DP89" s="61">
        <v>428.59727113000002</v>
      </c>
      <c r="DQ89" s="57">
        <f t="shared" si="460"/>
        <v>3361.135621995335</v>
      </c>
      <c r="DR89" s="57">
        <v>162.91879727029641</v>
      </c>
      <c r="DS89" s="57">
        <v>162.91879727029641</v>
      </c>
      <c r="DT89" s="5"/>
      <c r="DU89" s="73">
        <v>0</v>
      </c>
      <c r="DV89" s="156">
        <v>6779.6610170000004</v>
      </c>
      <c r="DW89" s="155">
        <v>1447.7400829999999</v>
      </c>
      <c r="DX89" s="155">
        <v>0</v>
      </c>
      <c r="DY89" s="73">
        <v>0</v>
      </c>
      <c r="DZ89" s="156">
        <v>902.91620273000001</v>
      </c>
      <c r="EA89" s="73">
        <v>0</v>
      </c>
      <c r="EB89" s="156">
        <v>1271.1864410000001</v>
      </c>
      <c r="EC89" s="73">
        <v>0</v>
      </c>
      <c r="ED89" s="156">
        <v>847.5</v>
      </c>
      <c r="EE89" s="73">
        <v>0</v>
      </c>
      <c r="EF89" s="156">
        <v>7397.5988710000001</v>
      </c>
      <c r="EG89" s="73">
        <v>0</v>
      </c>
      <c r="EH89" s="156">
        <v>6779.6610170000004</v>
      </c>
      <c r="EI89" s="159">
        <v>902.91620273000001</v>
      </c>
      <c r="EJ89" s="162">
        <v>847.5</v>
      </c>
      <c r="EK89" s="165">
        <v>735.83500000000004</v>
      </c>
      <c r="EL89" s="159">
        <v>428.59727113000002</v>
      </c>
      <c r="EM89" s="159">
        <f t="shared" si="461"/>
        <v>10964.025395000001</v>
      </c>
      <c r="EN89" s="159">
        <f t="shared" si="462"/>
        <v>0</v>
      </c>
      <c r="EP89" s="2">
        <v>19131.967349999999</v>
      </c>
      <c r="EQ89" s="5">
        <f t="shared" si="463"/>
        <v>0.77899999999999991</v>
      </c>
    </row>
    <row r="90" spans="13:147" x14ac:dyDescent="0.35">
      <c r="M90" s="5"/>
      <c r="N90" s="66">
        <f t="shared" si="464"/>
        <v>88</v>
      </c>
      <c r="O90" s="78">
        <v>21165</v>
      </c>
      <c r="P90" s="77">
        <f t="shared" si="431"/>
        <v>0.255</v>
      </c>
      <c r="Q90" s="104">
        <v>432.45</v>
      </c>
      <c r="R90" s="77">
        <f t="shared" si="432"/>
        <v>0.09</v>
      </c>
      <c r="S90" s="104">
        <v>7350</v>
      </c>
      <c r="T90" s="77">
        <f t="shared" si="433"/>
        <v>0.245</v>
      </c>
      <c r="U90" s="104">
        <v>3695.1974</v>
      </c>
      <c r="V90" s="77">
        <f t="shared" si="419"/>
        <v>0.25700000000000001</v>
      </c>
      <c r="W90" s="104">
        <v>1854.7008000000001</v>
      </c>
      <c r="X90" s="77">
        <f t="shared" si="420"/>
        <v>0.192</v>
      </c>
      <c r="Y90" s="104">
        <v>7095.96</v>
      </c>
      <c r="Z90" s="77">
        <f t="shared" si="434"/>
        <v>0.13800000000000001</v>
      </c>
      <c r="AA90" s="104">
        <v>5048.9672</v>
      </c>
      <c r="AB90" s="77">
        <f t="shared" si="435"/>
        <v>0.109</v>
      </c>
      <c r="AC90" s="5"/>
      <c r="AD90" s="66">
        <f t="shared" si="465"/>
        <v>88</v>
      </c>
      <c r="AE90" s="78">
        <v>18511.9584</v>
      </c>
      <c r="AF90" s="104">
        <v>1688.2</v>
      </c>
      <c r="AG90" s="78">
        <v>367</v>
      </c>
      <c r="AH90" s="61">
        <f t="shared" si="436"/>
        <v>0.20799999999999999</v>
      </c>
      <c r="AI90" s="61">
        <f t="shared" si="437"/>
        <v>0.73399999999999999</v>
      </c>
      <c r="AJ90" s="61">
        <f t="shared" si="438"/>
        <v>0.73399999999999999</v>
      </c>
      <c r="AK90" s="77">
        <v>151.16399999999999</v>
      </c>
      <c r="AL90" s="104">
        <v>3854.0315999999998</v>
      </c>
      <c r="AM90" s="61">
        <f t="shared" si="421"/>
        <v>0.23399999999999999</v>
      </c>
      <c r="AN90" s="57">
        <f t="shared" si="422"/>
        <v>0.33099999999999996</v>
      </c>
      <c r="AO90" s="78">
        <v>21185</v>
      </c>
      <c r="AP90" s="104">
        <v>19437.3</v>
      </c>
      <c r="AQ90" s="61">
        <f t="shared" si="439"/>
        <v>0.47499999999999998</v>
      </c>
      <c r="AR90" s="57">
        <f t="shared" si="440"/>
        <v>0.82799999999999996</v>
      </c>
      <c r="AS90" s="45"/>
      <c r="AT90" s="78">
        <v>1044.1679999999999</v>
      </c>
      <c r="AU90" s="77">
        <f t="shared" si="423"/>
        <v>0.42400006497039783</v>
      </c>
      <c r="AV90" s="78">
        <v>948.59900000000005</v>
      </c>
      <c r="AW90" s="77">
        <f t="shared" si="424"/>
        <v>0.59029184816428126</v>
      </c>
      <c r="AX90" s="78">
        <v>1121.4780000000001</v>
      </c>
      <c r="AY90" s="77">
        <f t="shared" si="441"/>
        <v>0.5784392407674851</v>
      </c>
      <c r="AZ90" s="45"/>
      <c r="BA90" s="75">
        <v>52500.305999999997</v>
      </c>
      <c r="BB90" s="77">
        <f t="shared" si="442"/>
        <v>0.75409836065573765</v>
      </c>
      <c r="BC90" s="45"/>
      <c r="BD90" s="105">
        <v>17374.166000000001</v>
      </c>
      <c r="BE90" s="45">
        <v>0</v>
      </c>
      <c r="BF90" s="106">
        <v>0</v>
      </c>
      <c r="BG90" s="107">
        <f t="shared" si="443"/>
        <v>0.53294987730061349</v>
      </c>
      <c r="BH90" s="108">
        <f t="shared" si="444"/>
        <v>0</v>
      </c>
      <c r="BI90" s="106">
        <v>0</v>
      </c>
      <c r="BJ90" s="106">
        <v>0</v>
      </c>
      <c r="BK90" s="106">
        <v>0</v>
      </c>
      <c r="BL90" s="106">
        <v>5106.0630000000001</v>
      </c>
      <c r="BM90" s="107">
        <f t="shared" si="445"/>
        <v>0.37884426472770444</v>
      </c>
      <c r="BN90" s="108">
        <f t="shared" si="446"/>
        <v>0</v>
      </c>
      <c r="BO90" s="45">
        <v>7668</v>
      </c>
      <c r="BP90" s="45">
        <v>0</v>
      </c>
      <c r="BQ90" s="45"/>
      <c r="BR90" s="109">
        <v>-700</v>
      </c>
      <c r="BS90" s="45">
        <f t="shared" si="447"/>
        <v>0</v>
      </c>
      <c r="BT90" s="45">
        <v>4485</v>
      </c>
      <c r="BU90" s="45">
        <f t="shared" si="447"/>
        <v>4485</v>
      </c>
      <c r="BV90" s="45">
        <v>0</v>
      </c>
      <c r="BW90" s="45">
        <f t="shared" ref="BW90:BY90" si="592">IF(BV90&gt;0,BV90,0)</f>
        <v>0</v>
      </c>
      <c r="BX90" s="45">
        <v>-5000</v>
      </c>
      <c r="BY90" s="45">
        <f t="shared" si="592"/>
        <v>0</v>
      </c>
      <c r="BZ90" s="45">
        <v>-5300</v>
      </c>
      <c r="CA90" s="45">
        <f t="shared" ref="CA90:CC90" si="593">IF(BZ90&gt;0,BZ90,0)</f>
        <v>0</v>
      </c>
      <c r="CB90" s="45">
        <v>-4000</v>
      </c>
      <c r="CC90" s="45">
        <f t="shared" si="593"/>
        <v>0</v>
      </c>
      <c r="CD90" s="45">
        <v>4800</v>
      </c>
      <c r="CE90" s="45">
        <f t="shared" ref="CE90:CG90" si="594">IF(CD90&gt;0,CD90,0)</f>
        <v>4800</v>
      </c>
      <c r="CF90" s="45">
        <v>7324.3135545300001</v>
      </c>
      <c r="CG90" s="45">
        <f t="shared" si="594"/>
        <v>7324.3135545300001</v>
      </c>
      <c r="CH90" s="107">
        <f t="shared" si="451"/>
        <v>16609.313554529999</v>
      </c>
      <c r="CI90" s="45"/>
      <c r="CJ90" s="109">
        <v>-700</v>
      </c>
      <c r="CK90" s="45">
        <f t="shared" si="452"/>
        <v>700</v>
      </c>
      <c r="CL90" s="45">
        <v>4485</v>
      </c>
      <c r="CM90" s="45">
        <f t="shared" si="452"/>
        <v>0</v>
      </c>
      <c r="CN90" s="45">
        <v>0</v>
      </c>
      <c r="CO90" s="45">
        <f t="shared" ref="CO90:CQ90" si="595">IF(CN90&lt;0,-CN90,0)</f>
        <v>0</v>
      </c>
      <c r="CP90" s="45">
        <v>-5000</v>
      </c>
      <c r="CQ90" s="45">
        <f t="shared" si="595"/>
        <v>5000</v>
      </c>
      <c r="CR90" s="45">
        <v>-5300</v>
      </c>
      <c r="CS90" s="45">
        <f t="shared" ref="CS90:CU90" si="596">IF(CR90&lt;0,-CR90,0)</f>
        <v>5300</v>
      </c>
      <c r="CT90" s="45">
        <v>-4000</v>
      </c>
      <c r="CU90" s="45">
        <f t="shared" si="596"/>
        <v>4000</v>
      </c>
      <c r="CV90" s="45">
        <v>4800</v>
      </c>
      <c r="CW90" s="45">
        <f t="shared" ref="CW90:CY90" si="597">IF(CV90&lt;0,-CV90,0)</f>
        <v>0</v>
      </c>
      <c r="CX90" s="45">
        <v>7324.3135545300001</v>
      </c>
      <c r="CY90" s="45">
        <f t="shared" si="597"/>
        <v>0</v>
      </c>
      <c r="CZ90" s="107">
        <f t="shared" si="456"/>
        <v>15000</v>
      </c>
      <c r="DA90" s="45"/>
      <c r="DB90" s="110">
        <v>41250.39</v>
      </c>
      <c r="DC90" s="57">
        <v>1575.8710000000001</v>
      </c>
      <c r="DD90" s="61">
        <v>1510.9504346511001</v>
      </c>
      <c r="DE90" s="61">
        <f t="shared" si="457"/>
        <v>44337.211434651101</v>
      </c>
      <c r="DF90" s="110">
        <v>11129.707</v>
      </c>
      <c r="DG90" s="110">
        <v>62290.411</v>
      </c>
      <c r="DH90" s="57">
        <v>6368</v>
      </c>
      <c r="DI90" s="107">
        <f t="shared" si="458"/>
        <v>68658.410999999993</v>
      </c>
      <c r="DJ90" s="45"/>
      <c r="DK90" s="110">
        <v>731.93799999999999</v>
      </c>
      <c r="DL90" s="57">
        <v>10571.615847326309</v>
      </c>
      <c r="DM90" s="57">
        <f t="shared" si="459"/>
        <v>11303.55384732631</v>
      </c>
      <c r="DN90" s="61">
        <v>1555.9943428215181</v>
      </c>
      <c r="DO90" s="61">
        <v>2940.8162252905781</v>
      </c>
      <c r="DP90" s="61">
        <v>420.31939670999998</v>
      </c>
      <c r="DQ90" s="57">
        <f t="shared" si="460"/>
        <v>3361.1356220005782</v>
      </c>
      <c r="DR90" s="57">
        <v>163.37867918280989</v>
      </c>
      <c r="DS90" s="57">
        <v>163.37867918280989</v>
      </c>
      <c r="DT90" s="5"/>
      <c r="DU90" s="73">
        <v>0</v>
      </c>
      <c r="DV90" s="156">
        <v>6779.6610170000004</v>
      </c>
      <c r="DW90" s="155">
        <v>1447.7400829999999</v>
      </c>
      <c r="DX90" s="155">
        <v>0</v>
      </c>
      <c r="DY90" s="73">
        <v>0</v>
      </c>
      <c r="DZ90" s="156">
        <v>902.45632081999997</v>
      </c>
      <c r="EA90" s="73">
        <v>0</v>
      </c>
      <c r="EB90" s="156">
        <v>1271.1864410000001</v>
      </c>
      <c r="EC90" s="73">
        <v>0</v>
      </c>
      <c r="ED90" s="156">
        <v>847.5</v>
      </c>
      <c r="EE90" s="73">
        <v>0</v>
      </c>
      <c r="EF90" s="156">
        <v>7397.5988710000001</v>
      </c>
      <c r="EG90" s="73">
        <v>0</v>
      </c>
      <c r="EH90" s="156">
        <v>6779.6610170000004</v>
      </c>
      <c r="EI90" s="159">
        <v>902.45632081999997</v>
      </c>
      <c r="EJ90" s="162">
        <v>847.5</v>
      </c>
      <c r="EK90" s="165">
        <v>735.83500000000004</v>
      </c>
      <c r="EL90" s="159">
        <v>420.31939670999998</v>
      </c>
      <c r="EM90" s="159">
        <f t="shared" si="461"/>
        <v>10964.025395000001</v>
      </c>
      <c r="EN90" s="159">
        <f t="shared" si="462"/>
        <v>0</v>
      </c>
      <c r="EP90" s="2">
        <v>18665.333999999999</v>
      </c>
      <c r="EQ90" s="5">
        <f t="shared" si="463"/>
        <v>0.7599999999999999</v>
      </c>
    </row>
    <row r="91" spans="13:147" x14ac:dyDescent="0.35">
      <c r="M91" s="5"/>
      <c r="N91" s="66">
        <f t="shared" si="464"/>
        <v>89</v>
      </c>
      <c r="O91" s="78">
        <v>15687</v>
      </c>
      <c r="P91" s="77">
        <f t="shared" si="431"/>
        <v>0.189</v>
      </c>
      <c r="Q91" s="104">
        <v>245.05500000000001</v>
      </c>
      <c r="R91" s="77">
        <f t="shared" si="432"/>
        <v>5.1000000000000004E-2</v>
      </c>
      <c r="S91" s="104">
        <v>4710</v>
      </c>
      <c r="T91" s="77">
        <f t="shared" si="433"/>
        <v>0.157</v>
      </c>
      <c r="U91" s="104">
        <v>2257.3773999999999</v>
      </c>
      <c r="V91" s="77">
        <f t="shared" si="419"/>
        <v>0.15699999999999997</v>
      </c>
      <c r="W91" s="104">
        <v>1072.2489</v>
      </c>
      <c r="X91" s="77">
        <f t="shared" si="420"/>
        <v>0.11100000000000002</v>
      </c>
      <c r="Y91" s="104">
        <v>2982.36</v>
      </c>
      <c r="Z91" s="77">
        <f t="shared" si="434"/>
        <v>5.8000000000000003E-2</v>
      </c>
      <c r="AA91" s="104">
        <v>1945.4736</v>
      </c>
      <c r="AB91" s="77">
        <f t="shared" si="435"/>
        <v>4.1999999999999996E-2</v>
      </c>
      <c r="AC91" s="5"/>
      <c r="AD91" s="66">
        <f t="shared" si="465"/>
        <v>89</v>
      </c>
      <c r="AE91" s="78">
        <v>18867.957600000002</v>
      </c>
      <c r="AF91" s="104">
        <v>1761.8</v>
      </c>
      <c r="AG91" s="78">
        <v>383</v>
      </c>
      <c r="AH91" s="61">
        <f t="shared" si="436"/>
        <v>0.21200000000000002</v>
      </c>
      <c r="AI91" s="61">
        <f t="shared" si="437"/>
        <v>0.76600000000000001</v>
      </c>
      <c r="AJ91" s="61">
        <f t="shared" si="438"/>
        <v>0.76600000000000001</v>
      </c>
      <c r="AK91" s="77">
        <v>172.482</v>
      </c>
      <c r="AL91" s="104">
        <v>4145.1216000000004</v>
      </c>
      <c r="AM91" s="61">
        <f t="shared" si="421"/>
        <v>0.26700000000000002</v>
      </c>
      <c r="AN91" s="57">
        <f t="shared" si="422"/>
        <v>0.35600000000000004</v>
      </c>
      <c r="AO91" s="78">
        <v>25957.200000000001</v>
      </c>
      <c r="AP91" s="104">
        <v>19390.349999999999</v>
      </c>
      <c r="AQ91" s="61">
        <f t="shared" si="439"/>
        <v>0.58199999999999996</v>
      </c>
      <c r="AR91" s="57">
        <f t="shared" si="440"/>
        <v>0.82599999999999996</v>
      </c>
      <c r="AS91" s="45"/>
      <c r="AT91" s="78">
        <v>1046.6300000000001</v>
      </c>
      <c r="AU91" s="77">
        <f t="shared" si="423"/>
        <v>0.42499979696750673</v>
      </c>
      <c r="AV91" s="78">
        <v>956.87599999999998</v>
      </c>
      <c r="AW91" s="77">
        <f t="shared" si="424"/>
        <v>0.59544243932794028</v>
      </c>
      <c r="AX91" s="78">
        <v>1121.4780000000001</v>
      </c>
      <c r="AY91" s="77">
        <f t="shared" si="441"/>
        <v>0.5784392407674851</v>
      </c>
      <c r="AZ91" s="45"/>
      <c r="BA91" s="75">
        <v>52500.305999999997</v>
      </c>
      <c r="BB91" s="77">
        <f t="shared" si="442"/>
        <v>0.75409836065573765</v>
      </c>
      <c r="BC91" s="45"/>
      <c r="BD91" s="105">
        <v>14653.295</v>
      </c>
      <c r="BE91" s="45">
        <v>0</v>
      </c>
      <c r="BF91" s="106">
        <v>0</v>
      </c>
      <c r="BG91" s="107">
        <f t="shared" si="443"/>
        <v>0.44948757668711659</v>
      </c>
      <c r="BH91" s="108">
        <f t="shared" si="444"/>
        <v>0</v>
      </c>
      <c r="BI91" s="106">
        <v>0</v>
      </c>
      <c r="BJ91" s="106">
        <v>0</v>
      </c>
      <c r="BK91" s="106">
        <v>0</v>
      </c>
      <c r="BL91" s="106">
        <v>4271.7520000000004</v>
      </c>
      <c r="BM91" s="107">
        <f t="shared" si="445"/>
        <v>0.3169425730820597</v>
      </c>
      <c r="BN91" s="108">
        <f t="shared" si="446"/>
        <v>0</v>
      </c>
      <c r="BO91" s="45">
        <v>7668</v>
      </c>
      <c r="BP91" s="45">
        <v>651.21597118999989</v>
      </c>
      <c r="BQ91" s="45"/>
      <c r="BR91" s="109">
        <v>-700</v>
      </c>
      <c r="BS91" s="45">
        <f t="shared" si="447"/>
        <v>0</v>
      </c>
      <c r="BT91" s="45">
        <v>4485</v>
      </c>
      <c r="BU91" s="45">
        <f t="shared" si="447"/>
        <v>4485</v>
      </c>
      <c r="BV91" s="45">
        <v>0</v>
      </c>
      <c r="BW91" s="45">
        <f t="shared" ref="BW91:BY91" si="598">IF(BV91&gt;0,BV91,0)</f>
        <v>0</v>
      </c>
      <c r="BX91" s="45">
        <v>-5000</v>
      </c>
      <c r="BY91" s="45">
        <f t="shared" si="598"/>
        <v>0</v>
      </c>
      <c r="BZ91" s="45">
        <v>-5300</v>
      </c>
      <c r="CA91" s="45">
        <f t="shared" ref="CA91:CC91" si="599">IF(BZ91&gt;0,BZ91,0)</f>
        <v>0</v>
      </c>
      <c r="CB91" s="45">
        <v>-4000</v>
      </c>
      <c r="CC91" s="45">
        <f t="shared" si="599"/>
        <v>0</v>
      </c>
      <c r="CD91" s="45">
        <v>-4800</v>
      </c>
      <c r="CE91" s="45">
        <f t="shared" ref="CE91:CG91" si="600">IF(CD91&gt;0,CD91,0)</f>
        <v>0</v>
      </c>
      <c r="CF91" s="45">
        <v>7495.7129475299998</v>
      </c>
      <c r="CG91" s="45">
        <f t="shared" si="600"/>
        <v>7495.7129475299998</v>
      </c>
      <c r="CH91" s="107">
        <f t="shared" si="451"/>
        <v>11980.712947529999</v>
      </c>
      <c r="CI91" s="45"/>
      <c r="CJ91" s="109">
        <v>-700</v>
      </c>
      <c r="CK91" s="45">
        <f t="shared" si="452"/>
        <v>700</v>
      </c>
      <c r="CL91" s="45">
        <v>4485</v>
      </c>
      <c r="CM91" s="45">
        <f t="shared" si="452"/>
        <v>0</v>
      </c>
      <c r="CN91" s="45">
        <v>0</v>
      </c>
      <c r="CO91" s="45">
        <f t="shared" ref="CO91:CQ91" si="601">IF(CN91&lt;0,-CN91,0)</f>
        <v>0</v>
      </c>
      <c r="CP91" s="45">
        <v>-5000</v>
      </c>
      <c r="CQ91" s="45">
        <f t="shared" si="601"/>
        <v>5000</v>
      </c>
      <c r="CR91" s="45">
        <v>-5300</v>
      </c>
      <c r="CS91" s="45">
        <f t="shared" ref="CS91:CU91" si="602">IF(CR91&lt;0,-CR91,0)</f>
        <v>5300</v>
      </c>
      <c r="CT91" s="45">
        <v>-4000</v>
      </c>
      <c r="CU91" s="45">
        <f t="shared" si="602"/>
        <v>4000</v>
      </c>
      <c r="CV91" s="45">
        <v>-4800</v>
      </c>
      <c r="CW91" s="45">
        <f t="shared" ref="CW91:CY91" si="603">IF(CV91&lt;0,-CV91,0)</f>
        <v>4800</v>
      </c>
      <c r="CX91" s="45">
        <v>7495.7129475299998</v>
      </c>
      <c r="CY91" s="45">
        <f t="shared" si="603"/>
        <v>0</v>
      </c>
      <c r="CZ91" s="107">
        <f t="shared" si="456"/>
        <v>19800</v>
      </c>
      <c r="DA91" s="45"/>
      <c r="DB91" s="110">
        <v>41582.906000000003</v>
      </c>
      <c r="DC91" s="57">
        <v>2017.23</v>
      </c>
      <c r="DD91" s="61">
        <v>1519.2347412628001</v>
      </c>
      <c r="DE91" s="61">
        <f t="shared" si="457"/>
        <v>45119.370741262806</v>
      </c>
      <c r="DF91" s="110">
        <v>10524.421</v>
      </c>
      <c r="DG91" s="110">
        <v>66152.410999999993</v>
      </c>
      <c r="DH91" s="57">
        <v>6340</v>
      </c>
      <c r="DI91" s="107">
        <f t="shared" si="458"/>
        <v>72492.410999999993</v>
      </c>
      <c r="DJ91" s="45"/>
      <c r="DK91" s="110">
        <v>769.64099999999996</v>
      </c>
      <c r="DL91" s="57">
        <v>10571.615847326309</v>
      </c>
      <c r="DM91" s="57">
        <f t="shared" si="459"/>
        <v>11341.256847326309</v>
      </c>
      <c r="DN91" s="61">
        <v>1555.9943428215181</v>
      </c>
      <c r="DO91" s="61">
        <v>2940.8162252905781</v>
      </c>
      <c r="DP91" s="61">
        <v>420.31939670999998</v>
      </c>
      <c r="DQ91" s="57">
        <f t="shared" si="460"/>
        <v>3361.1356220005782</v>
      </c>
      <c r="DR91" s="57">
        <v>163.37867918280989</v>
      </c>
      <c r="DS91" s="57">
        <v>163.37867918280989</v>
      </c>
      <c r="DT91" s="5"/>
      <c r="DU91" s="73">
        <v>0</v>
      </c>
      <c r="DV91" s="156">
        <v>6779.6610170000004</v>
      </c>
      <c r="DW91" s="155">
        <v>1447.7400829999999</v>
      </c>
      <c r="DX91" s="155">
        <v>0</v>
      </c>
      <c r="DY91" s="73">
        <v>0</v>
      </c>
      <c r="DZ91" s="156">
        <v>1553.672292</v>
      </c>
      <c r="EA91" s="73">
        <v>0</v>
      </c>
      <c r="EB91" s="156">
        <v>1271.1864410000001</v>
      </c>
      <c r="EC91" s="73">
        <v>0</v>
      </c>
      <c r="ED91" s="156">
        <v>847.5</v>
      </c>
      <c r="EE91" s="73">
        <v>0</v>
      </c>
      <c r="EF91" s="156">
        <v>7397.5988710000001</v>
      </c>
      <c r="EG91" s="73">
        <v>0</v>
      </c>
      <c r="EH91" s="156">
        <v>6779.6610170000004</v>
      </c>
      <c r="EI91" s="159">
        <v>1553.672292</v>
      </c>
      <c r="EJ91" s="162">
        <v>847.5</v>
      </c>
      <c r="EK91" s="165">
        <v>735.83500000000004</v>
      </c>
      <c r="EL91" s="159">
        <v>420.31939670999998</v>
      </c>
      <c r="EM91" s="159">
        <f t="shared" si="461"/>
        <v>10964.025395000001</v>
      </c>
      <c r="EN91" s="159">
        <f t="shared" si="462"/>
        <v>0</v>
      </c>
      <c r="EP91" s="2">
        <v>18665.333999999999</v>
      </c>
      <c r="EQ91" s="5">
        <f t="shared" si="463"/>
        <v>0.7599999999999999</v>
      </c>
    </row>
    <row r="92" spans="13:147" x14ac:dyDescent="0.35">
      <c r="M92" s="5"/>
      <c r="N92" s="66">
        <f t="shared" si="464"/>
        <v>90</v>
      </c>
      <c r="O92" s="78">
        <v>4316</v>
      </c>
      <c r="P92" s="77">
        <f t="shared" si="431"/>
        <v>5.1999999999999998E-2</v>
      </c>
      <c r="Q92" s="104">
        <v>0</v>
      </c>
      <c r="R92" s="77">
        <f t="shared" si="432"/>
        <v>0</v>
      </c>
      <c r="S92" s="104">
        <v>1530</v>
      </c>
      <c r="T92" s="77">
        <f t="shared" si="433"/>
        <v>5.0999999999999997E-2</v>
      </c>
      <c r="U92" s="104">
        <v>920.20479999999998</v>
      </c>
      <c r="V92" s="77">
        <f t="shared" si="419"/>
        <v>6.4000000000000001E-2</v>
      </c>
      <c r="W92" s="104">
        <v>357.41629999999998</v>
      </c>
      <c r="X92" s="77">
        <f t="shared" si="420"/>
        <v>3.6999999999999998E-2</v>
      </c>
      <c r="Y92" s="104">
        <v>0</v>
      </c>
      <c r="Z92" s="77">
        <f t="shared" si="434"/>
        <v>0</v>
      </c>
      <c r="AA92" s="104">
        <v>0</v>
      </c>
      <c r="AB92" s="77">
        <f t="shared" si="435"/>
        <v>0</v>
      </c>
      <c r="AC92" s="5"/>
      <c r="AD92" s="66">
        <f t="shared" si="465"/>
        <v>90</v>
      </c>
      <c r="AE92" s="78">
        <v>18244.958999999999</v>
      </c>
      <c r="AF92" s="104">
        <v>1814.7</v>
      </c>
      <c r="AG92" s="78">
        <v>394.5</v>
      </c>
      <c r="AH92" s="61">
        <f t="shared" si="436"/>
        <v>0.20499999999999999</v>
      </c>
      <c r="AI92" s="61">
        <f t="shared" si="437"/>
        <v>0.78900000000000003</v>
      </c>
      <c r="AJ92" s="61">
        <f t="shared" si="438"/>
        <v>0.78900000000000003</v>
      </c>
      <c r="AK92" s="77">
        <v>204.136</v>
      </c>
      <c r="AL92" s="104">
        <v>2561.5920000000001</v>
      </c>
      <c r="AM92" s="61">
        <f t="shared" si="421"/>
        <v>0.316</v>
      </c>
      <c r="AN92" s="57">
        <f t="shared" si="422"/>
        <v>0.22</v>
      </c>
      <c r="AO92" s="78">
        <v>29302.2</v>
      </c>
      <c r="AP92" s="104">
        <v>19132.125</v>
      </c>
      <c r="AQ92" s="61">
        <f t="shared" si="439"/>
        <v>0.65700000000000003</v>
      </c>
      <c r="AR92" s="57">
        <f t="shared" si="440"/>
        <v>0.81499999999999995</v>
      </c>
      <c r="AS92" s="45"/>
      <c r="AT92" s="78">
        <v>1105.7339999999999</v>
      </c>
      <c r="AU92" s="77">
        <f t="shared" si="423"/>
        <v>0.44899986193790453</v>
      </c>
      <c r="AV92" s="78">
        <v>967.40800000000002</v>
      </c>
      <c r="AW92" s="77">
        <f t="shared" si="424"/>
        <v>0.60199626633478531</v>
      </c>
      <c r="AX92" s="78">
        <v>1121.4780000000001</v>
      </c>
      <c r="AY92" s="77">
        <f t="shared" si="441"/>
        <v>0.5784392407674851</v>
      </c>
      <c r="AZ92" s="45"/>
      <c r="BA92" s="75">
        <v>52500.305999999997</v>
      </c>
      <c r="BB92" s="77">
        <f t="shared" si="442"/>
        <v>0.75409836065573765</v>
      </c>
      <c r="BC92" s="45"/>
      <c r="BD92" s="105">
        <v>9738.6059999999998</v>
      </c>
      <c r="BE92" s="45">
        <v>0</v>
      </c>
      <c r="BF92" s="106">
        <v>0</v>
      </c>
      <c r="BG92" s="107">
        <f t="shared" si="443"/>
        <v>0.29873024539877302</v>
      </c>
      <c r="BH92" s="108">
        <f t="shared" si="444"/>
        <v>0</v>
      </c>
      <c r="BI92" s="106">
        <v>0</v>
      </c>
      <c r="BJ92" s="106">
        <v>0</v>
      </c>
      <c r="BK92" s="106">
        <v>0</v>
      </c>
      <c r="BL92" s="106">
        <v>3747.6970000000001</v>
      </c>
      <c r="BM92" s="107">
        <f t="shared" si="445"/>
        <v>0.2780603205223327</v>
      </c>
      <c r="BN92" s="108">
        <f t="shared" si="446"/>
        <v>0</v>
      </c>
      <c r="BO92" s="45">
        <v>7668</v>
      </c>
      <c r="BP92" s="45">
        <v>456.11597117999997</v>
      </c>
      <c r="BQ92" s="45"/>
      <c r="BR92" s="109">
        <v>-700</v>
      </c>
      <c r="BS92" s="45">
        <f t="shared" si="447"/>
        <v>0</v>
      </c>
      <c r="BT92" s="45">
        <v>4485</v>
      </c>
      <c r="BU92" s="45">
        <f t="shared" si="447"/>
        <v>4485</v>
      </c>
      <c r="BV92" s="45">
        <v>0</v>
      </c>
      <c r="BW92" s="45">
        <f t="shared" ref="BW92:BY92" si="604">IF(BV92&gt;0,BV92,0)</f>
        <v>0</v>
      </c>
      <c r="BX92" s="45">
        <v>-5000</v>
      </c>
      <c r="BY92" s="45">
        <f t="shared" si="604"/>
        <v>0</v>
      </c>
      <c r="BZ92" s="45">
        <v>-5300</v>
      </c>
      <c r="CA92" s="45">
        <f t="shared" ref="CA92:CC92" si="605">IF(BZ92&gt;0,BZ92,0)</f>
        <v>0</v>
      </c>
      <c r="CB92" s="45">
        <v>-4000</v>
      </c>
      <c r="CC92" s="45">
        <f t="shared" si="605"/>
        <v>0</v>
      </c>
      <c r="CD92" s="45">
        <v>-4800</v>
      </c>
      <c r="CE92" s="45">
        <f t="shared" ref="CE92:CG92" si="606">IF(CD92&gt;0,CD92,0)</f>
        <v>0</v>
      </c>
      <c r="CF92" s="45">
        <v>9416.23659787</v>
      </c>
      <c r="CG92" s="45">
        <f t="shared" si="606"/>
        <v>9416.23659787</v>
      </c>
      <c r="CH92" s="107">
        <f t="shared" si="451"/>
        <v>13901.23659787</v>
      </c>
      <c r="CI92" s="45"/>
      <c r="CJ92" s="109">
        <v>-700</v>
      </c>
      <c r="CK92" s="45">
        <f t="shared" si="452"/>
        <v>700</v>
      </c>
      <c r="CL92" s="45">
        <v>4485</v>
      </c>
      <c r="CM92" s="45">
        <f t="shared" si="452"/>
        <v>0</v>
      </c>
      <c r="CN92" s="45">
        <v>0</v>
      </c>
      <c r="CO92" s="45">
        <f t="shared" ref="CO92:CQ92" si="607">IF(CN92&lt;0,-CN92,0)</f>
        <v>0</v>
      </c>
      <c r="CP92" s="45">
        <v>-5000</v>
      </c>
      <c r="CQ92" s="45">
        <f t="shared" si="607"/>
        <v>5000</v>
      </c>
      <c r="CR92" s="45">
        <v>-5300</v>
      </c>
      <c r="CS92" s="45">
        <f t="shared" ref="CS92:CU92" si="608">IF(CR92&lt;0,-CR92,0)</f>
        <v>5300</v>
      </c>
      <c r="CT92" s="45">
        <v>-4000</v>
      </c>
      <c r="CU92" s="45">
        <f t="shared" si="608"/>
        <v>4000</v>
      </c>
      <c r="CV92" s="45">
        <v>-4800</v>
      </c>
      <c r="CW92" s="45">
        <f t="shared" ref="CW92:CY92" si="609">IF(CV92&lt;0,-CV92,0)</f>
        <v>4800</v>
      </c>
      <c r="CX92" s="45">
        <v>9416.23659787</v>
      </c>
      <c r="CY92" s="45">
        <f t="shared" si="609"/>
        <v>0</v>
      </c>
      <c r="CZ92" s="107">
        <f t="shared" si="456"/>
        <v>19800</v>
      </c>
      <c r="DA92" s="45"/>
      <c r="DB92" s="110">
        <v>43504.919000000002</v>
      </c>
      <c r="DC92" s="57">
        <v>2269.1930000000002</v>
      </c>
      <c r="DD92" s="61">
        <v>1612.3495110371</v>
      </c>
      <c r="DE92" s="61">
        <f t="shared" si="457"/>
        <v>47386.461511037101</v>
      </c>
      <c r="DF92" s="110">
        <v>10307.888000000001</v>
      </c>
      <c r="DG92" s="110">
        <v>70268.410999999993</v>
      </c>
      <c r="DH92" s="57">
        <v>6215</v>
      </c>
      <c r="DI92" s="107">
        <f t="shared" si="458"/>
        <v>76483.410999999993</v>
      </c>
      <c r="DJ92" s="45"/>
      <c r="DK92" s="110">
        <v>779.31799999999998</v>
      </c>
      <c r="DL92" s="57">
        <v>10571.615847326309</v>
      </c>
      <c r="DM92" s="57">
        <f t="shared" si="459"/>
        <v>11350.933847326309</v>
      </c>
      <c r="DN92" s="61">
        <v>1555.9943428215181</v>
      </c>
      <c r="DO92" s="61">
        <v>2940.8162252905781</v>
      </c>
      <c r="DP92" s="61">
        <v>420.31939670999998</v>
      </c>
      <c r="DQ92" s="57">
        <f t="shared" si="460"/>
        <v>3361.1356220005782</v>
      </c>
      <c r="DR92" s="57">
        <v>163.37867918280989</v>
      </c>
      <c r="DS92" s="57">
        <v>163.37867918280989</v>
      </c>
      <c r="DT92" s="5"/>
      <c r="DU92" s="73">
        <v>0</v>
      </c>
      <c r="DV92" s="156">
        <v>6779.6610170000004</v>
      </c>
      <c r="DW92" s="155">
        <v>1447.7400829999999</v>
      </c>
      <c r="DX92" s="155">
        <v>0</v>
      </c>
      <c r="DY92" s="73">
        <v>0</v>
      </c>
      <c r="DZ92" s="156">
        <v>1358.5722920000001</v>
      </c>
      <c r="EA92" s="73">
        <v>0</v>
      </c>
      <c r="EB92" s="156">
        <v>1271.1864410000001</v>
      </c>
      <c r="EC92" s="73">
        <v>0</v>
      </c>
      <c r="ED92" s="156">
        <v>847.5</v>
      </c>
      <c r="EE92" s="73">
        <v>0</v>
      </c>
      <c r="EF92" s="156">
        <v>7397.5988710000001</v>
      </c>
      <c r="EG92" s="73">
        <v>0</v>
      </c>
      <c r="EH92" s="156">
        <v>6779.6610170000004</v>
      </c>
      <c r="EI92" s="159">
        <v>1358.5722920000001</v>
      </c>
      <c r="EJ92" s="162">
        <v>847.5</v>
      </c>
      <c r="EK92" s="165">
        <v>735.83500000000004</v>
      </c>
      <c r="EL92" s="159">
        <v>420.31939670999998</v>
      </c>
      <c r="EM92" s="159">
        <f t="shared" si="461"/>
        <v>10964.025395000001</v>
      </c>
      <c r="EN92" s="159">
        <f t="shared" si="462"/>
        <v>0</v>
      </c>
      <c r="EP92" s="2">
        <v>18665.333999999999</v>
      </c>
      <c r="EQ92" s="5">
        <f t="shared" si="463"/>
        <v>0.7599999999999999</v>
      </c>
    </row>
    <row r="93" spans="13:147" x14ac:dyDescent="0.35">
      <c r="M93" s="5"/>
      <c r="N93" s="66">
        <f t="shared" si="464"/>
        <v>91</v>
      </c>
      <c r="O93" s="78">
        <v>0</v>
      </c>
      <c r="P93" s="77">
        <f t="shared" si="431"/>
        <v>0</v>
      </c>
      <c r="Q93" s="104">
        <v>0</v>
      </c>
      <c r="R93" s="77">
        <f t="shared" si="432"/>
        <v>0</v>
      </c>
      <c r="S93" s="104">
        <v>0</v>
      </c>
      <c r="T93" s="77">
        <f t="shared" si="433"/>
        <v>0</v>
      </c>
      <c r="U93" s="104">
        <v>0</v>
      </c>
      <c r="V93" s="77">
        <f t="shared" si="419"/>
        <v>0</v>
      </c>
      <c r="W93" s="104">
        <v>0</v>
      </c>
      <c r="X93" s="77">
        <f t="shared" si="420"/>
        <v>0</v>
      </c>
      <c r="Y93" s="104">
        <v>0</v>
      </c>
      <c r="Z93" s="77">
        <f t="shared" si="434"/>
        <v>0</v>
      </c>
      <c r="AA93" s="104">
        <v>0</v>
      </c>
      <c r="AB93" s="77">
        <f t="shared" si="435"/>
        <v>0</v>
      </c>
      <c r="AC93" s="5"/>
      <c r="AD93" s="66">
        <f t="shared" si="465"/>
        <v>91</v>
      </c>
      <c r="AE93" s="78">
        <v>19846.955399999999</v>
      </c>
      <c r="AF93" s="104">
        <v>1846.9</v>
      </c>
      <c r="AG93" s="78">
        <v>401.5</v>
      </c>
      <c r="AH93" s="61">
        <f t="shared" si="436"/>
        <v>0.22299999999999998</v>
      </c>
      <c r="AI93" s="61">
        <f t="shared" si="437"/>
        <v>0.80300000000000005</v>
      </c>
      <c r="AJ93" s="61">
        <f t="shared" si="438"/>
        <v>0.80300000000000005</v>
      </c>
      <c r="AK93" s="77">
        <v>235.14400000000001</v>
      </c>
      <c r="AL93" s="104">
        <v>1921.194</v>
      </c>
      <c r="AM93" s="61">
        <f t="shared" si="421"/>
        <v>0.36399999999999999</v>
      </c>
      <c r="AN93" s="57">
        <f t="shared" si="422"/>
        <v>0.16499999999999998</v>
      </c>
      <c r="AO93" s="78">
        <v>31666</v>
      </c>
      <c r="AP93" s="104">
        <v>18920.849999999999</v>
      </c>
      <c r="AQ93" s="61">
        <f t="shared" si="439"/>
        <v>0.71</v>
      </c>
      <c r="AR93" s="57">
        <f t="shared" si="440"/>
        <v>0.80599999999999994</v>
      </c>
      <c r="AS93" s="45"/>
      <c r="AT93" s="78">
        <v>1120.51</v>
      </c>
      <c r="AU93" s="77">
        <f t="shared" si="423"/>
        <v>0.45499987818050402</v>
      </c>
      <c r="AV93" s="78">
        <v>981.17399999999998</v>
      </c>
      <c r="AW93" s="77">
        <f t="shared" si="424"/>
        <v>0.61056253889234602</v>
      </c>
      <c r="AX93" s="78">
        <v>1121.4780000000001</v>
      </c>
      <c r="AY93" s="77">
        <f t="shared" si="441"/>
        <v>0.5784392407674851</v>
      </c>
      <c r="AZ93" s="45"/>
      <c r="BA93" s="75">
        <v>52500.305999999997</v>
      </c>
      <c r="BB93" s="77">
        <f t="shared" si="442"/>
        <v>0.75409836065573765</v>
      </c>
      <c r="BC93" s="45"/>
      <c r="BD93" s="105">
        <v>8463.0460000000003</v>
      </c>
      <c r="BE93" s="45">
        <v>0</v>
      </c>
      <c r="BF93" s="106">
        <v>0</v>
      </c>
      <c r="BG93" s="107">
        <f t="shared" si="443"/>
        <v>0.25960263803680983</v>
      </c>
      <c r="BH93" s="108">
        <f t="shared" si="444"/>
        <v>0</v>
      </c>
      <c r="BI93" s="106">
        <v>0</v>
      </c>
      <c r="BJ93" s="106">
        <v>0</v>
      </c>
      <c r="BK93" s="106">
        <v>0</v>
      </c>
      <c r="BL93" s="106">
        <v>3656.56</v>
      </c>
      <c r="BM93" s="107">
        <f t="shared" si="445"/>
        <v>0.27129841222733342</v>
      </c>
      <c r="BN93" s="108">
        <f t="shared" si="446"/>
        <v>0</v>
      </c>
      <c r="BO93" s="45">
        <v>7668</v>
      </c>
      <c r="BP93" s="45">
        <v>650.75608927000007</v>
      </c>
      <c r="BQ93" s="45"/>
      <c r="BR93" s="109">
        <v>-700</v>
      </c>
      <c r="BS93" s="45">
        <f t="shared" si="447"/>
        <v>0</v>
      </c>
      <c r="BT93" s="45">
        <v>4485</v>
      </c>
      <c r="BU93" s="45">
        <f t="shared" si="447"/>
        <v>4485</v>
      </c>
      <c r="BV93" s="45">
        <v>0</v>
      </c>
      <c r="BW93" s="45">
        <f t="shared" ref="BW93:BY93" si="610">IF(BV93&gt;0,BV93,0)</f>
        <v>0</v>
      </c>
      <c r="BX93" s="45">
        <v>-5000</v>
      </c>
      <c r="BY93" s="45">
        <f t="shared" si="610"/>
        <v>0</v>
      </c>
      <c r="BZ93" s="45">
        <v>-5300</v>
      </c>
      <c r="CA93" s="45">
        <f t="shared" ref="CA93:CC93" si="611">IF(BZ93&gt;0,BZ93,0)</f>
        <v>0</v>
      </c>
      <c r="CB93" s="45">
        <v>-4000</v>
      </c>
      <c r="CC93" s="45">
        <f t="shared" si="611"/>
        <v>0</v>
      </c>
      <c r="CD93" s="45">
        <v>-4800</v>
      </c>
      <c r="CE93" s="45">
        <f t="shared" ref="CE93:CG93" si="612">IF(CD93&gt;0,CD93,0)</f>
        <v>0</v>
      </c>
      <c r="CF93" s="45">
        <v>9686.1022140200002</v>
      </c>
      <c r="CG93" s="45">
        <f t="shared" si="612"/>
        <v>9686.1022140200002</v>
      </c>
      <c r="CH93" s="107">
        <f t="shared" si="451"/>
        <v>14171.10221402</v>
      </c>
      <c r="CI93" s="45"/>
      <c r="CJ93" s="109">
        <v>-700</v>
      </c>
      <c r="CK93" s="45">
        <f t="shared" si="452"/>
        <v>700</v>
      </c>
      <c r="CL93" s="45">
        <v>4485</v>
      </c>
      <c r="CM93" s="45">
        <f t="shared" si="452"/>
        <v>0</v>
      </c>
      <c r="CN93" s="45">
        <v>0</v>
      </c>
      <c r="CO93" s="45">
        <f t="shared" ref="CO93:CQ93" si="613">IF(CN93&lt;0,-CN93,0)</f>
        <v>0</v>
      </c>
      <c r="CP93" s="45">
        <v>-5000</v>
      </c>
      <c r="CQ93" s="45">
        <f t="shared" si="613"/>
        <v>5000</v>
      </c>
      <c r="CR93" s="45">
        <v>-5300</v>
      </c>
      <c r="CS93" s="45">
        <f t="shared" ref="CS93:CU93" si="614">IF(CR93&lt;0,-CR93,0)</f>
        <v>5300</v>
      </c>
      <c r="CT93" s="45">
        <v>-4000</v>
      </c>
      <c r="CU93" s="45">
        <f t="shared" si="614"/>
        <v>4000</v>
      </c>
      <c r="CV93" s="45">
        <v>-4800</v>
      </c>
      <c r="CW93" s="45">
        <f t="shared" ref="CW93:CY93" si="615">IF(CV93&lt;0,-CV93,0)</f>
        <v>4800</v>
      </c>
      <c r="CX93" s="45">
        <v>9686.1022140200002</v>
      </c>
      <c r="CY93" s="45">
        <f t="shared" si="615"/>
        <v>0</v>
      </c>
      <c r="CZ93" s="107">
        <f t="shared" si="456"/>
        <v>19800</v>
      </c>
      <c r="DA93" s="45"/>
      <c r="DB93" s="110">
        <v>44667.610999999997</v>
      </c>
      <c r="DC93" s="57">
        <v>2317.518</v>
      </c>
      <c r="DD93" s="61">
        <v>1737.9622809990999</v>
      </c>
      <c r="DE93" s="61">
        <f t="shared" si="457"/>
        <v>48723.091280999099</v>
      </c>
      <c r="DF93" s="110">
        <v>10366.234</v>
      </c>
      <c r="DG93" s="110">
        <v>73128.410999999993</v>
      </c>
      <c r="DH93" s="57">
        <v>5735</v>
      </c>
      <c r="DI93" s="107">
        <f t="shared" si="458"/>
        <v>78863.410999999993</v>
      </c>
      <c r="DJ93" s="45"/>
      <c r="DK93" s="110">
        <v>778.64400000000001</v>
      </c>
      <c r="DL93" s="57">
        <v>10555.905846475949</v>
      </c>
      <c r="DM93" s="57">
        <f t="shared" si="459"/>
        <v>11334.549846475949</v>
      </c>
      <c r="DN93" s="61">
        <v>1555.9943428215181</v>
      </c>
      <c r="DO93" s="61">
        <v>2932.5383508653349</v>
      </c>
      <c r="DP93" s="61">
        <v>428.59727113000002</v>
      </c>
      <c r="DQ93" s="57">
        <f t="shared" si="460"/>
        <v>3361.135621995335</v>
      </c>
      <c r="DR93" s="57">
        <v>162.91879727029641</v>
      </c>
      <c r="DS93" s="57">
        <v>162.91879727029641</v>
      </c>
      <c r="DT93" s="5"/>
      <c r="DU93" s="73">
        <v>0</v>
      </c>
      <c r="DV93" s="156">
        <v>6779.6610170000004</v>
      </c>
      <c r="DW93" s="155">
        <v>1447.7400829999999</v>
      </c>
      <c r="DX93" s="155">
        <v>0</v>
      </c>
      <c r="DY93" s="73">
        <v>0</v>
      </c>
      <c r="DZ93" s="156">
        <v>1553.672292</v>
      </c>
      <c r="EA93" s="73">
        <v>0</v>
      </c>
      <c r="EB93" s="156">
        <v>1271.1864410000001</v>
      </c>
      <c r="EC93" s="73">
        <v>0</v>
      </c>
      <c r="ED93" s="156">
        <v>847.5</v>
      </c>
      <c r="EE93" s="73">
        <v>0</v>
      </c>
      <c r="EF93" s="156">
        <v>7397.5988710000001</v>
      </c>
      <c r="EG93" s="73">
        <v>0</v>
      </c>
      <c r="EH93" s="156">
        <v>6779.6610170000004</v>
      </c>
      <c r="EI93" s="159">
        <v>1553.672292</v>
      </c>
      <c r="EJ93" s="162">
        <v>847.5</v>
      </c>
      <c r="EK93" s="165">
        <v>735.83500000000004</v>
      </c>
      <c r="EL93" s="159">
        <v>428.59727113000002</v>
      </c>
      <c r="EM93" s="159">
        <f t="shared" si="461"/>
        <v>10964.025395000001</v>
      </c>
      <c r="EN93" s="159">
        <f t="shared" si="462"/>
        <v>0</v>
      </c>
      <c r="EP93" s="2">
        <v>18665.333999999999</v>
      </c>
      <c r="EQ93" s="5">
        <f t="shared" si="463"/>
        <v>0.7599999999999999</v>
      </c>
    </row>
    <row r="94" spans="13:147" x14ac:dyDescent="0.35">
      <c r="M94" s="5"/>
      <c r="N94" s="66">
        <f t="shared" si="464"/>
        <v>92</v>
      </c>
      <c r="O94" s="78">
        <v>0</v>
      </c>
      <c r="P94" s="77">
        <f t="shared" si="431"/>
        <v>0</v>
      </c>
      <c r="Q94" s="104">
        <v>0</v>
      </c>
      <c r="R94" s="77">
        <f t="shared" si="432"/>
        <v>0</v>
      </c>
      <c r="S94" s="104">
        <v>0</v>
      </c>
      <c r="T94" s="77">
        <f t="shared" si="433"/>
        <v>0</v>
      </c>
      <c r="U94" s="104">
        <v>0</v>
      </c>
      <c r="V94" s="77">
        <f t="shared" si="419"/>
        <v>0</v>
      </c>
      <c r="W94" s="104">
        <v>0</v>
      </c>
      <c r="X94" s="77">
        <f t="shared" si="420"/>
        <v>0</v>
      </c>
      <c r="Y94" s="104">
        <v>0</v>
      </c>
      <c r="Z94" s="77">
        <f t="shared" si="434"/>
        <v>0</v>
      </c>
      <c r="AA94" s="104">
        <v>0</v>
      </c>
      <c r="AB94" s="77">
        <f t="shared" si="435"/>
        <v>0</v>
      </c>
      <c r="AC94" s="5"/>
      <c r="AD94" s="66">
        <f t="shared" si="465"/>
        <v>92</v>
      </c>
      <c r="AE94" s="78">
        <v>22694.949000000001</v>
      </c>
      <c r="AF94" s="104">
        <v>1872.2</v>
      </c>
      <c r="AG94" s="78">
        <v>407</v>
      </c>
      <c r="AH94" s="61">
        <f t="shared" si="436"/>
        <v>0.255</v>
      </c>
      <c r="AI94" s="61">
        <f t="shared" si="437"/>
        <v>0.81400000000000006</v>
      </c>
      <c r="AJ94" s="61">
        <f t="shared" si="438"/>
        <v>0.81399999999999995</v>
      </c>
      <c r="AK94" s="77">
        <v>250.648</v>
      </c>
      <c r="AL94" s="104">
        <v>1699.9656</v>
      </c>
      <c r="AM94" s="61">
        <f t="shared" si="421"/>
        <v>0.38800000000000001</v>
      </c>
      <c r="AN94" s="57">
        <f t="shared" si="422"/>
        <v>0.14599999999999999</v>
      </c>
      <c r="AO94" s="78">
        <v>33405.4</v>
      </c>
      <c r="AP94" s="104">
        <v>18897.375</v>
      </c>
      <c r="AQ94" s="61">
        <f t="shared" si="439"/>
        <v>0.749</v>
      </c>
      <c r="AR94" s="57">
        <f t="shared" si="440"/>
        <v>0.80500000000000005</v>
      </c>
      <c r="AS94" s="45"/>
      <c r="AT94" s="78">
        <v>1150.0619999999999</v>
      </c>
      <c r="AU94" s="77">
        <f t="shared" si="423"/>
        <v>0.4669999106657029</v>
      </c>
      <c r="AV94" s="78">
        <v>996.35</v>
      </c>
      <c r="AW94" s="77">
        <f t="shared" si="424"/>
        <v>0.62000622277535777</v>
      </c>
      <c r="AX94" s="78">
        <v>1121.4780000000001</v>
      </c>
      <c r="AY94" s="77">
        <f t="shared" si="441"/>
        <v>0.5784392407674851</v>
      </c>
      <c r="AZ94" s="45"/>
      <c r="BA94" s="75">
        <v>52500.305999999997</v>
      </c>
      <c r="BB94" s="77">
        <f t="shared" si="442"/>
        <v>0.75409836065573765</v>
      </c>
      <c r="BC94" s="45"/>
      <c r="BD94" s="105">
        <v>9679.9539999999997</v>
      </c>
      <c r="BE94" s="45">
        <v>0</v>
      </c>
      <c r="BF94" s="106">
        <v>0</v>
      </c>
      <c r="BG94" s="107">
        <f t="shared" si="443"/>
        <v>0.2969311042944785</v>
      </c>
      <c r="BH94" s="108">
        <f t="shared" si="444"/>
        <v>0</v>
      </c>
      <c r="BI94" s="106">
        <v>0</v>
      </c>
      <c r="BJ94" s="106">
        <v>0</v>
      </c>
      <c r="BK94" s="106">
        <v>0</v>
      </c>
      <c r="BL94" s="106">
        <v>3895.739</v>
      </c>
      <c r="BM94" s="107">
        <f t="shared" si="445"/>
        <v>0.28904429440569818</v>
      </c>
      <c r="BN94" s="108">
        <f t="shared" si="446"/>
        <v>0</v>
      </c>
      <c r="BO94" s="45">
        <v>7668</v>
      </c>
      <c r="BP94" s="45">
        <v>650.29620735999993</v>
      </c>
      <c r="BQ94" s="45"/>
      <c r="BR94" s="109">
        <v>-700</v>
      </c>
      <c r="BS94" s="45">
        <f t="shared" si="447"/>
        <v>0</v>
      </c>
      <c r="BT94" s="45">
        <v>4485</v>
      </c>
      <c r="BU94" s="45">
        <f t="shared" si="447"/>
        <v>4485</v>
      </c>
      <c r="BV94" s="45">
        <v>0</v>
      </c>
      <c r="BW94" s="45">
        <f t="shared" ref="BW94:BY94" si="616">IF(BV94&gt;0,BV94,0)</f>
        <v>0</v>
      </c>
      <c r="BX94" s="45">
        <v>-5000</v>
      </c>
      <c r="BY94" s="45">
        <f t="shared" si="616"/>
        <v>0</v>
      </c>
      <c r="BZ94" s="45">
        <v>-5300</v>
      </c>
      <c r="CA94" s="45">
        <f t="shared" ref="CA94:CC94" si="617">IF(BZ94&gt;0,BZ94,0)</f>
        <v>0</v>
      </c>
      <c r="CB94" s="45">
        <v>-4000</v>
      </c>
      <c r="CC94" s="45">
        <f t="shared" si="617"/>
        <v>0</v>
      </c>
      <c r="CD94" s="45">
        <v>-4800</v>
      </c>
      <c r="CE94" s="45">
        <f t="shared" ref="CE94:CG94" si="618">IF(CD94&gt;0,CD94,0)</f>
        <v>0</v>
      </c>
      <c r="CF94" s="45">
        <v>9849.5550667299995</v>
      </c>
      <c r="CG94" s="45">
        <f t="shared" si="618"/>
        <v>9849.5550667299995</v>
      </c>
      <c r="CH94" s="107">
        <f t="shared" si="451"/>
        <v>14334.555066729999</v>
      </c>
      <c r="CI94" s="45"/>
      <c r="CJ94" s="109">
        <v>-700</v>
      </c>
      <c r="CK94" s="45">
        <f t="shared" si="452"/>
        <v>700</v>
      </c>
      <c r="CL94" s="45">
        <v>4485</v>
      </c>
      <c r="CM94" s="45">
        <f t="shared" si="452"/>
        <v>0</v>
      </c>
      <c r="CN94" s="45">
        <v>0</v>
      </c>
      <c r="CO94" s="45">
        <f t="shared" ref="CO94:CQ94" si="619">IF(CN94&lt;0,-CN94,0)</f>
        <v>0</v>
      </c>
      <c r="CP94" s="45">
        <v>-5000</v>
      </c>
      <c r="CQ94" s="45">
        <f t="shared" si="619"/>
        <v>5000</v>
      </c>
      <c r="CR94" s="45">
        <v>-5300</v>
      </c>
      <c r="CS94" s="45">
        <f t="shared" ref="CS94:CU94" si="620">IF(CR94&lt;0,-CR94,0)</f>
        <v>5300</v>
      </c>
      <c r="CT94" s="45">
        <v>-4000</v>
      </c>
      <c r="CU94" s="45">
        <f t="shared" si="620"/>
        <v>4000</v>
      </c>
      <c r="CV94" s="45">
        <v>-4800</v>
      </c>
      <c r="CW94" s="45">
        <f t="shared" ref="CW94:CY94" si="621">IF(CV94&lt;0,-CV94,0)</f>
        <v>4800</v>
      </c>
      <c r="CX94" s="45">
        <v>9849.5550667299995</v>
      </c>
      <c r="CY94" s="45">
        <f t="shared" si="621"/>
        <v>0</v>
      </c>
      <c r="CZ94" s="107">
        <f t="shared" si="456"/>
        <v>19800</v>
      </c>
      <c r="DA94" s="45"/>
      <c r="DB94" s="110">
        <v>44225.197999999997</v>
      </c>
      <c r="DC94" s="57">
        <v>2318.7689999999998</v>
      </c>
      <c r="DD94" s="61">
        <v>1877.1197350939001</v>
      </c>
      <c r="DE94" s="61">
        <f t="shared" si="457"/>
        <v>48421.086735093893</v>
      </c>
      <c r="DF94" s="110">
        <v>10407.528</v>
      </c>
      <c r="DG94" s="110">
        <v>71807.410999999993</v>
      </c>
      <c r="DH94" s="57">
        <v>5339</v>
      </c>
      <c r="DI94" s="107">
        <f t="shared" si="458"/>
        <v>77146.410999999993</v>
      </c>
      <c r="DJ94" s="45"/>
      <c r="DK94" s="110">
        <v>798.73500000000001</v>
      </c>
      <c r="DL94" s="57">
        <v>10540.1958456256</v>
      </c>
      <c r="DM94" s="57">
        <f t="shared" si="459"/>
        <v>11338.9308456256</v>
      </c>
      <c r="DN94" s="61">
        <v>1401.326222068519</v>
      </c>
      <c r="DO94" s="61">
        <v>2924.2604764400921</v>
      </c>
      <c r="DP94" s="61">
        <v>436.87514556000002</v>
      </c>
      <c r="DQ94" s="57">
        <f t="shared" si="460"/>
        <v>3361.1356220000921</v>
      </c>
      <c r="DR94" s="57">
        <v>162.4589153577829</v>
      </c>
      <c r="DS94" s="57">
        <v>162.4589153577829</v>
      </c>
      <c r="DT94" s="5"/>
      <c r="DU94" s="73">
        <v>0</v>
      </c>
      <c r="DV94" s="156">
        <v>6779.6610170000004</v>
      </c>
      <c r="DW94" s="155">
        <v>1447.7400829999999</v>
      </c>
      <c r="DX94" s="155">
        <v>0</v>
      </c>
      <c r="DY94" s="73">
        <v>0</v>
      </c>
      <c r="DZ94" s="156">
        <v>1553.672292</v>
      </c>
      <c r="EA94" s="73">
        <v>0</v>
      </c>
      <c r="EB94" s="156">
        <v>1271.1864410000001</v>
      </c>
      <c r="EC94" s="73">
        <v>0</v>
      </c>
      <c r="ED94" s="156">
        <v>847.5</v>
      </c>
      <c r="EE94" s="73">
        <v>0</v>
      </c>
      <c r="EF94" s="156">
        <v>7397.5988710000001</v>
      </c>
      <c r="EG94" s="73">
        <v>0</v>
      </c>
      <c r="EH94" s="156">
        <v>6779.6610170000004</v>
      </c>
      <c r="EI94" s="159">
        <v>1553.672292</v>
      </c>
      <c r="EJ94" s="162">
        <v>847.5</v>
      </c>
      <c r="EK94" s="165">
        <v>735.83500000000004</v>
      </c>
      <c r="EL94" s="159">
        <v>436.87514556000002</v>
      </c>
      <c r="EM94" s="159">
        <f t="shared" si="461"/>
        <v>10964.025395000001</v>
      </c>
      <c r="EN94" s="159">
        <f t="shared" si="462"/>
        <v>0</v>
      </c>
      <c r="EP94" s="2">
        <v>18665.333999999999</v>
      </c>
      <c r="EQ94" s="5">
        <f t="shared" si="463"/>
        <v>0.7599999999999999</v>
      </c>
    </row>
    <row r="95" spans="13:147" x14ac:dyDescent="0.35">
      <c r="M95" s="5"/>
      <c r="N95" s="66">
        <f t="shared" si="464"/>
        <v>93</v>
      </c>
      <c r="O95" s="78">
        <v>0</v>
      </c>
      <c r="P95" s="77">
        <f t="shared" si="431"/>
        <v>0</v>
      </c>
      <c r="Q95" s="104">
        <v>0</v>
      </c>
      <c r="R95" s="77">
        <f t="shared" si="432"/>
        <v>0</v>
      </c>
      <c r="S95" s="104">
        <v>0</v>
      </c>
      <c r="T95" s="77">
        <f t="shared" si="433"/>
        <v>0</v>
      </c>
      <c r="U95" s="104">
        <v>0</v>
      </c>
      <c r="V95" s="77">
        <f t="shared" si="419"/>
        <v>0</v>
      </c>
      <c r="W95" s="104">
        <v>0</v>
      </c>
      <c r="X95" s="77">
        <f t="shared" si="420"/>
        <v>0</v>
      </c>
      <c r="Y95" s="104">
        <v>0</v>
      </c>
      <c r="Z95" s="77">
        <f t="shared" si="434"/>
        <v>0</v>
      </c>
      <c r="AA95" s="104">
        <v>0</v>
      </c>
      <c r="AB95" s="77">
        <f t="shared" si="435"/>
        <v>0</v>
      </c>
      <c r="AC95" s="5"/>
      <c r="AD95" s="66">
        <f t="shared" si="465"/>
        <v>93</v>
      </c>
      <c r="AE95" s="78">
        <v>24474.945</v>
      </c>
      <c r="AF95" s="104">
        <v>1890.6</v>
      </c>
      <c r="AG95" s="78">
        <v>411</v>
      </c>
      <c r="AH95" s="61">
        <f t="shared" si="436"/>
        <v>0.27499999999999997</v>
      </c>
      <c r="AI95" s="61">
        <f t="shared" si="437"/>
        <v>0.82199999999999995</v>
      </c>
      <c r="AJ95" s="61">
        <f t="shared" si="438"/>
        <v>0.82199999999999995</v>
      </c>
      <c r="AK95" s="77">
        <v>278.42599999999999</v>
      </c>
      <c r="AL95" s="104">
        <v>1723.2528</v>
      </c>
      <c r="AM95" s="61">
        <f t="shared" si="421"/>
        <v>0.43099999999999999</v>
      </c>
      <c r="AN95" s="57">
        <f t="shared" si="422"/>
        <v>0.14799999999999999</v>
      </c>
      <c r="AO95" s="78">
        <v>34788</v>
      </c>
      <c r="AP95" s="104">
        <v>19038.224999999999</v>
      </c>
      <c r="AQ95" s="61">
        <f t="shared" si="439"/>
        <v>0.78</v>
      </c>
      <c r="AR95" s="57">
        <f t="shared" si="440"/>
        <v>0.81099999999999994</v>
      </c>
      <c r="AS95" s="45"/>
      <c r="AT95" s="78">
        <v>1164.838</v>
      </c>
      <c r="AU95" s="77">
        <f t="shared" si="423"/>
        <v>0.47299992690830239</v>
      </c>
      <c r="AV95" s="78">
        <v>1002.082</v>
      </c>
      <c r="AW95" s="77">
        <f t="shared" si="424"/>
        <v>0.62357311761045431</v>
      </c>
      <c r="AX95" s="78">
        <v>1121.4780000000001</v>
      </c>
      <c r="AY95" s="77">
        <f t="shared" si="441"/>
        <v>0.5784392407674851</v>
      </c>
      <c r="AZ95" s="45"/>
      <c r="BA95" s="75">
        <v>52500.305999999997</v>
      </c>
      <c r="BB95" s="77">
        <f t="shared" si="442"/>
        <v>0.75409836065573765</v>
      </c>
      <c r="BC95" s="45"/>
      <c r="BD95" s="105">
        <v>10450.503000000001</v>
      </c>
      <c r="BE95" s="45">
        <v>0</v>
      </c>
      <c r="BF95" s="106">
        <v>0</v>
      </c>
      <c r="BG95" s="107">
        <f t="shared" si="443"/>
        <v>0.32056757668711661</v>
      </c>
      <c r="BH95" s="108">
        <f t="shared" si="444"/>
        <v>0</v>
      </c>
      <c r="BI95" s="106">
        <v>0</v>
      </c>
      <c r="BJ95" s="106">
        <v>0</v>
      </c>
      <c r="BK95" s="106">
        <v>0</v>
      </c>
      <c r="BL95" s="106">
        <v>4304.5320000000002</v>
      </c>
      <c r="BM95" s="107">
        <f t="shared" si="445"/>
        <v>0.31937468467131624</v>
      </c>
      <c r="BN95" s="108">
        <f t="shared" si="446"/>
        <v>0</v>
      </c>
      <c r="BO95" s="45">
        <v>7668</v>
      </c>
      <c r="BP95" s="45">
        <v>649.83632544000011</v>
      </c>
      <c r="BQ95" s="45"/>
      <c r="BR95" s="109">
        <v>-700</v>
      </c>
      <c r="BS95" s="45">
        <f t="shared" si="447"/>
        <v>0</v>
      </c>
      <c r="BT95" s="45">
        <v>4485</v>
      </c>
      <c r="BU95" s="45">
        <f t="shared" si="447"/>
        <v>4485</v>
      </c>
      <c r="BV95" s="45">
        <v>0</v>
      </c>
      <c r="BW95" s="45">
        <f t="shared" ref="BW95:BY95" si="622">IF(BV95&gt;0,BV95,0)</f>
        <v>0</v>
      </c>
      <c r="BX95" s="45">
        <v>-5000</v>
      </c>
      <c r="BY95" s="45">
        <f t="shared" si="622"/>
        <v>0</v>
      </c>
      <c r="BZ95" s="45">
        <v>-5300</v>
      </c>
      <c r="CA95" s="45">
        <f t="shared" ref="CA95:CC95" si="623">IF(BZ95&gt;0,BZ95,0)</f>
        <v>0</v>
      </c>
      <c r="CB95" s="45">
        <v>-4000</v>
      </c>
      <c r="CC95" s="45">
        <f t="shared" si="623"/>
        <v>0</v>
      </c>
      <c r="CD95" s="45">
        <v>-4800</v>
      </c>
      <c r="CE95" s="45">
        <f t="shared" ref="CE95:CG95" si="624">IF(CD95&gt;0,CD95,0)</f>
        <v>0</v>
      </c>
      <c r="CF95" s="45">
        <v>12065.3598539</v>
      </c>
      <c r="CG95" s="45">
        <f t="shared" si="624"/>
        <v>12065.3598539</v>
      </c>
      <c r="CH95" s="107">
        <f t="shared" si="451"/>
        <v>16550.359853900001</v>
      </c>
      <c r="CI95" s="45"/>
      <c r="CJ95" s="109">
        <v>-700</v>
      </c>
      <c r="CK95" s="45">
        <f t="shared" si="452"/>
        <v>700</v>
      </c>
      <c r="CL95" s="45">
        <v>4485</v>
      </c>
      <c r="CM95" s="45">
        <f t="shared" si="452"/>
        <v>0</v>
      </c>
      <c r="CN95" s="45">
        <v>0</v>
      </c>
      <c r="CO95" s="45">
        <f t="shared" ref="CO95:CQ95" si="625">IF(CN95&lt;0,-CN95,0)</f>
        <v>0</v>
      </c>
      <c r="CP95" s="45">
        <v>-5000</v>
      </c>
      <c r="CQ95" s="45">
        <f t="shared" si="625"/>
        <v>5000</v>
      </c>
      <c r="CR95" s="45">
        <v>-5300</v>
      </c>
      <c r="CS95" s="45">
        <f t="shared" ref="CS95:CU95" si="626">IF(CR95&lt;0,-CR95,0)</f>
        <v>5300</v>
      </c>
      <c r="CT95" s="45">
        <v>-4000</v>
      </c>
      <c r="CU95" s="45">
        <f t="shared" si="626"/>
        <v>4000</v>
      </c>
      <c r="CV95" s="45">
        <v>-4800</v>
      </c>
      <c r="CW95" s="45">
        <f t="shared" ref="CW95:CY95" si="627">IF(CV95&lt;0,-CV95,0)</f>
        <v>4800</v>
      </c>
      <c r="CX95" s="45">
        <v>12065.3598539</v>
      </c>
      <c r="CY95" s="45">
        <f t="shared" si="627"/>
        <v>0</v>
      </c>
      <c r="CZ95" s="107">
        <f t="shared" si="456"/>
        <v>19800</v>
      </c>
      <c r="DA95" s="45"/>
      <c r="DB95" s="110">
        <v>42589.440999999999</v>
      </c>
      <c r="DC95" s="57">
        <v>2318.9059999999999</v>
      </c>
      <c r="DD95" s="61">
        <v>1856.6173314969001</v>
      </c>
      <c r="DE95" s="61">
        <f t="shared" si="457"/>
        <v>46764.9643314969</v>
      </c>
      <c r="DF95" s="110">
        <v>10046.245000000001</v>
      </c>
      <c r="DG95" s="110">
        <v>67566.410999999993</v>
      </c>
      <c r="DH95" s="57">
        <v>5481</v>
      </c>
      <c r="DI95" s="107">
        <f t="shared" si="458"/>
        <v>73047.410999999993</v>
      </c>
      <c r="DJ95" s="45"/>
      <c r="DK95" s="110">
        <v>768.46</v>
      </c>
      <c r="DL95" s="57">
        <v>10524.485844775239</v>
      </c>
      <c r="DM95" s="57">
        <f t="shared" si="459"/>
        <v>11292.94584477524</v>
      </c>
      <c r="DN95" s="61">
        <v>1298.2141415665189</v>
      </c>
      <c r="DO95" s="61">
        <v>2915.9826020148498</v>
      </c>
      <c r="DP95" s="61">
        <v>445.15301999000002</v>
      </c>
      <c r="DQ95" s="57">
        <f t="shared" si="460"/>
        <v>3361.1356220048497</v>
      </c>
      <c r="DR95" s="57">
        <v>161.99903344526939</v>
      </c>
      <c r="DS95" s="57">
        <v>161.99903344526939</v>
      </c>
      <c r="DT95" s="5"/>
      <c r="DU95" s="73">
        <v>0</v>
      </c>
      <c r="DV95" s="156">
        <v>6779.6610170000004</v>
      </c>
      <c r="DW95" s="155">
        <v>1447.7400829999999</v>
      </c>
      <c r="DX95" s="155">
        <v>0</v>
      </c>
      <c r="DY95" s="73">
        <v>0</v>
      </c>
      <c r="DZ95" s="156">
        <v>1553.672292</v>
      </c>
      <c r="EA95" s="73">
        <v>0</v>
      </c>
      <c r="EB95" s="156">
        <v>1271.1864410000001</v>
      </c>
      <c r="EC95" s="73">
        <v>0</v>
      </c>
      <c r="ED95" s="156">
        <v>847.5</v>
      </c>
      <c r="EE95" s="73">
        <v>0</v>
      </c>
      <c r="EF95" s="156">
        <v>7397.5988710000001</v>
      </c>
      <c r="EG95" s="73">
        <v>0</v>
      </c>
      <c r="EH95" s="156">
        <v>6779.6610170000004</v>
      </c>
      <c r="EI95" s="159">
        <v>1553.672292</v>
      </c>
      <c r="EJ95" s="162">
        <v>847.5</v>
      </c>
      <c r="EK95" s="165">
        <v>735.83500000000004</v>
      </c>
      <c r="EL95" s="159">
        <v>445.15301999000002</v>
      </c>
      <c r="EM95" s="159">
        <f t="shared" si="461"/>
        <v>10964.025395000001</v>
      </c>
      <c r="EN95" s="159">
        <f t="shared" si="462"/>
        <v>0</v>
      </c>
      <c r="EP95" s="2">
        <v>18665.333999999999</v>
      </c>
      <c r="EQ95" s="5">
        <f t="shared" si="463"/>
        <v>0.7599999999999999</v>
      </c>
    </row>
    <row r="96" spans="13:147" x14ac:dyDescent="0.35">
      <c r="M96" s="5"/>
      <c r="N96" s="66">
        <f t="shared" si="464"/>
        <v>94</v>
      </c>
      <c r="O96" s="78">
        <v>0</v>
      </c>
      <c r="P96" s="77">
        <f t="shared" si="431"/>
        <v>0</v>
      </c>
      <c r="Q96" s="104">
        <v>0</v>
      </c>
      <c r="R96" s="77">
        <f t="shared" si="432"/>
        <v>0</v>
      </c>
      <c r="S96" s="104">
        <v>0</v>
      </c>
      <c r="T96" s="77">
        <f t="shared" si="433"/>
        <v>0</v>
      </c>
      <c r="U96" s="104">
        <v>0</v>
      </c>
      <c r="V96" s="77">
        <f t="shared" si="419"/>
        <v>0</v>
      </c>
      <c r="W96" s="104">
        <v>0</v>
      </c>
      <c r="X96" s="77">
        <f t="shared" si="420"/>
        <v>0</v>
      </c>
      <c r="Y96" s="104">
        <v>0</v>
      </c>
      <c r="Z96" s="77">
        <f t="shared" si="434"/>
        <v>0</v>
      </c>
      <c r="AA96" s="104">
        <v>0</v>
      </c>
      <c r="AB96" s="77">
        <f t="shared" si="435"/>
        <v>0</v>
      </c>
      <c r="AC96" s="5"/>
      <c r="AD96" s="66">
        <f t="shared" si="465"/>
        <v>94</v>
      </c>
      <c r="AE96" s="78">
        <v>25631.9424</v>
      </c>
      <c r="AF96" s="104">
        <v>1906.7</v>
      </c>
      <c r="AG96" s="78">
        <v>414.5</v>
      </c>
      <c r="AH96" s="61">
        <f t="shared" si="436"/>
        <v>0.28799999999999998</v>
      </c>
      <c r="AI96" s="61">
        <f t="shared" si="437"/>
        <v>0.82900000000000007</v>
      </c>
      <c r="AJ96" s="61">
        <f t="shared" si="438"/>
        <v>0.82899999999999996</v>
      </c>
      <c r="AK96" s="77">
        <v>321.70800000000003</v>
      </c>
      <c r="AL96" s="104">
        <v>1956.1248000000001</v>
      </c>
      <c r="AM96" s="61">
        <f t="shared" si="421"/>
        <v>0.49800000000000005</v>
      </c>
      <c r="AN96" s="57">
        <f t="shared" si="422"/>
        <v>0.16800000000000001</v>
      </c>
      <c r="AO96" s="78">
        <v>35903</v>
      </c>
      <c r="AP96" s="104">
        <v>19155.599999999999</v>
      </c>
      <c r="AQ96" s="61">
        <f t="shared" si="439"/>
        <v>0.80500000000000005</v>
      </c>
      <c r="AR96" s="57">
        <f t="shared" si="440"/>
        <v>0.81599999999999995</v>
      </c>
      <c r="AS96" s="45"/>
      <c r="AT96" s="78">
        <v>1150.0619999999999</v>
      </c>
      <c r="AU96" s="77">
        <f t="shared" si="423"/>
        <v>0.4669999106657029</v>
      </c>
      <c r="AV96" s="78">
        <v>998.51499999999999</v>
      </c>
      <c r="AW96" s="77">
        <f t="shared" si="424"/>
        <v>0.62135345364032357</v>
      </c>
      <c r="AX96" s="78">
        <v>1121.4780000000001</v>
      </c>
      <c r="AY96" s="77">
        <f t="shared" si="441"/>
        <v>0.5784392407674851</v>
      </c>
      <c r="AZ96" s="45"/>
      <c r="BA96" s="75">
        <v>52500.305999999997</v>
      </c>
      <c r="BB96" s="77">
        <f t="shared" si="442"/>
        <v>0.75409836065573765</v>
      </c>
      <c r="BC96" s="45"/>
      <c r="BD96" s="105">
        <v>10951.01</v>
      </c>
      <c r="BE96" s="45">
        <v>0</v>
      </c>
      <c r="BF96" s="106">
        <v>0</v>
      </c>
      <c r="BG96" s="107">
        <f t="shared" si="443"/>
        <v>0.33592055214723926</v>
      </c>
      <c r="BH96" s="108">
        <f t="shared" si="444"/>
        <v>0</v>
      </c>
      <c r="BI96" s="106">
        <v>0</v>
      </c>
      <c r="BJ96" s="106">
        <v>0</v>
      </c>
      <c r="BK96" s="106">
        <v>0</v>
      </c>
      <c r="BL96" s="106">
        <v>4896.4650000000001</v>
      </c>
      <c r="BM96" s="107">
        <f t="shared" si="445"/>
        <v>0.36329314438343968</v>
      </c>
      <c r="BN96" s="108">
        <f t="shared" si="446"/>
        <v>0</v>
      </c>
      <c r="BO96" s="45">
        <v>7668</v>
      </c>
      <c r="BP96" s="45">
        <v>649.37644352999996</v>
      </c>
      <c r="BQ96" s="45"/>
      <c r="BR96" s="109">
        <v>-700</v>
      </c>
      <c r="BS96" s="45">
        <f t="shared" si="447"/>
        <v>0</v>
      </c>
      <c r="BT96" s="45">
        <v>4485</v>
      </c>
      <c r="BU96" s="45">
        <f t="shared" si="447"/>
        <v>4485</v>
      </c>
      <c r="BV96" s="45">
        <v>0</v>
      </c>
      <c r="BW96" s="45">
        <f t="shared" ref="BW96:BY96" si="628">IF(BV96&gt;0,BV96,0)</f>
        <v>0</v>
      </c>
      <c r="BX96" s="45">
        <v>-5000</v>
      </c>
      <c r="BY96" s="45">
        <f t="shared" si="628"/>
        <v>0</v>
      </c>
      <c r="BZ96" s="45">
        <v>-5300</v>
      </c>
      <c r="CA96" s="45">
        <f t="shared" ref="CA96:CC96" si="629">IF(BZ96&gt;0,BZ96,0)</f>
        <v>0</v>
      </c>
      <c r="CB96" s="45">
        <v>-4000</v>
      </c>
      <c r="CC96" s="45">
        <f t="shared" si="629"/>
        <v>0</v>
      </c>
      <c r="CD96" s="45">
        <v>-4800</v>
      </c>
      <c r="CE96" s="45">
        <f t="shared" ref="CE96:CG96" si="630">IF(CD96&gt;0,CD96,0)</f>
        <v>0</v>
      </c>
      <c r="CF96" s="45">
        <v>9855.1154344000006</v>
      </c>
      <c r="CG96" s="45">
        <f t="shared" si="630"/>
        <v>9855.1154344000006</v>
      </c>
      <c r="CH96" s="107">
        <f t="shared" si="451"/>
        <v>14340.115434400001</v>
      </c>
      <c r="CI96" s="45"/>
      <c r="CJ96" s="109">
        <v>-700</v>
      </c>
      <c r="CK96" s="45">
        <f t="shared" si="452"/>
        <v>700</v>
      </c>
      <c r="CL96" s="45">
        <v>4485</v>
      </c>
      <c r="CM96" s="45">
        <f t="shared" si="452"/>
        <v>0</v>
      </c>
      <c r="CN96" s="45">
        <v>0</v>
      </c>
      <c r="CO96" s="45">
        <f t="shared" ref="CO96:CQ96" si="631">IF(CN96&lt;0,-CN96,0)</f>
        <v>0</v>
      </c>
      <c r="CP96" s="45">
        <v>-5000</v>
      </c>
      <c r="CQ96" s="45">
        <f t="shared" si="631"/>
        <v>5000</v>
      </c>
      <c r="CR96" s="45">
        <v>-5300</v>
      </c>
      <c r="CS96" s="45">
        <f t="shared" ref="CS96:CU96" si="632">IF(CR96&lt;0,-CR96,0)</f>
        <v>5300</v>
      </c>
      <c r="CT96" s="45">
        <v>-4000</v>
      </c>
      <c r="CU96" s="45">
        <f t="shared" si="632"/>
        <v>4000</v>
      </c>
      <c r="CV96" s="45">
        <v>-4800</v>
      </c>
      <c r="CW96" s="45">
        <f t="shared" ref="CW96:CY96" si="633">IF(CV96&lt;0,-CV96,0)</f>
        <v>4800</v>
      </c>
      <c r="CX96" s="45">
        <v>9855.1154344000006</v>
      </c>
      <c r="CY96" s="45">
        <f t="shared" si="633"/>
        <v>0</v>
      </c>
      <c r="CZ96" s="107">
        <f t="shared" si="456"/>
        <v>19800</v>
      </c>
      <c r="DA96" s="45"/>
      <c r="DB96" s="110">
        <v>40010.364999999998</v>
      </c>
      <c r="DC96" s="57">
        <v>2318.9279999999999</v>
      </c>
      <c r="DD96" s="61">
        <v>1785.0935541245001</v>
      </c>
      <c r="DE96" s="61">
        <f t="shared" si="457"/>
        <v>44114.386554124496</v>
      </c>
      <c r="DF96" s="110">
        <v>9538.8009999999995</v>
      </c>
      <c r="DG96" s="110">
        <v>64917.411</v>
      </c>
      <c r="DH96" s="57">
        <v>5122</v>
      </c>
      <c r="DI96" s="107">
        <f t="shared" si="458"/>
        <v>70039.410999999993</v>
      </c>
      <c r="DJ96" s="45"/>
      <c r="DK96" s="110">
        <v>703.02099999999996</v>
      </c>
      <c r="DL96" s="57">
        <v>10508.77584392489</v>
      </c>
      <c r="DM96" s="57">
        <f t="shared" si="459"/>
        <v>11211.796843924891</v>
      </c>
      <c r="DN96" s="61">
        <v>1220.8800811900189</v>
      </c>
      <c r="DO96" s="61">
        <v>2907.704727589607</v>
      </c>
      <c r="DP96" s="61">
        <v>453.43089441000001</v>
      </c>
      <c r="DQ96" s="57">
        <f t="shared" si="460"/>
        <v>3361.1356219996069</v>
      </c>
      <c r="DR96" s="57">
        <v>161.53915153275599</v>
      </c>
      <c r="DS96" s="57">
        <v>161.53915153275599</v>
      </c>
      <c r="DT96" s="5"/>
      <c r="DU96" s="73">
        <v>0</v>
      </c>
      <c r="DV96" s="156">
        <v>6779.6610170000004</v>
      </c>
      <c r="DW96" s="155">
        <v>1447.7400829999999</v>
      </c>
      <c r="DX96" s="155">
        <v>0</v>
      </c>
      <c r="DY96" s="73">
        <v>0</v>
      </c>
      <c r="DZ96" s="156">
        <v>1553.672292</v>
      </c>
      <c r="EA96" s="73">
        <v>0</v>
      </c>
      <c r="EB96" s="156">
        <v>1271.1864410000001</v>
      </c>
      <c r="EC96" s="73">
        <v>0</v>
      </c>
      <c r="ED96" s="156">
        <v>847.5</v>
      </c>
      <c r="EE96" s="73">
        <v>0</v>
      </c>
      <c r="EF96" s="156">
        <v>7397.5988710000001</v>
      </c>
      <c r="EG96" s="73">
        <v>0</v>
      </c>
      <c r="EH96" s="156">
        <v>6779.6610170000004</v>
      </c>
      <c r="EI96" s="159">
        <v>1553.672292</v>
      </c>
      <c r="EJ96" s="162">
        <v>847.5</v>
      </c>
      <c r="EK96" s="165">
        <v>735.83500000000004</v>
      </c>
      <c r="EL96" s="159">
        <v>453.43089441000001</v>
      </c>
      <c r="EM96" s="159">
        <f t="shared" si="461"/>
        <v>10964.025395000001</v>
      </c>
      <c r="EN96" s="159">
        <f t="shared" si="462"/>
        <v>0</v>
      </c>
      <c r="EP96" s="2">
        <v>18665.333999999999</v>
      </c>
      <c r="EQ96" s="5">
        <f t="shared" si="463"/>
        <v>0.7599999999999999</v>
      </c>
    </row>
    <row r="97" spans="13:147" x14ac:dyDescent="0.35">
      <c r="M97" s="5"/>
      <c r="N97" s="66">
        <f t="shared" si="464"/>
        <v>95</v>
      </c>
      <c r="O97" s="78">
        <v>0</v>
      </c>
      <c r="P97" s="77">
        <f t="shared" si="431"/>
        <v>0</v>
      </c>
      <c r="Q97" s="104">
        <v>0</v>
      </c>
      <c r="R97" s="77">
        <f t="shared" si="432"/>
        <v>0</v>
      </c>
      <c r="S97" s="104">
        <v>0</v>
      </c>
      <c r="T97" s="77">
        <f t="shared" si="433"/>
        <v>0</v>
      </c>
      <c r="U97" s="104">
        <v>0</v>
      </c>
      <c r="V97" s="77">
        <f t="shared" si="419"/>
        <v>0</v>
      </c>
      <c r="W97" s="104">
        <v>0</v>
      </c>
      <c r="X97" s="77">
        <f t="shared" si="420"/>
        <v>0</v>
      </c>
      <c r="Y97" s="104">
        <v>0</v>
      </c>
      <c r="Z97" s="77">
        <f t="shared" si="434"/>
        <v>0</v>
      </c>
      <c r="AA97" s="104">
        <v>0</v>
      </c>
      <c r="AB97" s="77">
        <f t="shared" si="435"/>
        <v>0</v>
      </c>
      <c r="AC97" s="5"/>
      <c r="AD97" s="66">
        <f t="shared" si="465"/>
        <v>95</v>
      </c>
      <c r="AE97" s="78">
        <v>28390.9362</v>
      </c>
      <c r="AF97" s="104">
        <v>1925.1</v>
      </c>
      <c r="AG97" s="78">
        <v>418.5</v>
      </c>
      <c r="AH97" s="61">
        <f t="shared" si="436"/>
        <v>0.31900000000000001</v>
      </c>
      <c r="AI97" s="61">
        <f t="shared" si="437"/>
        <v>0.83699999999999997</v>
      </c>
      <c r="AJ97" s="61">
        <f t="shared" si="438"/>
        <v>0.83699999999999997</v>
      </c>
      <c r="AK97" s="77">
        <v>345.61</v>
      </c>
      <c r="AL97" s="104">
        <v>2386.9380000000001</v>
      </c>
      <c r="AM97" s="61">
        <f t="shared" si="421"/>
        <v>0.53500000000000003</v>
      </c>
      <c r="AN97" s="57">
        <f t="shared" si="422"/>
        <v>0.20500000000000002</v>
      </c>
      <c r="AO97" s="78">
        <v>36661.199999999997</v>
      </c>
      <c r="AP97" s="104">
        <v>19249.5</v>
      </c>
      <c r="AQ97" s="61">
        <f t="shared" si="439"/>
        <v>0.82199999999999995</v>
      </c>
      <c r="AR97" s="57">
        <f t="shared" si="440"/>
        <v>0.82</v>
      </c>
      <c r="AS97" s="45"/>
      <c r="AT97" s="78">
        <v>1145.1369999999999</v>
      </c>
      <c r="AU97" s="77">
        <f t="shared" si="423"/>
        <v>0.46500004060649869</v>
      </c>
      <c r="AV97" s="78">
        <v>973.24599999999998</v>
      </c>
      <c r="AW97" s="77">
        <f t="shared" si="424"/>
        <v>0.60562912258867452</v>
      </c>
      <c r="AX97" s="78">
        <v>1121.4780000000001</v>
      </c>
      <c r="AY97" s="77">
        <f t="shared" si="441"/>
        <v>0.5784392407674851</v>
      </c>
      <c r="AZ97" s="45"/>
      <c r="BA97" s="75">
        <v>52500.305999999997</v>
      </c>
      <c r="BB97" s="77">
        <f t="shared" si="442"/>
        <v>0.75409836065573765</v>
      </c>
      <c r="BC97" s="45"/>
      <c r="BD97" s="105">
        <v>12139.871999999999</v>
      </c>
      <c r="BE97" s="45">
        <v>0</v>
      </c>
      <c r="BF97" s="106">
        <v>0</v>
      </c>
      <c r="BG97" s="107">
        <f t="shared" si="443"/>
        <v>0.37238871165644172</v>
      </c>
      <c r="BH97" s="108">
        <f t="shared" si="444"/>
        <v>0</v>
      </c>
      <c r="BI97" s="106">
        <v>0</v>
      </c>
      <c r="BJ97" s="106">
        <v>0</v>
      </c>
      <c r="BK97" s="106">
        <v>0</v>
      </c>
      <c r="BL97" s="106">
        <v>5209.0240000000003</v>
      </c>
      <c r="BM97" s="107">
        <f t="shared" si="445"/>
        <v>0.3864834545184746</v>
      </c>
      <c r="BN97" s="108">
        <f t="shared" si="446"/>
        <v>0</v>
      </c>
      <c r="BO97" s="45">
        <v>7668</v>
      </c>
      <c r="BP97" s="45">
        <v>648.91656161999992</v>
      </c>
      <c r="BQ97" s="45"/>
      <c r="BR97" s="109">
        <v>-700</v>
      </c>
      <c r="BS97" s="45">
        <f t="shared" si="447"/>
        <v>0</v>
      </c>
      <c r="BT97" s="45">
        <v>4485</v>
      </c>
      <c r="BU97" s="45">
        <f t="shared" si="447"/>
        <v>4485</v>
      </c>
      <c r="BV97" s="45">
        <v>0</v>
      </c>
      <c r="BW97" s="45">
        <f t="shared" ref="BW97:BY97" si="634">IF(BV97&gt;0,BV97,0)</f>
        <v>0</v>
      </c>
      <c r="BX97" s="45">
        <v>-5000</v>
      </c>
      <c r="BY97" s="45">
        <f t="shared" si="634"/>
        <v>0</v>
      </c>
      <c r="BZ97" s="45">
        <v>-5300</v>
      </c>
      <c r="CA97" s="45">
        <f t="shared" ref="CA97:CC97" si="635">IF(BZ97&gt;0,BZ97,0)</f>
        <v>0</v>
      </c>
      <c r="CB97" s="45">
        <v>-4000</v>
      </c>
      <c r="CC97" s="45">
        <f t="shared" si="635"/>
        <v>0</v>
      </c>
      <c r="CD97" s="45">
        <v>-4800</v>
      </c>
      <c r="CE97" s="45">
        <f t="shared" ref="CE97:CG97" si="636">IF(CD97&gt;0,CD97,0)</f>
        <v>0</v>
      </c>
      <c r="CF97" s="45">
        <v>10778.5113698</v>
      </c>
      <c r="CG97" s="45">
        <f t="shared" si="636"/>
        <v>10778.5113698</v>
      </c>
      <c r="CH97" s="107">
        <f t="shared" si="451"/>
        <v>15263.5113698</v>
      </c>
      <c r="CI97" s="45"/>
      <c r="CJ97" s="109">
        <v>-700</v>
      </c>
      <c r="CK97" s="45">
        <f t="shared" si="452"/>
        <v>700</v>
      </c>
      <c r="CL97" s="45">
        <v>4485</v>
      </c>
      <c r="CM97" s="45">
        <f t="shared" si="452"/>
        <v>0</v>
      </c>
      <c r="CN97" s="45">
        <v>0</v>
      </c>
      <c r="CO97" s="45">
        <f t="shared" ref="CO97:CQ97" si="637">IF(CN97&lt;0,-CN97,0)</f>
        <v>0</v>
      </c>
      <c r="CP97" s="45">
        <v>-5000</v>
      </c>
      <c r="CQ97" s="45">
        <f t="shared" si="637"/>
        <v>5000</v>
      </c>
      <c r="CR97" s="45">
        <v>-5300</v>
      </c>
      <c r="CS97" s="45">
        <f t="shared" ref="CS97:CU97" si="638">IF(CR97&lt;0,-CR97,0)</f>
        <v>5300</v>
      </c>
      <c r="CT97" s="45">
        <v>-4000</v>
      </c>
      <c r="CU97" s="45">
        <f t="shared" si="638"/>
        <v>4000</v>
      </c>
      <c r="CV97" s="45">
        <v>-4800</v>
      </c>
      <c r="CW97" s="45">
        <f t="shared" ref="CW97:CY97" si="639">IF(CV97&lt;0,-CV97,0)</f>
        <v>4800</v>
      </c>
      <c r="CX97" s="45">
        <v>10778.5113698</v>
      </c>
      <c r="CY97" s="45">
        <f t="shared" si="639"/>
        <v>0</v>
      </c>
      <c r="CZ97" s="107">
        <f t="shared" si="456"/>
        <v>19800</v>
      </c>
      <c r="DA97" s="45"/>
      <c r="DB97" s="110">
        <v>37418.555</v>
      </c>
      <c r="DC97" s="57">
        <v>2274.7539999999999</v>
      </c>
      <c r="DD97" s="61">
        <v>1796.9525522245001</v>
      </c>
      <c r="DE97" s="61">
        <f t="shared" si="457"/>
        <v>41490.261552224503</v>
      </c>
      <c r="DF97" s="110">
        <v>9461.5969999999998</v>
      </c>
      <c r="DG97" s="110">
        <v>63569.411</v>
      </c>
      <c r="DH97" s="57">
        <v>5449</v>
      </c>
      <c r="DI97" s="107">
        <f t="shared" si="458"/>
        <v>69018.410999999993</v>
      </c>
      <c r="DJ97" s="45"/>
      <c r="DK97" s="110">
        <v>622.94399999999996</v>
      </c>
      <c r="DL97" s="57">
        <v>10493.065843074541</v>
      </c>
      <c r="DM97" s="57">
        <f t="shared" si="459"/>
        <v>11116.00984307454</v>
      </c>
      <c r="DN97" s="61">
        <v>1169.3240409390189</v>
      </c>
      <c r="DO97" s="61">
        <v>2899.4268531643638</v>
      </c>
      <c r="DP97" s="61">
        <v>461.70876884</v>
      </c>
      <c r="DQ97" s="57">
        <f t="shared" si="460"/>
        <v>3361.135622004364</v>
      </c>
      <c r="DR97" s="57">
        <v>161.07926962024251</v>
      </c>
      <c r="DS97" s="57">
        <v>161.07926962024251</v>
      </c>
      <c r="DT97" s="5"/>
      <c r="DU97" s="73">
        <v>0</v>
      </c>
      <c r="DV97" s="156">
        <v>6779.6610170000004</v>
      </c>
      <c r="DW97" s="155">
        <v>1447.7400829999999</v>
      </c>
      <c r="DX97" s="155">
        <v>0</v>
      </c>
      <c r="DY97" s="73">
        <v>0</v>
      </c>
      <c r="DZ97" s="156">
        <v>1553.672292</v>
      </c>
      <c r="EA97" s="73">
        <v>0</v>
      </c>
      <c r="EB97" s="156">
        <v>1271.1864410000001</v>
      </c>
      <c r="EC97" s="73">
        <v>0</v>
      </c>
      <c r="ED97" s="156">
        <v>847.5</v>
      </c>
      <c r="EE97" s="73">
        <v>0</v>
      </c>
      <c r="EF97" s="156">
        <v>7397.5988710000001</v>
      </c>
      <c r="EG97" s="73">
        <v>0</v>
      </c>
      <c r="EH97" s="156">
        <v>6779.6610170000004</v>
      </c>
      <c r="EI97" s="159">
        <v>1553.672292</v>
      </c>
      <c r="EJ97" s="162">
        <v>847.5</v>
      </c>
      <c r="EK97" s="165">
        <v>735.83500000000004</v>
      </c>
      <c r="EL97" s="159">
        <v>461.70876884</v>
      </c>
      <c r="EM97" s="159">
        <f t="shared" si="461"/>
        <v>10964.025395000001</v>
      </c>
      <c r="EN97" s="159">
        <f t="shared" si="462"/>
        <v>0</v>
      </c>
      <c r="EP97" s="2">
        <v>19131.967349999999</v>
      </c>
      <c r="EQ97" s="5">
        <f t="shared" si="463"/>
        <v>0.77899999999999991</v>
      </c>
    </row>
    <row r="98" spans="13:147" x14ac:dyDescent="0.35">
      <c r="M98" s="5"/>
      <c r="N98" s="66">
        <f t="shared" si="464"/>
        <v>96</v>
      </c>
      <c r="O98" s="78">
        <v>0</v>
      </c>
      <c r="P98" s="77">
        <f t="shared" si="431"/>
        <v>0</v>
      </c>
      <c r="Q98" s="104">
        <v>0</v>
      </c>
      <c r="R98" s="77">
        <f t="shared" si="432"/>
        <v>0</v>
      </c>
      <c r="S98" s="104">
        <v>0</v>
      </c>
      <c r="T98" s="77">
        <f t="shared" si="433"/>
        <v>0</v>
      </c>
      <c r="U98" s="104">
        <v>0</v>
      </c>
      <c r="V98" s="77">
        <f t="shared" si="419"/>
        <v>0</v>
      </c>
      <c r="W98" s="104">
        <v>0</v>
      </c>
      <c r="X98" s="77">
        <f t="shared" si="420"/>
        <v>0</v>
      </c>
      <c r="Y98" s="104">
        <v>0</v>
      </c>
      <c r="Z98" s="77">
        <f t="shared" si="434"/>
        <v>0</v>
      </c>
      <c r="AA98" s="104">
        <v>0</v>
      </c>
      <c r="AB98" s="77">
        <f t="shared" si="435"/>
        <v>0</v>
      </c>
      <c r="AC98" s="5"/>
      <c r="AD98" s="66">
        <f t="shared" si="465"/>
        <v>96</v>
      </c>
      <c r="AE98" s="78">
        <v>31505.929199999999</v>
      </c>
      <c r="AF98" s="104">
        <v>1936.6</v>
      </c>
      <c r="AG98" s="78">
        <v>421</v>
      </c>
      <c r="AH98" s="61">
        <f t="shared" si="436"/>
        <v>0.35399999999999998</v>
      </c>
      <c r="AI98" s="61">
        <f t="shared" si="437"/>
        <v>0.84199999999999997</v>
      </c>
      <c r="AJ98" s="61">
        <f t="shared" si="438"/>
        <v>0.84199999999999997</v>
      </c>
      <c r="AK98" s="77">
        <v>360.46800000000002</v>
      </c>
      <c r="AL98" s="104">
        <v>2747.8896</v>
      </c>
      <c r="AM98" s="61">
        <f t="shared" si="421"/>
        <v>0.55800000000000005</v>
      </c>
      <c r="AN98" s="57">
        <f t="shared" si="422"/>
        <v>0.23599999999999999</v>
      </c>
      <c r="AO98" s="78">
        <v>37151.800000000003</v>
      </c>
      <c r="AP98" s="104">
        <v>19202.55</v>
      </c>
      <c r="AQ98" s="61">
        <f t="shared" si="439"/>
        <v>0.83300000000000007</v>
      </c>
      <c r="AR98" s="57">
        <f t="shared" si="440"/>
        <v>0.81799999999999995</v>
      </c>
      <c r="AS98" s="45"/>
      <c r="AT98" s="78">
        <v>1145.1369999999999</v>
      </c>
      <c r="AU98" s="77">
        <f t="shared" si="423"/>
        <v>0.46500004060649869</v>
      </c>
      <c r="AV98" s="78">
        <v>973.54899999999998</v>
      </c>
      <c r="AW98" s="77">
        <f t="shared" si="424"/>
        <v>0.60581767268201614</v>
      </c>
      <c r="AX98" s="78">
        <v>1121.4780000000001</v>
      </c>
      <c r="AY98" s="77">
        <f t="shared" si="441"/>
        <v>0.5784392407674851</v>
      </c>
      <c r="AZ98" s="45"/>
      <c r="BA98" s="75">
        <v>52500.305999999997</v>
      </c>
      <c r="BB98" s="77">
        <f t="shared" si="442"/>
        <v>0.75409836065573765</v>
      </c>
      <c r="BC98" s="45"/>
      <c r="BD98" s="105">
        <v>13451.237999999999</v>
      </c>
      <c r="BE98" s="45">
        <v>0</v>
      </c>
      <c r="BF98" s="106">
        <v>0</v>
      </c>
      <c r="BG98" s="107">
        <f t="shared" si="443"/>
        <v>0.41261466257668711</v>
      </c>
      <c r="BH98" s="108">
        <f t="shared" si="444"/>
        <v>0</v>
      </c>
      <c r="BI98" s="106">
        <v>0</v>
      </c>
      <c r="BJ98" s="106">
        <v>0</v>
      </c>
      <c r="BK98" s="106">
        <v>0</v>
      </c>
      <c r="BL98" s="106">
        <v>5320.7550000000001</v>
      </c>
      <c r="BM98" s="107">
        <f t="shared" si="445"/>
        <v>0.39477333432259981</v>
      </c>
      <c r="BN98" s="108">
        <f t="shared" si="446"/>
        <v>0</v>
      </c>
      <c r="BO98" s="45">
        <v>7668</v>
      </c>
      <c r="BP98" s="45">
        <v>0</v>
      </c>
      <c r="BQ98" s="45"/>
      <c r="BR98" s="109">
        <v>-700</v>
      </c>
      <c r="BS98" s="45">
        <f t="shared" si="447"/>
        <v>0</v>
      </c>
      <c r="BT98" s="45">
        <v>4485</v>
      </c>
      <c r="BU98" s="45">
        <f t="shared" si="447"/>
        <v>4485</v>
      </c>
      <c r="BV98" s="45">
        <v>0</v>
      </c>
      <c r="BW98" s="45">
        <f t="shared" ref="BW98:BY98" si="640">IF(BV98&gt;0,BV98,0)</f>
        <v>0</v>
      </c>
      <c r="BX98" s="45">
        <v>-5000</v>
      </c>
      <c r="BY98" s="45">
        <f t="shared" si="640"/>
        <v>0</v>
      </c>
      <c r="BZ98" s="45">
        <v>-5300</v>
      </c>
      <c r="CA98" s="45">
        <f t="shared" ref="CA98:CC98" si="641">IF(BZ98&gt;0,BZ98,0)</f>
        <v>0</v>
      </c>
      <c r="CB98" s="45">
        <v>-4000</v>
      </c>
      <c r="CC98" s="45">
        <f t="shared" si="641"/>
        <v>0</v>
      </c>
      <c r="CD98" s="45">
        <v>-4800</v>
      </c>
      <c r="CE98" s="45">
        <f t="shared" ref="CE98:CG98" si="642">IF(CD98&gt;0,CD98,0)</f>
        <v>0</v>
      </c>
      <c r="CF98" s="45">
        <v>11210.047986719999</v>
      </c>
      <c r="CG98" s="45">
        <f t="shared" si="642"/>
        <v>11210.047986719999</v>
      </c>
      <c r="CH98" s="107">
        <f t="shared" si="451"/>
        <v>15695.047986719999</v>
      </c>
      <c r="CI98" s="45"/>
      <c r="CJ98" s="109">
        <v>-700</v>
      </c>
      <c r="CK98" s="45">
        <f t="shared" si="452"/>
        <v>700</v>
      </c>
      <c r="CL98" s="45">
        <v>4485</v>
      </c>
      <c r="CM98" s="45">
        <f t="shared" si="452"/>
        <v>0</v>
      </c>
      <c r="CN98" s="45">
        <v>0</v>
      </c>
      <c r="CO98" s="45">
        <f t="shared" ref="CO98:CQ98" si="643">IF(CN98&lt;0,-CN98,0)</f>
        <v>0</v>
      </c>
      <c r="CP98" s="45">
        <v>-5000</v>
      </c>
      <c r="CQ98" s="45">
        <f t="shared" si="643"/>
        <v>5000</v>
      </c>
      <c r="CR98" s="45">
        <v>-5300</v>
      </c>
      <c r="CS98" s="45">
        <f t="shared" ref="CS98:CU98" si="644">IF(CR98&lt;0,-CR98,0)</f>
        <v>5300</v>
      </c>
      <c r="CT98" s="45">
        <v>-4000</v>
      </c>
      <c r="CU98" s="45">
        <f t="shared" si="644"/>
        <v>4000</v>
      </c>
      <c r="CV98" s="45">
        <v>-4800</v>
      </c>
      <c r="CW98" s="45">
        <f t="shared" ref="CW98:CY98" si="645">IF(CV98&lt;0,-CV98,0)</f>
        <v>4800</v>
      </c>
      <c r="CX98" s="45">
        <v>11210.047986719999</v>
      </c>
      <c r="CY98" s="45">
        <f t="shared" si="645"/>
        <v>0</v>
      </c>
      <c r="CZ98" s="107">
        <f t="shared" si="456"/>
        <v>19800</v>
      </c>
      <c r="DA98" s="45"/>
      <c r="DB98" s="110">
        <v>35023.535000000003</v>
      </c>
      <c r="DC98" s="57">
        <v>2172.7939999999999</v>
      </c>
      <c r="DD98" s="61">
        <v>1495.4430131542999</v>
      </c>
      <c r="DE98" s="61">
        <f t="shared" si="457"/>
        <v>38691.772013154303</v>
      </c>
      <c r="DF98" s="110">
        <v>9024.4539999999997</v>
      </c>
      <c r="DG98" s="110">
        <v>61534.411</v>
      </c>
      <c r="DH98" s="57">
        <v>5698</v>
      </c>
      <c r="DI98" s="107">
        <f t="shared" si="458"/>
        <v>67232.410999999993</v>
      </c>
      <c r="DJ98" s="45"/>
      <c r="DK98" s="110">
        <v>587.53700000000003</v>
      </c>
      <c r="DL98" s="57">
        <v>10493.065843074541</v>
      </c>
      <c r="DM98" s="57">
        <f t="shared" si="459"/>
        <v>11080.602843074541</v>
      </c>
      <c r="DN98" s="61">
        <v>1169.3240409390189</v>
      </c>
      <c r="DO98" s="61">
        <v>2899.4268531643638</v>
      </c>
      <c r="DP98" s="61">
        <v>461.70876884</v>
      </c>
      <c r="DQ98" s="57">
        <f t="shared" si="460"/>
        <v>3361.135622004364</v>
      </c>
      <c r="DR98" s="57">
        <v>161.07926962024251</v>
      </c>
      <c r="DS98" s="57">
        <v>161.07926962024251</v>
      </c>
      <c r="DT98" s="5"/>
      <c r="DU98" s="73">
        <v>0</v>
      </c>
      <c r="DV98" s="156">
        <v>6779.6610170000004</v>
      </c>
      <c r="DW98" s="155">
        <v>1447.7400829999999</v>
      </c>
      <c r="DX98" s="155">
        <v>0</v>
      </c>
      <c r="DY98" s="73">
        <v>0</v>
      </c>
      <c r="DZ98" s="156">
        <v>703.41241008999998</v>
      </c>
      <c r="EA98" s="73">
        <v>0</v>
      </c>
      <c r="EB98" s="156">
        <v>1271.1864410000001</v>
      </c>
      <c r="EC98" s="73">
        <v>0</v>
      </c>
      <c r="ED98" s="156">
        <v>847.5</v>
      </c>
      <c r="EE98" s="73">
        <v>0</v>
      </c>
      <c r="EF98" s="156">
        <v>7397.5988710000001</v>
      </c>
      <c r="EG98" s="73">
        <v>0</v>
      </c>
      <c r="EH98" s="156">
        <v>6779.6610170000004</v>
      </c>
      <c r="EI98" s="159">
        <v>703.41241008999998</v>
      </c>
      <c r="EJ98" s="162">
        <v>847.5</v>
      </c>
      <c r="EK98" s="165">
        <v>735.83500000000004</v>
      </c>
      <c r="EL98" s="159">
        <v>461.70876884</v>
      </c>
      <c r="EM98" s="159">
        <f t="shared" si="461"/>
        <v>10964.025395000001</v>
      </c>
      <c r="EN98" s="159">
        <f t="shared" si="462"/>
        <v>0</v>
      </c>
      <c r="EP98" s="2">
        <v>19131.967349999999</v>
      </c>
      <c r="EQ98" s="5">
        <f t="shared" si="463"/>
        <v>0.77899999999999991</v>
      </c>
    </row>
    <row r="99" spans="13:147" x14ac:dyDescent="0.35">
      <c r="M99" s="5"/>
      <c r="N99" s="66">
        <f t="shared" si="464"/>
        <v>97</v>
      </c>
      <c r="O99" s="78">
        <v>0</v>
      </c>
      <c r="P99" s="77">
        <f t="shared" si="431"/>
        <v>0</v>
      </c>
      <c r="Q99" s="104">
        <v>0</v>
      </c>
      <c r="R99" s="77">
        <f t="shared" si="432"/>
        <v>0</v>
      </c>
      <c r="S99" s="104">
        <v>0</v>
      </c>
      <c r="T99" s="77">
        <f t="shared" si="433"/>
        <v>0</v>
      </c>
      <c r="U99" s="104">
        <v>0</v>
      </c>
      <c r="V99" s="77">
        <f t="shared" ref="V99:V130" si="646">U99/$B$6</f>
        <v>0</v>
      </c>
      <c r="W99" s="104">
        <v>0</v>
      </c>
      <c r="X99" s="77">
        <f t="shared" ref="X99:X130" si="647">W99/$B$7</f>
        <v>0</v>
      </c>
      <c r="Y99" s="104">
        <v>0</v>
      </c>
      <c r="Z99" s="77">
        <f t="shared" si="434"/>
        <v>0</v>
      </c>
      <c r="AA99" s="104">
        <v>0</v>
      </c>
      <c r="AB99" s="77">
        <f t="shared" si="435"/>
        <v>0</v>
      </c>
      <c r="AC99" s="5"/>
      <c r="AD99" s="66">
        <f t="shared" si="465"/>
        <v>97</v>
      </c>
      <c r="AE99" s="78">
        <v>32662.926599999999</v>
      </c>
      <c r="AF99" s="104">
        <v>1943.5</v>
      </c>
      <c r="AG99" s="78">
        <v>422.5</v>
      </c>
      <c r="AH99" s="61">
        <f t="shared" si="436"/>
        <v>0.36699999999999999</v>
      </c>
      <c r="AI99" s="61">
        <f t="shared" si="437"/>
        <v>0.84499999999999997</v>
      </c>
      <c r="AJ99" s="61">
        <f t="shared" si="438"/>
        <v>0.84499999999999997</v>
      </c>
      <c r="AK99" s="77">
        <v>372.096</v>
      </c>
      <c r="AL99" s="104">
        <v>2910.9</v>
      </c>
      <c r="AM99" s="61">
        <f t="shared" ref="AM99:AM130" si="648">AK99/$B$9</f>
        <v>0.57599999999999996</v>
      </c>
      <c r="AN99" s="57">
        <f t="shared" ref="AN99:AN130" si="649">AL99/$B$8</f>
        <v>0.25</v>
      </c>
      <c r="AO99" s="78">
        <v>37374.800000000003</v>
      </c>
      <c r="AP99" s="104">
        <v>19343.400000000001</v>
      </c>
      <c r="AQ99" s="61">
        <f t="shared" si="439"/>
        <v>0.83800000000000008</v>
      </c>
      <c r="AR99" s="57">
        <f t="shared" si="440"/>
        <v>0.82400000000000007</v>
      </c>
      <c r="AS99" s="45"/>
      <c r="AT99" s="78">
        <v>1095.884</v>
      </c>
      <c r="AU99" s="77">
        <f t="shared" ref="AU99:AU130" si="650">AT99/$B$10</f>
        <v>0.445000121819496</v>
      </c>
      <c r="AV99" s="78">
        <v>930.68299999999999</v>
      </c>
      <c r="AW99" s="77">
        <f t="shared" ref="AW99:AW130" si="651">AV99/$B$11</f>
        <v>0.57914312383322963</v>
      </c>
      <c r="AX99" s="78">
        <v>1121.4780000000001</v>
      </c>
      <c r="AY99" s="77">
        <f t="shared" si="441"/>
        <v>0.5784392407674851</v>
      </c>
      <c r="AZ99" s="45"/>
      <c r="BA99" s="75">
        <v>52500.305999999997</v>
      </c>
      <c r="BB99" s="77">
        <f t="shared" si="442"/>
        <v>0.75409836065573765</v>
      </c>
      <c r="BC99" s="45"/>
      <c r="BD99" s="105">
        <v>13946.638000000001</v>
      </c>
      <c r="BE99" s="45">
        <v>0</v>
      </c>
      <c r="BF99" s="106">
        <v>0</v>
      </c>
      <c r="BG99" s="107">
        <f t="shared" si="443"/>
        <v>0.42781098159509207</v>
      </c>
      <c r="BH99" s="108">
        <f t="shared" si="444"/>
        <v>0</v>
      </c>
      <c r="BI99" s="106">
        <v>0</v>
      </c>
      <c r="BJ99" s="106">
        <v>0</v>
      </c>
      <c r="BK99" s="106">
        <v>0</v>
      </c>
      <c r="BL99" s="106">
        <v>5353.9</v>
      </c>
      <c r="BM99" s="107">
        <f t="shared" si="445"/>
        <v>0.3972325270811693</v>
      </c>
      <c r="BN99" s="108">
        <f t="shared" si="446"/>
        <v>0</v>
      </c>
      <c r="BO99" s="45">
        <v>7668</v>
      </c>
      <c r="BP99" s="45">
        <v>0</v>
      </c>
      <c r="BQ99" s="45"/>
      <c r="BR99" s="109">
        <v>-700</v>
      </c>
      <c r="BS99" s="45">
        <f t="shared" si="447"/>
        <v>0</v>
      </c>
      <c r="BT99" s="45">
        <v>4485</v>
      </c>
      <c r="BU99" s="45">
        <f t="shared" si="447"/>
        <v>4485</v>
      </c>
      <c r="BV99" s="45">
        <v>0</v>
      </c>
      <c r="BW99" s="45">
        <f t="shared" ref="BW99:BY99" si="652">IF(BV99&gt;0,BV99,0)</f>
        <v>0</v>
      </c>
      <c r="BX99" s="45">
        <v>-5000</v>
      </c>
      <c r="BY99" s="45">
        <f t="shared" si="652"/>
        <v>0</v>
      </c>
      <c r="BZ99" s="45">
        <v>-5300</v>
      </c>
      <c r="CA99" s="45">
        <f t="shared" ref="CA99:CC99" si="653">IF(BZ99&gt;0,BZ99,0)</f>
        <v>0</v>
      </c>
      <c r="CB99" s="45">
        <v>-4000</v>
      </c>
      <c r="CC99" s="45">
        <f t="shared" si="653"/>
        <v>0</v>
      </c>
      <c r="CD99" s="45">
        <v>-4800</v>
      </c>
      <c r="CE99" s="45">
        <f t="shared" ref="CE99:CG99" si="654">IF(CD99&gt;0,CD99,0)</f>
        <v>0</v>
      </c>
      <c r="CF99" s="45">
        <v>11042.594008440001</v>
      </c>
      <c r="CG99" s="45">
        <f t="shared" si="654"/>
        <v>11042.594008440001</v>
      </c>
      <c r="CH99" s="107">
        <f t="shared" si="451"/>
        <v>15527.594008440001</v>
      </c>
      <c r="CI99" s="45"/>
      <c r="CJ99" s="109">
        <v>-700</v>
      </c>
      <c r="CK99" s="45">
        <f t="shared" si="452"/>
        <v>700</v>
      </c>
      <c r="CL99" s="45">
        <v>4485</v>
      </c>
      <c r="CM99" s="45">
        <f t="shared" si="452"/>
        <v>0</v>
      </c>
      <c r="CN99" s="45">
        <v>0</v>
      </c>
      <c r="CO99" s="45">
        <f t="shared" ref="CO99:CQ99" si="655">IF(CN99&lt;0,-CN99,0)</f>
        <v>0</v>
      </c>
      <c r="CP99" s="45">
        <v>-5000</v>
      </c>
      <c r="CQ99" s="45">
        <f t="shared" si="655"/>
        <v>5000</v>
      </c>
      <c r="CR99" s="45">
        <v>-5300</v>
      </c>
      <c r="CS99" s="45">
        <f t="shared" ref="CS99:CU99" si="656">IF(CR99&lt;0,-CR99,0)</f>
        <v>5300</v>
      </c>
      <c r="CT99" s="45">
        <v>-4000</v>
      </c>
      <c r="CU99" s="45">
        <f t="shared" si="656"/>
        <v>4000</v>
      </c>
      <c r="CV99" s="45">
        <v>-4800</v>
      </c>
      <c r="CW99" s="45">
        <f t="shared" ref="CW99:CY99" si="657">IF(CV99&lt;0,-CV99,0)</f>
        <v>4800</v>
      </c>
      <c r="CX99" s="45">
        <v>11042.594008440001</v>
      </c>
      <c r="CY99" s="45">
        <f t="shared" si="657"/>
        <v>0</v>
      </c>
      <c r="CZ99" s="107">
        <f t="shared" si="456"/>
        <v>19800</v>
      </c>
      <c r="DA99" s="45"/>
      <c r="DB99" s="110">
        <v>32393.161</v>
      </c>
      <c r="DC99" s="57">
        <v>2087.768</v>
      </c>
      <c r="DD99" s="61">
        <v>1216.4069836208</v>
      </c>
      <c r="DE99" s="61">
        <f t="shared" si="457"/>
        <v>35697.335983620804</v>
      </c>
      <c r="DF99" s="110">
        <v>8311.9560000000001</v>
      </c>
      <c r="DG99" s="110">
        <v>58686.411</v>
      </c>
      <c r="DH99" s="57">
        <v>5839</v>
      </c>
      <c r="DI99" s="107">
        <f t="shared" si="458"/>
        <v>64525.411</v>
      </c>
      <c r="DJ99" s="45"/>
      <c r="DK99" s="110">
        <v>627.78499999999997</v>
      </c>
      <c r="DL99" s="57">
        <v>10493.065843074541</v>
      </c>
      <c r="DM99" s="57">
        <f t="shared" si="459"/>
        <v>11120.850843074541</v>
      </c>
      <c r="DN99" s="61">
        <v>1260.738922991665</v>
      </c>
      <c r="DO99" s="61">
        <v>2899.4091042639602</v>
      </c>
      <c r="DP99" s="61">
        <v>461.72651774000002</v>
      </c>
      <c r="DQ99" s="57">
        <f t="shared" si="460"/>
        <v>3361.1356220039602</v>
      </c>
      <c r="DR99" s="57">
        <v>161.07828357022001</v>
      </c>
      <c r="DS99" s="57">
        <v>161.07828357022001</v>
      </c>
      <c r="DT99" s="5"/>
      <c r="DU99" s="73">
        <v>0</v>
      </c>
      <c r="DV99" s="156">
        <v>6779.6610170000004</v>
      </c>
      <c r="DW99" s="155">
        <v>1447.7400829999999</v>
      </c>
      <c r="DX99" s="155">
        <v>0</v>
      </c>
      <c r="DY99" s="73">
        <v>0</v>
      </c>
      <c r="DZ99" s="156">
        <v>904.75671642999998</v>
      </c>
      <c r="EA99" s="73">
        <v>0</v>
      </c>
      <c r="EB99" s="156">
        <v>1271.1864410000001</v>
      </c>
      <c r="EC99" s="73">
        <v>0</v>
      </c>
      <c r="ED99" s="156">
        <v>847.5</v>
      </c>
      <c r="EE99" s="73">
        <v>0</v>
      </c>
      <c r="EF99" s="156">
        <v>7397.5988710000001</v>
      </c>
      <c r="EG99" s="73">
        <v>0</v>
      </c>
      <c r="EH99" s="156">
        <v>6779.6610170000004</v>
      </c>
      <c r="EI99" s="159">
        <v>904.75671642999998</v>
      </c>
      <c r="EJ99" s="162">
        <v>847.5</v>
      </c>
      <c r="EK99" s="165">
        <v>735.83500000000004</v>
      </c>
      <c r="EL99" s="159">
        <v>461.72651774000002</v>
      </c>
      <c r="EM99" s="159">
        <f t="shared" si="461"/>
        <v>10964.025395000001</v>
      </c>
      <c r="EN99" s="159">
        <f t="shared" si="462"/>
        <v>0</v>
      </c>
      <c r="EP99" s="2">
        <v>20065.234049999999</v>
      </c>
      <c r="EQ99" s="5">
        <f t="shared" si="463"/>
        <v>0.81699999999999995</v>
      </c>
    </row>
    <row r="100" spans="13:147" x14ac:dyDescent="0.35">
      <c r="M100" s="5"/>
      <c r="N100" s="66">
        <f t="shared" si="464"/>
        <v>98</v>
      </c>
      <c r="O100" s="78">
        <v>0</v>
      </c>
      <c r="P100" s="77">
        <f t="shared" si="431"/>
        <v>0</v>
      </c>
      <c r="Q100" s="104">
        <v>0</v>
      </c>
      <c r="R100" s="77">
        <f t="shared" si="432"/>
        <v>0</v>
      </c>
      <c r="S100" s="104">
        <v>0</v>
      </c>
      <c r="T100" s="77">
        <f t="shared" si="433"/>
        <v>0</v>
      </c>
      <c r="U100" s="104">
        <v>0</v>
      </c>
      <c r="V100" s="77">
        <f t="shared" si="646"/>
        <v>0</v>
      </c>
      <c r="W100" s="104">
        <v>0</v>
      </c>
      <c r="X100" s="77">
        <f t="shared" si="647"/>
        <v>0</v>
      </c>
      <c r="Y100" s="104">
        <v>0</v>
      </c>
      <c r="Z100" s="77">
        <f t="shared" si="434"/>
        <v>0</v>
      </c>
      <c r="AA100" s="104">
        <v>0</v>
      </c>
      <c r="AB100" s="77">
        <f t="shared" si="435"/>
        <v>0</v>
      </c>
      <c r="AC100" s="5"/>
      <c r="AD100" s="66">
        <f t="shared" si="465"/>
        <v>98</v>
      </c>
      <c r="AE100" s="78">
        <v>30526.931400000001</v>
      </c>
      <c r="AF100" s="104">
        <v>1957.3</v>
      </c>
      <c r="AG100" s="78">
        <v>425.5</v>
      </c>
      <c r="AH100" s="61">
        <f t="shared" si="436"/>
        <v>0.34300000000000003</v>
      </c>
      <c r="AI100" s="61">
        <f t="shared" si="437"/>
        <v>0.85099999999999998</v>
      </c>
      <c r="AJ100" s="61">
        <f t="shared" si="438"/>
        <v>0.85099999999999998</v>
      </c>
      <c r="AK100" s="77">
        <v>381.786</v>
      </c>
      <c r="AL100" s="104">
        <v>2829.3948</v>
      </c>
      <c r="AM100" s="61">
        <f t="shared" si="648"/>
        <v>0.59099999999999997</v>
      </c>
      <c r="AN100" s="57">
        <f t="shared" si="649"/>
        <v>0.24299999999999999</v>
      </c>
      <c r="AO100" s="78">
        <v>37419.4</v>
      </c>
      <c r="AP100" s="104">
        <v>19319.924999999999</v>
      </c>
      <c r="AQ100" s="61">
        <f t="shared" si="439"/>
        <v>0.83900000000000008</v>
      </c>
      <c r="AR100" s="57">
        <f t="shared" si="440"/>
        <v>0.82299999999999995</v>
      </c>
      <c r="AS100" s="45"/>
      <c r="AT100" s="78">
        <v>1034.317</v>
      </c>
      <c r="AU100" s="77">
        <f t="shared" si="650"/>
        <v>0.41999991878700271</v>
      </c>
      <c r="AV100" s="78">
        <v>928.14200000000005</v>
      </c>
      <c r="AW100" s="77">
        <f t="shared" si="651"/>
        <v>0.57756191661481027</v>
      </c>
      <c r="AX100" s="78">
        <v>1121.4780000000001</v>
      </c>
      <c r="AY100" s="77">
        <f t="shared" si="441"/>
        <v>0.5784392407674851</v>
      </c>
      <c r="AZ100" s="45"/>
      <c r="BA100" s="75">
        <v>52500.305999999997</v>
      </c>
      <c r="BB100" s="77">
        <f t="shared" si="442"/>
        <v>0.75409836065573765</v>
      </c>
      <c r="BC100" s="45"/>
      <c r="BD100" s="105">
        <v>13015.205</v>
      </c>
      <c r="BE100" s="45">
        <v>0</v>
      </c>
      <c r="BF100" s="106">
        <v>0</v>
      </c>
      <c r="BG100" s="107">
        <f t="shared" si="443"/>
        <v>0.39923941717791411</v>
      </c>
      <c r="BH100" s="108">
        <f t="shared" si="444"/>
        <v>0</v>
      </c>
      <c r="BI100" s="106">
        <v>0</v>
      </c>
      <c r="BJ100" s="106">
        <v>0</v>
      </c>
      <c r="BK100" s="106">
        <v>0</v>
      </c>
      <c r="BL100" s="106">
        <v>5417.3440000000001</v>
      </c>
      <c r="BM100" s="107">
        <f t="shared" si="445"/>
        <v>0.40193975367265172</v>
      </c>
      <c r="BN100" s="108">
        <f t="shared" si="446"/>
        <v>0</v>
      </c>
      <c r="BO100" s="45">
        <v>7668</v>
      </c>
      <c r="BP100" s="45">
        <v>0</v>
      </c>
      <c r="BQ100" s="45"/>
      <c r="BR100" s="109">
        <v>-700</v>
      </c>
      <c r="BS100" s="45">
        <f t="shared" si="447"/>
        <v>0</v>
      </c>
      <c r="BT100" s="45">
        <v>4485</v>
      </c>
      <c r="BU100" s="45">
        <f t="shared" si="447"/>
        <v>4485</v>
      </c>
      <c r="BV100" s="45">
        <v>0</v>
      </c>
      <c r="BW100" s="45">
        <f t="shared" ref="BW100:BY100" si="658">IF(BV100&gt;0,BV100,0)</f>
        <v>0</v>
      </c>
      <c r="BX100" s="45">
        <v>-5000</v>
      </c>
      <c r="BY100" s="45">
        <f t="shared" si="658"/>
        <v>0</v>
      </c>
      <c r="BZ100" s="45">
        <v>-5300</v>
      </c>
      <c r="CA100" s="45">
        <f t="shared" ref="CA100:CC100" si="659">IF(BZ100&gt;0,BZ100,0)</f>
        <v>0</v>
      </c>
      <c r="CB100" s="45">
        <v>-4000</v>
      </c>
      <c r="CC100" s="45">
        <f t="shared" si="659"/>
        <v>0</v>
      </c>
      <c r="CD100" s="45">
        <v>-3448.7805395300002</v>
      </c>
      <c r="CE100" s="45">
        <f t="shared" ref="CE100:CG100" si="660">IF(CD100&gt;0,CD100,0)</f>
        <v>0</v>
      </c>
      <c r="CF100" s="45">
        <v>11465.20904718</v>
      </c>
      <c r="CG100" s="45">
        <f t="shared" si="660"/>
        <v>11465.20904718</v>
      </c>
      <c r="CH100" s="107">
        <f t="shared" si="451"/>
        <v>15950.20904718</v>
      </c>
      <c r="CI100" s="45"/>
      <c r="CJ100" s="109">
        <v>-700</v>
      </c>
      <c r="CK100" s="45">
        <f t="shared" si="452"/>
        <v>700</v>
      </c>
      <c r="CL100" s="45">
        <v>4485</v>
      </c>
      <c r="CM100" s="45">
        <f t="shared" si="452"/>
        <v>0</v>
      </c>
      <c r="CN100" s="45">
        <v>0</v>
      </c>
      <c r="CO100" s="45">
        <f t="shared" ref="CO100:CQ100" si="661">IF(CN100&lt;0,-CN100,0)</f>
        <v>0</v>
      </c>
      <c r="CP100" s="45">
        <v>-5000</v>
      </c>
      <c r="CQ100" s="45">
        <f t="shared" si="661"/>
        <v>5000</v>
      </c>
      <c r="CR100" s="45">
        <v>-5300</v>
      </c>
      <c r="CS100" s="45">
        <f t="shared" ref="CS100:CU100" si="662">IF(CR100&lt;0,-CR100,0)</f>
        <v>5300</v>
      </c>
      <c r="CT100" s="45">
        <v>-4000</v>
      </c>
      <c r="CU100" s="45">
        <f t="shared" si="662"/>
        <v>4000</v>
      </c>
      <c r="CV100" s="45">
        <v>-3448.7805395300002</v>
      </c>
      <c r="CW100" s="45">
        <f t="shared" ref="CW100:CY100" si="663">IF(CV100&lt;0,-CV100,0)</f>
        <v>3448.7805395300002</v>
      </c>
      <c r="CX100" s="45">
        <v>11465.20904718</v>
      </c>
      <c r="CY100" s="45">
        <f t="shared" si="663"/>
        <v>0</v>
      </c>
      <c r="CZ100" s="107">
        <f t="shared" si="456"/>
        <v>18448.780539530002</v>
      </c>
      <c r="DA100" s="45"/>
      <c r="DB100" s="110">
        <v>30511.718000000001</v>
      </c>
      <c r="DC100" s="57">
        <v>2014.348</v>
      </c>
      <c r="DD100" s="61">
        <v>917.35342027210004</v>
      </c>
      <c r="DE100" s="61">
        <f t="shared" si="457"/>
        <v>33443.419420272097</v>
      </c>
      <c r="DF100" s="110">
        <v>7901.4470000000001</v>
      </c>
      <c r="DG100" s="110">
        <v>56641.411</v>
      </c>
      <c r="DH100" s="57">
        <v>5994</v>
      </c>
      <c r="DI100" s="107">
        <f t="shared" si="458"/>
        <v>62635.411</v>
      </c>
      <c r="DJ100" s="45"/>
      <c r="DK100" s="110">
        <v>653.59699999999998</v>
      </c>
      <c r="DL100" s="57">
        <v>10493.065843074541</v>
      </c>
      <c r="DM100" s="57">
        <f t="shared" si="459"/>
        <v>11146.66284307454</v>
      </c>
      <c r="DN100" s="61">
        <v>1260.738922991665</v>
      </c>
      <c r="DO100" s="61">
        <v>2899.4091042639602</v>
      </c>
      <c r="DP100" s="61">
        <v>461.72651774000002</v>
      </c>
      <c r="DQ100" s="57">
        <f t="shared" si="460"/>
        <v>3361.1356220039602</v>
      </c>
      <c r="DR100" s="57">
        <v>161.07828357022001</v>
      </c>
      <c r="DS100" s="57">
        <v>161.07828357022001</v>
      </c>
      <c r="DT100" s="5"/>
      <c r="DU100" s="73">
        <v>0</v>
      </c>
      <c r="DV100" s="156">
        <v>6779.6610170000004</v>
      </c>
      <c r="DW100" s="155">
        <v>1447.7400829999999</v>
      </c>
      <c r="DX100" s="155">
        <v>0</v>
      </c>
      <c r="DY100" s="73">
        <v>0</v>
      </c>
      <c r="DZ100" s="156">
        <v>904.75671642999998</v>
      </c>
      <c r="EA100" s="73">
        <v>0</v>
      </c>
      <c r="EB100" s="156">
        <v>1271.1864410000001</v>
      </c>
      <c r="EC100" s="73">
        <v>0</v>
      </c>
      <c r="ED100" s="156">
        <v>847.5</v>
      </c>
      <c r="EE100" s="73">
        <v>0</v>
      </c>
      <c r="EF100" s="156">
        <v>7397.5988710000001</v>
      </c>
      <c r="EG100" s="73">
        <v>0</v>
      </c>
      <c r="EH100" s="156">
        <v>6779.6610170000004</v>
      </c>
      <c r="EI100" s="159">
        <v>904.75671642999998</v>
      </c>
      <c r="EJ100" s="162">
        <v>847.5</v>
      </c>
      <c r="EK100" s="165">
        <v>735.83500000000004</v>
      </c>
      <c r="EL100" s="159">
        <v>461.72651774000002</v>
      </c>
      <c r="EM100" s="159">
        <f t="shared" si="461"/>
        <v>10964.025395000001</v>
      </c>
      <c r="EN100" s="159">
        <f t="shared" si="462"/>
        <v>0</v>
      </c>
      <c r="EP100" s="2">
        <v>20065.234049999999</v>
      </c>
      <c r="EQ100" s="5">
        <f t="shared" si="463"/>
        <v>0.81699999999999995</v>
      </c>
    </row>
    <row r="101" spans="13:147" x14ac:dyDescent="0.35">
      <c r="M101" s="5"/>
      <c r="N101" s="66">
        <f t="shared" si="464"/>
        <v>99</v>
      </c>
      <c r="O101" s="78">
        <v>0</v>
      </c>
      <c r="P101" s="77">
        <f t="shared" si="431"/>
        <v>0</v>
      </c>
      <c r="Q101" s="104">
        <v>0</v>
      </c>
      <c r="R101" s="77">
        <f t="shared" si="432"/>
        <v>0</v>
      </c>
      <c r="S101" s="104">
        <v>0</v>
      </c>
      <c r="T101" s="77">
        <f t="shared" si="433"/>
        <v>0</v>
      </c>
      <c r="U101" s="104">
        <v>0</v>
      </c>
      <c r="V101" s="77">
        <f t="shared" si="646"/>
        <v>0</v>
      </c>
      <c r="W101" s="104">
        <v>0</v>
      </c>
      <c r="X101" s="77">
        <f t="shared" si="647"/>
        <v>0</v>
      </c>
      <c r="Y101" s="104">
        <v>0</v>
      </c>
      <c r="Z101" s="77">
        <f t="shared" si="434"/>
        <v>0</v>
      </c>
      <c r="AA101" s="104">
        <v>0</v>
      </c>
      <c r="AB101" s="77">
        <f t="shared" si="435"/>
        <v>0</v>
      </c>
      <c r="AC101" s="5"/>
      <c r="AD101" s="66">
        <f t="shared" si="465"/>
        <v>99</v>
      </c>
      <c r="AE101" s="78">
        <v>29814.933000000001</v>
      </c>
      <c r="AF101" s="104">
        <v>1966.5</v>
      </c>
      <c r="AG101" s="78">
        <v>427.5</v>
      </c>
      <c r="AH101" s="61">
        <f t="shared" si="436"/>
        <v>0.33500000000000002</v>
      </c>
      <c r="AI101" s="61">
        <f t="shared" si="437"/>
        <v>0.85499999999999998</v>
      </c>
      <c r="AJ101" s="61">
        <f t="shared" si="438"/>
        <v>0.85499999999999998</v>
      </c>
      <c r="AK101" s="77">
        <v>385.66199999999998</v>
      </c>
      <c r="AL101" s="104">
        <v>2817.7512000000002</v>
      </c>
      <c r="AM101" s="61">
        <f t="shared" si="648"/>
        <v>0.59699999999999998</v>
      </c>
      <c r="AN101" s="57">
        <f t="shared" si="649"/>
        <v>0.24199999999999999</v>
      </c>
      <c r="AO101" s="78">
        <v>37285.599999999999</v>
      </c>
      <c r="AP101" s="104">
        <v>19226.025000000001</v>
      </c>
      <c r="AQ101" s="61">
        <f t="shared" si="439"/>
        <v>0.83599999999999997</v>
      </c>
      <c r="AR101" s="57">
        <f t="shared" si="440"/>
        <v>0.81900000000000006</v>
      </c>
      <c r="AS101" s="45"/>
      <c r="AT101" s="78">
        <v>1031.855</v>
      </c>
      <c r="AU101" s="77">
        <f t="shared" si="650"/>
        <v>0.41900018678989387</v>
      </c>
      <c r="AV101" s="78">
        <v>933.52300000000002</v>
      </c>
      <c r="AW101" s="77">
        <f t="shared" si="651"/>
        <v>0.58091039203484751</v>
      </c>
      <c r="AX101" s="78">
        <v>1121.4780000000001</v>
      </c>
      <c r="AY101" s="77">
        <f t="shared" si="441"/>
        <v>0.5784392407674851</v>
      </c>
      <c r="AZ101" s="45"/>
      <c r="BA101" s="75">
        <v>52500.305999999997</v>
      </c>
      <c r="BB101" s="77">
        <f t="shared" si="442"/>
        <v>0.75409836065573765</v>
      </c>
      <c r="BC101" s="45"/>
      <c r="BD101" s="105">
        <v>12718.566000000001</v>
      </c>
      <c r="BE101" s="45">
        <v>0</v>
      </c>
      <c r="BF101" s="106">
        <v>0</v>
      </c>
      <c r="BG101" s="107">
        <f t="shared" si="443"/>
        <v>0.39014006134969326</v>
      </c>
      <c r="BH101" s="108">
        <f t="shared" si="444"/>
        <v>0</v>
      </c>
      <c r="BI101" s="106">
        <v>0</v>
      </c>
      <c r="BJ101" s="106">
        <v>0</v>
      </c>
      <c r="BK101" s="106">
        <v>0</v>
      </c>
      <c r="BL101" s="106">
        <v>5449.8440000000001</v>
      </c>
      <c r="BM101" s="107">
        <f t="shared" si="445"/>
        <v>0.40435109066627095</v>
      </c>
      <c r="BN101" s="108">
        <f t="shared" si="446"/>
        <v>0</v>
      </c>
      <c r="BO101" s="45">
        <v>7668</v>
      </c>
      <c r="BP101" s="45">
        <v>0</v>
      </c>
      <c r="BQ101" s="45"/>
      <c r="BR101" s="109">
        <v>-700</v>
      </c>
      <c r="BS101" s="45">
        <f t="shared" si="447"/>
        <v>0</v>
      </c>
      <c r="BT101" s="45">
        <v>4485</v>
      </c>
      <c r="BU101" s="45">
        <f t="shared" si="447"/>
        <v>4485</v>
      </c>
      <c r="BV101" s="45">
        <v>0</v>
      </c>
      <c r="BW101" s="45">
        <f t="shared" ref="BW101:BY101" si="664">IF(BV101&gt;0,BV101,0)</f>
        <v>0</v>
      </c>
      <c r="BX101" s="45">
        <v>-5000</v>
      </c>
      <c r="BY101" s="45">
        <f t="shared" si="664"/>
        <v>0</v>
      </c>
      <c r="BZ101" s="45">
        <v>-5300</v>
      </c>
      <c r="CA101" s="45">
        <f t="shared" ref="CA101:CC101" si="665">IF(BZ101&gt;0,BZ101,0)</f>
        <v>0</v>
      </c>
      <c r="CB101" s="45">
        <v>-4000</v>
      </c>
      <c r="CC101" s="45">
        <f t="shared" si="665"/>
        <v>0</v>
      </c>
      <c r="CD101" s="45">
        <v>-4509.3966475300003</v>
      </c>
      <c r="CE101" s="45">
        <f t="shared" ref="CE101:CG101" si="666">IF(CD101&gt;0,CD101,0)</f>
        <v>0</v>
      </c>
      <c r="CF101" s="45">
        <v>10868.071331409999</v>
      </c>
      <c r="CG101" s="45">
        <f t="shared" si="666"/>
        <v>10868.071331409999</v>
      </c>
      <c r="CH101" s="107">
        <f t="shared" si="451"/>
        <v>15353.071331409999</v>
      </c>
      <c r="CI101" s="45"/>
      <c r="CJ101" s="109">
        <v>-700</v>
      </c>
      <c r="CK101" s="45">
        <f t="shared" si="452"/>
        <v>700</v>
      </c>
      <c r="CL101" s="45">
        <v>4485</v>
      </c>
      <c r="CM101" s="45">
        <f t="shared" si="452"/>
        <v>0</v>
      </c>
      <c r="CN101" s="45">
        <v>0</v>
      </c>
      <c r="CO101" s="45">
        <f t="shared" ref="CO101:CQ101" si="667">IF(CN101&lt;0,-CN101,0)</f>
        <v>0</v>
      </c>
      <c r="CP101" s="45">
        <v>-5000</v>
      </c>
      <c r="CQ101" s="45">
        <f t="shared" si="667"/>
        <v>5000</v>
      </c>
      <c r="CR101" s="45">
        <v>-5300</v>
      </c>
      <c r="CS101" s="45">
        <f t="shared" ref="CS101:CU101" si="668">IF(CR101&lt;0,-CR101,0)</f>
        <v>5300</v>
      </c>
      <c r="CT101" s="45">
        <v>-4000</v>
      </c>
      <c r="CU101" s="45">
        <f t="shared" si="668"/>
        <v>4000</v>
      </c>
      <c r="CV101" s="45">
        <v>-4509.3966475300003</v>
      </c>
      <c r="CW101" s="45">
        <f t="shared" ref="CW101:CY101" si="669">IF(CV101&lt;0,-CV101,0)</f>
        <v>4509.3966475300003</v>
      </c>
      <c r="CX101" s="45">
        <v>10868.071331409999</v>
      </c>
      <c r="CY101" s="45">
        <f t="shared" si="669"/>
        <v>0</v>
      </c>
      <c r="CZ101" s="107">
        <f t="shared" si="456"/>
        <v>19509.39664753</v>
      </c>
      <c r="DA101" s="45"/>
      <c r="DB101" s="110">
        <v>29434.078000000001</v>
      </c>
      <c r="DC101" s="57">
        <v>1970.048</v>
      </c>
      <c r="DD101" s="61">
        <v>1514.2443747581999</v>
      </c>
      <c r="DE101" s="61">
        <f t="shared" si="457"/>
        <v>32918.370374758197</v>
      </c>
      <c r="DF101" s="110">
        <v>7535.9009999999998</v>
      </c>
      <c r="DG101" s="110">
        <v>53930.411</v>
      </c>
      <c r="DH101" s="57">
        <v>6142</v>
      </c>
      <c r="DI101" s="107">
        <f t="shared" si="458"/>
        <v>60072.411</v>
      </c>
      <c r="DJ101" s="45"/>
      <c r="DK101" s="110">
        <v>717.62599999999998</v>
      </c>
      <c r="DL101" s="57">
        <v>10493.065843074541</v>
      </c>
      <c r="DM101" s="57">
        <f t="shared" si="459"/>
        <v>11210.691843074541</v>
      </c>
      <c r="DN101" s="61">
        <v>1260.738922991665</v>
      </c>
      <c r="DO101" s="61">
        <v>2899.4091042639602</v>
      </c>
      <c r="DP101" s="61">
        <v>461.72651774000002</v>
      </c>
      <c r="DQ101" s="57">
        <f t="shared" si="460"/>
        <v>3361.1356220039602</v>
      </c>
      <c r="DR101" s="57">
        <v>161.07828357022001</v>
      </c>
      <c r="DS101" s="57">
        <v>161.07828357022001</v>
      </c>
      <c r="DT101" s="5"/>
      <c r="DU101" s="73">
        <v>0</v>
      </c>
      <c r="DV101" s="156">
        <v>6779.6610170000004</v>
      </c>
      <c r="DW101" s="155">
        <v>1447.7400829999999</v>
      </c>
      <c r="DX101" s="155">
        <v>0</v>
      </c>
      <c r="DY101" s="73">
        <v>0</v>
      </c>
      <c r="DZ101" s="156">
        <v>672.09336856000004</v>
      </c>
      <c r="EA101" s="73">
        <v>0</v>
      </c>
      <c r="EB101" s="156">
        <v>1271.1864410000001</v>
      </c>
      <c r="EC101" s="73">
        <v>0</v>
      </c>
      <c r="ED101" s="156">
        <v>847.5</v>
      </c>
      <c r="EE101" s="73">
        <v>0</v>
      </c>
      <c r="EF101" s="156">
        <v>7397.5988710000001</v>
      </c>
      <c r="EG101" s="73">
        <v>0</v>
      </c>
      <c r="EH101" s="156">
        <v>6779.6610170000004</v>
      </c>
      <c r="EI101" s="159">
        <v>672.09336856000004</v>
      </c>
      <c r="EJ101" s="162">
        <v>847.5</v>
      </c>
      <c r="EK101" s="165">
        <v>735.83500000000004</v>
      </c>
      <c r="EL101" s="159">
        <v>461.72651774000002</v>
      </c>
      <c r="EM101" s="159">
        <f t="shared" si="461"/>
        <v>10964.025395000001</v>
      </c>
      <c r="EN101" s="159">
        <f t="shared" si="462"/>
        <v>0</v>
      </c>
      <c r="EP101" s="2">
        <v>20065.234049999999</v>
      </c>
      <c r="EQ101" s="5">
        <f t="shared" si="463"/>
        <v>0.81699999999999995</v>
      </c>
    </row>
    <row r="102" spans="13:147" x14ac:dyDescent="0.35">
      <c r="M102" s="5"/>
      <c r="N102" s="66">
        <f t="shared" si="464"/>
        <v>100</v>
      </c>
      <c r="O102" s="78">
        <v>0</v>
      </c>
      <c r="P102" s="77">
        <f t="shared" si="431"/>
        <v>0</v>
      </c>
      <c r="Q102" s="104">
        <v>0</v>
      </c>
      <c r="R102" s="77">
        <f t="shared" si="432"/>
        <v>0</v>
      </c>
      <c r="S102" s="104">
        <v>0</v>
      </c>
      <c r="T102" s="77">
        <f t="shared" si="433"/>
        <v>0</v>
      </c>
      <c r="U102" s="104">
        <v>0</v>
      </c>
      <c r="V102" s="77">
        <f t="shared" si="646"/>
        <v>0</v>
      </c>
      <c r="W102" s="104">
        <v>0</v>
      </c>
      <c r="X102" s="77">
        <f t="shared" si="647"/>
        <v>0</v>
      </c>
      <c r="Y102" s="104">
        <v>0</v>
      </c>
      <c r="Z102" s="77">
        <f t="shared" si="434"/>
        <v>0</v>
      </c>
      <c r="AA102" s="104">
        <v>0</v>
      </c>
      <c r="AB102" s="77">
        <f t="shared" si="435"/>
        <v>0</v>
      </c>
      <c r="AC102" s="5"/>
      <c r="AD102" s="66">
        <f t="shared" si="465"/>
        <v>100</v>
      </c>
      <c r="AE102" s="78">
        <v>31772.928599999999</v>
      </c>
      <c r="AF102" s="104">
        <v>1961.9</v>
      </c>
      <c r="AG102" s="78">
        <v>426.5</v>
      </c>
      <c r="AH102" s="61">
        <f t="shared" si="436"/>
        <v>0.35699999999999998</v>
      </c>
      <c r="AI102" s="61">
        <f t="shared" si="437"/>
        <v>0.85300000000000009</v>
      </c>
      <c r="AJ102" s="61">
        <f t="shared" si="438"/>
        <v>0.85299999999999998</v>
      </c>
      <c r="AK102" s="77">
        <v>376.61799999999999</v>
      </c>
      <c r="AL102" s="104">
        <v>3050.6232</v>
      </c>
      <c r="AM102" s="61">
        <f t="shared" si="648"/>
        <v>0.58299999999999996</v>
      </c>
      <c r="AN102" s="57">
        <f t="shared" si="649"/>
        <v>0.26200000000000001</v>
      </c>
      <c r="AO102" s="78">
        <v>37196.400000000001</v>
      </c>
      <c r="AP102" s="104">
        <v>19319.924999999999</v>
      </c>
      <c r="AQ102" s="61">
        <f t="shared" si="439"/>
        <v>0.83400000000000007</v>
      </c>
      <c r="AR102" s="57">
        <f t="shared" si="440"/>
        <v>0.82299999999999995</v>
      </c>
      <c r="AS102" s="45"/>
      <c r="AT102" s="78">
        <v>1002.303</v>
      </c>
      <c r="AU102" s="77">
        <f t="shared" si="650"/>
        <v>0.40700015430469494</v>
      </c>
      <c r="AV102" s="78">
        <v>941.20399999999995</v>
      </c>
      <c r="AW102" s="77">
        <f t="shared" si="651"/>
        <v>0.58569010578718106</v>
      </c>
      <c r="AX102" s="78">
        <v>1121.4780000000001</v>
      </c>
      <c r="AY102" s="77">
        <f t="shared" si="441"/>
        <v>0.5784392407674851</v>
      </c>
      <c r="AZ102" s="45"/>
      <c r="BA102" s="75">
        <v>52500.305999999997</v>
      </c>
      <c r="BB102" s="77">
        <f t="shared" si="442"/>
        <v>0.75409836065573765</v>
      </c>
      <c r="BC102" s="45"/>
      <c r="BD102" s="105">
        <v>13580.661</v>
      </c>
      <c r="BE102" s="45">
        <v>0</v>
      </c>
      <c r="BF102" s="106">
        <v>0</v>
      </c>
      <c r="BG102" s="107">
        <f t="shared" si="443"/>
        <v>0.41658469325153374</v>
      </c>
      <c r="BH102" s="108">
        <f t="shared" si="444"/>
        <v>0</v>
      </c>
      <c r="BI102" s="106">
        <v>0</v>
      </c>
      <c r="BJ102" s="106">
        <v>0</v>
      </c>
      <c r="BK102" s="106">
        <v>0</v>
      </c>
      <c r="BL102" s="106">
        <v>5309.4139999999998</v>
      </c>
      <c r="BM102" s="107">
        <f t="shared" si="445"/>
        <v>0.39393188900430332</v>
      </c>
      <c r="BN102" s="108">
        <f t="shared" si="446"/>
        <v>0</v>
      </c>
      <c r="BO102" s="45">
        <v>7668</v>
      </c>
      <c r="BP102" s="45">
        <v>0</v>
      </c>
      <c r="BQ102" s="45"/>
      <c r="BR102" s="109">
        <v>-700</v>
      </c>
      <c r="BS102" s="45">
        <f t="shared" si="447"/>
        <v>0</v>
      </c>
      <c r="BT102" s="45">
        <v>4485</v>
      </c>
      <c r="BU102" s="45">
        <f t="shared" si="447"/>
        <v>4485</v>
      </c>
      <c r="BV102" s="45">
        <v>0</v>
      </c>
      <c r="BW102" s="45">
        <f t="shared" ref="BW102:BY102" si="670">IF(BV102&gt;0,BV102,0)</f>
        <v>0</v>
      </c>
      <c r="BX102" s="45">
        <v>-5000</v>
      </c>
      <c r="BY102" s="45">
        <f t="shared" si="670"/>
        <v>0</v>
      </c>
      <c r="BZ102" s="45">
        <v>-2536.22199077</v>
      </c>
      <c r="CA102" s="45">
        <f t="shared" ref="CA102:CC102" si="671">IF(BZ102&gt;0,BZ102,0)</f>
        <v>0</v>
      </c>
      <c r="CB102" s="45">
        <v>-4000</v>
      </c>
      <c r="CC102" s="45">
        <f t="shared" si="671"/>
        <v>0</v>
      </c>
      <c r="CD102" s="45">
        <v>-3725.0539058200002</v>
      </c>
      <c r="CE102" s="45">
        <f t="shared" ref="CE102:CG102" si="672">IF(CD102&gt;0,CD102,0)</f>
        <v>0</v>
      </c>
      <c r="CF102" s="45">
        <v>10489.281993050001</v>
      </c>
      <c r="CG102" s="45">
        <f t="shared" si="672"/>
        <v>10489.281993050001</v>
      </c>
      <c r="CH102" s="107">
        <f t="shared" si="451"/>
        <v>14974.281993050001</v>
      </c>
      <c r="CI102" s="45"/>
      <c r="CJ102" s="109">
        <v>-700</v>
      </c>
      <c r="CK102" s="45">
        <f t="shared" si="452"/>
        <v>700</v>
      </c>
      <c r="CL102" s="45">
        <v>4485</v>
      </c>
      <c r="CM102" s="45">
        <f t="shared" si="452"/>
        <v>0</v>
      </c>
      <c r="CN102" s="45">
        <v>0</v>
      </c>
      <c r="CO102" s="45">
        <f t="shared" ref="CO102:CQ102" si="673">IF(CN102&lt;0,-CN102,0)</f>
        <v>0</v>
      </c>
      <c r="CP102" s="45">
        <v>-5000</v>
      </c>
      <c r="CQ102" s="45">
        <f t="shared" si="673"/>
        <v>5000</v>
      </c>
      <c r="CR102" s="45">
        <v>-2536.22199077</v>
      </c>
      <c r="CS102" s="45">
        <f t="shared" ref="CS102:CU102" si="674">IF(CR102&lt;0,-CR102,0)</f>
        <v>2536.22199077</v>
      </c>
      <c r="CT102" s="45">
        <v>-4000</v>
      </c>
      <c r="CU102" s="45">
        <f t="shared" si="674"/>
        <v>4000</v>
      </c>
      <c r="CV102" s="45">
        <v>-3725.0539058200002</v>
      </c>
      <c r="CW102" s="45">
        <f t="shared" ref="CW102:CY102" si="675">IF(CV102&lt;0,-CV102,0)</f>
        <v>3725.0539058200002</v>
      </c>
      <c r="CX102" s="45">
        <v>10489.281993050001</v>
      </c>
      <c r="CY102" s="45">
        <f t="shared" si="675"/>
        <v>0</v>
      </c>
      <c r="CZ102" s="107">
        <f t="shared" si="456"/>
        <v>15961.275896589999</v>
      </c>
      <c r="DA102" s="45"/>
      <c r="DB102" s="110">
        <v>29061.137999999999</v>
      </c>
      <c r="DC102" s="57">
        <v>1948.9480000000001</v>
      </c>
      <c r="DD102" s="61">
        <v>2406.3645890030002</v>
      </c>
      <c r="DE102" s="61">
        <f t="shared" si="457"/>
        <v>33416.450589002998</v>
      </c>
      <c r="DF102" s="110">
        <v>7375.9170000000004</v>
      </c>
      <c r="DG102" s="110">
        <v>52501.411</v>
      </c>
      <c r="DH102" s="57">
        <v>6104</v>
      </c>
      <c r="DI102" s="107">
        <f t="shared" si="458"/>
        <v>58605.411</v>
      </c>
      <c r="DJ102" s="45"/>
      <c r="DK102" s="110">
        <v>807.97</v>
      </c>
      <c r="DL102" s="57">
        <v>10493.065843074541</v>
      </c>
      <c r="DM102" s="57">
        <f t="shared" si="459"/>
        <v>11301.03584307454</v>
      </c>
      <c r="DN102" s="61">
        <v>1260.738922991665</v>
      </c>
      <c r="DO102" s="61">
        <v>2899.4091042639602</v>
      </c>
      <c r="DP102" s="61">
        <v>461.72651774000002</v>
      </c>
      <c r="DQ102" s="57">
        <f t="shared" si="460"/>
        <v>3361.1356220039602</v>
      </c>
      <c r="DR102" s="57">
        <v>161.07828357022001</v>
      </c>
      <c r="DS102" s="57">
        <v>161.07828357022001</v>
      </c>
      <c r="DT102" s="5"/>
      <c r="DU102" s="73">
        <v>0</v>
      </c>
      <c r="DV102" s="156">
        <v>6779.6610170000004</v>
      </c>
      <c r="DW102" s="155">
        <v>1447.7400829999999</v>
      </c>
      <c r="DX102" s="155">
        <v>0</v>
      </c>
      <c r="DY102" s="73">
        <v>0</v>
      </c>
      <c r="DZ102" s="156">
        <v>574.75671642999998</v>
      </c>
      <c r="EA102" s="73">
        <v>0</v>
      </c>
      <c r="EB102" s="156">
        <v>1271.1864410000001</v>
      </c>
      <c r="EC102" s="73">
        <v>0</v>
      </c>
      <c r="ED102" s="156">
        <v>847.5</v>
      </c>
      <c r="EE102" s="73">
        <v>0</v>
      </c>
      <c r="EF102" s="156">
        <v>7397.5988710000001</v>
      </c>
      <c r="EG102" s="73">
        <v>0</v>
      </c>
      <c r="EH102" s="156">
        <v>6779.6610170000004</v>
      </c>
      <c r="EI102" s="159">
        <v>574.75671642999998</v>
      </c>
      <c r="EJ102" s="162">
        <v>847.5</v>
      </c>
      <c r="EK102" s="165">
        <v>735.83500000000004</v>
      </c>
      <c r="EL102" s="159">
        <v>461.72651774000002</v>
      </c>
      <c r="EM102" s="159">
        <f t="shared" si="461"/>
        <v>10964.025395000001</v>
      </c>
      <c r="EN102" s="159">
        <f t="shared" si="462"/>
        <v>0</v>
      </c>
      <c r="EP102" s="2">
        <v>20065.234049999999</v>
      </c>
      <c r="EQ102" s="5">
        <f t="shared" si="463"/>
        <v>0.81699999999999995</v>
      </c>
    </row>
    <row r="103" spans="13:147" x14ac:dyDescent="0.35">
      <c r="M103" s="5"/>
      <c r="N103" s="66">
        <f t="shared" si="464"/>
        <v>101</v>
      </c>
      <c r="O103" s="78">
        <v>0</v>
      </c>
      <c r="P103" s="77">
        <f t="shared" si="431"/>
        <v>0</v>
      </c>
      <c r="Q103" s="104">
        <v>0</v>
      </c>
      <c r="R103" s="77">
        <f t="shared" si="432"/>
        <v>0</v>
      </c>
      <c r="S103" s="104">
        <v>0</v>
      </c>
      <c r="T103" s="77">
        <f t="shared" si="433"/>
        <v>0</v>
      </c>
      <c r="U103" s="104">
        <v>0</v>
      </c>
      <c r="V103" s="77">
        <f t="shared" si="646"/>
        <v>0</v>
      </c>
      <c r="W103" s="104">
        <v>0</v>
      </c>
      <c r="X103" s="77">
        <f t="shared" si="647"/>
        <v>0</v>
      </c>
      <c r="Y103" s="104">
        <v>0</v>
      </c>
      <c r="Z103" s="77">
        <f t="shared" si="434"/>
        <v>0</v>
      </c>
      <c r="AA103" s="104">
        <v>0</v>
      </c>
      <c r="AB103" s="77">
        <f t="shared" si="435"/>
        <v>0</v>
      </c>
      <c r="AC103" s="5"/>
      <c r="AD103" s="66">
        <f t="shared" si="465"/>
        <v>101</v>
      </c>
      <c r="AE103" s="78">
        <v>36934.917000000001</v>
      </c>
      <c r="AF103" s="104">
        <v>1980.3</v>
      </c>
      <c r="AG103" s="78">
        <v>430.5</v>
      </c>
      <c r="AH103" s="61">
        <f t="shared" si="436"/>
        <v>0.41499999999999998</v>
      </c>
      <c r="AI103" s="61">
        <f t="shared" si="437"/>
        <v>0.86099999999999999</v>
      </c>
      <c r="AJ103" s="61">
        <f t="shared" si="438"/>
        <v>0.86099999999999999</v>
      </c>
      <c r="AK103" s="77">
        <v>363.69799999999998</v>
      </c>
      <c r="AL103" s="104">
        <v>3295.1388000000002</v>
      </c>
      <c r="AM103" s="61">
        <f t="shared" si="648"/>
        <v>0.56299999999999994</v>
      </c>
      <c r="AN103" s="57">
        <f t="shared" si="649"/>
        <v>0.28300000000000003</v>
      </c>
      <c r="AO103" s="78">
        <v>37464</v>
      </c>
      <c r="AP103" s="104">
        <v>19719</v>
      </c>
      <c r="AQ103" s="61">
        <f t="shared" si="439"/>
        <v>0.84</v>
      </c>
      <c r="AR103" s="57">
        <f t="shared" si="440"/>
        <v>0.84</v>
      </c>
      <c r="AS103" s="45"/>
      <c r="AT103" s="78">
        <v>987.52700000000004</v>
      </c>
      <c r="AU103" s="77">
        <f t="shared" si="650"/>
        <v>0.4010001380620955</v>
      </c>
      <c r="AV103" s="78">
        <v>945.78499999999997</v>
      </c>
      <c r="AW103" s="77">
        <f t="shared" si="651"/>
        <v>0.58854075917859361</v>
      </c>
      <c r="AX103" s="78">
        <v>1121.4780000000001</v>
      </c>
      <c r="AY103" s="77">
        <f t="shared" si="441"/>
        <v>0.5784392407674851</v>
      </c>
      <c r="AZ103" s="45"/>
      <c r="BA103" s="75">
        <v>52500.305999999997</v>
      </c>
      <c r="BB103" s="77">
        <f t="shared" si="442"/>
        <v>0.75409836065573765</v>
      </c>
      <c r="BC103" s="45"/>
      <c r="BD103" s="105">
        <v>15764.441000000001</v>
      </c>
      <c r="BE103" s="45">
        <v>0</v>
      </c>
      <c r="BF103" s="106">
        <v>0</v>
      </c>
      <c r="BG103" s="107">
        <f t="shared" si="443"/>
        <v>0.48357180981595094</v>
      </c>
      <c r="BH103" s="108">
        <f t="shared" si="444"/>
        <v>0</v>
      </c>
      <c r="BI103" s="106">
        <v>0</v>
      </c>
      <c r="BJ103" s="106">
        <v>0</v>
      </c>
      <c r="BK103" s="106">
        <v>0</v>
      </c>
      <c r="BL103" s="106">
        <v>5112.8429999999998</v>
      </c>
      <c r="BM103" s="107">
        <f t="shared" si="445"/>
        <v>0.37934730672206557</v>
      </c>
      <c r="BN103" s="108">
        <f t="shared" si="446"/>
        <v>0</v>
      </c>
      <c r="BO103" s="45">
        <v>7668</v>
      </c>
      <c r="BP103" s="45">
        <v>0</v>
      </c>
      <c r="BQ103" s="45"/>
      <c r="BR103" s="109">
        <v>-700</v>
      </c>
      <c r="BS103" s="45">
        <f t="shared" si="447"/>
        <v>0</v>
      </c>
      <c r="BT103" s="45">
        <v>4485</v>
      </c>
      <c r="BU103" s="45">
        <f t="shared" si="447"/>
        <v>4485</v>
      </c>
      <c r="BV103" s="45">
        <v>0</v>
      </c>
      <c r="BW103" s="45">
        <f t="shared" ref="BW103:BY103" si="676">IF(BV103&gt;0,BV103,0)</f>
        <v>0</v>
      </c>
      <c r="BX103" s="45">
        <v>-5000</v>
      </c>
      <c r="BY103" s="45">
        <f t="shared" si="676"/>
        <v>0</v>
      </c>
      <c r="BZ103" s="45">
        <v>-4643.0898058299999</v>
      </c>
      <c r="CA103" s="45">
        <f t="shared" ref="CA103:CC103" si="677">IF(BZ103&gt;0,BZ103,0)</f>
        <v>0</v>
      </c>
      <c r="CB103" s="45">
        <v>-4000</v>
      </c>
      <c r="CC103" s="45">
        <f t="shared" si="677"/>
        <v>0</v>
      </c>
      <c r="CD103" s="45">
        <v>0</v>
      </c>
      <c r="CE103" s="45">
        <f t="shared" ref="CE103:CG103" si="678">IF(CD103&gt;0,CD103,0)</f>
        <v>0</v>
      </c>
      <c r="CF103" s="45">
        <v>12643.174998689999</v>
      </c>
      <c r="CG103" s="45">
        <f t="shared" si="678"/>
        <v>12643.174998689999</v>
      </c>
      <c r="CH103" s="107">
        <f t="shared" si="451"/>
        <v>17128.174998689999</v>
      </c>
      <c r="CI103" s="45"/>
      <c r="CJ103" s="109">
        <v>-700</v>
      </c>
      <c r="CK103" s="45">
        <f t="shared" si="452"/>
        <v>700</v>
      </c>
      <c r="CL103" s="45">
        <v>4485</v>
      </c>
      <c r="CM103" s="45">
        <f t="shared" si="452"/>
        <v>0</v>
      </c>
      <c r="CN103" s="45">
        <v>0</v>
      </c>
      <c r="CO103" s="45">
        <f t="shared" ref="CO103:CQ103" si="679">IF(CN103&lt;0,-CN103,0)</f>
        <v>0</v>
      </c>
      <c r="CP103" s="45">
        <v>-5000</v>
      </c>
      <c r="CQ103" s="45">
        <f t="shared" si="679"/>
        <v>5000</v>
      </c>
      <c r="CR103" s="45">
        <v>-4643.0898058299999</v>
      </c>
      <c r="CS103" s="45">
        <f t="shared" ref="CS103:CU103" si="680">IF(CR103&lt;0,-CR103,0)</f>
        <v>4643.0898058299999</v>
      </c>
      <c r="CT103" s="45">
        <v>-4000</v>
      </c>
      <c r="CU103" s="45">
        <f t="shared" si="680"/>
        <v>4000</v>
      </c>
      <c r="CV103" s="45">
        <v>0</v>
      </c>
      <c r="CW103" s="45">
        <f t="shared" ref="CW103:CY103" si="681">IF(CV103&lt;0,-CV103,0)</f>
        <v>0</v>
      </c>
      <c r="CX103" s="45">
        <v>12643.174998689999</v>
      </c>
      <c r="CY103" s="45">
        <f t="shared" si="681"/>
        <v>0</v>
      </c>
      <c r="CZ103" s="107">
        <f t="shared" si="456"/>
        <v>14343.089805830001</v>
      </c>
      <c r="DA103" s="45"/>
      <c r="DB103" s="110">
        <v>29841.723999999998</v>
      </c>
      <c r="DC103" s="57">
        <v>1938.106</v>
      </c>
      <c r="DD103" s="61">
        <v>2704.4817649629999</v>
      </c>
      <c r="DE103" s="61">
        <f t="shared" si="457"/>
        <v>34484.311764963</v>
      </c>
      <c r="DF103" s="110">
        <v>7356.6719999999996</v>
      </c>
      <c r="DG103" s="110">
        <v>52869.411</v>
      </c>
      <c r="DH103" s="57">
        <v>6330</v>
      </c>
      <c r="DI103" s="107">
        <f t="shared" si="458"/>
        <v>59199.411</v>
      </c>
      <c r="DJ103" s="45"/>
      <c r="DK103" s="110">
        <v>937.54100000000005</v>
      </c>
      <c r="DL103" s="57">
        <v>10508.77584392489</v>
      </c>
      <c r="DM103" s="57">
        <f t="shared" si="459"/>
        <v>11446.316843924889</v>
      </c>
      <c r="DN103" s="61">
        <v>1260.738922991665</v>
      </c>
      <c r="DO103" s="61">
        <v>2907.686978689203</v>
      </c>
      <c r="DP103" s="61">
        <v>453.44864331000002</v>
      </c>
      <c r="DQ103" s="57">
        <f t="shared" si="460"/>
        <v>3361.1356219992031</v>
      </c>
      <c r="DR103" s="57">
        <v>161.53816548273349</v>
      </c>
      <c r="DS103" s="57">
        <v>161.53816548273349</v>
      </c>
      <c r="DT103" s="5"/>
      <c r="DU103" s="73">
        <v>0</v>
      </c>
      <c r="DV103" s="156">
        <v>6779.6610170000004</v>
      </c>
      <c r="DW103" s="155">
        <v>1447.7400829999999</v>
      </c>
      <c r="DX103" s="155">
        <v>0</v>
      </c>
      <c r="DY103" s="73">
        <v>0</v>
      </c>
      <c r="DZ103" s="156">
        <v>904.29683451999995</v>
      </c>
      <c r="EA103" s="73">
        <v>0</v>
      </c>
      <c r="EB103" s="156">
        <v>1271.1864410000001</v>
      </c>
      <c r="EC103" s="73">
        <v>0</v>
      </c>
      <c r="ED103" s="156">
        <v>847.5</v>
      </c>
      <c r="EE103" s="73">
        <v>0</v>
      </c>
      <c r="EF103" s="156">
        <v>7397.5988710000001</v>
      </c>
      <c r="EG103" s="73">
        <v>0</v>
      </c>
      <c r="EH103" s="156">
        <v>6779.6610170000004</v>
      </c>
      <c r="EI103" s="159">
        <v>904.29683451999995</v>
      </c>
      <c r="EJ103" s="162">
        <v>847.5</v>
      </c>
      <c r="EK103" s="165">
        <v>735.83500000000004</v>
      </c>
      <c r="EL103" s="159">
        <v>453.44864331000002</v>
      </c>
      <c r="EM103" s="159">
        <f t="shared" si="461"/>
        <v>10964.025395000001</v>
      </c>
      <c r="EN103" s="159">
        <f t="shared" si="462"/>
        <v>0</v>
      </c>
      <c r="EP103" s="2">
        <v>20531.867399999999</v>
      </c>
      <c r="EQ103" s="5">
        <f t="shared" si="463"/>
        <v>0.83599999999999997</v>
      </c>
    </row>
    <row r="104" spans="13:147" x14ac:dyDescent="0.35">
      <c r="M104" s="5"/>
      <c r="N104" s="66">
        <f t="shared" si="464"/>
        <v>102</v>
      </c>
      <c r="O104" s="78">
        <v>0</v>
      </c>
      <c r="P104" s="77">
        <f t="shared" si="431"/>
        <v>0</v>
      </c>
      <c r="Q104" s="104">
        <v>0</v>
      </c>
      <c r="R104" s="77">
        <f t="shared" si="432"/>
        <v>0</v>
      </c>
      <c r="S104" s="104">
        <v>0</v>
      </c>
      <c r="T104" s="77">
        <f t="shared" si="433"/>
        <v>0</v>
      </c>
      <c r="U104" s="104">
        <v>0</v>
      </c>
      <c r="V104" s="77">
        <f t="shared" si="646"/>
        <v>0</v>
      </c>
      <c r="W104" s="104">
        <v>0</v>
      </c>
      <c r="X104" s="77">
        <f t="shared" si="647"/>
        <v>0</v>
      </c>
      <c r="Y104" s="104">
        <v>0</v>
      </c>
      <c r="Z104" s="77">
        <f t="shared" si="434"/>
        <v>0</v>
      </c>
      <c r="AA104" s="104">
        <v>0</v>
      </c>
      <c r="AB104" s="77">
        <f t="shared" si="435"/>
        <v>0</v>
      </c>
      <c r="AC104" s="5"/>
      <c r="AD104" s="66">
        <f t="shared" si="465"/>
        <v>102</v>
      </c>
      <c r="AE104" s="78">
        <v>41918.9058</v>
      </c>
      <c r="AF104" s="104">
        <v>2003.3</v>
      </c>
      <c r="AG104" s="78">
        <v>435.5</v>
      </c>
      <c r="AH104" s="61">
        <f t="shared" si="436"/>
        <v>0.47099999999999997</v>
      </c>
      <c r="AI104" s="61">
        <f t="shared" si="437"/>
        <v>0.871</v>
      </c>
      <c r="AJ104" s="61">
        <f t="shared" si="438"/>
        <v>0.871</v>
      </c>
      <c r="AK104" s="77">
        <v>359.822</v>
      </c>
      <c r="AL104" s="104">
        <v>3493.08</v>
      </c>
      <c r="AM104" s="61">
        <f t="shared" si="648"/>
        <v>0.55700000000000005</v>
      </c>
      <c r="AN104" s="57">
        <f t="shared" si="649"/>
        <v>0.3</v>
      </c>
      <c r="AO104" s="78">
        <v>37820.800000000003</v>
      </c>
      <c r="AP104" s="104">
        <v>20986.65</v>
      </c>
      <c r="AQ104" s="61">
        <f t="shared" si="439"/>
        <v>0.84800000000000009</v>
      </c>
      <c r="AR104" s="57">
        <f t="shared" si="440"/>
        <v>0.89400000000000002</v>
      </c>
      <c r="AS104" s="45"/>
      <c r="AT104" s="78">
        <v>980.13900000000001</v>
      </c>
      <c r="AU104" s="77">
        <f t="shared" si="650"/>
        <v>0.39800012994079575</v>
      </c>
      <c r="AV104" s="78">
        <v>932.50099999999998</v>
      </c>
      <c r="AW104" s="77">
        <f t="shared" si="651"/>
        <v>0.58027442439327936</v>
      </c>
      <c r="AX104" s="78">
        <v>1121.4780000000001</v>
      </c>
      <c r="AY104" s="77">
        <f t="shared" si="441"/>
        <v>0.5784392407674851</v>
      </c>
      <c r="AZ104" s="45"/>
      <c r="BA104" s="75">
        <v>52500.305999999997</v>
      </c>
      <c r="BB104" s="77">
        <f t="shared" si="442"/>
        <v>0.75409836065573765</v>
      </c>
      <c r="BC104" s="45"/>
      <c r="BD104" s="105">
        <v>17888.834999999999</v>
      </c>
      <c r="BE104" s="45">
        <v>0</v>
      </c>
      <c r="BF104" s="106">
        <v>0</v>
      </c>
      <c r="BG104" s="107">
        <f t="shared" si="443"/>
        <v>0.54873726993865024</v>
      </c>
      <c r="BH104" s="108">
        <f t="shared" si="444"/>
        <v>0</v>
      </c>
      <c r="BI104" s="106">
        <v>0</v>
      </c>
      <c r="BJ104" s="106">
        <v>0</v>
      </c>
      <c r="BK104" s="106">
        <v>0</v>
      </c>
      <c r="BL104" s="106">
        <v>5048.232</v>
      </c>
      <c r="BM104" s="107">
        <f t="shared" si="445"/>
        <v>0.37455349458376613</v>
      </c>
      <c r="BN104" s="108">
        <f t="shared" si="446"/>
        <v>0</v>
      </c>
      <c r="BO104" s="45">
        <v>7668</v>
      </c>
      <c r="BP104" s="45">
        <v>0</v>
      </c>
      <c r="BQ104" s="45"/>
      <c r="BR104" s="109">
        <v>-700</v>
      </c>
      <c r="BS104" s="45">
        <f t="shared" si="447"/>
        <v>0</v>
      </c>
      <c r="BT104" s="45">
        <v>4485</v>
      </c>
      <c r="BU104" s="45">
        <f t="shared" si="447"/>
        <v>4485</v>
      </c>
      <c r="BV104" s="45">
        <v>0</v>
      </c>
      <c r="BW104" s="45">
        <f t="shared" ref="BW104:BY104" si="682">IF(BV104&gt;0,BV104,0)</f>
        <v>0</v>
      </c>
      <c r="BX104" s="45">
        <v>-4647.6256000000003</v>
      </c>
      <c r="BY104" s="45">
        <f t="shared" si="682"/>
        <v>0</v>
      </c>
      <c r="BZ104" s="45">
        <v>-5300</v>
      </c>
      <c r="CA104" s="45">
        <f t="shared" ref="CA104:CC104" si="683">IF(BZ104&gt;0,BZ104,0)</f>
        <v>0</v>
      </c>
      <c r="CB104" s="45">
        <v>-4000</v>
      </c>
      <c r="CC104" s="45">
        <f t="shared" si="683"/>
        <v>0</v>
      </c>
      <c r="CD104" s="45">
        <v>-2801.43832492</v>
      </c>
      <c r="CE104" s="45">
        <f t="shared" ref="CE104:CG104" si="684">IF(CD104&gt;0,CD104,0)</f>
        <v>0</v>
      </c>
      <c r="CF104" s="45">
        <v>12923.77698248</v>
      </c>
      <c r="CG104" s="45">
        <f t="shared" si="684"/>
        <v>12923.77698248</v>
      </c>
      <c r="CH104" s="107">
        <f t="shared" si="451"/>
        <v>17408.776982479998</v>
      </c>
      <c r="CI104" s="45"/>
      <c r="CJ104" s="109">
        <v>-700</v>
      </c>
      <c r="CK104" s="45">
        <f t="shared" si="452"/>
        <v>700</v>
      </c>
      <c r="CL104" s="45">
        <v>4485</v>
      </c>
      <c r="CM104" s="45">
        <f t="shared" si="452"/>
        <v>0</v>
      </c>
      <c r="CN104" s="45">
        <v>0</v>
      </c>
      <c r="CO104" s="45">
        <f t="shared" ref="CO104:CQ104" si="685">IF(CN104&lt;0,-CN104,0)</f>
        <v>0</v>
      </c>
      <c r="CP104" s="45">
        <v>-4647.6256000000003</v>
      </c>
      <c r="CQ104" s="45">
        <f t="shared" si="685"/>
        <v>4647.6256000000003</v>
      </c>
      <c r="CR104" s="45">
        <v>-5300</v>
      </c>
      <c r="CS104" s="45">
        <f t="shared" ref="CS104:CU104" si="686">IF(CR104&lt;0,-CR104,0)</f>
        <v>5300</v>
      </c>
      <c r="CT104" s="45">
        <v>-4000</v>
      </c>
      <c r="CU104" s="45">
        <f t="shared" si="686"/>
        <v>4000</v>
      </c>
      <c r="CV104" s="45">
        <v>-2801.43832492</v>
      </c>
      <c r="CW104" s="45">
        <f t="shared" ref="CW104:CY104" si="687">IF(CV104&lt;0,-CV104,0)</f>
        <v>2801.43832492</v>
      </c>
      <c r="CX104" s="45">
        <v>12923.77698248</v>
      </c>
      <c r="CY104" s="45">
        <f t="shared" si="687"/>
        <v>0</v>
      </c>
      <c r="CZ104" s="107">
        <f t="shared" si="456"/>
        <v>17449.063924919999</v>
      </c>
      <c r="DA104" s="45"/>
      <c r="DB104" s="110">
        <v>31994.713</v>
      </c>
      <c r="DC104" s="57">
        <v>1947.2539999999999</v>
      </c>
      <c r="DD104" s="61">
        <v>2896.5221770284002</v>
      </c>
      <c r="DE104" s="61">
        <f t="shared" si="457"/>
        <v>36838.489177028394</v>
      </c>
      <c r="DF104" s="110">
        <v>7499.22</v>
      </c>
      <c r="DG104" s="110">
        <v>55407.411</v>
      </c>
      <c r="DH104" s="57">
        <v>6563</v>
      </c>
      <c r="DI104" s="107">
        <f t="shared" si="458"/>
        <v>61970.411</v>
      </c>
      <c r="DJ104" s="45"/>
      <c r="DK104" s="110">
        <v>1095.3810000000001</v>
      </c>
      <c r="DL104" s="57">
        <v>10540.1958456256</v>
      </c>
      <c r="DM104" s="57">
        <f t="shared" si="459"/>
        <v>11635.576845625599</v>
      </c>
      <c r="DN104" s="61">
        <v>1358.695399468565</v>
      </c>
      <c r="DO104" s="61">
        <v>2924.2427275396881</v>
      </c>
      <c r="DP104" s="61">
        <v>436.89289445999998</v>
      </c>
      <c r="DQ104" s="57">
        <f t="shared" si="460"/>
        <v>3361.1356219996878</v>
      </c>
      <c r="DR104" s="57">
        <v>162.45792930776039</v>
      </c>
      <c r="DS104" s="57">
        <v>162.45792930776039</v>
      </c>
      <c r="DT104" s="5"/>
      <c r="DU104" s="73">
        <v>0</v>
      </c>
      <c r="DV104" s="156">
        <v>6779.6610170000004</v>
      </c>
      <c r="DW104" s="155">
        <v>1447.7400829999999</v>
      </c>
      <c r="DX104" s="155">
        <v>0</v>
      </c>
      <c r="DY104" s="73">
        <v>0</v>
      </c>
      <c r="DZ104" s="156">
        <v>903.37707068999998</v>
      </c>
      <c r="EA104" s="73">
        <v>0</v>
      </c>
      <c r="EB104" s="156">
        <v>1271.1864410000001</v>
      </c>
      <c r="EC104" s="73">
        <v>0</v>
      </c>
      <c r="ED104" s="156">
        <v>847.5</v>
      </c>
      <c r="EE104" s="73">
        <v>0</v>
      </c>
      <c r="EF104" s="156">
        <v>7397.5988710000001</v>
      </c>
      <c r="EG104" s="73">
        <v>0</v>
      </c>
      <c r="EH104" s="156">
        <v>6779.6610170000004</v>
      </c>
      <c r="EI104" s="159">
        <v>903.37707068999998</v>
      </c>
      <c r="EJ104" s="162">
        <v>847.5</v>
      </c>
      <c r="EK104" s="165">
        <v>735.83500000000004</v>
      </c>
      <c r="EL104" s="159">
        <v>436.89289445999998</v>
      </c>
      <c r="EM104" s="159">
        <f t="shared" si="461"/>
        <v>10964.025395000001</v>
      </c>
      <c r="EN104" s="159">
        <f t="shared" si="462"/>
        <v>0</v>
      </c>
      <c r="EP104" s="2">
        <v>20998.500749999999</v>
      </c>
      <c r="EQ104" s="5">
        <f t="shared" si="463"/>
        <v>0.85499999999999987</v>
      </c>
    </row>
    <row r="105" spans="13:147" x14ac:dyDescent="0.35">
      <c r="M105" s="5"/>
      <c r="N105" s="66">
        <f t="shared" si="464"/>
        <v>103</v>
      </c>
      <c r="O105" s="78">
        <v>0</v>
      </c>
      <c r="P105" s="77">
        <f t="shared" si="431"/>
        <v>0</v>
      </c>
      <c r="Q105" s="104">
        <v>0</v>
      </c>
      <c r="R105" s="77">
        <f t="shared" si="432"/>
        <v>0</v>
      </c>
      <c r="S105" s="104">
        <v>0</v>
      </c>
      <c r="T105" s="77">
        <f t="shared" si="433"/>
        <v>0</v>
      </c>
      <c r="U105" s="104">
        <v>0</v>
      </c>
      <c r="V105" s="77">
        <f t="shared" si="646"/>
        <v>0</v>
      </c>
      <c r="W105" s="104">
        <v>0</v>
      </c>
      <c r="X105" s="77">
        <f t="shared" si="647"/>
        <v>0</v>
      </c>
      <c r="Y105" s="104">
        <v>0</v>
      </c>
      <c r="Z105" s="77">
        <f t="shared" si="434"/>
        <v>0</v>
      </c>
      <c r="AA105" s="104">
        <v>0</v>
      </c>
      <c r="AB105" s="77">
        <f t="shared" si="435"/>
        <v>0</v>
      </c>
      <c r="AC105" s="5"/>
      <c r="AD105" s="66">
        <f t="shared" si="465"/>
        <v>103</v>
      </c>
      <c r="AE105" s="78">
        <v>44321.900399999999</v>
      </c>
      <c r="AF105" s="104">
        <v>2024</v>
      </c>
      <c r="AG105" s="78">
        <v>440</v>
      </c>
      <c r="AH105" s="61">
        <f t="shared" si="436"/>
        <v>0.49799999999999994</v>
      </c>
      <c r="AI105" s="61">
        <f t="shared" si="437"/>
        <v>0.88</v>
      </c>
      <c r="AJ105" s="61">
        <f t="shared" si="438"/>
        <v>0.88</v>
      </c>
      <c r="AK105" s="77">
        <v>362.40600000000001</v>
      </c>
      <c r="AL105" s="104">
        <v>3411.5747999999999</v>
      </c>
      <c r="AM105" s="61">
        <f t="shared" si="648"/>
        <v>0.56100000000000005</v>
      </c>
      <c r="AN105" s="57">
        <f t="shared" si="649"/>
        <v>0.29299999999999998</v>
      </c>
      <c r="AO105" s="78">
        <v>38133</v>
      </c>
      <c r="AP105" s="104">
        <v>22183.875</v>
      </c>
      <c r="AQ105" s="61">
        <f t="shared" si="439"/>
        <v>0.85499999999999998</v>
      </c>
      <c r="AR105" s="57">
        <f t="shared" si="440"/>
        <v>0.94499999999999995</v>
      </c>
      <c r="AS105" s="45"/>
      <c r="AT105" s="78">
        <v>989.98900000000003</v>
      </c>
      <c r="AU105" s="77">
        <f t="shared" si="650"/>
        <v>0.40199987005920429</v>
      </c>
      <c r="AV105" s="78">
        <v>923.06899999999996</v>
      </c>
      <c r="AW105" s="77">
        <f t="shared" si="651"/>
        <v>0.57440510267579337</v>
      </c>
      <c r="AX105" s="78">
        <v>1121.4780000000001</v>
      </c>
      <c r="AY105" s="77">
        <f t="shared" si="441"/>
        <v>0.5784392407674851</v>
      </c>
      <c r="AZ105" s="45"/>
      <c r="BA105" s="75">
        <v>52500.305999999997</v>
      </c>
      <c r="BB105" s="77">
        <f t="shared" si="442"/>
        <v>0.75409836065573765</v>
      </c>
      <c r="BC105" s="45"/>
      <c r="BD105" s="105">
        <v>18907.48</v>
      </c>
      <c r="BE105" s="45">
        <v>0</v>
      </c>
      <c r="BF105" s="106">
        <v>0</v>
      </c>
      <c r="BG105" s="107">
        <f t="shared" si="443"/>
        <v>0.57998404907975454</v>
      </c>
      <c r="BH105" s="108">
        <f t="shared" si="444"/>
        <v>0</v>
      </c>
      <c r="BI105" s="106">
        <v>0</v>
      </c>
      <c r="BJ105" s="106">
        <v>0</v>
      </c>
      <c r="BK105" s="106">
        <v>0</v>
      </c>
      <c r="BL105" s="106">
        <v>5083.7749999999996</v>
      </c>
      <c r="BM105" s="107">
        <f t="shared" si="445"/>
        <v>0.37719060691497253</v>
      </c>
      <c r="BN105" s="108">
        <f t="shared" si="446"/>
        <v>0</v>
      </c>
      <c r="BO105" s="45">
        <v>7668</v>
      </c>
      <c r="BP105" s="45">
        <v>0</v>
      </c>
      <c r="BQ105" s="45"/>
      <c r="BR105" s="109">
        <v>-700</v>
      </c>
      <c r="BS105" s="45">
        <f t="shared" si="447"/>
        <v>0</v>
      </c>
      <c r="BT105" s="45">
        <v>4485</v>
      </c>
      <c r="BU105" s="45">
        <f t="shared" si="447"/>
        <v>4485</v>
      </c>
      <c r="BV105" s="45">
        <v>0</v>
      </c>
      <c r="BW105" s="45">
        <f t="shared" ref="BW105:BY105" si="688">IF(BV105&gt;0,BV105,0)</f>
        <v>0</v>
      </c>
      <c r="BX105" s="45">
        <v>0</v>
      </c>
      <c r="BY105" s="45">
        <f t="shared" si="688"/>
        <v>0</v>
      </c>
      <c r="BZ105" s="45">
        <v>-3055.5773382500001</v>
      </c>
      <c r="CA105" s="45">
        <f t="shared" ref="CA105:CC105" si="689">IF(BZ105&gt;0,BZ105,0)</f>
        <v>0</v>
      </c>
      <c r="CB105" s="45">
        <v>-4000</v>
      </c>
      <c r="CC105" s="45">
        <f t="shared" si="689"/>
        <v>0</v>
      </c>
      <c r="CD105" s="45">
        <v>-2604.7245862899999</v>
      </c>
      <c r="CE105" s="45">
        <f t="shared" ref="CE105:CG105" si="690">IF(CD105&gt;0,CD105,0)</f>
        <v>0</v>
      </c>
      <c r="CF105" s="45">
        <v>8058.7010439200003</v>
      </c>
      <c r="CG105" s="45">
        <f t="shared" si="690"/>
        <v>8058.7010439200003</v>
      </c>
      <c r="CH105" s="107">
        <f t="shared" si="451"/>
        <v>12543.70104392</v>
      </c>
      <c r="CI105" s="45"/>
      <c r="CJ105" s="109">
        <v>-700</v>
      </c>
      <c r="CK105" s="45">
        <f t="shared" si="452"/>
        <v>700</v>
      </c>
      <c r="CL105" s="45">
        <v>4485</v>
      </c>
      <c r="CM105" s="45">
        <f t="shared" si="452"/>
        <v>0</v>
      </c>
      <c r="CN105" s="45">
        <v>0</v>
      </c>
      <c r="CO105" s="45">
        <f t="shared" ref="CO105:CQ105" si="691">IF(CN105&lt;0,-CN105,0)</f>
        <v>0</v>
      </c>
      <c r="CP105" s="45">
        <v>0</v>
      </c>
      <c r="CQ105" s="45">
        <f t="shared" si="691"/>
        <v>0</v>
      </c>
      <c r="CR105" s="45">
        <v>-3055.5773382500001</v>
      </c>
      <c r="CS105" s="45">
        <f t="shared" ref="CS105:CU105" si="692">IF(CR105&lt;0,-CR105,0)</f>
        <v>3055.5773382500001</v>
      </c>
      <c r="CT105" s="45">
        <v>-4000</v>
      </c>
      <c r="CU105" s="45">
        <f t="shared" si="692"/>
        <v>4000</v>
      </c>
      <c r="CV105" s="45">
        <v>-2604.7245862899999</v>
      </c>
      <c r="CW105" s="45">
        <f t="shared" ref="CW105:CY105" si="693">IF(CV105&lt;0,-CV105,0)</f>
        <v>2604.7245862899999</v>
      </c>
      <c r="CX105" s="45">
        <v>8058.7010439200003</v>
      </c>
      <c r="CY105" s="45">
        <f t="shared" si="693"/>
        <v>0</v>
      </c>
      <c r="CZ105" s="107">
        <f t="shared" si="456"/>
        <v>10360.301924539999</v>
      </c>
      <c r="DA105" s="45"/>
      <c r="DB105" s="110">
        <v>35044.982000000004</v>
      </c>
      <c r="DC105" s="57">
        <v>1986.681</v>
      </c>
      <c r="DD105" s="61">
        <v>3653.3815220483002</v>
      </c>
      <c r="DE105" s="61">
        <f t="shared" si="457"/>
        <v>40685.044522048302</v>
      </c>
      <c r="DF105" s="110">
        <v>7871.585</v>
      </c>
      <c r="DG105" s="110">
        <v>59412.411</v>
      </c>
      <c r="DH105" s="57">
        <v>6482</v>
      </c>
      <c r="DI105" s="107">
        <f t="shared" si="458"/>
        <v>65894.410999999993</v>
      </c>
      <c r="DJ105" s="45"/>
      <c r="DK105" s="110">
        <v>1148.8389999999999</v>
      </c>
      <c r="DL105" s="57">
        <v>10555.905846475949</v>
      </c>
      <c r="DM105" s="57">
        <f t="shared" si="459"/>
        <v>11704.744846475949</v>
      </c>
      <c r="DN105" s="61">
        <v>1456.651875945465</v>
      </c>
      <c r="DO105" s="61">
        <v>2932.5206019649299</v>
      </c>
      <c r="DP105" s="61">
        <v>428.61502003999999</v>
      </c>
      <c r="DQ105" s="57">
        <f t="shared" si="460"/>
        <v>3361.1356220049302</v>
      </c>
      <c r="DR105" s="57">
        <v>162.9178112202739</v>
      </c>
      <c r="DS105" s="57">
        <v>162.9178112202739</v>
      </c>
      <c r="DT105" s="5"/>
      <c r="DU105" s="73">
        <v>0</v>
      </c>
      <c r="DV105" s="156">
        <v>6779.6610170000004</v>
      </c>
      <c r="DW105" s="155">
        <v>1447.7400829999999</v>
      </c>
      <c r="DX105" s="155">
        <v>0</v>
      </c>
      <c r="DY105" s="73">
        <v>0</v>
      </c>
      <c r="DZ105" s="156">
        <v>572.91718877999995</v>
      </c>
      <c r="EA105" s="73">
        <v>0</v>
      </c>
      <c r="EB105" s="156">
        <v>1271.1864410000001</v>
      </c>
      <c r="EC105" s="73">
        <v>0</v>
      </c>
      <c r="ED105" s="156">
        <v>847.5</v>
      </c>
      <c r="EE105" s="73">
        <v>0</v>
      </c>
      <c r="EF105" s="156">
        <v>7397.5988710000001</v>
      </c>
      <c r="EG105" s="73">
        <v>0</v>
      </c>
      <c r="EH105" s="156">
        <v>6779.6610170000004</v>
      </c>
      <c r="EI105" s="159">
        <v>572.91718877999995</v>
      </c>
      <c r="EJ105" s="162">
        <v>847.5</v>
      </c>
      <c r="EK105" s="165">
        <v>735.83500000000004</v>
      </c>
      <c r="EL105" s="159">
        <v>428.61502003999999</v>
      </c>
      <c r="EM105" s="159">
        <f t="shared" si="461"/>
        <v>10964.025395000001</v>
      </c>
      <c r="EN105" s="159">
        <f t="shared" si="462"/>
        <v>0</v>
      </c>
      <c r="EP105" s="2">
        <v>20998.500749999999</v>
      </c>
      <c r="EQ105" s="5">
        <f t="shared" si="463"/>
        <v>0.85499999999999987</v>
      </c>
    </row>
    <row r="106" spans="13:147" x14ac:dyDescent="0.35">
      <c r="M106" s="5"/>
      <c r="N106" s="66">
        <f t="shared" si="464"/>
        <v>104</v>
      </c>
      <c r="O106" s="78">
        <v>0</v>
      </c>
      <c r="P106" s="77">
        <f t="shared" si="431"/>
        <v>0</v>
      </c>
      <c r="Q106" s="104">
        <v>0</v>
      </c>
      <c r="R106" s="77">
        <f t="shared" si="432"/>
        <v>0</v>
      </c>
      <c r="S106" s="104">
        <v>0</v>
      </c>
      <c r="T106" s="77">
        <f t="shared" si="433"/>
        <v>0</v>
      </c>
      <c r="U106" s="104">
        <v>0</v>
      </c>
      <c r="V106" s="77">
        <f t="shared" si="646"/>
        <v>0</v>
      </c>
      <c r="W106" s="104">
        <v>0</v>
      </c>
      <c r="X106" s="77">
        <f t="shared" si="647"/>
        <v>0</v>
      </c>
      <c r="Y106" s="104">
        <v>0</v>
      </c>
      <c r="Z106" s="77">
        <f t="shared" si="434"/>
        <v>0</v>
      </c>
      <c r="AA106" s="104">
        <v>0</v>
      </c>
      <c r="AB106" s="77">
        <f t="shared" si="435"/>
        <v>0</v>
      </c>
      <c r="AC106" s="5"/>
      <c r="AD106" s="66">
        <f t="shared" si="465"/>
        <v>104</v>
      </c>
      <c r="AE106" s="78">
        <v>45745.897199999999</v>
      </c>
      <c r="AF106" s="104">
        <v>2051.6</v>
      </c>
      <c r="AG106" s="78">
        <v>446</v>
      </c>
      <c r="AH106" s="61">
        <f t="shared" si="436"/>
        <v>0.51400000000000001</v>
      </c>
      <c r="AI106" s="61">
        <f t="shared" si="437"/>
        <v>0.89200000000000002</v>
      </c>
      <c r="AJ106" s="61">
        <f t="shared" si="438"/>
        <v>0.89200000000000002</v>
      </c>
      <c r="AK106" s="77">
        <v>347.548</v>
      </c>
      <c r="AL106" s="104">
        <v>3155.4155999999998</v>
      </c>
      <c r="AM106" s="61">
        <f t="shared" si="648"/>
        <v>0.53800000000000003</v>
      </c>
      <c r="AN106" s="57">
        <f t="shared" si="649"/>
        <v>0.27099999999999996</v>
      </c>
      <c r="AO106" s="78">
        <v>38400.6</v>
      </c>
      <c r="AP106" s="104">
        <v>22606.424999999999</v>
      </c>
      <c r="AQ106" s="61">
        <f t="shared" si="439"/>
        <v>0.86099999999999999</v>
      </c>
      <c r="AR106" s="57">
        <f t="shared" si="440"/>
        <v>0.96299999999999997</v>
      </c>
      <c r="AS106" s="45"/>
      <c r="AT106" s="78">
        <v>1007.228</v>
      </c>
      <c r="AU106" s="77">
        <f t="shared" si="650"/>
        <v>0.40900002436389921</v>
      </c>
      <c r="AV106" s="78">
        <v>898.92700000000002</v>
      </c>
      <c r="AW106" s="77">
        <f t="shared" si="651"/>
        <v>0.55938207840696952</v>
      </c>
      <c r="AX106" s="78">
        <v>1121.4780000000001</v>
      </c>
      <c r="AY106" s="77">
        <f t="shared" si="441"/>
        <v>0.5784392407674851</v>
      </c>
      <c r="AZ106" s="45"/>
      <c r="BA106" s="75">
        <v>53641.616999999998</v>
      </c>
      <c r="BB106" s="77">
        <f t="shared" si="442"/>
        <v>0.77049180327868849</v>
      </c>
      <c r="BC106" s="45"/>
      <c r="BD106" s="105">
        <v>19516.260999999999</v>
      </c>
      <c r="BE106" s="45">
        <v>0</v>
      </c>
      <c r="BF106" s="106">
        <v>0</v>
      </c>
      <c r="BG106" s="107">
        <f t="shared" si="443"/>
        <v>0.59865831288343552</v>
      </c>
      <c r="BH106" s="108">
        <f t="shared" si="444"/>
        <v>0</v>
      </c>
      <c r="BI106" s="106">
        <v>0</v>
      </c>
      <c r="BJ106" s="106">
        <v>0</v>
      </c>
      <c r="BK106" s="106">
        <v>0</v>
      </c>
      <c r="BL106" s="106">
        <v>4876.7860000000001</v>
      </c>
      <c r="BM106" s="107">
        <f t="shared" si="445"/>
        <v>0.36183306128505716</v>
      </c>
      <c r="BN106" s="108">
        <f t="shared" si="446"/>
        <v>0</v>
      </c>
      <c r="BO106" s="45">
        <v>7668</v>
      </c>
      <c r="BP106" s="45">
        <v>0</v>
      </c>
      <c r="BQ106" s="45"/>
      <c r="BR106" s="109">
        <v>-700</v>
      </c>
      <c r="BS106" s="45">
        <f t="shared" si="447"/>
        <v>0</v>
      </c>
      <c r="BT106" s="45">
        <v>4485</v>
      </c>
      <c r="BU106" s="45">
        <f t="shared" si="447"/>
        <v>4485</v>
      </c>
      <c r="BV106" s="45">
        <v>0</v>
      </c>
      <c r="BW106" s="45">
        <f t="shared" ref="BW106:BY106" si="694">IF(BV106&gt;0,BV106,0)</f>
        <v>0</v>
      </c>
      <c r="BX106" s="45">
        <v>0</v>
      </c>
      <c r="BY106" s="45">
        <f t="shared" si="694"/>
        <v>0</v>
      </c>
      <c r="BZ106" s="45">
        <v>-4629.9143370299998</v>
      </c>
      <c r="CA106" s="45">
        <f t="shared" ref="CA106:CC106" si="695">IF(BZ106&gt;0,BZ106,0)</f>
        <v>0</v>
      </c>
      <c r="CB106" s="45">
        <v>-4000</v>
      </c>
      <c r="CC106" s="45">
        <f t="shared" si="695"/>
        <v>0</v>
      </c>
      <c r="CD106" s="45">
        <v>0</v>
      </c>
      <c r="CE106" s="45">
        <f t="shared" ref="CE106:CG106" si="696">IF(CD106&gt;0,CD106,0)</f>
        <v>0</v>
      </c>
      <c r="CF106" s="45">
        <v>8768.4675156699996</v>
      </c>
      <c r="CG106" s="45">
        <f t="shared" si="696"/>
        <v>8768.4675156699996</v>
      </c>
      <c r="CH106" s="107">
        <f t="shared" si="451"/>
        <v>13253.46751567</v>
      </c>
      <c r="CI106" s="45"/>
      <c r="CJ106" s="109">
        <v>-700</v>
      </c>
      <c r="CK106" s="45">
        <f t="shared" si="452"/>
        <v>700</v>
      </c>
      <c r="CL106" s="45">
        <v>4485</v>
      </c>
      <c r="CM106" s="45">
        <f t="shared" si="452"/>
        <v>0</v>
      </c>
      <c r="CN106" s="45">
        <v>0</v>
      </c>
      <c r="CO106" s="45">
        <f t="shared" ref="CO106:CQ106" si="697">IF(CN106&lt;0,-CN106,0)</f>
        <v>0</v>
      </c>
      <c r="CP106" s="45">
        <v>0</v>
      </c>
      <c r="CQ106" s="45">
        <f t="shared" si="697"/>
        <v>0</v>
      </c>
      <c r="CR106" s="45">
        <v>-4629.9143370299998</v>
      </c>
      <c r="CS106" s="45">
        <f t="shared" ref="CS106:CU106" si="698">IF(CR106&lt;0,-CR106,0)</f>
        <v>4629.9143370299998</v>
      </c>
      <c r="CT106" s="45">
        <v>-4000</v>
      </c>
      <c r="CU106" s="45">
        <f t="shared" si="698"/>
        <v>4000</v>
      </c>
      <c r="CV106" s="45">
        <v>0</v>
      </c>
      <c r="CW106" s="45">
        <f t="shared" ref="CW106:CY106" si="699">IF(CV106&lt;0,-CV106,0)</f>
        <v>0</v>
      </c>
      <c r="CX106" s="45">
        <v>8768.4675156699996</v>
      </c>
      <c r="CY106" s="45">
        <f t="shared" si="699"/>
        <v>0</v>
      </c>
      <c r="CZ106" s="107">
        <f t="shared" si="456"/>
        <v>9329.9143370300008</v>
      </c>
      <c r="DA106" s="45"/>
      <c r="DB106" s="110">
        <v>37769.040999999997</v>
      </c>
      <c r="DC106" s="57">
        <v>2045.454</v>
      </c>
      <c r="DD106" s="61">
        <v>4060.6025534678001</v>
      </c>
      <c r="DE106" s="61">
        <f t="shared" si="457"/>
        <v>43875.097553467793</v>
      </c>
      <c r="DF106" s="110">
        <v>8419.3709999999992</v>
      </c>
      <c r="DG106" s="110">
        <v>61886.411</v>
      </c>
      <c r="DH106" s="57">
        <v>6979</v>
      </c>
      <c r="DI106" s="107">
        <f t="shared" si="458"/>
        <v>68865.410999999993</v>
      </c>
      <c r="DJ106" s="45"/>
      <c r="DK106" s="110">
        <v>1123.682</v>
      </c>
      <c r="DL106" s="57">
        <v>10571.615847326309</v>
      </c>
      <c r="DM106" s="57">
        <f t="shared" si="459"/>
        <v>11695.29784732631</v>
      </c>
      <c r="DN106" s="61">
        <v>1549.452748397264</v>
      </c>
      <c r="DO106" s="61">
        <v>2940.7984763901732</v>
      </c>
      <c r="DP106" s="61">
        <v>420.33714560999999</v>
      </c>
      <c r="DQ106" s="57">
        <f t="shared" si="460"/>
        <v>3361.135622000173</v>
      </c>
      <c r="DR106" s="57">
        <v>163.37769313278741</v>
      </c>
      <c r="DS106" s="57">
        <v>163.37769313278741</v>
      </c>
      <c r="DT106" s="5"/>
      <c r="DU106" s="73">
        <v>0</v>
      </c>
      <c r="DV106" s="156">
        <v>6779.6610170000004</v>
      </c>
      <c r="DW106" s="155">
        <v>1447.7400829999999</v>
      </c>
      <c r="DX106" s="155">
        <v>0</v>
      </c>
      <c r="DY106" s="73">
        <v>0</v>
      </c>
      <c r="DZ106" s="156">
        <v>572.45730687000002</v>
      </c>
      <c r="EA106" s="73">
        <v>0</v>
      </c>
      <c r="EB106" s="156">
        <v>1271.1864410000001</v>
      </c>
      <c r="EC106" s="73">
        <v>0</v>
      </c>
      <c r="ED106" s="156">
        <v>847.5</v>
      </c>
      <c r="EE106" s="73">
        <v>0</v>
      </c>
      <c r="EF106" s="156">
        <v>7397.5988710000001</v>
      </c>
      <c r="EG106" s="73">
        <v>0</v>
      </c>
      <c r="EH106" s="156">
        <v>6779.6610170000004</v>
      </c>
      <c r="EI106" s="159">
        <v>572.45730687000002</v>
      </c>
      <c r="EJ106" s="162">
        <v>847.5</v>
      </c>
      <c r="EK106" s="165">
        <v>735.83500000000004</v>
      </c>
      <c r="EL106" s="159">
        <v>420.33714560999999</v>
      </c>
      <c r="EM106" s="159">
        <f t="shared" si="461"/>
        <v>10964.025395000001</v>
      </c>
      <c r="EN106" s="159">
        <f t="shared" si="462"/>
        <v>0</v>
      </c>
      <c r="EP106" s="2">
        <v>21465.134099999999</v>
      </c>
      <c r="EQ106" s="5">
        <f t="shared" si="463"/>
        <v>0.87399999999999989</v>
      </c>
    </row>
    <row r="107" spans="13:147" x14ac:dyDescent="0.35">
      <c r="M107" s="5"/>
      <c r="N107" s="66">
        <f t="shared" si="464"/>
        <v>105</v>
      </c>
      <c r="O107" s="78">
        <v>0</v>
      </c>
      <c r="P107" s="77">
        <f t="shared" si="431"/>
        <v>0</v>
      </c>
      <c r="Q107" s="104">
        <v>0</v>
      </c>
      <c r="R107" s="77">
        <f t="shared" si="432"/>
        <v>0</v>
      </c>
      <c r="S107" s="104">
        <v>0</v>
      </c>
      <c r="T107" s="77">
        <f t="shared" si="433"/>
        <v>0</v>
      </c>
      <c r="U107" s="104">
        <v>0</v>
      </c>
      <c r="V107" s="77">
        <f t="shared" si="646"/>
        <v>0</v>
      </c>
      <c r="W107" s="104">
        <v>0</v>
      </c>
      <c r="X107" s="77">
        <f t="shared" si="647"/>
        <v>0</v>
      </c>
      <c r="Y107" s="104">
        <v>0</v>
      </c>
      <c r="Z107" s="77">
        <f t="shared" si="434"/>
        <v>0</v>
      </c>
      <c r="AA107" s="104">
        <v>0</v>
      </c>
      <c r="AB107" s="77">
        <f t="shared" si="435"/>
        <v>0</v>
      </c>
      <c r="AC107" s="5"/>
      <c r="AD107" s="66">
        <f t="shared" si="465"/>
        <v>105</v>
      </c>
      <c r="AE107" s="78">
        <v>48326.8914</v>
      </c>
      <c r="AF107" s="104">
        <v>2081.5</v>
      </c>
      <c r="AG107" s="78">
        <v>452.5</v>
      </c>
      <c r="AH107" s="61">
        <f t="shared" si="436"/>
        <v>0.54300000000000004</v>
      </c>
      <c r="AI107" s="61">
        <f t="shared" si="437"/>
        <v>0.90500000000000003</v>
      </c>
      <c r="AJ107" s="61">
        <f t="shared" si="438"/>
        <v>0.90500000000000003</v>
      </c>
      <c r="AK107" s="77">
        <v>323.64600000000002</v>
      </c>
      <c r="AL107" s="104">
        <v>3225.2772</v>
      </c>
      <c r="AM107" s="61">
        <f t="shared" si="648"/>
        <v>0.501</v>
      </c>
      <c r="AN107" s="57">
        <f t="shared" si="649"/>
        <v>0.27699999999999997</v>
      </c>
      <c r="AO107" s="78">
        <v>38311.4</v>
      </c>
      <c r="AP107" s="104">
        <v>22676.85</v>
      </c>
      <c r="AQ107" s="61">
        <f t="shared" si="439"/>
        <v>0.85899999999999999</v>
      </c>
      <c r="AR107" s="57">
        <f t="shared" si="440"/>
        <v>0.96599999999999997</v>
      </c>
      <c r="AS107" s="45"/>
      <c r="AT107" s="78">
        <v>1036.78</v>
      </c>
      <c r="AU107" s="77">
        <f t="shared" si="650"/>
        <v>0.42100005684909814</v>
      </c>
      <c r="AV107" s="78">
        <v>872.68399999999997</v>
      </c>
      <c r="AW107" s="77">
        <f t="shared" si="651"/>
        <v>0.54305164903546976</v>
      </c>
      <c r="AX107" s="78">
        <v>1121.4780000000001</v>
      </c>
      <c r="AY107" s="77">
        <f t="shared" si="441"/>
        <v>0.5784392407674851</v>
      </c>
      <c r="AZ107" s="45"/>
      <c r="BA107" s="75">
        <v>53641.616999999998</v>
      </c>
      <c r="BB107" s="77">
        <f t="shared" si="442"/>
        <v>0.77049180327868849</v>
      </c>
      <c r="BC107" s="45"/>
      <c r="BD107" s="105">
        <v>20735.523000000001</v>
      </c>
      <c r="BE107" s="45">
        <v>0</v>
      </c>
      <c r="BF107" s="106">
        <v>0</v>
      </c>
      <c r="BG107" s="107">
        <f t="shared" si="443"/>
        <v>0.63605898773006142</v>
      </c>
      <c r="BH107" s="108">
        <f t="shared" si="444"/>
        <v>0</v>
      </c>
      <c r="BI107" s="106">
        <v>0</v>
      </c>
      <c r="BJ107" s="106">
        <v>0</v>
      </c>
      <c r="BK107" s="106">
        <v>0</v>
      </c>
      <c r="BL107" s="106">
        <v>4541.4520000000002</v>
      </c>
      <c r="BM107" s="107">
        <f t="shared" si="445"/>
        <v>0.33695296037987832</v>
      </c>
      <c r="BN107" s="108">
        <f t="shared" si="446"/>
        <v>0</v>
      </c>
      <c r="BO107" s="45">
        <v>7668</v>
      </c>
      <c r="BP107" s="45">
        <v>0</v>
      </c>
      <c r="BQ107" s="45"/>
      <c r="BR107" s="109">
        <v>-700</v>
      </c>
      <c r="BS107" s="45">
        <f t="shared" si="447"/>
        <v>0</v>
      </c>
      <c r="BT107" s="45">
        <v>4485</v>
      </c>
      <c r="BU107" s="45">
        <f t="shared" si="447"/>
        <v>4485</v>
      </c>
      <c r="BV107" s="45">
        <v>0</v>
      </c>
      <c r="BW107" s="45">
        <f t="shared" ref="BW107:BY107" si="700">IF(BV107&gt;0,BV107,0)</f>
        <v>0</v>
      </c>
      <c r="BX107" s="45">
        <v>0</v>
      </c>
      <c r="BY107" s="45">
        <f t="shared" si="700"/>
        <v>0</v>
      </c>
      <c r="BZ107" s="45">
        <v>-5300</v>
      </c>
      <c r="CA107" s="45">
        <f t="shared" ref="CA107:CC107" si="701">IF(BZ107&gt;0,BZ107,0)</f>
        <v>0</v>
      </c>
      <c r="CB107" s="45">
        <v>-4000</v>
      </c>
      <c r="CC107" s="45">
        <f t="shared" si="701"/>
        <v>0</v>
      </c>
      <c r="CD107" s="45">
        <v>0</v>
      </c>
      <c r="CE107" s="45">
        <f t="shared" ref="CE107:CG107" si="702">IF(CD107&gt;0,CD107,0)</f>
        <v>0</v>
      </c>
      <c r="CF107" s="45">
        <v>10478.048830600001</v>
      </c>
      <c r="CG107" s="45">
        <f t="shared" si="702"/>
        <v>10478.048830600001</v>
      </c>
      <c r="CH107" s="107">
        <f t="shared" si="451"/>
        <v>14963.048830600001</v>
      </c>
      <c r="CI107" s="45"/>
      <c r="CJ107" s="109">
        <v>-700</v>
      </c>
      <c r="CK107" s="45">
        <f t="shared" si="452"/>
        <v>700</v>
      </c>
      <c r="CL107" s="45">
        <v>4485</v>
      </c>
      <c r="CM107" s="45">
        <f t="shared" si="452"/>
        <v>0</v>
      </c>
      <c r="CN107" s="45">
        <v>0</v>
      </c>
      <c r="CO107" s="45">
        <f t="shared" ref="CO107:CQ107" si="703">IF(CN107&lt;0,-CN107,0)</f>
        <v>0</v>
      </c>
      <c r="CP107" s="45">
        <v>0</v>
      </c>
      <c r="CQ107" s="45">
        <f t="shared" si="703"/>
        <v>0</v>
      </c>
      <c r="CR107" s="45">
        <v>-5300</v>
      </c>
      <c r="CS107" s="45">
        <f t="shared" ref="CS107:CU107" si="704">IF(CR107&lt;0,-CR107,0)</f>
        <v>5300</v>
      </c>
      <c r="CT107" s="45">
        <v>-4000</v>
      </c>
      <c r="CU107" s="45">
        <f t="shared" si="704"/>
        <v>4000</v>
      </c>
      <c r="CV107" s="45">
        <v>0</v>
      </c>
      <c r="CW107" s="45">
        <f t="shared" ref="CW107:CY107" si="705">IF(CV107&lt;0,-CV107,0)</f>
        <v>0</v>
      </c>
      <c r="CX107" s="45">
        <v>10478.048830600001</v>
      </c>
      <c r="CY107" s="45">
        <f t="shared" si="705"/>
        <v>0</v>
      </c>
      <c r="CZ107" s="107">
        <f t="shared" si="456"/>
        <v>10000</v>
      </c>
      <c r="DA107" s="45"/>
      <c r="DB107" s="110">
        <v>39568.949999999997</v>
      </c>
      <c r="DC107" s="57">
        <v>2072.2359999999999</v>
      </c>
      <c r="DD107" s="61">
        <v>3896.9106042948001</v>
      </c>
      <c r="DE107" s="61">
        <f t="shared" si="457"/>
        <v>45538.096604294791</v>
      </c>
      <c r="DF107" s="110">
        <v>8942.4040000000005</v>
      </c>
      <c r="DG107" s="110">
        <v>61621.411</v>
      </c>
      <c r="DH107" s="57">
        <v>8254</v>
      </c>
      <c r="DI107" s="107">
        <f t="shared" si="458"/>
        <v>69875.410999999993</v>
      </c>
      <c r="DJ107" s="45"/>
      <c r="DK107" s="110">
        <v>1058.683</v>
      </c>
      <c r="DL107" s="57">
        <v>10571.615847326309</v>
      </c>
      <c r="DM107" s="57">
        <f t="shared" si="459"/>
        <v>11630.29884732631</v>
      </c>
      <c r="DN107" s="61">
        <v>1647.409224874164</v>
      </c>
      <c r="DO107" s="61">
        <v>2940.7984763901732</v>
      </c>
      <c r="DP107" s="61">
        <v>420.33714560999999</v>
      </c>
      <c r="DQ107" s="57">
        <f t="shared" si="460"/>
        <v>3361.135622000173</v>
      </c>
      <c r="DR107" s="57">
        <v>163.37769313278741</v>
      </c>
      <c r="DS107" s="57">
        <v>163.37769313278741</v>
      </c>
      <c r="DT107" s="5"/>
      <c r="DU107" s="73">
        <v>0</v>
      </c>
      <c r="DV107" s="156">
        <v>6779.6610170000004</v>
      </c>
      <c r="DW107" s="155">
        <v>1447.7400829999999</v>
      </c>
      <c r="DX107" s="155">
        <v>0</v>
      </c>
      <c r="DY107" s="73">
        <v>0</v>
      </c>
      <c r="DZ107" s="156">
        <v>572.45730687000002</v>
      </c>
      <c r="EA107" s="73">
        <v>0</v>
      </c>
      <c r="EB107" s="156">
        <v>1271.1864410000001</v>
      </c>
      <c r="EC107" s="73">
        <v>0</v>
      </c>
      <c r="ED107" s="156">
        <v>847.5</v>
      </c>
      <c r="EE107" s="73">
        <v>0</v>
      </c>
      <c r="EF107" s="156">
        <v>7397.5988710000001</v>
      </c>
      <c r="EG107" s="73">
        <v>0</v>
      </c>
      <c r="EH107" s="156">
        <v>6779.6610170000004</v>
      </c>
      <c r="EI107" s="159">
        <v>572.45730687000002</v>
      </c>
      <c r="EJ107" s="162">
        <v>847.5</v>
      </c>
      <c r="EK107" s="165">
        <v>735.83500000000004</v>
      </c>
      <c r="EL107" s="159">
        <v>420.33714560999999</v>
      </c>
      <c r="EM107" s="159">
        <f t="shared" si="461"/>
        <v>10964.025395000001</v>
      </c>
      <c r="EN107" s="159">
        <f t="shared" si="462"/>
        <v>0</v>
      </c>
      <c r="EP107" s="2">
        <v>21465.134099999999</v>
      </c>
      <c r="EQ107" s="5">
        <f t="shared" si="463"/>
        <v>0.87399999999999989</v>
      </c>
    </row>
    <row r="108" spans="13:147" x14ac:dyDescent="0.35">
      <c r="M108" s="5"/>
      <c r="N108" s="66">
        <f t="shared" si="464"/>
        <v>106</v>
      </c>
      <c r="O108" s="78">
        <v>5229</v>
      </c>
      <c r="P108" s="77">
        <f t="shared" si="431"/>
        <v>6.3E-2</v>
      </c>
      <c r="Q108" s="104">
        <v>91.295000000000002</v>
      </c>
      <c r="R108" s="77">
        <f t="shared" si="432"/>
        <v>1.9E-2</v>
      </c>
      <c r="S108" s="104">
        <v>2160</v>
      </c>
      <c r="T108" s="77">
        <f t="shared" si="433"/>
        <v>7.1999999999999995E-2</v>
      </c>
      <c r="U108" s="104">
        <v>690.15359999999998</v>
      </c>
      <c r="V108" s="77">
        <f t="shared" si="646"/>
        <v>4.7999999999999994E-2</v>
      </c>
      <c r="W108" s="104">
        <v>299.45690000000002</v>
      </c>
      <c r="X108" s="77">
        <f t="shared" si="647"/>
        <v>3.1000000000000003E-2</v>
      </c>
      <c r="Y108" s="104">
        <v>2159.64</v>
      </c>
      <c r="Z108" s="77">
        <f t="shared" si="434"/>
        <v>4.1999999999999996E-2</v>
      </c>
      <c r="AA108" s="104">
        <v>1806.5111999999999</v>
      </c>
      <c r="AB108" s="77">
        <f t="shared" si="435"/>
        <v>3.8999999999999993E-2</v>
      </c>
      <c r="AC108" s="5"/>
      <c r="AD108" s="66">
        <f t="shared" si="465"/>
        <v>106</v>
      </c>
      <c r="AE108" s="78">
        <v>51263.8848</v>
      </c>
      <c r="AF108" s="104">
        <v>2093</v>
      </c>
      <c r="AG108" s="78">
        <v>455</v>
      </c>
      <c r="AH108" s="61">
        <f t="shared" si="436"/>
        <v>0.57599999999999996</v>
      </c>
      <c r="AI108" s="61">
        <f t="shared" si="437"/>
        <v>0.91</v>
      </c>
      <c r="AJ108" s="61">
        <f t="shared" si="438"/>
        <v>0.91</v>
      </c>
      <c r="AK108" s="77">
        <v>303.62</v>
      </c>
      <c r="AL108" s="104">
        <v>3621.1596</v>
      </c>
      <c r="AM108" s="61">
        <f t="shared" si="648"/>
        <v>0.47000000000000003</v>
      </c>
      <c r="AN108" s="57">
        <f t="shared" si="649"/>
        <v>0.311</v>
      </c>
      <c r="AO108" s="78">
        <v>38043.800000000003</v>
      </c>
      <c r="AP108" s="104">
        <v>22676.85</v>
      </c>
      <c r="AQ108" s="61">
        <f t="shared" si="439"/>
        <v>0.85300000000000009</v>
      </c>
      <c r="AR108" s="57">
        <f t="shared" si="440"/>
        <v>0.96599999999999997</v>
      </c>
      <c r="AS108" s="45"/>
      <c r="AT108" s="78">
        <v>1051.556</v>
      </c>
      <c r="AU108" s="77">
        <f t="shared" si="650"/>
        <v>0.42700007309169763</v>
      </c>
      <c r="AV108" s="78">
        <v>872.47699999999998</v>
      </c>
      <c r="AW108" s="77">
        <f t="shared" si="651"/>
        <v>0.54292283758556314</v>
      </c>
      <c r="AX108" s="78">
        <v>1121.4780000000001</v>
      </c>
      <c r="AY108" s="77">
        <f t="shared" si="441"/>
        <v>0.5784392407674851</v>
      </c>
      <c r="AZ108" s="45"/>
      <c r="BA108" s="75">
        <v>53641.616999999998</v>
      </c>
      <c r="BB108" s="77">
        <f t="shared" si="442"/>
        <v>0.77049180327868849</v>
      </c>
      <c r="BC108" s="45"/>
      <c r="BD108" s="105">
        <v>24436.131000000001</v>
      </c>
      <c r="BE108" s="45">
        <v>0</v>
      </c>
      <c r="BF108" s="106">
        <v>0</v>
      </c>
      <c r="BG108" s="107">
        <f t="shared" si="443"/>
        <v>0.74957457055214727</v>
      </c>
      <c r="BH108" s="108">
        <f t="shared" si="444"/>
        <v>0</v>
      </c>
      <c r="BI108" s="106">
        <v>0</v>
      </c>
      <c r="BJ108" s="106">
        <v>0</v>
      </c>
      <c r="BK108" s="106">
        <v>0</v>
      </c>
      <c r="BL108" s="106">
        <v>4747.5469999999996</v>
      </c>
      <c r="BM108" s="107">
        <f t="shared" si="445"/>
        <v>0.35224417569372307</v>
      </c>
      <c r="BN108" s="108">
        <f t="shared" si="446"/>
        <v>0</v>
      </c>
      <c r="BO108" s="45">
        <v>7668</v>
      </c>
      <c r="BP108" s="45">
        <v>0</v>
      </c>
      <c r="BQ108" s="45"/>
      <c r="BR108" s="109">
        <v>-700</v>
      </c>
      <c r="BS108" s="45">
        <f t="shared" si="447"/>
        <v>0</v>
      </c>
      <c r="BT108" s="45">
        <v>4485</v>
      </c>
      <c r="BU108" s="45">
        <f t="shared" si="447"/>
        <v>4485</v>
      </c>
      <c r="BV108" s="45">
        <v>0</v>
      </c>
      <c r="BW108" s="45">
        <f t="shared" ref="BW108:BY108" si="706">IF(BV108&gt;0,BV108,0)</f>
        <v>0</v>
      </c>
      <c r="BX108" s="45">
        <v>0</v>
      </c>
      <c r="BY108" s="45">
        <f t="shared" si="706"/>
        <v>0</v>
      </c>
      <c r="BZ108" s="45">
        <v>-5300</v>
      </c>
      <c r="CA108" s="45">
        <f t="shared" ref="CA108:CC108" si="707">IF(BZ108&gt;0,BZ108,0)</f>
        <v>0</v>
      </c>
      <c r="CB108" s="45">
        <v>-4000</v>
      </c>
      <c r="CC108" s="45">
        <f t="shared" si="707"/>
        <v>0</v>
      </c>
      <c r="CD108" s="45">
        <v>4800</v>
      </c>
      <c r="CE108" s="45">
        <f t="shared" ref="CE108:CG108" si="708">IF(CD108&gt;0,CD108,0)</f>
        <v>4800</v>
      </c>
      <c r="CF108" s="45">
        <v>14352.93523789</v>
      </c>
      <c r="CG108" s="45">
        <f t="shared" si="708"/>
        <v>14352.93523789</v>
      </c>
      <c r="CH108" s="107">
        <f t="shared" si="451"/>
        <v>23637.93523789</v>
      </c>
      <c r="CI108" s="45"/>
      <c r="CJ108" s="109">
        <v>-700</v>
      </c>
      <c r="CK108" s="45">
        <f t="shared" si="452"/>
        <v>700</v>
      </c>
      <c r="CL108" s="45">
        <v>4485</v>
      </c>
      <c r="CM108" s="45">
        <f t="shared" si="452"/>
        <v>0</v>
      </c>
      <c r="CN108" s="45">
        <v>0</v>
      </c>
      <c r="CO108" s="45">
        <f t="shared" ref="CO108:CQ108" si="709">IF(CN108&lt;0,-CN108,0)</f>
        <v>0</v>
      </c>
      <c r="CP108" s="45">
        <v>0</v>
      </c>
      <c r="CQ108" s="45">
        <f t="shared" si="709"/>
        <v>0</v>
      </c>
      <c r="CR108" s="45">
        <v>-5300</v>
      </c>
      <c r="CS108" s="45">
        <f t="shared" ref="CS108:CU108" si="710">IF(CR108&lt;0,-CR108,0)</f>
        <v>5300</v>
      </c>
      <c r="CT108" s="45">
        <v>-4000</v>
      </c>
      <c r="CU108" s="45">
        <f t="shared" si="710"/>
        <v>4000</v>
      </c>
      <c r="CV108" s="45">
        <v>4800</v>
      </c>
      <c r="CW108" s="45">
        <f t="shared" ref="CW108:CY108" si="711">IF(CV108&lt;0,-CV108,0)</f>
        <v>0</v>
      </c>
      <c r="CX108" s="45">
        <v>14352.93523789</v>
      </c>
      <c r="CY108" s="45">
        <f t="shared" si="711"/>
        <v>0</v>
      </c>
      <c r="CZ108" s="107">
        <f t="shared" si="456"/>
        <v>10000</v>
      </c>
      <c r="DA108" s="45"/>
      <c r="DB108" s="110">
        <v>41052.080999999998</v>
      </c>
      <c r="DC108" s="57">
        <v>1901.2840000000001</v>
      </c>
      <c r="DD108" s="61">
        <v>2410.8053042069</v>
      </c>
      <c r="DE108" s="61">
        <f t="shared" si="457"/>
        <v>45364.170304206898</v>
      </c>
      <c r="DF108" s="110">
        <v>9550.4279999999999</v>
      </c>
      <c r="DG108" s="110">
        <v>61135.411</v>
      </c>
      <c r="DH108" s="57">
        <v>9421</v>
      </c>
      <c r="DI108" s="107">
        <f t="shared" si="458"/>
        <v>70556.410999999993</v>
      </c>
      <c r="DJ108" s="45"/>
      <c r="DK108" s="110">
        <v>991.70399999999995</v>
      </c>
      <c r="DL108" s="57">
        <v>10571.615847326309</v>
      </c>
      <c r="DM108" s="57">
        <f t="shared" si="459"/>
        <v>11563.319847326309</v>
      </c>
      <c r="DN108" s="61">
        <v>1647.409224874164</v>
      </c>
      <c r="DO108" s="61">
        <v>2940.7984763901732</v>
      </c>
      <c r="DP108" s="61">
        <v>420.33714560999999</v>
      </c>
      <c r="DQ108" s="57">
        <f t="shared" si="460"/>
        <v>3361.135622000173</v>
      </c>
      <c r="DR108" s="57">
        <v>163.37769313278741</v>
      </c>
      <c r="DS108" s="57">
        <v>163.37769313278741</v>
      </c>
      <c r="DT108" s="5"/>
      <c r="DU108" s="73">
        <v>0</v>
      </c>
      <c r="DV108" s="156">
        <v>6779.6610170000004</v>
      </c>
      <c r="DW108" s="155">
        <v>1447.7400829999999</v>
      </c>
      <c r="DX108" s="155">
        <v>0</v>
      </c>
      <c r="DY108" s="73">
        <v>0</v>
      </c>
      <c r="DZ108" s="156">
        <v>242.45730687</v>
      </c>
      <c r="EA108" s="73">
        <v>0</v>
      </c>
      <c r="EB108" s="156">
        <v>1271.1864410000001</v>
      </c>
      <c r="EC108" s="73">
        <v>0</v>
      </c>
      <c r="ED108" s="156">
        <v>847.5</v>
      </c>
      <c r="EE108" s="73">
        <v>0</v>
      </c>
      <c r="EF108" s="156">
        <v>7397.5988710000001</v>
      </c>
      <c r="EG108" s="73">
        <v>0</v>
      </c>
      <c r="EH108" s="156">
        <v>6779.6610170000004</v>
      </c>
      <c r="EI108" s="159">
        <v>242.45730687</v>
      </c>
      <c r="EJ108" s="162">
        <v>847.5</v>
      </c>
      <c r="EK108" s="165">
        <v>735.83500000000004</v>
      </c>
      <c r="EL108" s="159">
        <v>420.33714560999999</v>
      </c>
      <c r="EM108" s="159">
        <f t="shared" si="461"/>
        <v>10964.025395000001</v>
      </c>
      <c r="EN108" s="159">
        <f t="shared" si="462"/>
        <v>0</v>
      </c>
      <c r="EP108" s="2">
        <v>21465.134099999999</v>
      </c>
      <c r="EQ108" s="5">
        <f t="shared" si="463"/>
        <v>0.87399999999999989</v>
      </c>
    </row>
    <row r="109" spans="13:147" x14ac:dyDescent="0.35">
      <c r="M109" s="5"/>
      <c r="N109" s="66">
        <f t="shared" si="464"/>
        <v>107</v>
      </c>
      <c r="O109" s="78">
        <v>15521</v>
      </c>
      <c r="P109" s="77">
        <f t="shared" si="431"/>
        <v>0.187</v>
      </c>
      <c r="Q109" s="104">
        <v>240.25</v>
      </c>
      <c r="R109" s="77">
        <f t="shared" si="432"/>
        <v>0.05</v>
      </c>
      <c r="S109" s="104">
        <v>5880</v>
      </c>
      <c r="T109" s="77">
        <f t="shared" si="433"/>
        <v>0.19600000000000001</v>
      </c>
      <c r="U109" s="104">
        <v>2803.7489999999998</v>
      </c>
      <c r="V109" s="77">
        <f t="shared" si="646"/>
        <v>0.19499999999999998</v>
      </c>
      <c r="W109" s="104">
        <v>1207.4875</v>
      </c>
      <c r="X109" s="77">
        <f t="shared" si="647"/>
        <v>0.125</v>
      </c>
      <c r="Y109" s="104">
        <v>6581.76</v>
      </c>
      <c r="Z109" s="77">
        <f t="shared" si="434"/>
        <v>0.128</v>
      </c>
      <c r="AA109" s="104">
        <v>5234.2503999999999</v>
      </c>
      <c r="AB109" s="77">
        <f t="shared" si="435"/>
        <v>0.11299999999999999</v>
      </c>
      <c r="AC109" s="5"/>
      <c r="AD109" s="66">
        <f t="shared" si="465"/>
        <v>107</v>
      </c>
      <c r="AE109" s="78">
        <v>54823.876799999998</v>
      </c>
      <c r="AF109" s="104">
        <v>2079.1999999999998</v>
      </c>
      <c r="AG109" s="78">
        <v>452</v>
      </c>
      <c r="AH109" s="61">
        <f t="shared" si="436"/>
        <v>0.61599999999999999</v>
      </c>
      <c r="AI109" s="61">
        <f t="shared" si="437"/>
        <v>0.90399999999999991</v>
      </c>
      <c r="AJ109" s="61">
        <f t="shared" si="438"/>
        <v>0.90400000000000003</v>
      </c>
      <c r="AK109" s="77">
        <v>281.01</v>
      </c>
      <c r="AL109" s="104">
        <v>4249.9139999999998</v>
      </c>
      <c r="AM109" s="61">
        <f t="shared" si="648"/>
        <v>0.435</v>
      </c>
      <c r="AN109" s="57">
        <f t="shared" si="649"/>
        <v>0.36499999999999999</v>
      </c>
      <c r="AO109" s="78">
        <v>38400.6</v>
      </c>
      <c r="AP109" s="104">
        <v>22676.85</v>
      </c>
      <c r="AQ109" s="61">
        <f t="shared" si="439"/>
        <v>0.86099999999999999</v>
      </c>
      <c r="AR109" s="57">
        <f t="shared" si="440"/>
        <v>0.96599999999999997</v>
      </c>
      <c r="AS109" s="45"/>
      <c r="AT109" s="78">
        <v>1014.616</v>
      </c>
      <c r="AU109" s="77">
        <f t="shared" si="650"/>
        <v>0.41200003248519895</v>
      </c>
      <c r="AV109" s="78">
        <v>876.93899999999996</v>
      </c>
      <c r="AW109" s="77">
        <f t="shared" si="651"/>
        <v>0.54569943995021775</v>
      </c>
      <c r="AX109" s="78">
        <v>1121.4780000000001</v>
      </c>
      <c r="AY109" s="77">
        <f t="shared" si="441"/>
        <v>0.5784392407674851</v>
      </c>
      <c r="AZ109" s="45"/>
      <c r="BA109" s="75">
        <v>53641.616999999998</v>
      </c>
      <c r="BB109" s="77">
        <f t="shared" si="442"/>
        <v>0.77049180327868849</v>
      </c>
      <c r="BC109" s="45"/>
      <c r="BD109" s="105">
        <v>30666.416000000001</v>
      </c>
      <c r="BE109" s="45">
        <v>0</v>
      </c>
      <c r="BF109" s="106">
        <v>0</v>
      </c>
      <c r="BG109" s="107">
        <f t="shared" si="443"/>
        <v>0.94068760736196322</v>
      </c>
      <c r="BH109" s="108">
        <f t="shared" si="444"/>
        <v>0</v>
      </c>
      <c r="BI109" s="106">
        <v>0</v>
      </c>
      <c r="BJ109" s="106">
        <v>0</v>
      </c>
      <c r="BK109" s="106">
        <v>0</v>
      </c>
      <c r="BL109" s="106">
        <v>5940.4679999999998</v>
      </c>
      <c r="BM109" s="107">
        <f t="shared" si="445"/>
        <v>0.44075293070188454</v>
      </c>
      <c r="BN109" s="108">
        <f t="shared" si="446"/>
        <v>0</v>
      </c>
      <c r="BO109" s="45">
        <v>7668</v>
      </c>
      <c r="BP109" s="45">
        <v>0</v>
      </c>
      <c r="BQ109" s="45"/>
      <c r="BR109" s="109">
        <v>-700</v>
      </c>
      <c r="BS109" s="45">
        <f t="shared" si="447"/>
        <v>0</v>
      </c>
      <c r="BT109" s="45">
        <v>4485</v>
      </c>
      <c r="BU109" s="45">
        <f t="shared" si="447"/>
        <v>4485</v>
      </c>
      <c r="BV109" s="45">
        <v>0</v>
      </c>
      <c r="BW109" s="45">
        <f t="shared" ref="BW109:BY109" si="712">IF(BV109&gt;0,BV109,0)</f>
        <v>0</v>
      </c>
      <c r="BX109" s="45">
        <v>1527.74461595</v>
      </c>
      <c r="BY109" s="45">
        <f t="shared" si="712"/>
        <v>1527.74461595</v>
      </c>
      <c r="BZ109" s="45">
        <v>-5300</v>
      </c>
      <c r="CA109" s="45">
        <f t="shared" ref="CA109:CC109" si="713">IF(BZ109&gt;0,BZ109,0)</f>
        <v>0</v>
      </c>
      <c r="CB109" s="45">
        <v>-4000</v>
      </c>
      <c r="CC109" s="45">
        <f t="shared" si="713"/>
        <v>0</v>
      </c>
      <c r="CD109" s="45">
        <v>4800</v>
      </c>
      <c r="CE109" s="45">
        <f t="shared" ref="CE109:CG109" si="714">IF(CD109&gt;0,CD109,0)</f>
        <v>4800</v>
      </c>
      <c r="CF109" s="45">
        <v>11958.31803538</v>
      </c>
      <c r="CG109" s="45">
        <f t="shared" si="714"/>
        <v>11958.31803538</v>
      </c>
      <c r="CH109" s="107">
        <f t="shared" si="451"/>
        <v>22771.062651330001</v>
      </c>
      <c r="CI109" s="45"/>
      <c r="CJ109" s="109">
        <v>-700</v>
      </c>
      <c r="CK109" s="45">
        <f t="shared" si="452"/>
        <v>700</v>
      </c>
      <c r="CL109" s="45">
        <v>4485</v>
      </c>
      <c r="CM109" s="45">
        <f t="shared" si="452"/>
        <v>0</v>
      </c>
      <c r="CN109" s="45">
        <v>0</v>
      </c>
      <c r="CO109" s="45">
        <f t="shared" ref="CO109:CQ109" si="715">IF(CN109&lt;0,-CN109,0)</f>
        <v>0</v>
      </c>
      <c r="CP109" s="45">
        <v>1527.74461595</v>
      </c>
      <c r="CQ109" s="45">
        <f t="shared" si="715"/>
        <v>0</v>
      </c>
      <c r="CR109" s="45">
        <v>-5300</v>
      </c>
      <c r="CS109" s="45">
        <f t="shared" ref="CS109:CU109" si="716">IF(CR109&lt;0,-CR109,0)</f>
        <v>5300</v>
      </c>
      <c r="CT109" s="45">
        <v>-4000</v>
      </c>
      <c r="CU109" s="45">
        <f t="shared" si="716"/>
        <v>4000</v>
      </c>
      <c r="CV109" s="45">
        <v>4800</v>
      </c>
      <c r="CW109" s="45">
        <f t="shared" ref="CW109:CY109" si="717">IF(CV109&lt;0,-CV109,0)</f>
        <v>0</v>
      </c>
      <c r="CX109" s="45">
        <v>11958.31803538</v>
      </c>
      <c r="CY109" s="45">
        <f t="shared" si="717"/>
        <v>0</v>
      </c>
      <c r="CZ109" s="107">
        <f t="shared" si="456"/>
        <v>10000</v>
      </c>
      <c r="DA109" s="45"/>
      <c r="DB109" s="110">
        <v>41398.158000000003</v>
      </c>
      <c r="DC109" s="57">
        <v>1573.1769999999999</v>
      </c>
      <c r="DD109" s="61">
        <v>1946.6902273772</v>
      </c>
      <c r="DE109" s="61">
        <f t="shared" si="457"/>
        <v>44918.025227377206</v>
      </c>
      <c r="DF109" s="110">
        <v>10680.032999999999</v>
      </c>
      <c r="DG109" s="110">
        <v>61012.411</v>
      </c>
      <c r="DH109" s="57">
        <v>8985</v>
      </c>
      <c r="DI109" s="107">
        <f t="shared" si="458"/>
        <v>69997.410999999993</v>
      </c>
      <c r="DJ109" s="45"/>
      <c r="DK109" s="110">
        <v>915.822</v>
      </c>
      <c r="DL109" s="57">
        <v>10571.615847326309</v>
      </c>
      <c r="DM109" s="57">
        <f t="shared" si="459"/>
        <v>11487.43784732631</v>
      </c>
      <c r="DN109" s="61">
        <v>1698.965265125164</v>
      </c>
      <c r="DO109" s="61">
        <v>2940.7984763901732</v>
      </c>
      <c r="DP109" s="61">
        <v>420.33714560999999</v>
      </c>
      <c r="DQ109" s="57">
        <f t="shared" si="460"/>
        <v>3361.135622000173</v>
      </c>
      <c r="DR109" s="57">
        <v>163.37769313278741</v>
      </c>
      <c r="DS109" s="57">
        <v>163.37769313278741</v>
      </c>
      <c r="DT109" s="5"/>
      <c r="DU109" s="73">
        <v>0</v>
      </c>
      <c r="DV109" s="156">
        <v>6779.6610170000004</v>
      </c>
      <c r="DW109" s="155">
        <v>1447.7400829999999</v>
      </c>
      <c r="DX109" s="155">
        <v>0</v>
      </c>
      <c r="DY109" s="73">
        <v>0</v>
      </c>
      <c r="DZ109" s="156">
        <v>242.45730687</v>
      </c>
      <c r="EA109" s="73">
        <v>0</v>
      </c>
      <c r="EB109" s="156">
        <v>1271.1864410000001</v>
      </c>
      <c r="EC109" s="73">
        <v>0</v>
      </c>
      <c r="ED109" s="156">
        <v>847.5</v>
      </c>
      <c r="EE109" s="73">
        <v>0</v>
      </c>
      <c r="EF109" s="156">
        <v>7397.5988710000001</v>
      </c>
      <c r="EG109" s="73">
        <v>0</v>
      </c>
      <c r="EH109" s="156">
        <v>6779.6610170000004</v>
      </c>
      <c r="EI109" s="159">
        <v>242.45730687</v>
      </c>
      <c r="EJ109" s="162">
        <v>847.5</v>
      </c>
      <c r="EK109" s="165">
        <v>735.83500000000004</v>
      </c>
      <c r="EL109" s="159">
        <v>420.33714560999999</v>
      </c>
      <c r="EM109" s="159">
        <f t="shared" si="461"/>
        <v>10964.025395000001</v>
      </c>
      <c r="EN109" s="159">
        <f t="shared" si="462"/>
        <v>0</v>
      </c>
      <c r="EP109" s="2">
        <v>21465.134099999999</v>
      </c>
      <c r="EQ109" s="5">
        <f t="shared" si="463"/>
        <v>0.87399999999999989</v>
      </c>
    </row>
    <row r="110" spans="13:147" x14ac:dyDescent="0.35">
      <c r="M110" s="5"/>
      <c r="N110" s="66">
        <f t="shared" si="464"/>
        <v>108</v>
      </c>
      <c r="O110" s="78">
        <v>22576</v>
      </c>
      <c r="P110" s="77">
        <f t="shared" si="431"/>
        <v>0.27200000000000002</v>
      </c>
      <c r="Q110" s="104">
        <v>446.86500000000001</v>
      </c>
      <c r="R110" s="77">
        <f t="shared" si="432"/>
        <v>9.2999999999999999E-2</v>
      </c>
      <c r="S110" s="104">
        <v>9390</v>
      </c>
      <c r="T110" s="77">
        <f t="shared" si="433"/>
        <v>0.313</v>
      </c>
      <c r="U110" s="104">
        <v>4989.2353999999996</v>
      </c>
      <c r="V110" s="77">
        <f t="shared" si="646"/>
        <v>0.34699999999999998</v>
      </c>
      <c r="W110" s="104">
        <v>2202.4571999999998</v>
      </c>
      <c r="X110" s="77">
        <f t="shared" si="647"/>
        <v>0.22799999999999998</v>
      </c>
      <c r="Y110" s="104">
        <v>11106.72</v>
      </c>
      <c r="Z110" s="77">
        <f t="shared" si="434"/>
        <v>0.216</v>
      </c>
      <c r="AA110" s="104">
        <v>8523.0272000000004</v>
      </c>
      <c r="AB110" s="77">
        <f t="shared" si="435"/>
        <v>0.184</v>
      </c>
      <c r="AC110" s="5"/>
      <c r="AD110" s="66">
        <f t="shared" si="465"/>
        <v>108</v>
      </c>
      <c r="AE110" s="78">
        <v>57315.871200000001</v>
      </c>
      <c r="AF110" s="104">
        <v>2060.8000000000002</v>
      </c>
      <c r="AG110" s="78">
        <v>448</v>
      </c>
      <c r="AH110" s="61">
        <f t="shared" si="436"/>
        <v>0.64400000000000002</v>
      </c>
      <c r="AI110" s="61">
        <f t="shared" si="437"/>
        <v>0.89600000000000013</v>
      </c>
      <c r="AJ110" s="61">
        <f t="shared" si="438"/>
        <v>0.89600000000000002</v>
      </c>
      <c r="AK110" s="77">
        <v>258.39999999999998</v>
      </c>
      <c r="AL110" s="104">
        <v>5810.1563999999998</v>
      </c>
      <c r="AM110" s="61">
        <f t="shared" si="648"/>
        <v>0.39999999999999997</v>
      </c>
      <c r="AN110" s="57">
        <f t="shared" si="649"/>
        <v>0.499</v>
      </c>
      <c r="AO110" s="78">
        <v>38534.400000000001</v>
      </c>
      <c r="AP110" s="104">
        <v>22723.8</v>
      </c>
      <c r="AQ110" s="61">
        <f t="shared" si="439"/>
        <v>0.86399999999999999</v>
      </c>
      <c r="AR110" s="57">
        <f t="shared" si="440"/>
        <v>0.96799999999999997</v>
      </c>
      <c r="AS110" s="45"/>
      <c r="AT110" s="78">
        <v>994.91499999999996</v>
      </c>
      <c r="AU110" s="77">
        <f t="shared" si="650"/>
        <v>0.40400014618339519</v>
      </c>
      <c r="AV110" s="78">
        <v>893.80100000000004</v>
      </c>
      <c r="AW110" s="77">
        <f t="shared" si="651"/>
        <v>0.55619228375855634</v>
      </c>
      <c r="AX110" s="78">
        <v>1121.4780000000001</v>
      </c>
      <c r="AY110" s="77">
        <f t="shared" si="441"/>
        <v>0.5784392407674851</v>
      </c>
      <c r="AZ110" s="45"/>
      <c r="BA110" s="75">
        <v>53641.616999999998</v>
      </c>
      <c r="BB110" s="77">
        <f t="shared" si="442"/>
        <v>0.77049180327868849</v>
      </c>
      <c r="BC110" s="45"/>
      <c r="BD110" s="105">
        <v>32600</v>
      </c>
      <c r="BE110" s="45">
        <v>933.21400000000006</v>
      </c>
      <c r="BF110" s="106">
        <v>2055.2399999999998</v>
      </c>
      <c r="BG110" s="107">
        <f t="shared" si="443"/>
        <v>1</v>
      </c>
      <c r="BH110" s="108">
        <f t="shared" si="444"/>
        <v>7.8644188582640689E-2</v>
      </c>
      <c r="BI110" s="106">
        <v>0</v>
      </c>
      <c r="BJ110" s="106">
        <v>0</v>
      </c>
      <c r="BK110" s="106">
        <v>0</v>
      </c>
      <c r="BL110" s="106">
        <v>7222.4449999999997</v>
      </c>
      <c r="BM110" s="107">
        <f t="shared" si="445"/>
        <v>0.53586919424246915</v>
      </c>
      <c r="BN110" s="108">
        <f t="shared" si="446"/>
        <v>0</v>
      </c>
      <c r="BO110" s="45">
        <v>7668</v>
      </c>
      <c r="BP110" s="45">
        <v>0</v>
      </c>
      <c r="BQ110" s="45"/>
      <c r="BR110" s="109">
        <v>-700</v>
      </c>
      <c r="BS110" s="45">
        <f t="shared" si="447"/>
        <v>0</v>
      </c>
      <c r="BT110" s="45">
        <v>4485</v>
      </c>
      <c r="BU110" s="45">
        <f t="shared" si="447"/>
        <v>4485</v>
      </c>
      <c r="BV110" s="45">
        <v>0</v>
      </c>
      <c r="BW110" s="45">
        <f t="shared" ref="BW110:BY110" si="718">IF(BV110&gt;0,BV110,0)</f>
        <v>0</v>
      </c>
      <c r="BX110" s="45">
        <v>5000</v>
      </c>
      <c r="BY110" s="45">
        <f t="shared" si="718"/>
        <v>5000</v>
      </c>
      <c r="BZ110" s="45">
        <v>-5300</v>
      </c>
      <c r="CA110" s="45">
        <f t="shared" ref="CA110:CC110" si="719">IF(BZ110&gt;0,BZ110,0)</f>
        <v>0</v>
      </c>
      <c r="CB110" s="45">
        <v>-4000</v>
      </c>
      <c r="CC110" s="45">
        <f t="shared" si="719"/>
        <v>0</v>
      </c>
      <c r="CD110" s="45">
        <v>4800</v>
      </c>
      <c r="CE110" s="45">
        <f t="shared" ref="CE110:CG110" si="720">IF(CD110&gt;0,CD110,0)</f>
        <v>4800</v>
      </c>
      <c r="CF110" s="45">
        <v>10604.15617686</v>
      </c>
      <c r="CG110" s="45">
        <f t="shared" si="720"/>
        <v>10604.15617686</v>
      </c>
      <c r="CH110" s="107">
        <f t="shared" si="451"/>
        <v>24889.15617686</v>
      </c>
      <c r="CI110" s="45"/>
      <c r="CJ110" s="109">
        <v>-700</v>
      </c>
      <c r="CK110" s="45">
        <f t="shared" si="452"/>
        <v>700</v>
      </c>
      <c r="CL110" s="45">
        <v>4485</v>
      </c>
      <c r="CM110" s="45">
        <f t="shared" si="452"/>
        <v>0</v>
      </c>
      <c r="CN110" s="45">
        <v>0</v>
      </c>
      <c r="CO110" s="45">
        <f t="shared" ref="CO110:CQ110" si="721">IF(CN110&lt;0,-CN110,0)</f>
        <v>0</v>
      </c>
      <c r="CP110" s="45">
        <v>5000</v>
      </c>
      <c r="CQ110" s="45">
        <f t="shared" si="721"/>
        <v>0</v>
      </c>
      <c r="CR110" s="45">
        <v>-5300</v>
      </c>
      <c r="CS110" s="45">
        <f t="shared" ref="CS110:CU110" si="722">IF(CR110&lt;0,-CR110,0)</f>
        <v>5300</v>
      </c>
      <c r="CT110" s="45">
        <v>-4000</v>
      </c>
      <c r="CU110" s="45">
        <f t="shared" si="722"/>
        <v>4000</v>
      </c>
      <c r="CV110" s="45">
        <v>4800</v>
      </c>
      <c r="CW110" s="45">
        <f t="shared" ref="CW110:CY110" si="723">IF(CV110&lt;0,-CV110,0)</f>
        <v>0</v>
      </c>
      <c r="CX110" s="45">
        <v>10604.15617686</v>
      </c>
      <c r="CY110" s="45">
        <f t="shared" si="723"/>
        <v>0</v>
      </c>
      <c r="CZ110" s="107">
        <f t="shared" si="456"/>
        <v>10000</v>
      </c>
      <c r="DA110" s="45"/>
      <c r="DB110" s="110">
        <v>41961.063999999998</v>
      </c>
      <c r="DC110" s="57">
        <v>1574.7</v>
      </c>
      <c r="DD110" s="61">
        <v>2533.1995659692998</v>
      </c>
      <c r="DE110" s="61">
        <f t="shared" si="457"/>
        <v>46068.963565969294</v>
      </c>
      <c r="DF110" s="110">
        <v>12047.626</v>
      </c>
      <c r="DG110" s="110">
        <v>62619.411</v>
      </c>
      <c r="DH110" s="57">
        <v>8742</v>
      </c>
      <c r="DI110" s="107">
        <f t="shared" si="458"/>
        <v>71361.410999999993</v>
      </c>
      <c r="DJ110" s="45"/>
      <c r="DK110" s="110">
        <v>875.11199999999997</v>
      </c>
      <c r="DL110" s="57">
        <v>10555.905846475949</v>
      </c>
      <c r="DM110" s="57">
        <f t="shared" si="459"/>
        <v>11431.017846475948</v>
      </c>
      <c r="DN110" s="61">
        <v>1698.965265125164</v>
      </c>
      <c r="DO110" s="61">
        <v>2932.5206019649299</v>
      </c>
      <c r="DP110" s="61">
        <v>428.61502003999999</v>
      </c>
      <c r="DQ110" s="57">
        <f t="shared" si="460"/>
        <v>3361.1356220049302</v>
      </c>
      <c r="DR110" s="57">
        <v>162.9178112202739</v>
      </c>
      <c r="DS110" s="57">
        <v>162.9178112202739</v>
      </c>
      <c r="DT110" s="5"/>
      <c r="DU110" s="73">
        <v>0</v>
      </c>
      <c r="DV110" s="156">
        <v>6779.6610170000004</v>
      </c>
      <c r="DW110" s="155">
        <v>1447.7400829999999</v>
      </c>
      <c r="DX110" s="155">
        <v>0</v>
      </c>
      <c r="DY110" s="73">
        <v>0</v>
      </c>
      <c r="DZ110" s="156">
        <v>242.91718878</v>
      </c>
      <c r="EA110" s="73">
        <v>0</v>
      </c>
      <c r="EB110" s="156">
        <v>1271.1864410000001</v>
      </c>
      <c r="EC110" s="73">
        <v>0</v>
      </c>
      <c r="ED110" s="156">
        <v>847.5</v>
      </c>
      <c r="EE110" s="73">
        <v>0</v>
      </c>
      <c r="EF110" s="156">
        <v>7397.5988710000001</v>
      </c>
      <c r="EG110" s="73">
        <v>0</v>
      </c>
      <c r="EH110" s="156">
        <v>6779.6610170000004</v>
      </c>
      <c r="EI110" s="159">
        <v>242.91718878</v>
      </c>
      <c r="EJ110" s="162">
        <v>847.5</v>
      </c>
      <c r="EK110" s="165">
        <v>735.83500000000004</v>
      </c>
      <c r="EL110" s="159">
        <v>428.61502003999999</v>
      </c>
      <c r="EM110" s="159">
        <f t="shared" si="461"/>
        <v>10964.025395000001</v>
      </c>
      <c r="EN110" s="159">
        <f t="shared" si="462"/>
        <v>0</v>
      </c>
      <c r="EP110" s="2">
        <v>21931.767449999999</v>
      </c>
      <c r="EQ110" s="5">
        <f t="shared" si="463"/>
        <v>0.8929999999999999</v>
      </c>
    </row>
    <row r="111" spans="13:147" x14ac:dyDescent="0.35">
      <c r="M111" s="5"/>
      <c r="N111" s="66">
        <f t="shared" si="464"/>
        <v>109</v>
      </c>
      <c r="O111" s="78">
        <v>26726</v>
      </c>
      <c r="P111" s="77">
        <f t="shared" si="431"/>
        <v>0.32200000000000001</v>
      </c>
      <c r="Q111" s="104">
        <v>677.505</v>
      </c>
      <c r="R111" s="77">
        <f t="shared" si="432"/>
        <v>0.14099999999999999</v>
      </c>
      <c r="S111" s="104">
        <v>12180</v>
      </c>
      <c r="T111" s="77">
        <f t="shared" si="433"/>
        <v>0.40600000000000003</v>
      </c>
      <c r="U111" s="104">
        <v>6513.3245999999999</v>
      </c>
      <c r="V111" s="77">
        <f t="shared" si="646"/>
        <v>0.45299999999999996</v>
      </c>
      <c r="W111" s="104">
        <v>2849.6705000000002</v>
      </c>
      <c r="X111" s="77">
        <f t="shared" si="647"/>
        <v>0.29500000000000004</v>
      </c>
      <c r="Y111" s="104">
        <v>12597.9</v>
      </c>
      <c r="Z111" s="77">
        <f t="shared" si="434"/>
        <v>0.245</v>
      </c>
      <c r="AA111" s="104">
        <v>9727.3680000000004</v>
      </c>
      <c r="AB111" s="77">
        <f t="shared" si="435"/>
        <v>0.21</v>
      </c>
      <c r="AC111" s="5"/>
      <c r="AD111" s="66">
        <f t="shared" si="465"/>
        <v>109</v>
      </c>
      <c r="AE111" s="78">
        <v>59629.866000000002</v>
      </c>
      <c r="AF111" s="104">
        <v>2024</v>
      </c>
      <c r="AG111" s="78">
        <v>440</v>
      </c>
      <c r="AH111" s="61">
        <f t="shared" si="436"/>
        <v>0.67</v>
      </c>
      <c r="AI111" s="61">
        <f t="shared" si="437"/>
        <v>0.88</v>
      </c>
      <c r="AJ111" s="61">
        <f t="shared" si="438"/>
        <v>0.88</v>
      </c>
      <c r="AK111" s="77">
        <v>242.25</v>
      </c>
      <c r="AL111" s="104">
        <v>6671.7828</v>
      </c>
      <c r="AM111" s="61">
        <f t="shared" si="648"/>
        <v>0.375</v>
      </c>
      <c r="AN111" s="57">
        <f t="shared" si="649"/>
        <v>0.57299999999999995</v>
      </c>
      <c r="AO111" s="78">
        <v>38891.199999999997</v>
      </c>
      <c r="AP111" s="104">
        <v>22653.375</v>
      </c>
      <c r="AQ111" s="61">
        <f t="shared" si="439"/>
        <v>0.87199999999999989</v>
      </c>
      <c r="AR111" s="57">
        <f t="shared" si="440"/>
        <v>0.96499999999999997</v>
      </c>
      <c r="AS111" s="45"/>
      <c r="AT111" s="78">
        <v>982.601</v>
      </c>
      <c r="AU111" s="77">
        <f t="shared" si="650"/>
        <v>0.39899986193790454</v>
      </c>
      <c r="AV111" s="78">
        <v>896.48599999999999</v>
      </c>
      <c r="AW111" s="77">
        <f t="shared" si="651"/>
        <v>0.55786309894212815</v>
      </c>
      <c r="AX111" s="78">
        <v>1121.4780000000001</v>
      </c>
      <c r="AY111" s="77">
        <f t="shared" si="441"/>
        <v>0.5784392407674851</v>
      </c>
      <c r="AZ111" s="45"/>
      <c r="BA111" s="75">
        <v>53641.616999999998</v>
      </c>
      <c r="BB111" s="77">
        <f t="shared" si="442"/>
        <v>0.77049180327868849</v>
      </c>
      <c r="BC111" s="45"/>
      <c r="BD111" s="105">
        <v>32600</v>
      </c>
      <c r="BE111" s="45">
        <v>2362.9430000000002</v>
      </c>
      <c r="BF111" s="106">
        <v>4349.5309999999999</v>
      </c>
      <c r="BG111" s="107">
        <f t="shared" si="443"/>
        <v>1</v>
      </c>
      <c r="BH111" s="108">
        <f t="shared" si="444"/>
        <v>0.17664554017296988</v>
      </c>
      <c r="BI111" s="106">
        <v>0</v>
      </c>
      <c r="BJ111" s="106">
        <v>0</v>
      </c>
      <c r="BK111" s="106">
        <v>0</v>
      </c>
      <c r="BL111" s="106">
        <v>8091.558</v>
      </c>
      <c r="BM111" s="107">
        <f t="shared" si="445"/>
        <v>0.60035301973586586</v>
      </c>
      <c r="BN111" s="108">
        <f t="shared" si="446"/>
        <v>0</v>
      </c>
      <c r="BO111" s="45">
        <v>7668</v>
      </c>
      <c r="BP111" s="45">
        <v>0</v>
      </c>
      <c r="BQ111" s="45"/>
      <c r="BR111" s="109">
        <v>-700</v>
      </c>
      <c r="BS111" s="45">
        <f t="shared" si="447"/>
        <v>0</v>
      </c>
      <c r="BT111" s="45">
        <v>4485</v>
      </c>
      <c r="BU111" s="45">
        <f t="shared" si="447"/>
        <v>4485</v>
      </c>
      <c r="BV111" s="45">
        <v>0</v>
      </c>
      <c r="BW111" s="45">
        <f t="shared" ref="BW111:BY111" si="724">IF(BV111&gt;0,BV111,0)</f>
        <v>0</v>
      </c>
      <c r="BX111" s="45">
        <v>5000</v>
      </c>
      <c r="BY111" s="45">
        <f t="shared" si="724"/>
        <v>5000</v>
      </c>
      <c r="BZ111" s="45">
        <v>-5300</v>
      </c>
      <c r="CA111" s="45">
        <f t="shared" ref="CA111:CC111" si="725">IF(BZ111&gt;0,BZ111,0)</f>
        <v>0</v>
      </c>
      <c r="CB111" s="45">
        <v>-4000</v>
      </c>
      <c r="CC111" s="45">
        <f t="shared" si="725"/>
        <v>0</v>
      </c>
      <c r="CD111" s="45">
        <v>4800</v>
      </c>
      <c r="CE111" s="45">
        <f t="shared" ref="CE111:CG111" si="726">IF(CD111&gt;0,CD111,0)</f>
        <v>4800</v>
      </c>
      <c r="CF111" s="45">
        <v>10552.88351562</v>
      </c>
      <c r="CG111" s="45">
        <f t="shared" si="726"/>
        <v>10552.88351562</v>
      </c>
      <c r="CH111" s="107">
        <f t="shared" si="451"/>
        <v>24837.88351562</v>
      </c>
      <c r="CI111" s="45"/>
      <c r="CJ111" s="109">
        <v>-700</v>
      </c>
      <c r="CK111" s="45">
        <f t="shared" si="452"/>
        <v>700</v>
      </c>
      <c r="CL111" s="45">
        <v>4485</v>
      </c>
      <c r="CM111" s="45">
        <f t="shared" si="452"/>
        <v>0</v>
      </c>
      <c r="CN111" s="45">
        <v>0</v>
      </c>
      <c r="CO111" s="45">
        <f t="shared" ref="CO111:CQ111" si="727">IF(CN111&lt;0,-CN111,0)</f>
        <v>0</v>
      </c>
      <c r="CP111" s="45">
        <v>5000</v>
      </c>
      <c r="CQ111" s="45">
        <f t="shared" si="727"/>
        <v>0</v>
      </c>
      <c r="CR111" s="45">
        <v>-5300</v>
      </c>
      <c r="CS111" s="45">
        <f t="shared" ref="CS111:CU111" si="728">IF(CR111&lt;0,-CR111,0)</f>
        <v>5300</v>
      </c>
      <c r="CT111" s="45">
        <v>-4000</v>
      </c>
      <c r="CU111" s="45">
        <f t="shared" si="728"/>
        <v>4000</v>
      </c>
      <c r="CV111" s="45">
        <v>4800</v>
      </c>
      <c r="CW111" s="45">
        <f t="shared" ref="CW111:CY111" si="729">IF(CV111&lt;0,-CV111,0)</f>
        <v>0</v>
      </c>
      <c r="CX111" s="45">
        <v>10552.88351562</v>
      </c>
      <c r="CY111" s="45">
        <f t="shared" si="729"/>
        <v>0</v>
      </c>
      <c r="CZ111" s="107">
        <f t="shared" si="456"/>
        <v>10000</v>
      </c>
      <c r="DA111" s="45"/>
      <c r="DB111" s="110">
        <v>42480.237999999998</v>
      </c>
      <c r="DC111" s="57">
        <v>1575.827</v>
      </c>
      <c r="DD111" s="61">
        <v>2828.8714661115</v>
      </c>
      <c r="DE111" s="61">
        <f t="shared" si="457"/>
        <v>46884.936466111496</v>
      </c>
      <c r="DF111" s="110">
        <v>13127.918</v>
      </c>
      <c r="DG111" s="110">
        <v>63534.411</v>
      </c>
      <c r="DH111" s="57">
        <v>8251</v>
      </c>
      <c r="DI111" s="107">
        <f t="shared" si="458"/>
        <v>71785.410999999993</v>
      </c>
      <c r="DJ111" s="45"/>
      <c r="DK111" s="110">
        <v>844.00800000000004</v>
      </c>
      <c r="DL111" s="57">
        <v>10540.1958456256</v>
      </c>
      <c r="DM111" s="57">
        <f t="shared" si="459"/>
        <v>11384.2038456256</v>
      </c>
      <c r="DN111" s="61">
        <v>1647.409224874164</v>
      </c>
      <c r="DO111" s="61">
        <v>2924.2427275396881</v>
      </c>
      <c r="DP111" s="61">
        <v>436.89289445999998</v>
      </c>
      <c r="DQ111" s="57">
        <f t="shared" si="460"/>
        <v>3361.1356219996878</v>
      </c>
      <c r="DR111" s="57">
        <v>162.45792930776039</v>
      </c>
      <c r="DS111" s="57">
        <v>162.45792930776039</v>
      </c>
      <c r="DT111" s="5"/>
      <c r="DU111" s="73">
        <v>0</v>
      </c>
      <c r="DV111" s="156">
        <v>6779.6610170000004</v>
      </c>
      <c r="DW111" s="155">
        <v>1447.7400829999999</v>
      </c>
      <c r="DX111" s="155">
        <v>0</v>
      </c>
      <c r="DY111" s="73">
        <v>0</v>
      </c>
      <c r="DZ111" s="156">
        <v>243.37707069000001</v>
      </c>
      <c r="EA111" s="73">
        <v>0</v>
      </c>
      <c r="EB111" s="156">
        <v>1271.1864410000001</v>
      </c>
      <c r="EC111" s="73">
        <v>0</v>
      </c>
      <c r="ED111" s="156">
        <v>847.5</v>
      </c>
      <c r="EE111" s="73">
        <v>0</v>
      </c>
      <c r="EF111" s="156">
        <v>7397.5988710000001</v>
      </c>
      <c r="EG111" s="73">
        <v>0</v>
      </c>
      <c r="EH111" s="156">
        <v>6779.6610170000004</v>
      </c>
      <c r="EI111" s="159">
        <v>243.37707069000001</v>
      </c>
      <c r="EJ111" s="162">
        <v>847.5</v>
      </c>
      <c r="EK111" s="165">
        <v>735.83500000000004</v>
      </c>
      <c r="EL111" s="159">
        <v>436.89289445999998</v>
      </c>
      <c r="EM111" s="159">
        <f t="shared" si="461"/>
        <v>10964.025395000001</v>
      </c>
      <c r="EN111" s="159">
        <f t="shared" si="462"/>
        <v>0</v>
      </c>
      <c r="EP111" s="2">
        <v>22398.400799999999</v>
      </c>
      <c r="EQ111" s="5">
        <f t="shared" si="463"/>
        <v>0.91199999999999992</v>
      </c>
    </row>
    <row r="112" spans="13:147" x14ac:dyDescent="0.35">
      <c r="M112" s="5"/>
      <c r="N112" s="66">
        <f t="shared" si="464"/>
        <v>110</v>
      </c>
      <c r="O112" s="78">
        <v>28635</v>
      </c>
      <c r="P112" s="77">
        <f t="shared" si="431"/>
        <v>0.34499999999999997</v>
      </c>
      <c r="Q112" s="104">
        <v>855.29</v>
      </c>
      <c r="R112" s="77">
        <f t="shared" si="432"/>
        <v>0.17799999999999999</v>
      </c>
      <c r="S112" s="104">
        <v>13470</v>
      </c>
      <c r="T112" s="77">
        <f t="shared" si="433"/>
        <v>0.44900000000000001</v>
      </c>
      <c r="U112" s="104">
        <v>7160.3436000000002</v>
      </c>
      <c r="V112" s="77">
        <f t="shared" si="646"/>
        <v>0.498</v>
      </c>
      <c r="W112" s="104">
        <v>3071.8481999999999</v>
      </c>
      <c r="X112" s="77">
        <f t="shared" si="647"/>
        <v>0.318</v>
      </c>
      <c r="Y112" s="104">
        <v>12135.12</v>
      </c>
      <c r="Z112" s="77">
        <f t="shared" si="434"/>
        <v>0.23600000000000002</v>
      </c>
      <c r="AA112" s="104">
        <v>9310.4807999999994</v>
      </c>
      <c r="AB112" s="77">
        <f t="shared" si="435"/>
        <v>0.20099999999999998</v>
      </c>
      <c r="AC112" s="5"/>
      <c r="AD112" s="66">
        <f t="shared" si="465"/>
        <v>110</v>
      </c>
      <c r="AE112" s="78">
        <v>61320.862200000003</v>
      </c>
      <c r="AF112" s="104">
        <v>1945.8</v>
      </c>
      <c r="AG112" s="78">
        <v>423</v>
      </c>
      <c r="AH112" s="61">
        <f t="shared" si="436"/>
        <v>0.68900000000000006</v>
      </c>
      <c r="AI112" s="61">
        <f t="shared" si="437"/>
        <v>0.84599999999999997</v>
      </c>
      <c r="AJ112" s="61">
        <f t="shared" si="438"/>
        <v>0.84599999999999997</v>
      </c>
      <c r="AK112" s="77">
        <v>239.02</v>
      </c>
      <c r="AL112" s="104">
        <v>7149.1704</v>
      </c>
      <c r="AM112" s="61">
        <f t="shared" si="648"/>
        <v>0.37</v>
      </c>
      <c r="AN112" s="57">
        <f t="shared" si="649"/>
        <v>0.61399999999999999</v>
      </c>
      <c r="AO112" s="78">
        <v>39114.199999999997</v>
      </c>
      <c r="AP112" s="104">
        <v>22653.375</v>
      </c>
      <c r="AQ112" s="61">
        <f t="shared" si="439"/>
        <v>0.87699999999999989</v>
      </c>
      <c r="AR112" s="57">
        <f t="shared" si="440"/>
        <v>0.96499999999999997</v>
      </c>
      <c r="AS112" s="45"/>
      <c r="AT112" s="78">
        <v>953.04899999999998</v>
      </c>
      <c r="AU112" s="77">
        <f t="shared" si="650"/>
        <v>0.38699982945270561</v>
      </c>
      <c r="AV112" s="78">
        <v>870.77300000000002</v>
      </c>
      <c r="AW112" s="77">
        <f t="shared" si="651"/>
        <v>0.54186247666459242</v>
      </c>
      <c r="AX112" s="78">
        <v>1121.4780000000001</v>
      </c>
      <c r="AY112" s="77">
        <f t="shared" si="441"/>
        <v>0.5784392407674851</v>
      </c>
      <c r="AZ112" s="45"/>
      <c r="BA112" s="75">
        <v>53641.616999999998</v>
      </c>
      <c r="BB112" s="77">
        <f t="shared" si="442"/>
        <v>0.77049180327868849</v>
      </c>
      <c r="BC112" s="45"/>
      <c r="BD112" s="105">
        <v>32600</v>
      </c>
      <c r="BE112" s="45">
        <v>3169.377</v>
      </c>
      <c r="BF112" s="106">
        <v>5493.5069999999996</v>
      </c>
      <c r="BG112" s="107">
        <f t="shared" si="443"/>
        <v>1</v>
      </c>
      <c r="BH112" s="108">
        <f t="shared" si="444"/>
        <v>0.22797255134780081</v>
      </c>
      <c r="BI112" s="106">
        <v>0</v>
      </c>
      <c r="BJ112" s="106">
        <v>0</v>
      </c>
      <c r="BK112" s="106">
        <v>0</v>
      </c>
      <c r="BL112" s="106">
        <v>8460.2009999999991</v>
      </c>
      <c r="BM112" s="107">
        <f t="shared" si="445"/>
        <v>0.62770448137705881</v>
      </c>
      <c r="BN112" s="108">
        <f t="shared" si="446"/>
        <v>0</v>
      </c>
      <c r="BO112" s="45">
        <v>7668</v>
      </c>
      <c r="BP112" s="45">
        <v>0</v>
      </c>
      <c r="BQ112" s="45"/>
      <c r="BR112" s="109">
        <v>-700</v>
      </c>
      <c r="BS112" s="45">
        <f t="shared" si="447"/>
        <v>0</v>
      </c>
      <c r="BT112" s="45">
        <v>4485</v>
      </c>
      <c r="BU112" s="45">
        <f t="shared" si="447"/>
        <v>4485</v>
      </c>
      <c r="BV112" s="45">
        <v>0</v>
      </c>
      <c r="BW112" s="45">
        <f t="shared" ref="BW112:BY112" si="730">IF(BV112&gt;0,BV112,0)</f>
        <v>0</v>
      </c>
      <c r="BX112" s="45">
        <v>3555.9885735799999</v>
      </c>
      <c r="BY112" s="45">
        <f t="shared" si="730"/>
        <v>3555.9885735799999</v>
      </c>
      <c r="BZ112" s="45">
        <v>-5300</v>
      </c>
      <c r="CA112" s="45">
        <f t="shared" ref="CA112:CC112" si="731">IF(BZ112&gt;0,BZ112,0)</f>
        <v>0</v>
      </c>
      <c r="CB112" s="45">
        <v>-4000</v>
      </c>
      <c r="CC112" s="45">
        <f t="shared" si="731"/>
        <v>0</v>
      </c>
      <c r="CD112" s="45">
        <v>4800</v>
      </c>
      <c r="CE112" s="45">
        <f t="shared" ref="CE112:CG112" si="732">IF(CD112&gt;0,CD112,0)</f>
        <v>4800</v>
      </c>
      <c r="CF112" s="45">
        <v>11484.922907530001</v>
      </c>
      <c r="CG112" s="45">
        <f t="shared" si="732"/>
        <v>11484.922907530001</v>
      </c>
      <c r="CH112" s="107">
        <f t="shared" si="451"/>
        <v>24325.911481110001</v>
      </c>
      <c r="CI112" s="45"/>
      <c r="CJ112" s="109">
        <v>-700</v>
      </c>
      <c r="CK112" s="45">
        <f t="shared" si="452"/>
        <v>700</v>
      </c>
      <c r="CL112" s="45">
        <v>4485</v>
      </c>
      <c r="CM112" s="45">
        <f t="shared" si="452"/>
        <v>0</v>
      </c>
      <c r="CN112" s="45">
        <v>0</v>
      </c>
      <c r="CO112" s="45">
        <f t="shared" ref="CO112:CQ112" si="733">IF(CN112&lt;0,-CN112,0)</f>
        <v>0</v>
      </c>
      <c r="CP112" s="45">
        <v>3555.9885735799999</v>
      </c>
      <c r="CQ112" s="45">
        <f t="shared" si="733"/>
        <v>0</v>
      </c>
      <c r="CR112" s="45">
        <v>-5300</v>
      </c>
      <c r="CS112" s="45">
        <f t="shared" ref="CS112:CU112" si="734">IF(CR112&lt;0,-CR112,0)</f>
        <v>5300</v>
      </c>
      <c r="CT112" s="45">
        <v>-4000</v>
      </c>
      <c r="CU112" s="45">
        <f t="shared" si="734"/>
        <v>4000</v>
      </c>
      <c r="CV112" s="45">
        <v>4800</v>
      </c>
      <c r="CW112" s="45">
        <f t="shared" ref="CW112:CY112" si="735">IF(CV112&lt;0,-CV112,0)</f>
        <v>0</v>
      </c>
      <c r="CX112" s="45">
        <v>11484.922907530001</v>
      </c>
      <c r="CY112" s="45">
        <f t="shared" si="735"/>
        <v>0</v>
      </c>
      <c r="CZ112" s="107">
        <f t="shared" si="456"/>
        <v>10000</v>
      </c>
      <c r="DA112" s="45"/>
      <c r="DB112" s="110">
        <v>42468.608999999997</v>
      </c>
      <c r="DC112" s="57">
        <v>1577.1130000000001</v>
      </c>
      <c r="DD112" s="61">
        <v>2549.8728148682999</v>
      </c>
      <c r="DE112" s="61">
        <f t="shared" si="457"/>
        <v>46595.594814868295</v>
      </c>
      <c r="DF112" s="110">
        <v>13274.036</v>
      </c>
      <c r="DG112" s="110">
        <v>61613.411</v>
      </c>
      <c r="DH112" s="57">
        <v>8122</v>
      </c>
      <c r="DI112" s="107">
        <f t="shared" si="458"/>
        <v>69735.410999999993</v>
      </c>
      <c r="DJ112" s="45"/>
      <c r="DK112" s="110">
        <v>827.58900000000006</v>
      </c>
      <c r="DL112" s="57">
        <v>10540.1958456256</v>
      </c>
      <c r="DM112" s="57">
        <f t="shared" si="459"/>
        <v>11367.7848456256</v>
      </c>
      <c r="DN112" s="61">
        <v>1673.187244999664</v>
      </c>
      <c r="DO112" s="61">
        <v>2924.2427275396881</v>
      </c>
      <c r="DP112" s="61">
        <v>436.89289445999998</v>
      </c>
      <c r="DQ112" s="57">
        <f t="shared" si="460"/>
        <v>3361.1356219996878</v>
      </c>
      <c r="DR112" s="57">
        <v>162.45792930776039</v>
      </c>
      <c r="DS112" s="57">
        <v>162.45792930776039</v>
      </c>
      <c r="DT112" s="5"/>
      <c r="DU112" s="73">
        <v>0</v>
      </c>
      <c r="DV112" s="156">
        <v>6779.6610170000004</v>
      </c>
      <c r="DW112" s="155">
        <v>1447.7400829999999</v>
      </c>
      <c r="DX112" s="155">
        <v>0</v>
      </c>
      <c r="DY112" s="73">
        <v>0</v>
      </c>
      <c r="DZ112" s="156">
        <v>243.37707069000001</v>
      </c>
      <c r="EA112" s="73">
        <v>0</v>
      </c>
      <c r="EB112" s="156">
        <v>1271.1864410000001</v>
      </c>
      <c r="EC112" s="73">
        <v>0</v>
      </c>
      <c r="ED112" s="156">
        <v>847.5</v>
      </c>
      <c r="EE112" s="73">
        <v>0</v>
      </c>
      <c r="EF112" s="156">
        <v>7397.5988710000001</v>
      </c>
      <c r="EG112" s="73">
        <v>0</v>
      </c>
      <c r="EH112" s="156">
        <v>6779.6610170000004</v>
      </c>
      <c r="EI112" s="159">
        <v>243.37707069000001</v>
      </c>
      <c r="EJ112" s="162">
        <v>847.5</v>
      </c>
      <c r="EK112" s="165">
        <v>735.83500000000004</v>
      </c>
      <c r="EL112" s="159">
        <v>436.89289445999998</v>
      </c>
      <c r="EM112" s="159">
        <f t="shared" si="461"/>
        <v>10964.025395000001</v>
      </c>
      <c r="EN112" s="159">
        <f t="shared" si="462"/>
        <v>0</v>
      </c>
      <c r="EP112" s="2">
        <v>22398.400799999999</v>
      </c>
      <c r="EQ112" s="5">
        <f t="shared" si="463"/>
        <v>0.91199999999999992</v>
      </c>
    </row>
    <row r="113" spans="13:147" x14ac:dyDescent="0.35">
      <c r="M113" s="5"/>
      <c r="N113" s="66">
        <f t="shared" si="464"/>
        <v>111</v>
      </c>
      <c r="O113" s="78">
        <v>29050</v>
      </c>
      <c r="P113" s="77">
        <f t="shared" si="431"/>
        <v>0.35</v>
      </c>
      <c r="Q113" s="104">
        <v>884.12</v>
      </c>
      <c r="R113" s="77">
        <f t="shared" si="432"/>
        <v>0.184</v>
      </c>
      <c r="S113" s="104">
        <v>12960</v>
      </c>
      <c r="T113" s="77">
        <f t="shared" si="433"/>
        <v>0.432</v>
      </c>
      <c r="U113" s="104">
        <v>6844.0231999999996</v>
      </c>
      <c r="V113" s="77">
        <f t="shared" si="646"/>
        <v>0.47599999999999992</v>
      </c>
      <c r="W113" s="104">
        <v>2820.6907999999999</v>
      </c>
      <c r="X113" s="77">
        <f t="shared" si="647"/>
        <v>0.29199999999999998</v>
      </c>
      <c r="Y113" s="104">
        <v>9924.06</v>
      </c>
      <c r="Z113" s="77">
        <f t="shared" si="434"/>
        <v>0.19299999999999998</v>
      </c>
      <c r="AA113" s="104">
        <v>7503.9696000000004</v>
      </c>
      <c r="AB113" s="77">
        <f t="shared" si="435"/>
        <v>0.16200000000000001</v>
      </c>
      <c r="AC113" s="5"/>
      <c r="AD113" s="66">
        <f t="shared" si="465"/>
        <v>111</v>
      </c>
      <c r="AE113" s="78">
        <v>62032.8606</v>
      </c>
      <c r="AF113" s="104">
        <v>1865.3</v>
      </c>
      <c r="AG113" s="78">
        <v>405.5</v>
      </c>
      <c r="AH113" s="61">
        <f t="shared" si="436"/>
        <v>0.69699999999999995</v>
      </c>
      <c r="AI113" s="61">
        <f t="shared" si="437"/>
        <v>0.81099999999999994</v>
      </c>
      <c r="AJ113" s="61">
        <f t="shared" si="438"/>
        <v>0.81100000000000005</v>
      </c>
      <c r="AK113" s="77">
        <v>237.08199999999999</v>
      </c>
      <c r="AL113" s="104">
        <v>7300.5371999999998</v>
      </c>
      <c r="AM113" s="61">
        <f t="shared" si="648"/>
        <v>0.36699999999999999</v>
      </c>
      <c r="AN113" s="57">
        <f t="shared" si="649"/>
        <v>0.627</v>
      </c>
      <c r="AO113" s="78">
        <v>38935.800000000003</v>
      </c>
      <c r="AP113" s="104">
        <v>22606.424999999999</v>
      </c>
      <c r="AQ113" s="61">
        <f t="shared" si="439"/>
        <v>0.87300000000000011</v>
      </c>
      <c r="AR113" s="57">
        <f t="shared" si="440"/>
        <v>0.96299999999999997</v>
      </c>
      <c r="AS113" s="45"/>
      <c r="AT113" s="78">
        <v>962.9</v>
      </c>
      <c r="AU113" s="77">
        <f t="shared" si="650"/>
        <v>0.39099997563610084</v>
      </c>
      <c r="AV113" s="78">
        <v>879.36</v>
      </c>
      <c r="AW113" s="77">
        <f t="shared" si="651"/>
        <v>0.54720597386434355</v>
      </c>
      <c r="AX113" s="78">
        <v>1121.4780000000001</v>
      </c>
      <c r="AY113" s="77">
        <f t="shared" si="441"/>
        <v>0.5784392407674851</v>
      </c>
      <c r="AZ113" s="45"/>
      <c r="BA113" s="75">
        <v>53641.616999999998</v>
      </c>
      <c r="BB113" s="77">
        <f t="shared" si="442"/>
        <v>0.77049180327868849</v>
      </c>
      <c r="BC113" s="45"/>
      <c r="BD113" s="105">
        <v>32600</v>
      </c>
      <c r="BE113" s="45">
        <v>3135.9090000000001</v>
      </c>
      <c r="BF113" s="106">
        <v>5589.6419999999998</v>
      </c>
      <c r="BG113" s="107">
        <f t="shared" si="443"/>
        <v>1</v>
      </c>
      <c r="BH113" s="108">
        <f t="shared" si="444"/>
        <v>0.22962169681428896</v>
      </c>
      <c r="BI113" s="106">
        <v>0</v>
      </c>
      <c r="BJ113" s="106">
        <v>0</v>
      </c>
      <c r="BK113" s="106">
        <v>0</v>
      </c>
      <c r="BL113" s="106">
        <v>8134.8890000000001</v>
      </c>
      <c r="BM113" s="107">
        <f t="shared" si="445"/>
        <v>0.60356796260572787</v>
      </c>
      <c r="BN113" s="108">
        <f t="shared" si="446"/>
        <v>0</v>
      </c>
      <c r="BO113" s="45">
        <v>7668</v>
      </c>
      <c r="BP113" s="45">
        <v>0</v>
      </c>
      <c r="BQ113" s="45"/>
      <c r="BR113" s="109">
        <v>-700</v>
      </c>
      <c r="BS113" s="45">
        <f t="shared" si="447"/>
        <v>0</v>
      </c>
      <c r="BT113" s="45">
        <v>4485</v>
      </c>
      <c r="BU113" s="45">
        <f t="shared" si="447"/>
        <v>4485</v>
      </c>
      <c r="BV113" s="45">
        <v>0</v>
      </c>
      <c r="BW113" s="45">
        <f t="shared" ref="BW113:BY113" si="736">IF(BV113&gt;0,BV113,0)</f>
        <v>0</v>
      </c>
      <c r="BX113" s="45">
        <v>-995.56056506000004</v>
      </c>
      <c r="BY113" s="45">
        <f t="shared" si="736"/>
        <v>0</v>
      </c>
      <c r="BZ113" s="45">
        <v>-5300</v>
      </c>
      <c r="CA113" s="45">
        <f t="shared" ref="CA113:CC113" si="737">IF(BZ113&gt;0,BZ113,0)</f>
        <v>0</v>
      </c>
      <c r="CB113" s="45">
        <v>-4000</v>
      </c>
      <c r="CC113" s="45">
        <f t="shared" si="737"/>
        <v>0</v>
      </c>
      <c r="CD113" s="45">
        <v>2951.2179388</v>
      </c>
      <c r="CE113" s="45">
        <f t="shared" ref="CE113:CG113" si="738">IF(CD113&gt;0,CD113,0)</f>
        <v>2951.2179388</v>
      </c>
      <c r="CF113" s="45">
        <v>12298.22679348</v>
      </c>
      <c r="CG113" s="45">
        <f t="shared" si="738"/>
        <v>12298.22679348</v>
      </c>
      <c r="CH113" s="107">
        <f t="shared" si="451"/>
        <v>19734.444732280001</v>
      </c>
      <c r="CI113" s="45"/>
      <c r="CJ113" s="109">
        <v>-700</v>
      </c>
      <c r="CK113" s="45">
        <f t="shared" si="452"/>
        <v>700</v>
      </c>
      <c r="CL113" s="45">
        <v>4485</v>
      </c>
      <c r="CM113" s="45">
        <f t="shared" si="452"/>
        <v>0</v>
      </c>
      <c r="CN113" s="45">
        <v>0</v>
      </c>
      <c r="CO113" s="45">
        <f t="shared" ref="CO113:CQ113" si="739">IF(CN113&lt;0,-CN113,0)</f>
        <v>0</v>
      </c>
      <c r="CP113" s="45">
        <v>-995.56056506000004</v>
      </c>
      <c r="CQ113" s="45">
        <f t="shared" si="739"/>
        <v>995.56056506000004</v>
      </c>
      <c r="CR113" s="45">
        <v>-5300</v>
      </c>
      <c r="CS113" s="45">
        <f t="shared" ref="CS113:CU113" si="740">IF(CR113&lt;0,-CR113,0)</f>
        <v>5300</v>
      </c>
      <c r="CT113" s="45">
        <v>-4000</v>
      </c>
      <c r="CU113" s="45">
        <f t="shared" si="740"/>
        <v>4000</v>
      </c>
      <c r="CV113" s="45">
        <v>2951.2179388</v>
      </c>
      <c r="CW113" s="45">
        <f t="shared" ref="CW113:CY113" si="741">IF(CV113&lt;0,-CV113,0)</f>
        <v>0</v>
      </c>
      <c r="CX113" s="45">
        <v>12298.22679348</v>
      </c>
      <c r="CY113" s="45">
        <f t="shared" si="741"/>
        <v>0</v>
      </c>
      <c r="CZ113" s="107">
        <f t="shared" si="456"/>
        <v>10995.560565060001</v>
      </c>
      <c r="DA113" s="45"/>
      <c r="DB113" s="110">
        <v>41659.599000000002</v>
      </c>
      <c r="DC113" s="57">
        <v>1577.7929999999999</v>
      </c>
      <c r="DD113" s="61">
        <v>1928.9288241557999</v>
      </c>
      <c r="DE113" s="61">
        <f t="shared" si="457"/>
        <v>45166.320824155802</v>
      </c>
      <c r="DF113" s="110">
        <v>13002.319</v>
      </c>
      <c r="DG113" s="110">
        <v>61476.411</v>
      </c>
      <c r="DH113" s="57">
        <v>8084</v>
      </c>
      <c r="DI113" s="107">
        <f t="shared" si="458"/>
        <v>69560.410999999993</v>
      </c>
      <c r="DJ113" s="45"/>
      <c r="DK113" s="110">
        <v>825.79899999999998</v>
      </c>
      <c r="DL113" s="57">
        <v>10555.905846475949</v>
      </c>
      <c r="DM113" s="57">
        <f t="shared" si="459"/>
        <v>11381.70484647595</v>
      </c>
      <c r="DN113" s="61">
        <v>1647.409224874164</v>
      </c>
      <c r="DO113" s="61">
        <v>2932.5206019649299</v>
      </c>
      <c r="DP113" s="61">
        <v>428.61502003999999</v>
      </c>
      <c r="DQ113" s="57">
        <f t="shared" si="460"/>
        <v>3361.1356220049302</v>
      </c>
      <c r="DR113" s="57">
        <v>162.9178112202739</v>
      </c>
      <c r="DS113" s="57">
        <v>162.9178112202739</v>
      </c>
      <c r="DT113" s="5"/>
      <c r="DU113" s="73">
        <v>0</v>
      </c>
      <c r="DV113" s="156">
        <v>6779.6610170000004</v>
      </c>
      <c r="DW113" s="155">
        <v>1447.7400829999999</v>
      </c>
      <c r="DX113" s="155">
        <v>0</v>
      </c>
      <c r="DY113" s="73">
        <v>0</v>
      </c>
      <c r="DZ113" s="156">
        <v>242.91718878</v>
      </c>
      <c r="EA113" s="73">
        <v>0</v>
      </c>
      <c r="EB113" s="156">
        <v>1271.1864410000001</v>
      </c>
      <c r="EC113" s="73">
        <v>0</v>
      </c>
      <c r="ED113" s="156">
        <v>847.5</v>
      </c>
      <c r="EE113" s="73">
        <v>0</v>
      </c>
      <c r="EF113" s="156">
        <v>7397.5988710000001</v>
      </c>
      <c r="EG113" s="73">
        <v>0</v>
      </c>
      <c r="EH113" s="156">
        <v>6779.6610170000004</v>
      </c>
      <c r="EI113" s="159">
        <v>242.91718878</v>
      </c>
      <c r="EJ113" s="162">
        <v>847.5</v>
      </c>
      <c r="EK113" s="165">
        <v>735.83500000000004</v>
      </c>
      <c r="EL113" s="159">
        <v>428.61502003999999</v>
      </c>
      <c r="EM113" s="159">
        <f t="shared" si="461"/>
        <v>10964.025395000001</v>
      </c>
      <c r="EN113" s="159">
        <f t="shared" si="462"/>
        <v>0</v>
      </c>
      <c r="EP113" s="2">
        <v>21931.767449999999</v>
      </c>
      <c r="EQ113" s="5">
        <f t="shared" si="463"/>
        <v>0.8929999999999999</v>
      </c>
    </row>
    <row r="114" spans="13:147" x14ac:dyDescent="0.35">
      <c r="M114" s="5"/>
      <c r="N114" s="66">
        <f t="shared" si="464"/>
        <v>112</v>
      </c>
      <c r="O114" s="78">
        <v>26643</v>
      </c>
      <c r="P114" s="77">
        <f t="shared" si="431"/>
        <v>0.32100000000000001</v>
      </c>
      <c r="Q114" s="104">
        <v>715.94500000000005</v>
      </c>
      <c r="R114" s="77">
        <f t="shared" si="432"/>
        <v>0.14900000000000002</v>
      </c>
      <c r="S114" s="104">
        <v>10050</v>
      </c>
      <c r="T114" s="77">
        <f t="shared" si="433"/>
        <v>0.33500000000000002</v>
      </c>
      <c r="U114" s="104">
        <v>5564.3634000000002</v>
      </c>
      <c r="V114" s="77">
        <f t="shared" si="646"/>
        <v>0.38700000000000001</v>
      </c>
      <c r="W114" s="104">
        <v>2173.4775</v>
      </c>
      <c r="X114" s="77">
        <f t="shared" si="647"/>
        <v>0.22500000000000001</v>
      </c>
      <c r="Y114" s="104">
        <v>7147.38</v>
      </c>
      <c r="Z114" s="77">
        <f t="shared" si="434"/>
        <v>0.13900000000000001</v>
      </c>
      <c r="AA114" s="104">
        <v>5141.6088</v>
      </c>
      <c r="AB114" s="77">
        <f t="shared" si="435"/>
        <v>0.11099999999999999</v>
      </c>
      <c r="AC114" s="5"/>
      <c r="AD114" s="66">
        <f t="shared" si="465"/>
        <v>112</v>
      </c>
      <c r="AE114" s="78">
        <v>61142.8626</v>
      </c>
      <c r="AF114" s="104">
        <v>1787.1</v>
      </c>
      <c r="AG114" s="78">
        <v>388.5</v>
      </c>
      <c r="AH114" s="61">
        <f t="shared" si="436"/>
        <v>0.68699999999999994</v>
      </c>
      <c r="AI114" s="61">
        <f t="shared" si="437"/>
        <v>0.77699999999999991</v>
      </c>
      <c r="AJ114" s="61">
        <f t="shared" si="438"/>
        <v>0.77700000000000002</v>
      </c>
      <c r="AK114" s="77">
        <v>237.72800000000001</v>
      </c>
      <c r="AL114" s="104">
        <v>6997.8036000000002</v>
      </c>
      <c r="AM114" s="61">
        <f t="shared" si="648"/>
        <v>0.36799999999999999</v>
      </c>
      <c r="AN114" s="57">
        <f t="shared" si="649"/>
        <v>0.60099999999999998</v>
      </c>
      <c r="AO114" s="78">
        <v>38846.6</v>
      </c>
      <c r="AP114" s="104">
        <v>22559.474999999999</v>
      </c>
      <c r="AQ114" s="61">
        <f t="shared" si="439"/>
        <v>0.871</v>
      </c>
      <c r="AR114" s="57">
        <f t="shared" si="440"/>
        <v>0.96099999999999997</v>
      </c>
      <c r="AS114" s="45"/>
      <c r="AT114" s="78">
        <v>950.58699999999999</v>
      </c>
      <c r="AU114" s="77">
        <f t="shared" si="650"/>
        <v>0.38600009745559682</v>
      </c>
      <c r="AV114" s="78">
        <v>885.97900000000004</v>
      </c>
      <c r="AW114" s="77">
        <f t="shared" si="651"/>
        <v>0.55132482887367773</v>
      </c>
      <c r="AX114" s="78">
        <v>1121.4780000000001</v>
      </c>
      <c r="AY114" s="77">
        <f t="shared" si="441"/>
        <v>0.5784392407674851</v>
      </c>
      <c r="AZ114" s="45"/>
      <c r="BA114" s="75">
        <v>53641.616999999998</v>
      </c>
      <c r="BB114" s="77">
        <f t="shared" si="442"/>
        <v>0.77049180327868849</v>
      </c>
      <c r="BC114" s="45"/>
      <c r="BD114" s="105">
        <v>32600</v>
      </c>
      <c r="BE114" s="45">
        <v>1934.6579999999999</v>
      </c>
      <c r="BF114" s="106">
        <v>4054.1350000000002</v>
      </c>
      <c r="BG114" s="107">
        <f t="shared" si="443"/>
        <v>1</v>
      </c>
      <c r="BH114" s="108">
        <f t="shared" si="444"/>
        <v>0.15760114295699332</v>
      </c>
      <c r="BI114" s="106">
        <v>0</v>
      </c>
      <c r="BJ114" s="106">
        <v>0</v>
      </c>
      <c r="BK114" s="106">
        <v>0</v>
      </c>
      <c r="BL114" s="106">
        <v>7156.723</v>
      </c>
      <c r="BM114" s="107">
        <f t="shared" si="445"/>
        <v>0.53099295147648018</v>
      </c>
      <c r="BN114" s="108">
        <f t="shared" si="446"/>
        <v>0</v>
      </c>
      <c r="BO114" s="45">
        <v>7668</v>
      </c>
      <c r="BP114" s="45">
        <v>0</v>
      </c>
      <c r="BQ114" s="45"/>
      <c r="BR114" s="109">
        <v>-700</v>
      </c>
      <c r="BS114" s="45">
        <f t="shared" si="447"/>
        <v>0</v>
      </c>
      <c r="BT114" s="45">
        <v>4485</v>
      </c>
      <c r="BU114" s="45">
        <f t="shared" si="447"/>
        <v>4485</v>
      </c>
      <c r="BV114" s="45">
        <v>0</v>
      </c>
      <c r="BW114" s="45">
        <f t="shared" ref="BW114:BY114" si="742">IF(BV114&gt;0,BV114,0)</f>
        <v>0</v>
      </c>
      <c r="BX114" s="45">
        <v>-2917.1529999999998</v>
      </c>
      <c r="BY114" s="45">
        <f t="shared" si="742"/>
        <v>0</v>
      </c>
      <c r="BZ114" s="45">
        <v>-5300</v>
      </c>
      <c r="CA114" s="45">
        <f t="shared" ref="CA114:CC114" si="743">IF(BZ114&gt;0,BZ114,0)</f>
        <v>0</v>
      </c>
      <c r="CB114" s="45">
        <v>-4000</v>
      </c>
      <c r="CC114" s="45">
        <f t="shared" si="743"/>
        <v>0</v>
      </c>
      <c r="CD114" s="45">
        <v>-4800</v>
      </c>
      <c r="CE114" s="45">
        <f t="shared" ref="CE114:CG114" si="744">IF(CD114&gt;0,CD114,0)</f>
        <v>0</v>
      </c>
      <c r="CF114" s="45">
        <v>12550.807885370001</v>
      </c>
      <c r="CG114" s="45">
        <f t="shared" si="744"/>
        <v>12550.807885370001</v>
      </c>
      <c r="CH114" s="107">
        <f t="shared" si="451"/>
        <v>17035.807885369999</v>
      </c>
      <c r="CI114" s="45"/>
      <c r="CJ114" s="109">
        <v>-700</v>
      </c>
      <c r="CK114" s="45">
        <f t="shared" si="452"/>
        <v>700</v>
      </c>
      <c r="CL114" s="45">
        <v>4485</v>
      </c>
      <c r="CM114" s="45">
        <f t="shared" si="452"/>
        <v>0</v>
      </c>
      <c r="CN114" s="45">
        <v>0</v>
      </c>
      <c r="CO114" s="45">
        <f t="shared" ref="CO114:CQ114" si="745">IF(CN114&lt;0,-CN114,0)</f>
        <v>0</v>
      </c>
      <c r="CP114" s="45">
        <v>-2917.1529999999998</v>
      </c>
      <c r="CQ114" s="45">
        <f t="shared" si="745"/>
        <v>2917.1529999999998</v>
      </c>
      <c r="CR114" s="45">
        <v>-5300</v>
      </c>
      <c r="CS114" s="45">
        <f t="shared" ref="CS114:CU114" si="746">IF(CR114&lt;0,-CR114,0)</f>
        <v>5300</v>
      </c>
      <c r="CT114" s="45">
        <v>-4000</v>
      </c>
      <c r="CU114" s="45">
        <f t="shared" si="746"/>
        <v>4000</v>
      </c>
      <c r="CV114" s="45">
        <v>-4800</v>
      </c>
      <c r="CW114" s="45">
        <f t="shared" ref="CW114:CY114" si="747">IF(CV114&lt;0,-CV114,0)</f>
        <v>4800</v>
      </c>
      <c r="CX114" s="45">
        <v>12550.807885370001</v>
      </c>
      <c r="CY114" s="45">
        <f t="shared" si="747"/>
        <v>0</v>
      </c>
      <c r="CZ114" s="107">
        <f t="shared" si="456"/>
        <v>17717.152999999998</v>
      </c>
      <c r="DA114" s="45"/>
      <c r="DB114" s="110">
        <v>41520.131999999998</v>
      </c>
      <c r="DC114" s="57">
        <v>1575.827</v>
      </c>
      <c r="DD114" s="61">
        <v>1651.1755228426</v>
      </c>
      <c r="DE114" s="61">
        <f t="shared" si="457"/>
        <v>44747.134522842593</v>
      </c>
      <c r="DF114" s="110">
        <v>12251.795</v>
      </c>
      <c r="DG114" s="110">
        <v>62539.411</v>
      </c>
      <c r="DH114" s="57">
        <v>8534</v>
      </c>
      <c r="DI114" s="107">
        <f t="shared" si="458"/>
        <v>71073.410999999993</v>
      </c>
      <c r="DJ114" s="45"/>
      <c r="DK114" s="110">
        <v>836.94500000000005</v>
      </c>
      <c r="DL114" s="57">
        <v>10571.615847326309</v>
      </c>
      <c r="DM114" s="57">
        <f t="shared" si="459"/>
        <v>11408.560847326309</v>
      </c>
      <c r="DN114" s="61">
        <v>1647.409224874164</v>
      </c>
      <c r="DO114" s="61">
        <v>2940.7984763901732</v>
      </c>
      <c r="DP114" s="61">
        <v>420.33714560999999</v>
      </c>
      <c r="DQ114" s="57">
        <f t="shared" si="460"/>
        <v>3361.135622000173</v>
      </c>
      <c r="DR114" s="57">
        <v>163.37769313278741</v>
      </c>
      <c r="DS114" s="57">
        <v>163.37769313278741</v>
      </c>
      <c r="DT114" s="5"/>
      <c r="DU114" s="73">
        <v>0</v>
      </c>
      <c r="DV114" s="156">
        <v>6779.6610170000004</v>
      </c>
      <c r="DW114" s="155">
        <v>1447.7400829999999</v>
      </c>
      <c r="DX114" s="155">
        <v>0</v>
      </c>
      <c r="DY114" s="73">
        <v>0</v>
      </c>
      <c r="DZ114" s="156">
        <v>242.45730687</v>
      </c>
      <c r="EA114" s="73">
        <v>0</v>
      </c>
      <c r="EB114" s="156">
        <v>1271.1864410000001</v>
      </c>
      <c r="EC114" s="73">
        <v>0</v>
      </c>
      <c r="ED114" s="156">
        <v>847.5</v>
      </c>
      <c r="EE114" s="73">
        <v>0</v>
      </c>
      <c r="EF114" s="156">
        <v>7397.5988710000001</v>
      </c>
      <c r="EG114" s="73">
        <v>0</v>
      </c>
      <c r="EH114" s="156">
        <v>6779.6610170000004</v>
      </c>
      <c r="EI114" s="159">
        <v>242.45730687</v>
      </c>
      <c r="EJ114" s="162">
        <v>847.5</v>
      </c>
      <c r="EK114" s="165">
        <v>735.83500000000004</v>
      </c>
      <c r="EL114" s="159">
        <v>420.33714560999999</v>
      </c>
      <c r="EM114" s="159">
        <f t="shared" si="461"/>
        <v>10964.025395000001</v>
      </c>
      <c r="EN114" s="159">
        <f t="shared" si="462"/>
        <v>0</v>
      </c>
      <c r="EP114" s="2">
        <v>22398.400799999999</v>
      </c>
      <c r="EQ114" s="5">
        <f t="shared" si="463"/>
        <v>0.91199999999999992</v>
      </c>
    </row>
    <row r="115" spans="13:147" x14ac:dyDescent="0.35">
      <c r="M115" s="5"/>
      <c r="N115" s="66">
        <f t="shared" si="464"/>
        <v>113</v>
      </c>
      <c r="O115" s="78">
        <v>18924</v>
      </c>
      <c r="P115" s="77">
        <f t="shared" si="431"/>
        <v>0.22800000000000001</v>
      </c>
      <c r="Q115" s="104">
        <v>403.62</v>
      </c>
      <c r="R115" s="77">
        <f t="shared" si="432"/>
        <v>8.4000000000000005E-2</v>
      </c>
      <c r="S115" s="104">
        <v>6000</v>
      </c>
      <c r="T115" s="77">
        <f t="shared" si="433"/>
        <v>0.2</v>
      </c>
      <c r="U115" s="104">
        <v>3695.1974</v>
      </c>
      <c r="V115" s="77">
        <f t="shared" si="646"/>
        <v>0.25700000000000001</v>
      </c>
      <c r="W115" s="104">
        <v>1294.4266</v>
      </c>
      <c r="X115" s="77">
        <f t="shared" si="647"/>
        <v>0.13400000000000001</v>
      </c>
      <c r="Y115" s="104">
        <v>3599.4</v>
      </c>
      <c r="Z115" s="77">
        <f t="shared" si="434"/>
        <v>7.0000000000000007E-2</v>
      </c>
      <c r="AA115" s="104">
        <v>2316.04</v>
      </c>
      <c r="AB115" s="77">
        <f t="shared" si="435"/>
        <v>4.9999999999999996E-2</v>
      </c>
      <c r="AC115" s="5"/>
      <c r="AD115" s="66">
        <f t="shared" si="465"/>
        <v>113</v>
      </c>
      <c r="AE115" s="78">
        <v>59896.865400000002</v>
      </c>
      <c r="AF115" s="104">
        <v>1715.8</v>
      </c>
      <c r="AG115" s="78">
        <v>373</v>
      </c>
      <c r="AH115" s="61">
        <f t="shared" si="436"/>
        <v>0.67300000000000004</v>
      </c>
      <c r="AI115" s="61">
        <f t="shared" si="437"/>
        <v>0.746</v>
      </c>
      <c r="AJ115" s="61">
        <f t="shared" si="438"/>
        <v>0.746</v>
      </c>
      <c r="AK115" s="77">
        <v>237.72800000000001</v>
      </c>
      <c r="AL115" s="104">
        <v>6520.4160000000002</v>
      </c>
      <c r="AM115" s="61">
        <f t="shared" si="648"/>
        <v>0.36799999999999999</v>
      </c>
      <c r="AN115" s="57">
        <f t="shared" si="649"/>
        <v>0.55999999999999994</v>
      </c>
      <c r="AO115" s="78">
        <v>39515.599999999999</v>
      </c>
      <c r="AP115" s="104">
        <v>22489.05</v>
      </c>
      <c r="AQ115" s="61">
        <f t="shared" si="439"/>
        <v>0.88600000000000001</v>
      </c>
      <c r="AR115" s="57">
        <f t="shared" si="440"/>
        <v>0.95799999999999996</v>
      </c>
      <c r="AS115" s="45"/>
      <c r="AT115" s="78">
        <v>982.601</v>
      </c>
      <c r="AU115" s="77">
        <f t="shared" si="650"/>
        <v>0.39899986193790454</v>
      </c>
      <c r="AV115" s="78">
        <v>881.79200000000003</v>
      </c>
      <c r="AW115" s="77">
        <f t="shared" si="651"/>
        <v>0.54871935283136286</v>
      </c>
      <c r="AX115" s="78">
        <v>1121.4780000000001</v>
      </c>
      <c r="AY115" s="77">
        <f t="shared" si="441"/>
        <v>0.5784392407674851</v>
      </c>
      <c r="AZ115" s="45"/>
      <c r="BA115" s="75">
        <v>53641.616999999998</v>
      </c>
      <c r="BB115" s="77">
        <f t="shared" si="442"/>
        <v>0.77049180327868849</v>
      </c>
      <c r="BC115" s="45"/>
      <c r="BD115" s="105">
        <v>32600</v>
      </c>
      <c r="BE115" s="45">
        <v>270.45600000000002</v>
      </c>
      <c r="BF115" s="106">
        <v>850.08799999999997</v>
      </c>
      <c r="BG115" s="107">
        <f t="shared" si="443"/>
        <v>1</v>
      </c>
      <c r="BH115" s="108">
        <f t="shared" si="444"/>
        <v>2.9488248322091133E-2</v>
      </c>
      <c r="BI115" s="106">
        <v>0</v>
      </c>
      <c r="BJ115" s="106">
        <v>0</v>
      </c>
      <c r="BK115" s="106">
        <v>0</v>
      </c>
      <c r="BL115" s="106">
        <v>5775.0230000000001</v>
      </c>
      <c r="BM115" s="107">
        <f t="shared" si="445"/>
        <v>0.42847774150467427</v>
      </c>
      <c r="BN115" s="108">
        <f t="shared" si="446"/>
        <v>0</v>
      </c>
      <c r="BO115" s="45">
        <v>7668</v>
      </c>
      <c r="BP115" s="45">
        <v>0</v>
      </c>
      <c r="BQ115" s="45"/>
      <c r="BR115" s="109">
        <v>-700</v>
      </c>
      <c r="BS115" s="45">
        <f t="shared" si="447"/>
        <v>0</v>
      </c>
      <c r="BT115" s="45">
        <v>4485</v>
      </c>
      <c r="BU115" s="45">
        <f t="shared" si="447"/>
        <v>4485</v>
      </c>
      <c r="BV115" s="45">
        <v>0</v>
      </c>
      <c r="BW115" s="45">
        <f t="shared" ref="BW115:BY115" si="748">IF(BV115&gt;0,BV115,0)</f>
        <v>0</v>
      </c>
      <c r="BX115" s="45">
        <v>0</v>
      </c>
      <c r="BY115" s="45">
        <f t="shared" si="748"/>
        <v>0</v>
      </c>
      <c r="BZ115" s="45">
        <v>-5300</v>
      </c>
      <c r="CA115" s="45">
        <f t="shared" ref="CA115:CC115" si="749">IF(BZ115&gt;0,BZ115,0)</f>
        <v>0</v>
      </c>
      <c r="CB115" s="45">
        <v>-4000</v>
      </c>
      <c r="CC115" s="45">
        <f t="shared" si="749"/>
        <v>0</v>
      </c>
      <c r="CD115" s="45">
        <v>-4800</v>
      </c>
      <c r="CE115" s="45">
        <f t="shared" ref="CE115:CG115" si="750">IF(CD115&gt;0,CD115,0)</f>
        <v>0</v>
      </c>
      <c r="CF115" s="45">
        <v>9026.9640415499998</v>
      </c>
      <c r="CG115" s="45">
        <f t="shared" si="750"/>
        <v>9026.9640415499998</v>
      </c>
      <c r="CH115" s="107">
        <f t="shared" si="451"/>
        <v>13511.96404155</v>
      </c>
      <c r="CI115" s="45"/>
      <c r="CJ115" s="109">
        <v>-700</v>
      </c>
      <c r="CK115" s="45">
        <f t="shared" si="452"/>
        <v>700</v>
      </c>
      <c r="CL115" s="45">
        <v>4485</v>
      </c>
      <c r="CM115" s="45">
        <f t="shared" si="452"/>
        <v>0</v>
      </c>
      <c r="CN115" s="45">
        <v>0</v>
      </c>
      <c r="CO115" s="45">
        <f t="shared" ref="CO115:CQ115" si="751">IF(CN115&lt;0,-CN115,0)</f>
        <v>0</v>
      </c>
      <c r="CP115" s="45">
        <v>0</v>
      </c>
      <c r="CQ115" s="45">
        <f t="shared" si="751"/>
        <v>0</v>
      </c>
      <c r="CR115" s="45">
        <v>-5300</v>
      </c>
      <c r="CS115" s="45">
        <f t="shared" ref="CS115:CU115" si="752">IF(CR115&lt;0,-CR115,0)</f>
        <v>5300</v>
      </c>
      <c r="CT115" s="45">
        <v>-4000</v>
      </c>
      <c r="CU115" s="45">
        <f t="shared" si="752"/>
        <v>4000</v>
      </c>
      <c r="CV115" s="45">
        <v>-4800</v>
      </c>
      <c r="CW115" s="45">
        <f t="shared" ref="CW115:CY115" si="753">IF(CV115&lt;0,-CV115,0)</f>
        <v>4800</v>
      </c>
      <c r="CX115" s="45">
        <v>9026.9640415499998</v>
      </c>
      <c r="CY115" s="45">
        <f t="shared" si="753"/>
        <v>0</v>
      </c>
      <c r="CZ115" s="107">
        <f t="shared" si="456"/>
        <v>14800</v>
      </c>
      <c r="DA115" s="45"/>
      <c r="DB115" s="110">
        <v>41808.337</v>
      </c>
      <c r="DC115" s="57">
        <v>2011.9390000000001</v>
      </c>
      <c r="DD115" s="61">
        <v>1660.8051449955001</v>
      </c>
      <c r="DE115" s="61">
        <f t="shared" si="457"/>
        <v>45481.0811449955</v>
      </c>
      <c r="DF115" s="110">
        <v>11383.609</v>
      </c>
      <c r="DG115" s="110">
        <v>65726.410999999993</v>
      </c>
      <c r="DH115" s="57">
        <v>8543</v>
      </c>
      <c r="DI115" s="107">
        <f t="shared" si="458"/>
        <v>74269.410999999993</v>
      </c>
      <c r="DJ115" s="45"/>
      <c r="DK115" s="110">
        <v>846.47</v>
      </c>
      <c r="DL115" s="57">
        <v>10571.615847326309</v>
      </c>
      <c r="DM115" s="57">
        <f t="shared" si="459"/>
        <v>11418.085847326309</v>
      </c>
      <c r="DN115" s="61">
        <v>1647.409224874164</v>
      </c>
      <c r="DO115" s="61">
        <v>2940.7984763901732</v>
      </c>
      <c r="DP115" s="61">
        <v>420.33714560999999</v>
      </c>
      <c r="DQ115" s="57">
        <f t="shared" si="460"/>
        <v>3361.135622000173</v>
      </c>
      <c r="DR115" s="57">
        <v>163.37769313278741</v>
      </c>
      <c r="DS115" s="57">
        <v>163.37769313278741</v>
      </c>
      <c r="DT115" s="5"/>
      <c r="DU115" s="73">
        <v>0</v>
      </c>
      <c r="DV115" s="156">
        <v>6779.6610170000004</v>
      </c>
      <c r="DW115" s="155">
        <v>1447.7400829999999</v>
      </c>
      <c r="DX115" s="155">
        <v>0</v>
      </c>
      <c r="DY115" s="73">
        <v>0</v>
      </c>
      <c r="DZ115" s="156">
        <v>242.45730687</v>
      </c>
      <c r="EA115" s="73">
        <v>0</v>
      </c>
      <c r="EB115" s="156">
        <v>1271.1864410000001</v>
      </c>
      <c r="EC115" s="73">
        <v>0</v>
      </c>
      <c r="ED115" s="156">
        <v>847.5</v>
      </c>
      <c r="EE115" s="73">
        <v>0</v>
      </c>
      <c r="EF115" s="156">
        <v>7397.5988710000001</v>
      </c>
      <c r="EG115" s="73">
        <v>0</v>
      </c>
      <c r="EH115" s="156">
        <v>6779.6610170000004</v>
      </c>
      <c r="EI115" s="159">
        <v>242.45730687</v>
      </c>
      <c r="EJ115" s="162">
        <v>847.5</v>
      </c>
      <c r="EK115" s="165">
        <v>735.83500000000004</v>
      </c>
      <c r="EL115" s="159">
        <v>420.33714560999999</v>
      </c>
      <c r="EM115" s="159">
        <f t="shared" si="461"/>
        <v>10964.025395000001</v>
      </c>
      <c r="EN115" s="159">
        <f t="shared" si="462"/>
        <v>0</v>
      </c>
      <c r="EP115" s="2">
        <v>22398.400799999999</v>
      </c>
      <c r="EQ115" s="5">
        <f t="shared" si="463"/>
        <v>0.91199999999999992</v>
      </c>
    </row>
    <row r="116" spans="13:147" x14ac:dyDescent="0.35">
      <c r="M116" s="5"/>
      <c r="N116" s="66">
        <f t="shared" si="464"/>
        <v>114</v>
      </c>
      <c r="O116" s="78">
        <v>4814</v>
      </c>
      <c r="P116" s="77">
        <f t="shared" si="431"/>
        <v>5.8000000000000003E-2</v>
      </c>
      <c r="Q116" s="104">
        <v>52.854999999999997</v>
      </c>
      <c r="R116" s="77">
        <f t="shared" si="432"/>
        <v>1.0999999999999999E-2</v>
      </c>
      <c r="S116" s="104">
        <v>1680</v>
      </c>
      <c r="T116" s="77">
        <f t="shared" si="433"/>
        <v>5.6000000000000001E-2</v>
      </c>
      <c r="U116" s="104">
        <v>1581.6020000000001</v>
      </c>
      <c r="V116" s="77">
        <f t="shared" si="646"/>
        <v>0.11</v>
      </c>
      <c r="W116" s="104">
        <v>454.01530000000002</v>
      </c>
      <c r="X116" s="77">
        <f t="shared" si="647"/>
        <v>4.7000000000000007E-2</v>
      </c>
      <c r="Y116" s="104">
        <v>0</v>
      </c>
      <c r="Z116" s="77">
        <f t="shared" si="434"/>
        <v>0</v>
      </c>
      <c r="AA116" s="104">
        <v>0</v>
      </c>
      <c r="AB116" s="77">
        <f t="shared" si="435"/>
        <v>0</v>
      </c>
      <c r="AC116" s="5"/>
      <c r="AD116" s="66">
        <f t="shared" si="465"/>
        <v>114</v>
      </c>
      <c r="AE116" s="78">
        <v>54289.877999999997</v>
      </c>
      <c r="AF116" s="104">
        <v>1646.8</v>
      </c>
      <c r="AG116" s="78">
        <v>358</v>
      </c>
      <c r="AH116" s="61">
        <f t="shared" si="436"/>
        <v>0.61</v>
      </c>
      <c r="AI116" s="61">
        <f t="shared" si="437"/>
        <v>0.71599999999999997</v>
      </c>
      <c r="AJ116" s="61">
        <f t="shared" si="438"/>
        <v>0.71599999999999997</v>
      </c>
      <c r="AK116" s="77">
        <v>238.374</v>
      </c>
      <c r="AL116" s="104">
        <v>3865.6752000000001</v>
      </c>
      <c r="AM116" s="61">
        <f t="shared" si="648"/>
        <v>0.36899999999999999</v>
      </c>
      <c r="AN116" s="57">
        <f t="shared" si="649"/>
        <v>0.33200000000000002</v>
      </c>
      <c r="AO116" s="78">
        <v>39783.199999999997</v>
      </c>
      <c r="AP116" s="104">
        <v>22348.2</v>
      </c>
      <c r="AQ116" s="61">
        <f t="shared" si="439"/>
        <v>0.8919999999999999</v>
      </c>
      <c r="AR116" s="57">
        <f t="shared" si="440"/>
        <v>0.95200000000000007</v>
      </c>
      <c r="AS116" s="45"/>
      <c r="AT116" s="78">
        <v>1108.1969999999999</v>
      </c>
      <c r="AU116" s="77">
        <f t="shared" si="650"/>
        <v>0.44999999999999996</v>
      </c>
      <c r="AV116" s="78">
        <v>889.20500000000004</v>
      </c>
      <c r="AW116" s="77">
        <f t="shared" si="651"/>
        <v>0.55333229620410707</v>
      </c>
      <c r="AX116" s="78">
        <v>1121.4780000000001</v>
      </c>
      <c r="AY116" s="77">
        <f t="shared" si="441"/>
        <v>0.5784392407674851</v>
      </c>
      <c r="AZ116" s="45"/>
      <c r="BA116" s="75">
        <v>53641.616999999998</v>
      </c>
      <c r="BB116" s="77">
        <f t="shared" si="442"/>
        <v>0.77049180327868849</v>
      </c>
      <c r="BC116" s="45"/>
      <c r="BD116" s="105">
        <v>25377.251</v>
      </c>
      <c r="BE116" s="45">
        <v>0</v>
      </c>
      <c r="BF116" s="106">
        <v>0</v>
      </c>
      <c r="BG116" s="107">
        <f t="shared" si="443"/>
        <v>0.77844328220858894</v>
      </c>
      <c r="BH116" s="108">
        <f t="shared" si="444"/>
        <v>0</v>
      </c>
      <c r="BI116" s="106">
        <v>0</v>
      </c>
      <c r="BJ116" s="106">
        <v>0</v>
      </c>
      <c r="BK116" s="106">
        <v>0</v>
      </c>
      <c r="BL116" s="106">
        <v>4320.308</v>
      </c>
      <c r="BM116" s="107">
        <f t="shared" si="445"/>
        <v>0.32054518474551119</v>
      </c>
      <c r="BN116" s="108">
        <f t="shared" si="446"/>
        <v>0</v>
      </c>
      <c r="BO116" s="45">
        <v>7668</v>
      </c>
      <c r="BP116" s="45">
        <v>0</v>
      </c>
      <c r="BQ116" s="45"/>
      <c r="BR116" s="109">
        <v>-700</v>
      </c>
      <c r="BS116" s="45">
        <f t="shared" si="447"/>
        <v>0</v>
      </c>
      <c r="BT116" s="45">
        <v>4485</v>
      </c>
      <c r="BU116" s="45">
        <f t="shared" si="447"/>
        <v>4485</v>
      </c>
      <c r="BV116" s="45">
        <v>0</v>
      </c>
      <c r="BW116" s="45">
        <f t="shared" ref="BW116:BY116" si="754">IF(BV116&gt;0,BV116,0)</f>
        <v>0</v>
      </c>
      <c r="BX116" s="45">
        <v>-3737.8609913499999</v>
      </c>
      <c r="BY116" s="45">
        <f t="shared" si="754"/>
        <v>0</v>
      </c>
      <c r="BZ116" s="45">
        <v>-5300</v>
      </c>
      <c r="CA116" s="45">
        <f t="shared" ref="CA116:CC116" si="755">IF(BZ116&gt;0,BZ116,0)</f>
        <v>0</v>
      </c>
      <c r="CB116" s="45">
        <v>-4000</v>
      </c>
      <c r="CC116" s="45">
        <f t="shared" si="755"/>
        <v>0</v>
      </c>
      <c r="CD116" s="45">
        <v>-4800</v>
      </c>
      <c r="CE116" s="45">
        <f t="shared" ref="CE116:CG116" si="756">IF(CD116&gt;0,CD116,0)</f>
        <v>0</v>
      </c>
      <c r="CF116" s="45">
        <v>11524.949312229999</v>
      </c>
      <c r="CG116" s="45">
        <f t="shared" si="756"/>
        <v>11524.949312229999</v>
      </c>
      <c r="CH116" s="107">
        <f t="shared" si="451"/>
        <v>16009.949312229999</v>
      </c>
      <c r="CI116" s="45"/>
      <c r="CJ116" s="109">
        <v>-700</v>
      </c>
      <c r="CK116" s="45">
        <f t="shared" si="452"/>
        <v>700</v>
      </c>
      <c r="CL116" s="45">
        <v>4485</v>
      </c>
      <c r="CM116" s="45">
        <f t="shared" si="452"/>
        <v>0</v>
      </c>
      <c r="CN116" s="45">
        <v>0</v>
      </c>
      <c r="CO116" s="45">
        <f t="shared" ref="CO116:CQ116" si="757">IF(CN116&lt;0,-CN116,0)</f>
        <v>0</v>
      </c>
      <c r="CP116" s="45">
        <v>-3737.8609913499999</v>
      </c>
      <c r="CQ116" s="45">
        <f t="shared" si="757"/>
        <v>3737.8609913499999</v>
      </c>
      <c r="CR116" s="45">
        <v>-5300</v>
      </c>
      <c r="CS116" s="45">
        <f t="shared" ref="CS116:CU116" si="758">IF(CR116&lt;0,-CR116,0)</f>
        <v>5300</v>
      </c>
      <c r="CT116" s="45">
        <v>-4000</v>
      </c>
      <c r="CU116" s="45">
        <f t="shared" si="758"/>
        <v>4000</v>
      </c>
      <c r="CV116" s="45">
        <v>-4800</v>
      </c>
      <c r="CW116" s="45">
        <f t="shared" ref="CW116:CY116" si="759">IF(CV116&lt;0,-CV116,0)</f>
        <v>4800</v>
      </c>
      <c r="CX116" s="45">
        <v>11524.949312229999</v>
      </c>
      <c r="CY116" s="45">
        <f t="shared" si="759"/>
        <v>0</v>
      </c>
      <c r="CZ116" s="107">
        <f t="shared" si="456"/>
        <v>18537.86099135</v>
      </c>
      <c r="DA116" s="45"/>
      <c r="DB116" s="110">
        <v>43783.383000000002</v>
      </c>
      <c r="DC116" s="57">
        <v>2277.067</v>
      </c>
      <c r="DD116" s="61">
        <v>1747.132531102</v>
      </c>
      <c r="DE116" s="61">
        <f t="shared" si="457"/>
        <v>47807.582531102002</v>
      </c>
      <c r="DF116" s="110">
        <v>10698.816999999999</v>
      </c>
      <c r="DG116" s="110">
        <v>70836.410999999993</v>
      </c>
      <c r="DH116" s="57">
        <v>8690</v>
      </c>
      <c r="DI116" s="107">
        <f t="shared" si="458"/>
        <v>79526.410999999993</v>
      </c>
      <c r="DJ116" s="45"/>
      <c r="DK116" s="110">
        <v>858.72900000000004</v>
      </c>
      <c r="DL116" s="57">
        <v>10571.615847326309</v>
      </c>
      <c r="DM116" s="57">
        <f t="shared" si="459"/>
        <v>11430.344847326309</v>
      </c>
      <c r="DN116" s="61">
        <v>1647.409224874164</v>
      </c>
      <c r="DO116" s="61">
        <v>2940.7984763901732</v>
      </c>
      <c r="DP116" s="61">
        <v>420.33714560999999</v>
      </c>
      <c r="DQ116" s="57">
        <f t="shared" si="460"/>
        <v>3361.135622000173</v>
      </c>
      <c r="DR116" s="57">
        <v>163.37769313278741</v>
      </c>
      <c r="DS116" s="57">
        <v>163.37769313278741</v>
      </c>
      <c r="DT116" s="5"/>
      <c r="DU116" s="73">
        <v>0</v>
      </c>
      <c r="DV116" s="156">
        <v>6779.6610170000004</v>
      </c>
      <c r="DW116" s="155">
        <v>1447.7400829999999</v>
      </c>
      <c r="DX116" s="155">
        <v>0</v>
      </c>
      <c r="DY116" s="73">
        <v>0</v>
      </c>
      <c r="DZ116" s="156">
        <v>572.45730687000002</v>
      </c>
      <c r="EA116" s="73">
        <v>0</v>
      </c>
      <c r="EB116" s="156">
        <v>1271.1864410000001</v>
      </c>
      <c r="EC116" s="73">
        <v>0</v>
      </c>
      <c r="ED116" s="156">
        <v>847.5</v>
      </c>
      <c r="EE116" s="73">
        <v>0</v>
      </c>
      <c r="EF116" s="156">
        <v>7397.5988710000001</v>
      </c>
      <c r="EG116" s="73">
        <v>0</v>
      </c>
      <c r="EH116" s="156">
        <v>6779.6610170000004</v>
      </c>
      <c r="EI116" s="159">
        <v>572.45730687000002</v>
      </c>
      <c r="EJ116" s="162">
        <v>847.5</v>
      </c>
      <c r="EK116" s="165">
        <v>735.83500000000004</v>
      </c>
      <c r="EL116" s="159">
        <v>420.33714560999999</v>
      </c>
      <c r="EM116" s="159">
        <f t="shared" si="461"/>
        <v>10964.025395000001</v>
      </c>
      <c r="EN116" s="159">
        <f t="shared" si="462"/>
        <v>0</v>
      </c>
      <c r="EP116" s="2">
        <v>22398.400799999999</v>
      </c>
      <c r="EQ116" s="5">
        <f t="shared" si="463"/>
        <v>0.91199999999999992</v>
      </c>
    </row>
    <row r="117" spans="13:147" x14ac:dyDescent="0.35">
      <c r="M117" s="5"/>
      <c r="N117" s="66">
        <f t="shared" si="464"/>
        <v>115</v>
      </c>
      <c r="O117" s="78">
        <v>0</v>
      </c>
      <c r="P117" s="77">
        <f t="shared" si="431"/>
        <v>0</v>
      </c>
      <c r="Q117" s="104">
        <v>0</v>
      </c>
      <c r="R117" s="77">
        <f t="shared" si="432"/>
        <v>0</v>
      </c>
      <c r="S117" s="104">
        <v>0</v>
      </c>
      <c r="T117" s="77">
        <f t="shared" si="433"/>
        <v>0</v>
      </c>
      <c r="U117" s="104">
        <v>0</v>
      </c>
      <c r="V117" s="77">
        <f t="shared" si="646"/>
        <v>0</v>
      </c>
      <c r="W117" s="104">
        <v>0</v>
      </c>
      <c r="X117" s="77">
        <f t="shared" si="647"/>
        <v>0</v>
      </c>
      <c r="Y117" s="104">
        <v>0</v>
      </c>
      <c r="Z117" s="77">
        <f t="shared" si="434"/>
        <v>0</v>
      </c>
      <c r="AA117" s="104">
        <v>0</v>
      </c>
      <c r="AB117" s="77">
        <f t="shared" si="435"/>
        <v>0</v>
      </c>
      <c r="AC117" s="5"/>
      <c r="AD117" s="66">
        <f t="shared" si="465"/>
        <v>115</v>
      </c>
      <c r="AE117" s="78">
        <v>47525.893199999999</v>
      </c>
      <c r="AF117" s="104">
        <v>1607.7</v>
      </c>
      <c r="AG117" s="78">
        <v>349.5</v>
      </c>
      <c r="AH117" s="61">
        <f t="shared" si="436"/>
        <v>0.53399999999999992</v>
      </c>
      <c r="AI117" s="61">
        <f t="shared" si="437"/>
        <v>0.69900000000000007</v>
      </c>
      <c r="AJ117" s="61">
        <f t="shared" si="438"/>
        <v>0.69899999999999995</v>
      </c>
      <c r="AK117" s="77">
        <v>233.20599999999999</v>
      </c>
      <c r="AL117" s="104">
        <v>1979.412</v>
      </c>
      <c r="AM117" s="61">
        <f t="shared" si="648"/>
        <v>0.36099999999999999</v>
      </c>
      <c r="AN117" s="57">
        <f t="shared" si="649"/>
        <v>0.16999999999999998</v>
      </c>
      <c r="AO117" s="78">
        <v>39649.4</v>
      </c>
      <c r="AP117" s="104">
        <v>22348.2</v>
      </c>
      <c r="AQ117" s="61">
        <f t="shared" si="439"/>
        <v>0.88900000000000001</v>
      </c>
      <c r="AR117" s="57">
        <f t="shared" si="440"/>
        <v>0.95200000000000007</v>
      </c>
      <c r="AS117" s="45"/>
      <c r="AT117" s="78">
        <v>1130.3610000000001</v>
      </c>
      <c r="AU117" s="77">
        <f t="shared" si="650"/>
        <v>0.45900002436389925</v>
      </c>
      <c r="AV117" s="78">
        <v>907.56899999999996</v>
      </c>
      <c r="AW117" s="77">
        <f t="shared" si="651"/>
        <v>0.56475980087118849</v>
      </c>
      <c r="AX117" s="78">
        <v>1121.4780000000001</v>
      </c>
      <c r="AY117" s="77">
        <f t="shared" si="441"/>
        <v>0.5784392407674851</v>
      </c>
      <c r="AZ117" s="45"/>
      <c r="BA117" s="75">
        <v>54782.928</v>
      </c>
      <c r="BB117" s="77">
        <f t="shared" si="442"/>
        <v>0.78688524590163933</v>
      </c>
      <c r="BC117" s="45"/>
      <c r="BD117" s="105">
        <v>20292.266</v>
      </c>
      <c r="BE117" s="45">
        <v>0</v>
      </c>
      <c r="BF117" s="106">
        <v>0</v>
      </c>
      <c r="BG117" s="107">
        <f t="shared" si="443"/>
        <v>0.62246214723926374</v>
      </c>
      <c r="BH117" s="108">
        <f t="shared" si="444"/>
        <v>0</v>
      </c>
      <c r="BI117" s="106">
        <v>0</v>
      </c>
      <c r="BJ117" s="106">
        <v>0</v>
      </c>
      <c r="BK117" s="106">
        <v>0</v>
      </c>
      <c r="BL117" s="106">
        <v>3319.6089999999999</v>
      </c>
      <c r="BM117" s="107">
        <f t="shared" si="445"/>
        <v>0.24629833803234902</v>
      </c>
      <c r="BN117" s="108">
        <f t="shared" si="446"/>
        <v>0</v>
      </c>
      <c r="BO117" s="45">
        <v>7668</v>
      </c>
      <c r="BP117" s="45">
        <v>0</v>
      </c>
      <c r="BQ117" s="45"/>
      <c r="BR117" s="109">
        <v>-700</v>
      </c>
      <c r="BS117" s="45">
        <f t="shared" si="447"/>
        <v>0</v>
      </c>
      <c r="BT117" s="45">
        <v>4485</v>
      </c>
      <c r="BU117" s="45">
        <f t="shared" si="447"/>
        <v>4485</v>
      </c>
      <c r="BV117" s="45">
        <v>0</v>
      </c>
      <c r="BW117" s="45">
        <f t="shared" ref="BW117:BY117" si="760">IF(BV117&gt;0,BV117,0)</f>
        <v>0</v>
      </c>
      <c r="BX117" s="45">
        <v>-5000</v>
      </c>
      <c r="BY117" s="45">
        <f t="shared" si="760"/>
        <v>0</v>
      </c>
      <c r="BZ117" s="45">
        <v>-5300</v>
      </c>
      <c r="CA117" s="45">
        <f t="shared" ref="CA117:CC117" si="761">IF(BZ117&gt;0,BZ117,0)</f>
        <v>0</v>
      </c>
      <c r="CB117" s="45">
        <v>-4000</v>
      </c>
      <c r="CC117" s="45">
        <f t="shared" si="761"/>
        <v>0</v>
      </c>
      <c r="CD117" s="45">
        <v>-4800</v>
      </c>
      <c r="CE117" s="45">
        <f t="shared" ref="CE117:CG117" si="762">IF(CD117&gt;0,CD117,0)</f>
        <v>0</v>
      </c>
      <c r="CF117" s="45">
        <v>11713.61048397</v>
      </c>
      <c r="CG117" s="45">
        <f t="shared" si="762"/>
        <v>11713.61048397</v>
      </c>
      <c r="CH117" s="107">
        <f t="shared" si="451"/>
        <v>16198.61048397</v>
      </c>
      <c r="CI117" s="45"/>
      <c r="CJ117" s="109">
        <v>-700</v>
      </c>
      <c r="CK117" s="45">
        <f t="shared" si="452"/>
        <v>700</v>
      </c>
      <c r="CL117" s="45">
        <v>4485</v>
      </c>
      <c r="CM117" s="45">
        <f t="shared" si="452"/>
        <v>0</v>
      </c>
      <c r="CN117" s="45">
        <v>0</v>
      </c>
      <c r="CO117" s="45">
        <f t="shared" ref="CO117:CQ117" si="763">IF(CN117&lt;0,-CN117,0)</f>
        <v>0</v>
      </c>
      <c r="CP117" s="45">
        <v>-5000</v>
      </c>
      <c r="CQ117" s="45">
        <f t="shared" si="763"/>
        <v>5000</v>
      </c>
      <c r="CR117" s="45">
        <v>-5300</v>
      </c>
      <c r="CS117" s="45">
        <f t="shared" ref="CS117:CU117" si="764">IF(CR117&lt;0,-CR117,0)</f>
        <v>5300</v>
      </c>
      <c r="CT117" s="45">
        <v>-4000</v>
      </c>
      <c r="CU117" s="45">
        <f t="shared" si="764"/>
        <v>4000</v>
      </c>
      <c r="CV117" s="45">
        <v>-4800</v>
      </c>
      <c r="CW117" s="45">
        <f t="shared" ref="CW117:CY117" si="765">IF(CV117&lt;0,-CV117,0)</f>
        <v>4800</v>
      </c>
      <c r="CX117" s="45">
        <v>11713.61048397</v>
      </c>
      <c r="CY117" s="45">
        <f t="shared" si="765"/>
        <v>0</v>
      </c>
      <c r="CZ117" s="107">
        <f t="shared" si="456"/>
        <v>19800</v>
      </c>
      <c r="DA117" s="45"/>
      <c r="DB117" s="110">
        <v>44847.722000000002</v>
      </c>
      <c r="DC117" s="57">
        <v>2316.8290000000002</v>
      </c>
      <c r="DD117" s="61">
        <v>1864.8376933604</v>
      </c>
      <c r="DE117" s="61">
        <f t="shared" si="457"/>
        <v>49029.388693360401</v>
      </c>
      <c r="DF117" s="110">
        <v>10403.48</v>
      </c>
      <c r="DG117" s="110">
        <v>72897.410999999993</v>
      </c>
      <c r="DH117" s="57">
        <v>8186</v>
      </c>
      <c r="DI117" s="107">
        <f t="shared" si="458"/>
        <v>81083.410999999993</v>
      </c>
      <c r="DJ117" s="45"/>
      <c r="DK117" s="110">
        <v>855.72400000000005</v>
      </c>
      <c r="DL117" s="57">
        <v>10555.905846475949</v>
      </c>
      <c r="DM117" s="57">
        <f t="shared" si="459"/>
        <v>11411.629846475949</v>
      </c>
      <c r="DN117" s="61">
        <v>1647.409224874164</v>
      </c>
      <c r="DO117" s="61">
        <v>2932.5206019649299</v>
      </c>
      <c r="DP117" s="61">
        <v>428.61502003999999</v>
      </c>
      <c r="DQ117" s="57">
        <f t="shared" si="460"/>
        <v>3361.1356220049302</v>
      </c>
      <c r="DR117" s="57">
        <v>162.9178112202739</v>
      </c>
      <c r="DS117" s="57">
        <v>162.9178112202739</v>
      </c>
      <c r="DT117" s="5"/>
      <c r="DU117" s="73">
        <v>0</v>
      </c>
      <c r="DV117" s="156">
        <v>6779.6610170000004</v>
      </c>
      <c r="DW117" s="155">
        <v>1447.7400829999999</v>
      </c>
      <c r="DX117" s="155">
        <v>0</v>
      </c>
      <c r="DY117" s="73">
        <v>0</v>
      </c>
      <c r="DZ117" s="156">
        <v>572.91718877999995</v>
      </c>
      <c r="EA117" s="73">
        <v>0</v>
      </c>
      <c r="EB117" s="156">
        <v>1271.1864410000001</v>
      </c>
      <c r="EC117" s="73">
        <v>0</v>
      </c>
      <c r="ED117" s="156">
        <v>847.5</v>
      </c>
      <c r="EE117" s="73">
        <v>0</v>
      </c>
      <c r="EF117" s="156">
        <v>7397.5988710000001</v>
      </c>
      <c r="EG117" s="73">
        <v>0</v>
      </c>
      <c r="EH117" s="156">
        <v>6779.6610170000004</v>
      </c>
      <c r="EI117" s="159">
        <v>572.91718877999995</v>
      </c>
      <c r="EJ117" s="162">
        <v>847.5</v>
      </c>
      <c r="EK117" s="165">
        <v>735.83500000000004</v>
      </c>
      <c r="EL117" s="159">
        <v>428.61502003999999</v>
      </c>
      <c r="EM117" s="159">
        <f t="shared" si="461"/>
        <v>10964.025395000001</v>
      </c>
      <c r="EN117" s="159">
        <f t="shared" si="462"/>
        <v>0</v>
      </c>
      <c r="EP117" s="2">
        <v>22398.400799999999</v>
      </c>
      <c r="EQ117" s="5">
        <f t="shared" si="463"/>
        <v>0.91199999999999992</v>
      </c>
    </row>
    <row r="118" spans="13:147" x14ac:dyDescent="0.35">
      <c r="M118" s="5"/>
      <c r="N118" s="66">
        <f t="shared" si="464"/>
        <v>116</v>
      </c>
      <c r="O118" s="78">
        <v>0</v>
      </c>
      <c r="P118" s="77">
        <f t="shared" si="431"/>
        <v>0</v>
      </c>
      <c r="Q118" s="104">
        <v>0</v>
      </c>
      <c r="R118" s="77">
        <f t="shared" si="432"/>
        <v>0</v>
      </c>
      <c r="S118" s="104">
        <v>0</v>
      </c>
      <c r="T118" s="77">
        <f t="shared" si="433"/>
        <v>0</v>
      </c>
      <c r="U118" s="104">
        <v>0</v>
      </c>
      <c r="V118" s="77">
        <f t="shared" si="646"/>
        <v>0</v>
      </c>
      <c r="W118" s="104">
        <v>0</v>
      </c>
      <c r="X118" s="77">
        <f t="shared" si="647"/>
        <v>0</v>
      </c>
      <c r="Y118" s="104">
        <v>0</v>
      </c>
      <c r="Z118" s="77">
        <f t="shared" si="434"/>
        <v>0</v>
      </c>
      <c r="AA118" s="104">
        <v>0</v>
      </c>
      <c r="AB118" s="77">
        <f t="shared" si="435"/>
        <v>0</v>
      </c>
      <c r="AC118" s="5"/>
      <c r="AD118" s="66">
        <f t="shared" si="465"/>
        <v>116</v>
      </c>
      <c r="AE118" s="78">
        <v>42986.903400000003</v>
      </c>
      <c r="AF118" s="104">
        <v>1575.5</v>
      </c>
      <c r="AG118" s="78">
        <v>342.5</v>
      </c>
      <c r="AH118" s="61">
        <f t="shared" si="436"/>
        <v>0.48300000000000004</v>
      </c>
      <c r="AI118" s="61">
        <f t="shared" si="437"/>
        <v>0.68500000000000005</v>
      </c>
      <c r="AJ118" s="61">
        <f t="shared" si="438"/>
        <v>0.68500000000000005</v>
      </c>
      <c r="AK118" s="77">
        <v>218.994</v>
      </c>
      <c r="AL118" s="104">
        <v>1618.4603999999999</v>
      </c>
      <c r="AM118" s="61">
        <f t="shared" si="648"/>
        <v>0.33900000000000002</v>
      </c>
      <c r="AN118" s="57">
        <f t="shared" si="649"/>
        <v>0.13899999999999998</v>
      </c>
      <c r="AO118" s="78">
        <v>39471</v>
      </c>
      <c r="AP118" s="104">
        <v>22395.15</v>
      </c>
      <c r="AQ118" s="61">
        <f t="shared" si="439"/>
        <v>0.88500000000000001</v>
      </c>
      <c r="AR118" s="57">
        <f t="shared" si="440"/>
        <v>0.95400000000000007</v>
      </c>
      <c r="AS118" s="45"/>
      <c r="AT118" s="78">
        <v>1132.8240000000001</v>
      </c>
      <c r="AU118" s="77">
        <f t="shared" si="650"/>
        <v>0.46000016242599473</v>
      </c>
      <c r="AV118" s="78">
        <v>923.32399999999996</v>
      </c>
      <c r="AW118" s="77">
        <f t="shared" si="651"/>
        <v>0.57456378344741754</v>
      </c>
      <c r="AX118" s="78">
        <v>1121.4780000000001</v>
      </c>
      <c r="AY118" s="77">
        <f t="shared" si="441"/>
        <v>0.5784392407674851</v>
      </c>
      <c r="AZ118" s="45"/>
      <c r="BA118" s="75">
        <v>54782.928</v>
      </c>
      <c r="BB118" s="77">
        <f t="shared" si="442"/>
        <v>0.78688524590163933</v>
      </c>
      <c r="BC118" s="45"/>
      <c r="BD118" s="105">
        <v>18369.428</v>
      </c>
      <c r="BE118" s="45">
        <v>0</v>
      </c>
      <c r="BF118" s="106">
        <v>0</v>
      </c>
      <c r="BG118" s="107">
        <f t="shared" si="443"/>
        <v>0.5634793865030675</v>
      </c>
      <c r="BH118" s="108">
        <f t="shared" si="444"/>
        <v>0</v>
      </c>
      <c r="BI118" s="106">
        <v>0</v>
      </c>
      <c r="BJ118" s="106">
        <v>0</v>
      </c>
      <c r="BK118" s="106">
        <v>0</v>
      </c>
      <c r="BL118" s="106">
        <v>3084.5709999999999</v>
      </c>
      <c r="BM118" s="107">
        <f t="shared" si="445"/>
        <v>0.22885969728446356</v>
      </c>
      <c r="BN118" s="108">
        <f t="shared" si="446"/>
        <v>0</v>
      </c>
      <c r="BO118" s="45">
        <v>7668</v>
      </c>
      <c r="BP118" s="45">
        <v>0</v>
      </c>
      <c r="BQ118" s="45"/>
      <c r="BR118" s="109">
        <v>-700</v>
      </c>
      <c r="BS118" s="45">
        <f t="shared" si="447"/>
        <v>0</v>
      </c>
      <c r="BT118" s="45">
        <v>4485</v>
      </c>
      <c r="BU118" s="45">
        <f t="shared" si="447"/>
        <v>4485</v>
      </c>
      <c r="BV118" s="45">
        <v>0</v>
      </c>
      <c r="BW118" s="45">
        <f t="shared" ref="BW118:BY118" si="766">IF(BV118&gt;0,BV118,0)</f>
        <v>0</v>
      </c>
      <c r="BX118" s="45">
        <v>-5000</v>
      </c>
      <c r="BY118" s="45">
        <f t="shared" si="766"/>
        <v>0</v>
      </c>
      <c r="BZ118" s="45">
        <v>-5300</v>
      </c>
      <c r="CA118" s="45">
        <f t="shared" ref="CA118:CC118" si="767">IF(BZ118&gt;0,BZ118,0)</f>
        <v>0</v>
      </c>
      <c r="CB118" s="45">
        <v>-4000</v>
      </c>
      <c r="CC118" s="45">
        <f t="shared" si="767"/>
        <v>0</v>
      </c>
      <c r="CD118" s="45">
        <v>-4800</v>
      </c>
      <c r="CE118" s="45">
        <f t="shared" ref="CE118:CG118" si="768">IF(CD118&gt;0,CD118,0)</f>
        <v>0</v>
      </c>
      <c r="CF118" s="45">
        <v>11760.33301574</v>
      </c>
      <c r="CG118" s="45">
        <f t="shared" si="768"/>
        <v>11760.33301574</v>
      </c>
      <c r="CH118" s="107">
        <f t="shared" si="451"/>
        <v>16245.33301574</v>
      </c>
      <c r="CI118" s="45"/>
      <c r="CJ118" s="109">
        <v>-700</v>
      </c>
      <c r="CK118" s="45">
        <f t="shared" si="452"/>
        <v>700</v>
      </c>
      <c r="CL118" s="45">
        <v>4485</v>
      </c>
      <c r="CM118" s="45">
        <f t="shared" si="452"/>
        <v>0</v>
      </c>
      <c r="CN118" s="45">
        <v>0</v>
      </c>
      <c r="CO118" s="45">
        <f t="shared" ref="CO118:CQ118" si="769">IF(CN118&lt;0,-CN118,0)</f>
        <v>0</v>
      </c>
      <c r="CP118" s="45">
        <v>-5000</v>
      </c>
      <c r="CQ118" s="45">
        <f t="shared" si="769"/>
        <v>5000</v>
      </c>
      <c r="CR118" s="45">
        <v>-5300</v>
      </c>
      <c r="CS118" s="45">
        <f t="shared" ref="CS118:CU118" si="770">IF(CR118&lt;0,-CR118,0)</f>
        <v>5300</v>
      </c>
      <c r="CT118" s="45">
        <v>-4000</v>
      </c>
      <c r="CU118" s="45">
        <f t="shared" si="770"/>
        <v>4000</v>
      </c>
      <c r="CV118" s="45">
        <v>-4800</v>
      </c>
      <c r="CW118" s="45">
        <f t="shared" ref="CW118:CY118" si="771">IF(CV118&lt;0,-CV118,0)</f>
        <v>4800</v>
      </c>
      <c r="CX118" s="45">
        <v>11760.33301574</v>
      </c>
      <c r="CY118" s="45">
        <f t="shared" si="771"/>
        <v>0</v>
      </c>
      <c r="CZ118" s="107">
        <f t="shared" si="456"/>
        <v>19800</v>
      </c>
      <c r="DA118" s="45"/>
      <c r="DB118" s="110">
        <v>44044.006000000001</v>
      </c>
      <c r="DC118" s="57">
        <v>2318.2829999999999</v>
      </c>
      <c r="DD118" s="61">
        <v>1983.5491821516</v>
      </c>
      <c r="DE118" s="61">
        <f t="shared" si="457"/>
        <v>48345.838182151601</v>
      </c>
      <c r="DF118" s="110">
        <v>10403.647000000001</v>
      </c>
      <c r="DG118" s="110">
        <v>71880.410999999993</v>
      </c>
      <c r="DH118" s="57">
        <v>7683</v>
      </c>
      <c r="DI118" s="107">
        <f t="shared" si="458"/>
        <v>79563.410999999993</v>
      </c>
      <c r="DJ118" s="45"/>
      <c r="DK118" s="110">
        <v>836.77</v>
      </c>
      <c r="DL118" s="57">
        <v>10540.1958456256</v>
      </c>
      <c r="DM118" s="57">
        <f t="shared" si="459"/>
        <v>11376.9658456256</v>
      </c>
      <c r="DN118" s="61">
        <v>1492.7411041211651</v>
      </c>
      <c r="DO118" s="61">
        <v>2924.2427275396881</v>
      </c>
      <c r="DP118" s="61">
        <v>436.89289445999998</v>
      </c>
      <c r="DQ118" s="57">
        <f t="shared" si="460"/>
        <v>3361.1356219996878</v>
      </c>
      <c r="DR118" s="57">
        <v>162.45792930776039</v>
      </c>
      <c r="DS118" s="57">
        <v>162.45792930776039</v>
      </c>
      <c r="DT118" s="5"/>
      <c r="DU118" s="73">
        <v>0</v>
      </c>
      <c r="DV118" s="156">
        <v>6779.6610170000004</v>
      </c>
      <c r="DW118" s="155">
        <v>1447.7400829999999</v>
      </c>
      <c r="DX118" s="155">
        <v>0</v>
      </c>
      <c r="DY118" s="73">
        <v>0</v>
      </c>
      <c r="DZ118" s="156">
        <v>903.37707068999998</v>
      </c>
      <c r="EA118" s="73">
        <v>0</v>
      </c>
      <c r="EB118" s="156">
        <v>1271.1864410000001</v>
      </c>
      <c r="EC118" s="73">
        <v>0</v>
      </c>
      <c r="ED118" s="156">
        <v>847.5</v>
      </c>
      <c r="EE118" s="73">
        <v>0</v>
      </c>
      <c r="EF118" s="156">
        <v>7397.5988710000001</v>
      </c>
      <c r="EG118" s="73">
        <v>0</v>
      </c>
      <c r="EH118" s="156">
        <v>6779.6610170000004</v>
      </c>
      <c r="EI118" s="159">
        <v>903.37707068999998</v>
      </c>
      <c r="EJ118" s="162">
        <v>847.5</v>
      </c>
      <c r="EK118" s="165">
        <v>735.83500000000004</v>
      </c>
      <c r="EL118" s="159">
        <v>436.89289445999998</v>
      </c>
      <c r="EM118" s="159">
        <f t="shared" si="461"/>
        <v>10964.025395000001</v>
      </c>
      <c r="EN118" s="159">
        <f t="shared" si="462"/>
        <v>0</v>
      </c>
      <c r="EP118" s="2">
        <v>22398.400799999999</v>
      </c>
      <c r="EQ118" s="5">
        <f t="shared" si="463"/>
        <v>0.91199999999999992</v>
      </c>
    </row>
    <row r="119" spans="13:147" x14ac:dyDescent="0.35">
      <c r="M119" s="5"/>
      <c r="N119" s="66">
        <f t="shared" si="464"/>
        <v>117</v>
      </c>
      <c r="O119" s="78">
        <v>0</v>
      </c>
      <c r="P119" s="77">
        <f t="shared" si="431"/>
        <v>0</v>
      </c>
      <c r="Q119" s="104">
        <v>0</v>
      </c>
      <c r="R119" s="77">
        <f t="shared" si="432"/>
        <v>0</v>
      </c>
      <c r="S119" s="104">
        <v>0</v>
      </c>
      <c r="T119" s="77">
        <f t="shared" si="433"/>
        <v>0</v>
      </c>
      <c r="U119" s="104">
        <v>0</v>
      </c>
      <c r="V119" s="77">
        <f t="shared" si="646"/>
        <v>0</v>
      </c>
      <c r="W119" s="104">
        <v>0</v>
      </c>
      <c r="X119" s="77">
        <f t="shared" si="647"/>
        <v>0</v>
      </c>
      <c r="Y119" s="104">
        <v>0</v>
      </c>
      <c r="Z119" s="77">
        <f t="shared" si="434"/>
        <v>0</v>
      </c>
      <c r="AA119" s="104">
        <v>0</v>
      </c>
      <c r="AB119" s="77">
        <f t="shared" si="435"/>
        <v>0</v>
      </c>
      <c r="AC119" s="5"/>
      <c r="AD119" s="66">
        <f t="shared" si="465"/>
        <v>117</v>
      </c>
      <c r="AE119" s="78">
        <v>41829.906000000003</v>
      </c>
      <c r="AF119" s="104">
        <v>1541</v>
      </c>
      <c r="AG119" s="78">
        <v>335</v>
      </c>
      <c r="AH119" s="61">
        <f t="shared" si="436"/>
        <v>0.47000000000000003</v>
      </c>
      <c r="AI119" s="61">
        <f t="shared" si="437"/>
        <v>0.67</v>
      </c>
      <c r="AJ119" s="61">
        <f t="shared" si="438"/>
        <v>0.67</v>
      </c>
      <c r="AK119" s="77">
        <v>203.49</v>
      </c>
      <c r="AL119" s="104">
        <v>1758.1836000000001</v>
      </c>
      <c r="AM119" s="61">
        <f t="shared" si="648"/>
        <v>0.315</v>
      </c>
      <c r="AN119" s="57">
        <f t="shared" si="649"/>
        <v>0.151</v>
      </c>
      <c r="AO119" s="78">
        <v>39515.599999999999</v>
      </c>
      <c r="AP119" s="104">
        <v>22465.575000000001</v>
      </c>
      <c r="AQ119" s="61">
        <f t="shared" si="439"/>
        <v>0.88600000000000001</v>
      </c>
      <c r="AR119" s="57">
        <f t="shared" si="440"/>
        <v>0.95700000000000007</v>
      </c>
      <c r="AS119" s="45"/>
      <c r="AT119" s="78">
        <v>1132.8240000000001</v>
      </c>
      <c r="AU119" s="77">
        <f t="shared" si="650"/>
        <v>0.46000016242599473</v>
      </c>
      <c r="AV119" s="78">
        <v>912.42499999999995</v>
      </c>
      <c r="AW119" s="77">
        <f t="shared" si="651"/>
        <v>0.56778158058494088</v>
      </c>
      <c r="AX119" s="78">
        <v>1121.4780000000001</v>
      </c>
      <c r="AY119" s="77">
        <f t="shared" si="441"/>
        <v>0.5784392407674851</v>
      </c>
      <c r="AZ119" s="45"/>
      <c r="BA119" s="75">
        <v>55924.239000000001</v>
      </c>
      <c r="BB119" s="77">
        <f t="shared" si="442"/>
        <v>0.80327868852459017</v>
      </c>
      <c r="BC119" s="45"/>
      <c r="BD119" s="105">
        <v>17857.973000000002</v>
      </c>
      <c r="BE119" s="45">
        <v>0</v>
      </c>
      <c r="BF119" s="106">
        <v>0</v>
      </c>
      <c r="BG119" s="107">
        <f t="shared" si="443"/>
        <v>0.54779058282208593</v>
      </c>
      <c r="BH119" s="108">
        <f t="shared" si="444"/>
        <v>0</v>
      </c>
      <c r="BI119" s="106">
        <v>0</v>
      </c>
      <c r="BJ119" s="106">
        <v>0</v>
      </c>
      <c r="BK119" s="106">
        <v>0</v>
      </c>
      <c r="BL119" s="106">
        <v>2869.6019999999999</v>
      </c>
      <c r="BM119" s="107">
        <f t="shared" si="445"/>
        <v>0.21291007567888409</v>
      </c>
      <c r="BN119" s="108">
        <f t="shared" si="446"/>
        <v>0</v>
      </c>
      <c r="BO119" s="45">
        <v>7668</v>
      </c>
      <c r="BP119" s="45">
        <v>0</v>
      </c>
      <c r="BQ119" s="45"/>
      <c r="BR119" s="109">
        <v>-700</v>
      </c>
      <c r="BS119" s="45">
        <f t="shared" si="447"/>
        <v>0</v>
      </c>
      <c r="BT119" s="45">
        <v>4485</v>
      </c>
      <c r="BU119" s="45">
        <f t="shared" si="447"/>
        <v>4485</v>
      </c>
      <c r="BV119" s="45">
        <v>0</v>
      </c>
      <c r="BW119" s="45">
        <f t="shared" ref="BW119:BY119" si="772">IF(BV119&gt;0,BV119,0)</f>
        <v>0</v>
      </c>
      <c r="BX119" s="45">
        <v>-5000</v>
      </c>
      <c r="BY119" s="45">
        <f t="shared" si="772"/>
        <v>0</v>
      </c>
      <c r="BZ119" s="45">
        <v>-5300</v>
      </c>
      <c r="CA119" s="45">
        <f t="shared" ref="CA119:CC119" si="773">IF(BZ119&gt;0,BZ119,0)</f>
        <v>0</v>
      </c>
      <c r="CB119" s="45">
        <v>-4000</v>
      </c>
      <c r="CC119" s="45">
        <f t="shared" si="773"/>
        <v>0</v>
      </c>
      <c r="CD119" s="45">
        <v>-4800</v>
      </c>
      <c r="CE119" s="45">
        <f t="shared" ref="CE119:CG119" si="774">IF(CD119&gt;0,CD119,0)</f>
        <v>0</v>
      </c>
      <c r="CF119" s="45">
        <v>11831.92975979</v>
      </c>
      <c r="CG119" s="45">
        <f t="shared" si="774"/>
        <v>11831.92975979</v>
      </c>
      <c r="CH119" s="107">
        <f t="shared" si="451"/>
        <v>16316.92975979</v>
      </c>
      <c r="CI119" s="45"/>
      <c r="CJ119" s="109">
        <v>-700</v>
      </c>
      <c r="CK119" s="45">
        <f t="shared" si="452"/>
        <v>700</v>
      </c>
      <c r="CL119" s="45">
        <v>4485</v>
      </c>
      <c r="CM119" s="45">
        <f t="shared" si="452"/>
        <v>0</v>
      </c>
      <c r="CN119" s="45">
        <v>0</v>
      </c>
      <c r="CO119" s="45">
        <f t="shared" ref="CO119:CQ119" si="775">IF(CN119&lt;0,-CN119,0)</f>
        <v>0</v>
      </c>
      <c r="CP119" s="45">
        <v>-5000</v>
      </c>
      <c r="CQ119" s="45">
        <f t="shared" si="775"/>
        <v>5000</v>
      </c>
      <c r="CR119" s="45">
        <v>-5300</v>
      </c>
      <c r="CS119" s="45">
        <f t="shared" ref="CS119:CU119" si="776">IF(CR119&lt;0,-CR119,0)</f>
        <v>5300</v>
      </c>
      <c r="CT119" s="45">
        <v>-4000</v>
      </c>
      <c r="CU119" s="45">
        <f t="shared" si="776"/>
        <v>4000</v>
      </c>
      <c r="CV119" s="45">
        <v>-4800</v>
      </c>
      <c r="CW119" s="45">
        <f t="shared" ref="CW119:CY119" si="777">IF(CV119&lt;0,-CV119,0)</f>
        <v>4800</v>
      </c>
      <c r="CX119" s="45">
        <v>11831.92975979</v>
      </c>
      <c r="CY119" s="45">
        <f t="shared" si="777"/>
        <v>0</v>
      </c>
      <c r="CZ119" s="107">
        <f t="shared" si="456"/>
        <v>19800</v>
      </c>
      <c r="DA119" s="45"/>
      <c r="DB119" s="110">
        <v>42255.771000000001</v>
      </c>
      <c r="DC119" s="57">
        <v>2318.5100000000002</v>
      </c>
      <c r="DD119" s="61">
        <v>1940.210437809</v>
      </c>
      <c r="DE119" s="61">
        <f t="shared" si="457"/>
        <v>46514.491437809003</v>
      </c>
      <c r="DF119" s="110">
        <v>10024.235000000001</v>
      </c>
      <c r="DG119" s="110">
        <v>67551.410999999993</v>
      </c>
      <c r="DH119" s="57">
        <v>7850</v>
      </c>
      <c r="DI119" s="107">
        <f t="shared" si="458"/>
        <v>75401.410999999993</v>
      </c>
      <c r="DJ119" s="45"/>
      <c r="DK119" s="110">
        <v>793.16600000000005</v>
      </c>
      <c r="DL119" s="57">
        <v>10524.485844775239</v>
      </c>
      <c r="DM119" s="57">
        <f t="shared" si="459"/>
        <v>11317.651844775239</v>
      </c>
      <c r="DN119" s="61">
        <v>1389.6290236191651</v>
      </c>
      <c r="DO119" s="61">
        <v>2915.9648531144448</v>
      </c>
      <c r="DP119" s="61">
        <v>445.17076888999998</v>
      </c>
      <c r="DQ119" s="57">
        <f t="shared" si="460"/>
        <v>3361.1356220044449</v>
      </c>
      <c r="DR119" s="57">
        <v>161.99804739524691</v>
      </c>
      <c r="DS119" s="57">
        <v>161.99804739524691</v>
      </c>
      <c r="DT119" s="5"/>
      <c r="DU119" s="73">
        <v>0</v>
      </c>
      <c r="DV119" s="156">
        <v>6779.6610170000004</v>
      </c>
      <c r="DW119" s="155">
        <v>1447.7400829999999</v>
      </c>
      <c r="DX119" s="155">
        <v>0</v>
      </c>
      <c r="DY119" s="73">
        <v>0</v>
      </c>
      <c r="DZ119" s="156">
        <v>903.83695260000002</v>
      </c>
      <c r="EA119" s="73">
        <v>0</v>
      </c>
      <c r="EB119" s="156">
        <v>1271.1864410000001</v>
      </c>
      <c r="EC119" s="73">
        <v>0</v>
      </c>
      <c r="ED119" s="156">
        <v>847.5</v>
      </c>
      <c r="EE119" s="73">
        <v>0</v>
      </c>
      <c r="EF119" s="156">
        <v>7397.5988710000001</v>
      </c>
      <c r="EG119" s="73">
        <v>0</v>
      </c>
      <c r="EH119" s="156">
        <v>6779.6610170000004</v>
      </c>
      <c r="EI119" s="159">
        <v>903.83695260000002</v>
      </c>
      <c r="EJ119" s="162">
        <v>847.5</v>
      </c>
      <c r="EK119" s="165">
        <v>735.83500000000004</v>
      </c>
      <c r="EL119" s="159">
        <v>445.17076888999998</v>
      </c>
      <c r="EM119" s="159">
        <f t="shared" si="461"/>
        <v>10964.025395000001</v>
      </c>
      <c r="EN119" s="159">
        <f t="shared" si="462"/>
        <v>0</v>
      </c>
      <c r="EP119" s="2">
        <v>22398.400799999999</v>
      </c>
      <c r="EQ119" s="5">
        <f t="shared" si="463"/>
        <v>0.91199999999999992</v>
      </c>
    </row>
    <row r="120" spans="13:147" x14ac:dyDescent="0.35">
      <c r="M120" s="5"/>
      <c r="N120" s="66">
        <f t="shared" si="464"/>
        <v>118</v>
      </c>
      <c r="O120" s="78">
        <v>0</v>
      </c>
      <c r="P120" s="77">
        <f t="shared" si="431"/>
        <v>0</v>
      </c>
      <c r="Q120" s="104">
        <v>0</v>
      </c>
      <c r="R120" s="77">
        <f t="shared" si="432"/>
        <v>0</v>
      </c>
      <c r="S120" s="104">
        <v>0</v>
      </c>
      <c r="T120" s="77">
        <f t="shared" si="433"/>
        <v>0</v>
      </c>
      <c r="U120" s="104">
        <v>0</v>
      </c>
      <c r="V120" s="77">
        <f t="shared" si="646"/>
        <v>0</v>
      </c>
      <c r="W120" s="104">
        <v>0</v>
      </c>
      <c r="X120" s="77">
        <f t="shared" si="647"/>
        <v>0</v>
      </c>
      <c r="Y120" s="104">
        <v>0</v>
      </c>
      <c r="Z120" s="77">
        <f t="shared" si="434"/>
        <v>0</v>
      </c>
      <c r="AA120" s="104">
        <v>0</v>
      </c>
      <c r="AB120" s="77">
        <f t="shared" si="435"/>
        <v>0</v>
      </c>
      <c r="AC120" s="5"/>
      <c r="AD120" s="66">
        <f t="shared" si="465"/>
        <v>118</v>
      </c>
      <c r="AE120" s="78">
        <v>41829.906000000003</v>
      </c>
      <c r="AF120" s="104">
        <v>1520.3</v>
      </c>
      <c r="AG120" s="78">
        <v>330.5</v>
      </c>
      <c r="AH120" s="61">
        <f t="shared" si="436"/>
        <v>0.47000000000000003</v>
      </c>
      <c r="AI120" s="61">
        <f t="shared" si="437"/>
        <v>0.66100000000000003</v>
      </c>
      <c r="AJ120" s="61">
        <f t="shared" si="438"/>
        <v>0.66100000000000003</v>
      </c>
      <c r="AK120" s="77">
        <v>184.11</v>
      </c>
      <c r="AL120" s="104">
        <v>2223.9276</v>
      </c>
      <c r="AM120" s="61">
        <f t="shared" si="648"/>
        <v>0.28500000000000003</v>
      </c>
      <c r="AN120" s="57">
        <f t="shared" si="649"/>
        <v>0.191</v>
      </c>
      <c r="AO120" s="78">
        <v>39649.4</v>
      </c>
      <c r="AP120" s="104">
        <v>22489.05</v>
      </c>
      <c r="AQ120" s="61">
        <f t="shared" si="439"/>
        <v>0.88900000000000001</v>
      </c>
      <c r="AR120" s="57">
        <f t="shared" si="440"/>
        <v>0.95799999999999996</v>
      </c>
      <c r="AS120" s="45"/>
      <c r="AT120" s="78">
        <v>1127.8979999999999</v>
      </c>
      <c r="AU120" s="77">
        <f t="shared" si="650"/>
        <v>0.45799988630180372</v>
      </c>
      <c r="AV120" s="78">
        <v>912.06700000000001</v>
      </c>
      <c r="AW120" s="77">
        <f t="shared" si="651"/>
        <v>0.56755880522713131</v>
      </c>
      <c r="AX120" s="78">
        <v>1121.4780000000001</v>
      </c>
      <c r="AY120" s="77">
        <f t="shared" si="441"/>
        <v>0.5784392407674851</v>
      </c>
      <c r="AZ120" s="45"/>
      <c r="BA120" s="75">
        <v>55924.239000000001</v>
      </c>
      <c r="BB120" s="77">
        <f t="shared" si="442"/>
        <v>0.80327868852459017</v>
      </c>
      <c r="BC120" s="45"/>
      <c r="BD120" s="105">
        <v>17869.876</v>
      </c>
      <c r="BE120" s="45">
        <v>0</v>
      </c>
      <c r="BF120" s="106">
        <v>0</v>
      </c>
      <c r="BG120" s="107">
        <f t="shared" si="443"/>
        <v>0.54815570552147241</v>
      </c>
      <c r="BH120" s="108">
        <f t="shared" si="444"/>
        <v>0</v>
      </c>
      <c r="BI120" s="106">
        <v>0</v>
      </c>
      <c r="BJ120" s="106">
        <v>0</v>
      </c>
      <c r="BK120" s="106">
        <v>0</v>
      </c>
      <c r="BL120" s="106">
        <v>2597.09</v>
      </c>
      <c r="BM120" s="107">
        <f t="shared" si="445"/>
        <v>0.19269105208487908</v>
      </c>
      <c r="BN120" s="108">
        <f t="shared" si="446"/>
        <v>0</v>
      </c>
      <c r="BO120" s="45">
        <v>7668</v>
      </c>
      <c r="BP120" s="45">
        <v>0</v>
      </c>
      <c r="BQ120" s="45"/>
      <c r="BR120" s="109">
        <v>-700</v>
      </c>
      <c r="BS120" s="45">
        <f t="shared" si="447"/>
        <v>0</v>
      </c>
      <c r="BT120" s="45">
        <v>4485</v>
      </c>
      <c r="BU120" s="45">
        <f t="shared" si="447"/>
        <v>4485</v>
      </c>
      <c r="BV120" s="45">
        <v>0</v>
      </c>
      <c r="BW120" s="45">
        <f t="shared" ref="BW120:BY120" si="778">IF(BV120&gt;0,BV120,0)</f>
        <v>0</v>
      </c>
      <c r="BX120" s="45">
        <v>-5000</v>
      </c>
      <c r="BY120" s="45">
        <f t="shared" si="778"/>
        <v>0</v>
      </c>
      <c r="BZ120" s="45">
        <v>-5300</v>
      </c>
      <c r="CA120" s="45">
        <f t="shared" ref="CA120:CC120" si="779">IF(BZ120&gt;0,BZ120,0)</f>
        <v>0</v>
      </c>
      <c r="CB120" s="45">
        <v>-4000</v>
      </c>
      <c r="CC120" s="45">
        <f t="shared" si="779"/>
        <v>0</v>
      </c>
      <c r="CD120" s="45">
        <v>-4800</v>
      </c>
      <c r="CE120" s="45">
        <f t="shared" ref="CE120:CG120" si="780">IF(CD120&gt;0,CD120,0)</f>
        <v>0</v>
      </c>
      <c r="CF120" s="45">
        <v>11775.675734840001</v>
      </c>
      <c r="CG120" s="45">
        <f t="shared" si="780"/>
        <v>11775.675734840001</v>
      </c>
      <c r="CH120" s="107">
        <f t="shared" si="451"/>
        <v>16260.675734840001</v>
      </c>
      <c r="CI120" s="45"/>
      <c r="CJ120" s="109">
        <v>-700</v>
      </c>
      <c r="CK120" s="45">
        <f t="shared" si="452"/>
        <v>700</v>
      </c>
      <c r="CL120" s="45">
        <v>4485</v>
      </c>
      <c r="CM120" s="45">
        <f t="shared" si="452"/>
        <v>0</v>
      </c>
      <c r="CN120" s="45">
        <v>0</v>
      </c>
      <c r="CO120" s="45">
        <f t="shared" ref="CO120:CQ120" si="781">IF(CN120&lt;0,-CN120,0)</f>
        <v>0</v>
      </c>
      <c r="CP120" s="45">
        <v>-5000</v>
      </c>
      <c r="CQ120" s="45">
        <f t="shared" si="781"/>
        <v>5000</v>
      </c>
      <c r="CR120" s="45">
        <v>-5300</v>
      </c>
      <c r="CS120" s="45">
        <f t="shared" ref="CS120:CU120" si="782">IF(CR120&lt;0,-CR120,0)</f>
        <v>5300</v>
      </c>
      <c r="CT120" s="45">
        <v>-4000</v>
      </c>
      <c r="CU120" s="45">
        <f t="shared" si="782"/>
        <v>4000</v>
      </c>
      <c r="CV120" s="45">
        <v>-4800</v>
      </c>
      <c r="CW120" s="45">
        <f t="shared" ref="CW120:CY120" si="783">IF(CV120&lt;0,-CV120,0)</f>
        <v>4800</v>
      </c>
      <c r="CX120" s="45">
        <v>11775.675734840001</v>
      </c>
      <c r="CY120" s="45">
        <f t="shared" si="783"/>
        <v>0</v>
      </c>
      <c r="CZ120" s="107">
        <f t="shared" si="456"/>
        <v>19800</v>
      </c>
      <c r="DA120" s="45"/>
      <c r="DB120" s="110">
        <v>39857.08</v>
      </c>
      <c r="DC120" s="57">
        <v>2319.0369999999998</v>
      </c>
      <c r="DD120" s="61">
        <v>1853.9826188326999</v>
      </c>
      <c r="DE120" s="61">
        <f t="shared" si="457"/>
        <v>44030.099618832697</v>
      </c>
      <c r="DF120" s="110">
        <v>9508.4040000000005</v>
      </c>
      <c r="DG120" s="110">
        <v>64817.411</v>
      </c>
      <c r="DH120" s="57">
        <v>7549</v>
      </c>
      <c r="DI120" s="107">
        <f t="shared" si="458"/>
        <v>72366.410999999993</v>
      </c>
      <c r="DJ120" s="45"/>
      <c r="DK120" s="110">
        <v>686.38300000000004</v>
      </c>
      <c r="DL120" s="57">
        <v>10508.77584392489</v>
      </c>
      <c r="DM120" s="57">
        <f t="shared" si="459"/>
        <v>11195.15884392489</v>
      </c>
      <c r="DN120" s="61">
        <v>1312.2949632426651</v>
      </c>
      <c r="DO120" s="61">
        <v>2907.686978689203</v>
      </c>
      <c r="DP120" s="61">
        <v>453.44864331000002</v>
      </c>
      <c r="DQ120" s="57">
        <f t="shared" si="460"/>
        <v>3361.1356219992031</v>
      </c>
      <c r="DR120" s="57">
        <v>161.53816548273349</v>
      </c>
      <c r="DS120" s="57">
        <v>161.53816548273349</v>
      </c>
      <c r="DT120" s="5"/>
      <c r="DU120" s="73">
        <v>0</v>
      </c>
      <c r="DV120" s="156">
        <v>6779.6610170000004</v>
      </c>
      <c r="DW120" s="155">
        <v>1447.7400829999999</v>
      </c>
      <c r="DX120" s="155">
        <v>0</v>
      </c>
      <c r="DY120" s="73">
        <v>0</v>
      </c>
      <c r="DZ120" s="156">
        <v>574.29683451999995</v>
      </c>
      <c r="EA120" s="73">
        <v>0</v>
      </c>
      <c r="EB120" s="156">
        <v>1271.1864410000001</v>
      </c>
      <c r="EC120" s="73">
        <v>0</v>
      </c>
      <c r="ED120" s="156">
        <v>847.5</v>
      </c>
      <c r="EE120" s="73">
        <v>0</v>
      </c>
      <c r="EF120" s="156">
        <v>7397.5988710000001</v>
      </c>
      <c r="EG120" s="73">
        <v>0</v>
      </c>
      <c r="EH120" s="156">
        <v>6779.6610170000004</v>
      </c>
      <c r="EI120" s="159">
        <v>574.29683451999995</v>
      </c>
      <c r="EJ120" s="162">
        <v>847.5</v>
      </c>
      <c r="EK120" s="165">
        <v>735.83500000000004</v>
      </c>
      <c r="EL120" s="159">
        <v>453.44864331000002</v>
      </c>
      <c r="EM120" s="159">
        <f t="shared" si="461"/>
        <v>10964.025395000001</v>
      </c>
      <c r="EN120" s="159">
        <f t="shared" si="462"/>
        <v>0</v>
      </c>
      <c r="EP120" s="2">
        <v>22398.400799999999</v>
      </c>
      <c r="EQ120" s="5">
        <f t="shared" si="463"/>
        <v>0.91199999999999992</v>
      </c>
    </row>
    <row r="121" spans="13:147" x14ac:dyDescent="0.35">
      <c r="M121" s="5"/>
      <c r="N121" s="66">
        <f t="shared" si="464"/>
        <v>119</v>
      </c>
      <c r="O121" s="78">
        <v>0</v>
      </c>
      <c r="P121" s="77">
        <f t="shared" si="431"/>
        <v>0</v>
      </c>
      <c r="Q121" s="104">
        <v>0</v>
      </c>
      <c r="R121" s="77">
        <f t="shared" si="432"/>
        <v>0</v>
      </c>
      <c r="S121" s="104">
        <v>0</v>
      </c>
      <c r="T121" s="77">
        <f t="shared" si="433"/>
        <v>0</v>
      </c>
      <c r="U121" s="104">
        <v>0</v>
      </c>
      <c r="V121" s="77">
        <f t="shared" si="646"/>
        <v>0</v>
      </c>
      <c r="W121" s="104">
        <v>0</v>
      </c>
      <c r="X121" s="77">
        <f t="shared" si="647"/>
        <v>0</v>
      </c>
      <c r="Y121" s="104">
        <v>0</v>
      </c>
      <c r="Z121" s="77">
        <f t="shared" si="434"/>
        <v>0</v>
      </c>
      <c r="AA121" s="104">
        <v>0</v>
      </c>
      <c r="AB121" s="77">
        <f t="shared" si="435"/>
        <v>0</v>
      </c>
      <c r="AC121" s="5"/>
      <c r="AD121" s="66">
        <f t="shared" si="465"/>
        <v>119</v>
      </c>
      <c r="AE121" s="78">
        <v>41740.906199999998</v>
      </c>
      <c r="AF121" s="104">
        <v>1469.7</v>
      </c>
      <c r="AG121" s="78">
        <v>319.5</v>
      </c>
      <c r="AH121" s="61">
        <f t="shared" si="436"/>
        <v>0.46899999999999997</v>
      </c>
      <c r="AI121" s="61">
        <f t="shared" si="437"/>
        <v>0.63900000000000001</v>
      </c>
      <c r="AJ121" s="61">
        <f t="shared" si="438"/>
        <v>0.63900000000000001</v>
      </c>
      <c r="AK121" s="77">
        <v>158.916</v>
      </c>
      <c r="AL121" s="104">
        <v>2782.8204000000001</v>
      </c>
      <c r="AM121" s="61">
        <f t="shared" si="648"/>
        <v>0.246</v>
      </c>
      <c r="AN121" s="57">
        <f t="shared" si="649"/>
        <v>0.23899999999999999</v>
      </c>
      <c r="AO121" s="78">
        <v>39604.800000000003</v>
      </c>
      <c r="AP121" s="104">
        <v>22489.05</v>
      </c>
      <c r="AQ121" s="61">
        <f t="shared" si="439"/>
        <v>0.88800000000000001</v>
      </c>
      <c r="AR121" s="57">
        <f t="shared" si="440"/>
        <v>0.95799999999999996</v>
      </c>
      <c r="AS121" s="45"/>
      <c r="AT121" s="78">
        <v>1113.1220000000001</v>
      </c>
      <c r="AU121" s="77">
        <f t="shared" si="650"/>
        <v>0.45199987005920433</v>
      </c>
      <c r="AV121" s="78">
        <v>897.75900000000001</v>
      </c>
      <c r="AW121" s="77">
        <f t="shared" si="651"/>
        <v>0.55865525824517737</v>
      </c>
      <c r="AX121" s="78">
        <v>1121.4780000000001</v>
      </c>
      <c r="AY121" s="77">
        <f t="shared" si="441"/>
        <v>0.5784392407674851</v>
      </c>
      <c r="AZ121" s="45"/>
      <c r="BA121" s="75">
        <v>55924.239000000001</v>
      </c>
      <c r="BB121" s="77">
        <f t="shared" si="442"/>
        <v>0.80327868852459017</v>
      </c>
      <c r="BC121" s="45"/>
      <c r="BD121" s="105">
        <v>17835.053</v>
      </c>
      <c r="BE121" s="45">
        <v>0</v>
      </c>
      <c r="BF121" s="106">
        <v>0</v>
      </c>
      <c r="BG121" s="107">
        <f t="shared" si="443"/>
        <v>0.54708751533742328</v>
      </c>
      <c r="BH121" s="108">
        <f t="shared" si="444"/>
        <v>0</v>
      </c>
      <c r="BI121" s="106">
        <v>0</v>
      </c>
      <c r="BJ121" s="106">
        <v>0</v>
      </c>
      <c r="BK121" s="106">
        <v>0</v>
      </c>
      <c r="BL121" s="106">
        <v>2245.3850000000002</v>
      </c>
      <c r="BM121" s="107">
        <f t="shared" si="445"/>
        <v>0.16659630508977594</v>
      </c>
      <c r="BN121" s="108">
        <f t="shared" si="446"/>
        <v>0</v>
      </c>
      <c r="BO121" s="45">
        <v>7668</v>
      </c>
      <c r="BP121" s="45">
        <v>0</v>
      </c>
      <c r="BQ121" s="45"/>
      <c r="BR121" s="109">
        <v>-700</v>
      </c>
      <c r="BS121" s="45">
        <f t="shared" si="447"/>
        <v>0</v>
      </c>
      <c r="BT121" s="45">
        <v>4485</v>
      </c>
      <c r="BU121" s="45">
        <f t="shared" si="447"/>
        <v>4485</v>
      </c>
      <c r="BV121" s="45">
        <v>0</v>
      </c>
      <c r="BW121" s="45">
        <f t="shared" ref="BW121:BY121" si="784">IF(BV121&gt;0,BV121,0)</f>
        <v>0</v>
      </c>
      <c r="BX121" s="45">
        <v>-2790.6289000000002</v>
      </c>
      <c r="BY121" s="45">
        <f t="shared" si="784"/>
        <v>0</v>
      </c>
      <c r="BZ121" s="45">
        <v>-5300</v>
      </c>
      <c r="CA121" s="45">
        <f t="shared" ref="CA121:CC121" si="785">IF(BZ121&gt;0,BZ121,0)</f>
        <v>0</v>
      </c>
      <c r="CB121" s="45">
        <v>-4000</v>
      </c>
      <c r="CC121" s="45">
        <f t="shared" si="785"/>
        <v>0</v>
      </c>
      <c r="CD121" s="45">
        <v>-4800</v>
      </c>
      <c r="CE121" s="45">
        <f t="shared" ref="CE121:CG121" si="786">IF(CD121&gt;0,CD121,0)</f>
        <v>0</v>
      </c>
      <c r="CF121" s="45">
        <v>12826.10865459</v>
      </c>
      <c r="CG121" s="45">
        <f t="shared" si="786"/>
        <v>12826.10865459</v>
      </c>
      <c r="CH121" s="107">
        <f t="shared" si="451"/>
        <v>17311.10865459</v>
      </c>
      <c r="CI121" s="45"/>
      <c r="CJ121" s="109">
        <v>-700</v>
      </c>
      <c r="CK121" s="45">
        <f t="shared" si="452"/>
        <v>700</v>
      </c>
      <c r="CL121" s="45">
        <v>4485</v>
      </c>
      <c r="CM121" s="45">
        <f t="shared" si="452"/>
        <v>0</v>
      </c>
      <c r="CN121" s="45">
        <v>0</v>
      </c>
      <c r="CO121" s="45">
        <f t="shared" ref="CO121:CQ121" si="787">IF(CN121&lt;0,-CN121,0)</f>
        <v>0</v>
      </c>
      <c r="CP121" s="45">
        <v>-2790.6289000000002</v>
      </c>
      <c r="CQ121" s="45">
        <f t="shared" si="787"/>
        <v>2790.6289000000002</v>
      </c>
      <c r="CR121" s="45">
        <v>-5300</v>
      </c>
      <c r="CS121" s="45">
        <f t="shared" ref="CS121:CU121" si="788">IF(CR121&lt;0,-CR121,0)</f>
        <v>5300</v>
      </c>
      <c r="CT121" s="45">
        <v>-4000</v>
      </c>
      <c r="CU121" s="45">
        <f t="shared" si="788"/>
        <v>4000</v>
      </c>
      <c r="CV121" s="45">
        <v>-4800</v>
      </c>
      <c r="CW121" s="45">
        <f t="shared" ref="CW121:CY121" si="789">IF(CV121&lt;0,-CV121,0)</f>
        <v>4800</v>
      </c>
      <c r="CX121" s="45">
        <v>12826.10865459</v>
      </c>
      <c r="CY121" s="45">
        <f t="shared" si="789"/>
        <v>0</v>
      </c>
      <c r="CZ121" s="107">
        <f t="shared" si="456"/>
        <v>17590.6289</v>
      </c>
      <c r="DA121" s="45"/>
      <c r="DB121" s="110">
        <v>37536.061999999998</v>
      </c>
      <c r="DC121" s="57">
        <v>2311.5770000000002</v>
      </c>
      <c r="DD121" s="61">
        <v>1859.5453471346</v>
      </c>
      <c r="DE121" s="61">
        <f t="shared" si="457"/>
        <v>41707.184347134593</v>
      </c>
      <c r="DF121" s="110">
        <v>9459.2720000000008</v>
      </c>
      <c r="DG121" s="110">
        <v>61242.411</v>
      </c>
      <c r="DH121" s="57">
        <v>7979</v>
      </c>
      <c r="DI121" s="107">
        <f t="shared" si="458"/>
        <v>69221.410999999993</v>
      </c>
      <c r="DJ121" s="45"/>
      <c r="DK121" s="110">
        <v>602.58399999999995</v>
      </c>
      <c r="DL121" s="57">
        <v>10493.065843074541</v>
      </c>
      <c r="DM121" s="57">
        <f t="shared" si="459"/>
        <v>11095.649843074541</v>
      </c>
      <c r="DN121" s="61">
        <v>1260.738922991665</v>
      </c>
      <c r="DO121" s="61">
        <v>2899.4091042639602</v>
      </c>
      <c r="DP121" s="61">
        <v>461.72651774000002</v>
      </c>
      <c r="DQ121" s="57">
        <f t="shared" si="460"/>
        <v>3361.1356220039602</v>
      </c>
      <c r="DR121" s="57">
        <v>161.07828357022001</v>
      </c>
      <c r="DS121" s="57">
        <v>161.07828357022001</v>
      </c>
      <c r="DT121" s="5"/>
      <c r="DU121" s="73">
        <v>0</v>
      </c>
      <c r="DV121" s="156">
        <v>6779.6610170000004</v>
      </c>
      <c r="DW121" s="155">
        <v>1447.7400829999999</v>
      </c>
      <c r="DX121" s="155">
        <v>0</v>
      </c>
      <c r="DY121" s="73">
        <v>0</v>
      </c>
      <c r="DZ121" s="156">
        <v>904.75671642999998</v>
      </c>
      <c r="EA121" s="73">
        <v>0</v>
      </c>
      <c r="EB121" s="156">
        <v>1271.1864410000001</v>
      </c>
      <c r="EC121" s="73">
        <v>0</v>
      </c>
      <c r="ED121" s="156">
        <v>847.5</v>
      </c>
      <c r="EE121" s="73">
        <v>0</v>
      </c>
      <c r="EF121" s="156">
        <v>7397.5988710000001</v>
      </c>
      <c r="EG121" s="73">
        <v>0</v>
      </c>
      <c r="EH121" s="156">
        <v>6779.6610170000004</v>
      </c>
      <c r="EI121" s="159">
        <v>904.75671642999998</v>
      </c>
      <c r="EJ121" s="162">
        <v>847.5</v>
      </c>
      <c r="EK121" s="165">
        <v>735.83500000000004</v>
      </c>
      <c r="EL121" s="159">
        <v>461.72651774000002</v>
      </c>
      <c r="EM121" s="159">
        <f t="shared" si="461"/>
        <v>10964.025395000001</v>
      </c>
      <c r="EN121" s="159">
        <f t="shared" si="462"/>
        <v>0</v>
      </c>
      <c r="EP121" s="2">
        <v>22398.400799999999</v>
      </c>
      <c r="EQ121" s="5">
        <f t="shared" si="463"/>
        <v>0.91199999999999992</v>
      </c>
    </row>
    <row r="122" spans="13:147" x14ac:dyDescent="0.35">
      <c r="M122" s="5"/>
      <c r="N122" s="66">
        <f t="shared" si="464"/>
        <v>120</v>
      </c>
      <c r="O122" s="78">
        <v>0</v>
      </c>
      <c r="P122" s="77">
        <f t="shared" si="431"/>
        <v>0</v>
      </c>
      <c r="Q122" s="104">
        <v>0</v>
      </c>
      <c r="R122" s="77">
        <f t="shared" si="432"/>
        <v>0</v>
      </c>
      <c r="S122" s="104">
        <v>0</v>
      </c>
      <c r="T122" s="77">
        <f t="shared" si="433"/>
        <v>0</v>
      </c>
      <c r="U122" s="104">
        <v>0</v>
      </c>
      <c r="V122" s="77">
        <f t="shared" si="646"/>
        <v>0</v>
      </c>
      <c r="W122" s="104">
        <v>0</v>
      </c>
      <c r="X122" s="77">
        <f t="shared" si="647"/>
        <v>0</v>
      </c>
      <c r="Y122" s="104">
        <v>0</v>
      </c>
      <c r="Z122" s="77">
        <f t="shared" si="434"/>
        <v>0</v>
      </c>
      <c r="AA122" s="104">
        <v>0</v>
      </c>
      <c r="AB122" s="77">
        <f t="shared" si="435"/>
        <v>0</v>
      </c>
      <c r="AC122" s="5"/>
      <c r="AD122" s="66">
        <f t="shared" si="465"/>
        <v>120</v>
      </c>
      <c r="AE122" s="78">
        <v>42630.904199999997</v>
      </c>
      <c r="AF122" s="104">
        <v>1458.2</v>
      </c>
      <c r="AG122" s="78">
        <v>317</v>
      </c>
      <c r="AH122" s="61">
        <f t="shared" si="436"/>
        <v>0.47899999999999993</v>
      </c>
      <c r="AI122" s="61">
        <f t="shared" si="437"/>
        <v>0.63400000000000001</v>
      </c>
      <c r="AJ122" s="61">
        <f t="shared" si="438"/>
        <v>0.63400000000000001</v>
      </c>
      <c r="AK122" s="77">
        <v>136.952</v>
      </c>
      <c r="AL122" s="104">
        <v>3167.0592000000001</v>
      </c>
      <c r="AM122" s="61">
        <f t="shared" si="648"/>
        <v>0.21199999999999999</v>
      </c>
      <c r="AN122" s="57">
        <f t="shared" si="649"/>
        <v>0.27200000000000002</v>
      </c>
      <c r="AO122" s="78">
        <v>39292.6</v>
      </c>
      <c r="AP122" s="104">
        <v>22442.1</v>
      </c>
      <c r="AQ122" s="61">
        <f t="shared" si="439"/>
        <v>0.88100000000000001</v>
      </c>
      <c r="AR122" s="57">
        <f t="shared" si="440"/>
        <v>0.95599999999999996</v>
      </c>
      <c r="AS122" s="45"/>
      <c r="AT122" s="78">
        <v>1071.2570000000001</v>
      </c>
      <c r="AU122" s="77">
        <f t="shared" si="650"/>
        <v>0.43499995939350139</v>
      </c>
      <c r="AV122" s="78">
        <v>896.00099999999998</v>
      </c>
      <c r="AW122" s="77">
        <f t="shared" si="651"/>
        <v>0.55756129433727442</v>
      </c>
      <c r="AX122" s="78">
        <v>1121.4780000000001</v>
      </c>
      <c r="AY122" s="77">
        <f t="shared" si="441"/>
        <v>0.5784392407674851</v>
      </c>
      <c r="AZ122" s="45"/>
      <c r="BA122" s="75">
        <v>55924.239000000001</v>
      </c>
      <c r="BB122" s="77">
        <f t="shared" si="442"/>
        <v>0.80327868852459017</v>
      </c>
      <c r="BC122" s="45"/>
      <c r="BD122" s="105">
        <v>18192.03</v>
      </c>
      <c r="BE122" s="45">
        <v>0</v>
      </c>
      <c r="BF122" s="106">
        <v>0</v>
      </c>
      <c r="BG122" s="107">
        <f t="shared" si="443"/>
        <v>0.55803773006134971</v>
      </c>
      <c r="BH122" s="108">
        <f t="shared" si="444"/>
        <v>0</v>
      </c>
      <c r="BI122" s="106">
        <v>0</v>
      </c>
      <c r="BJ122" s="106">
        <v>0</v>
      </c>
      <c r="BK122" s="106">
        <v>0</v>
      </c>
      <c r="BL122" s="106">
        <v>1942.35</v>
      </c>
      <c r="BM122" s="107">
        <f t="shared" si="445"/>
        <v>0.14411262798634811</v>
      </c>
      <c r="BN122" s="108">
        <f t="shared" si="446"/>
        <v>0</v>
      </c>
      <c r="BO122" s="45">
        <v>7668</v>
      </c>
      <c r="BP122" s="45">
        <v>0</v>
      </c>
      <c r="BQ122" s="45"/>
      <c r="BR122" s="109">
        <v>-700</v>
      </c>
      <c r="BS122" s="45">
        <f t="shared" si="447"/>
        <v>0</v>
      </c>
      <c r="BT122" s="45">
        <v>4485</v>
      </c>
      <c r="BU122" s="45">
        <f t="shared" si="447"/>
        <v>4485</v>
      </c>
      <c r="BV122" s="45">
        <v>0</v>
      </c>
      <c r="BW122" s="45">
        <f t="shared" ref="BW122:BY122" si="790">IF(BV122&gt;0,BV122,0)</f>
        <v>0</v>
      </c>
      <c r="BX122" s="45">
        <v>-683.88580000000002</v>
      </c>
      <c r="BY122" s="45">
        <f t="shared" si="790"/>
        <v>0</v>
      </c>
      <c r="BZ122" s="45">
        <v>-5300</v>
      </c>
      <c r="CA122" s="45">
        <f t="shared" ref="CA122:CC122" si="791">IF(BZ122&gt;0,BZ122,0)</f>
        <v>0</v>
      </c>
      <c r="CB122" s="45">
        <v>-4000</v>
      </c>
      <c r="CC122" s="45">
        <f t="shared" si="791"/>
        <v>0</v>
      </c>
      <c r="CD122" s="45">
        <v>-4800</v>
      </c>
      <c r="CE122" s="45">
        <f t="shared" ref="CE122:CG122" si="792">IF(CD122&gt;0,CD122,0)</f>
        <v>0</v>
      </c>
      <c r="CF122" s="45">
        <v>13306.642140329999</v>
      </c>
      <c r="CG122" s="45">
        <f t="shared" si="792"/>
        <v>13306.642140329999</v>
      </c>
      <c r="CH122" s="107">
        <f t="shared" si="451"/>
        <v>17791.642140329997</v>
      </c>
      <c r="CI122" s="45"/>
      <c r="CJ122" s="109">
        <v>-700</v>
      </c>
      <c r="CK122" s="45">
        <f t="shared" si="452"/>
        <v>700</v>
      </c>
      <c r="CL122" s="45">
        <v>4485</v>
      </c>
      <c r="CM122" s="45">
        <f t="shared" si="452"/>
        <v>0</v>
      </c>
      <c r="CN122" s="45">
        <v>0</v>
      </c>
      <c r="CO122" s="45">
        <f t="shared" ref="CO122:CQ122" si="793">IF(CN122&lt;0,-CN122,0)</f>
        <v>0</v>
      </c>
      <c r="CP122" s="45">
        <v>-683.88580000000002</v>
      </c>
      <c r="CQ122" s="45">
        <f t="shared" si="793"/>
        <v>683.88580000000002</v>
      </c>
      <c r="CR122" s="45">
        <v>-5300</v>
      </c>
      <c r="CS122" s="45">
        <f t="shared" ref="CS122:CU122" si="794">IF(CR122&lt;0,-CR122,0)</f>
        <v>5300</v>
      </c>
      <c r="CT122" s="45">
        <v>-4000</v>
      </c>
      <c r="CU122" s="45">
        <f t="shared" si="794"/>
        <v>4000</v>
      </c>
      <c r="CV122" s="45">
        <v>-4800</v>
      </c>
      <c r="CW122" s="45">
        <f t="shared" ref="CW122:CY122" si="795">IF(CV122&lt;0,-CV122,0)</f>
        <v>4800</v>
      </c>
      <c r="CX122" s="45">
        <v>13306.642140329999</v>
      </c>
      <c r="CY122" s="45">
        <f t="shared" si="795"/>
        <v>0</v>
      </c>
      <c r="CZ122" s="107">
        <f t="shared" si="456"/>
        <v>15483.8858</v>
      </c>
      <c r="DA122" s="45"/>
      <c r="DB122" s="110">
        <v>35256.648000000001</v>
      </c>
      <c r="DC122" s="57">
        <v>2218.6370000000002</v>
      </c>
      <c r="DD122" s="61">
        <v>1550.2014247498</v>
      </c>
      <c r="DE122" s="61">
        <f t="shared" si="457"/>
        <v>39025.486424749804</v>
      </c>
      <c r="DF122" s="110">
        <v>9036.2420000000002</v>
      </c>
      <c r="DG122" s="110">
        <v>60391.411</v>
      </c>
      <c r="DH122" s="57">
        <v>8219</v>
      </c>
      <c r="DI122" s="107">
        <f t="shared" si="458"/>
        <v>68610.410999999993</v>
      </c>
      <c r="DJ122" s="45"/>
      <c r="DK122" s="110">
        <v>615.07899999999995</v>
      </c>
      <c r="DL122" s="57">
        <v>10493.065843074541</v>
      </c>
      <c r="DM122" s="57">
        <f t="shared" si="459"/>
        <v>11108.14484307454</v>
      </c>
      <c r="DN122" s="61">
        <v>1260.738922991665</v>
      </c>
      <c r="DO122" s="61">
        <v>2899.4091042639602</v>
      </c>
      <c r="DP122" s="61">
        <v>461.72651774000002</v>
      </c>
      <c r="DQ122" s="57">
        <f t="shared" si="460"/>
        <v>3361.1356220039602</v>
      </c>
      <c r="DR122" s="57">
        <v>161.07828357022001</v>
      </c>
      <c r="DS122" s="57">
        <v>161.07828357022001</v>
      </c>
      <c r="DT122" s="5"/>
      <c r="DU122" s="73">
        <v>0</v>
      </c>
      <c r="DV122" s="156">
        <v>6779.6610170000004</v>
      </c>
      <c r="DW122" s="155">
        <v>1447.7400829999999</v>
      </c>
      <c r="DX122" s="155">
        <v>0</v>
      </c>
      <c r="DY122" s="73">
        <v>0</v>
      </c>
      <c r="DZ122" s="156">
        <v>574.75671642999998</v>
      </c>
      <c r="EA122" s="73">
        <v>0</v>
      </c>
      <c r="EB122" s="156">
        <v>1271.1864410000001</v>
      </c>
      <c r="EC122" s="73">
        <v>0</v>
      </c>
      <c r="ED122" s="156">
        <v>847.5</v>
      </c>
      <c r="EE122" s="73">
        <v>0</v>
      </c>
      <c r="EF122" s="156">
        <v>7397.5988710000001</v>
      </c>
      <c r="EG122" s="73">
        <v>0</v>
      </c>
      <c r="EH122" s="156">
        <v>6779.6610170000004</v>
      </c>
      <c r="EI122" s="159">
        <v>574.75671642999998</v>
      </c>
      <c r="EJ122" s="162">
        <v>847.5</v>
      </c>
      <c r="EK122" s="165">
        <v>735.83500000000004</v>
      </c>
      <c r="EL122" s="159">
        <v>461.72651774000002</v>
      </c>
      <c r="EM122" s="159">
        <f t="shared" si="461"/>
        <v>10964.025395000001</v>
      </c>
      <c r="EN122" s="159">
        <f t="shared" si="462"/>
        <v>0</v>
      </c>
      <c r="EP122" s="2">
        <v>22398.400799999999</v>
      </c>
      <c r="EQ122" s="5">
        <f t="shared" si="463"/>
        <v>0.91199999999999992</v>
      </c>
    </row>
    <row r="123" spans="13:147" x14ac:dyDescent="0.35">
      <c r="M123" s="5"/>
      <c r="N123" s="66">
        <f t="shared" si="464"/>
        <v>121</v>
      </c>
      <c r="O123" s="78">
        <v>0</v>
      </c>
      <c r="P123" s="77">
        <f t="shared" si="431"/>
        <v>0</v>
      </c>
      <c r="Q123" s="104">
        <v>0</v>
      </c>
      <c r="R123" s="77">
        <f t="shared" si="432"/>
        <v>0</v>
      </c>
      <c r="S123" s="104">
        <v>0</v>
      </c>
      <c r="T123" s="77">
        <f t="shared" si="433"/>
        <v>0</v>
      </c>
      <c r="U123" s="104">
        <v>0</v>
      </c>
      <c r="V123" s="77">
        <f t="shared" si="646"/>
        <v>0</v>
      </c>
      <c r="W123" s="104">
        <v>0</v>
      </c>
      <c r="X123" s="77">
        <f t="shared" si="647"/>
        <v>0</v>
      </c>
      <c r="Y123" s="104">
        <v>0</v>
      </c>
      <c r="Z123" s="77">
        <f t="shared" si="434"/>
        <v>0</v>
      </c>
      <c r="AA123" s="104">
        <v>0</v>
      </c>
      <c r="AB123" s="77">
        <f t="shared" si="435"/>
        <v>0</v>
      </c>
      <c r="AC123" s="5"/>
      <c r="AD123" s="66">
        <f t="shared" si="465"/>
        <v>121</v>
      </c>
      <c r="AE123" s="78">
        <v>43876.901400000002</v>
      </c>
      <c r="AF123" s="104">
        <v>1455.9</v>
      </c>
      <c r="AG123" s="78">
        <v>316.5</v>
      </c>
      <c r="AH123" s="61">
        <f t="shared" si="436"/>
        <v>0.49299999999999999</v>
      </c>
      <c r="AI123" s="61">
        <f t="shared" si="437"/>
        <v>0.63300000000000001</v>
      </c>
      <c r="AJ123" s="61">
        <f t="shared" si="438"/>
        <v>0.63300000000000001</v>
      </c>
      <c r="AK123" s="77">
        <v>115.634</v>
      </c>
      <c r="AL123" s="104">
        <v>3271.8516</v>
      </c>
      <c r="AM123" s="61">
        <f t="shared" si="648"/>
        <v>0.17899999999999999</v>
      </c>
      <c r="AN123" s="57">
        <f t="shared" si="649"/>
        <v>0.28099999999999997</v>
      </c>
      <c r="AO123" s="78">
        <v>38356</v>
      </c>
      <c r="AP123" s="104">
        <v>22348.2</v>
      </c>
      <c r="AQ123" s="61">
        <f t="shared" si="439"/>
        <v>0.86</v>
      </c>
      <c r="AR123" s="57">
        <f t="shared" si="440"/>
        <v>0.95200000000000007</v>
      </c>
      <c r="AS123" s="45"/>
      <c r="AT123" s="78">
        <v>886.55799999999999</v>
      </c>
      <c r="AU123" s="77">
        <f t="shared" si="650"/>
        <v>0.3600001624259947</v>
      </c>
      <c r="AV123" s="78">
        <v>875.71799999999996</v>
      </c>
      <c r="AW123" s="77">
        <f t="shared" si="651"/>
        <v>0.5449396390790292</v>
      </c>
      <c r="AX123" s="78">
        <v>1121.4780000000001</v>
      </c>
      <c r="AY123" s="77">
        <f t="shared" si="441"/>
        <v>0.5784392407674851</v>
      </c>
      <c r="AZ123" s="45"/>
      <c r="BA123" s="75">
        <v>55924.239000000001</v>
      </c>
      <c r="BB123" s="77">
        <f t="shared" si="442"/>
        <v>0.80327868852459017</v>
      </c>
      <c r="BC123" s="45"/>
      <c r="BD123" s="105">
        <v>18734.704000000002</v>
      </c>
      <c r="BE123" s="45">
        <v>0</v>
      </c>
      <c r="BF123" s="106">
        <v>0</v>
      </c>
      <c r="BG123" s="107">
        <f t="shared" si="443"/>
        <v>0.57468417177914111</v>
      </c>
      <c r="BH123" s="108">
        <f t="shared" si="444"/>
        <v>0</v>
      </c>
      <c r="BI123" s="106">
        <v>0</v>
      </c>
      <c r="BJ123" s="106">
        <v>0</v>
      </c>
      <c r="BK123" s="106">
        <v>0</v>
      </c>
      <c r="BL123" s="106">
        <v>1651.961</v>
      </c>
      <c r="BM123" s="107">
        <f t="shared" si="445"/>
        <v>0.12256722065588366</v>
      </c>
      <c r="BN123" s="108">
        <f t="shared" si="446"/>
        <v>0</v>
      </c>
      <c r="BO123" s="45">
        <v>7668</v>
      </c>
      <c r="BP123" s="45">
        <v>0</v>
      </c>
      <c r="BQ123" s="45"/>
      <c r="BR123" s="109">
        <v>-700</v>
      </c>
      <c r="BS123" s="45">
        <f t="shared" si="447"/>
        <v>0</v>
      </c>
      <c r="BT123" s="45">
        <v>4485</v>
      </c>
      <c r="BU123" s="45">
        <f t="shared" si="447"/>
        <v>4485</v>
      </c>
      <c r="BV123" s="45">
        <v>0</v>
      </c>
      <c r="BW123" s="45">
        <f t="shared" ref="BW123:BY123" si="796">IF(BV123&gt;0,BV123,0)</f>
        <v>0</v>
      </c>
      <c r="BX123" s="45">
        <v>5000</v>
      </c>
      <c r="BY123" s="45">
        <f t="shared" si="796"/>
        <v>5000</v>
      </c>
      <c r="BZ123" s="45">
        <v>-5300</v>
      </c>
      <c r="CA123" s="45">
        <f t="shared" ref="CA123:CC123" si="797">IF(BZ123&gt;0,BZ123,0)</f>
        <v>0</v>
      </c>
      <c r="CB123" s="45">
        <v>-4000</v>
      </c>
      <c r="CC123" s="45">
        <f t="shared" si="797"/>
        <v>0</v>
      </c>
      <c r="CD123" s="45">
        <v>-4800</v>
      </c>
      <c r="CE123" s="45">
        <f t="shared" ref="CE123:CG123" si="798">IF(CD123&gt;0,CD123,0)</f>
        <v>0</v>
      </c>
      <c r="CF123" s="45">
        <v>12220.270911269999</v>
      </c>
      <c r="CG123" s="45">
        <f t="shared" si="798"/>
        <v>12220.270911269999</v>
      </c>
      <c r="CH123" s="107">
        <f t="shared" si="451"/>
        <v>21705.270911269999</v>
      </c>
      <c r="CI123" s="45"/>
      <c r="CJ123" s="109">
        <v>-700</v>
      </c>
      <c r="CK123" s="45">
        <f t="shared" si="452"/>
        <v>700</v>
      </c>
      <c r="CL123" s="45">
        <v>4485</v>
      </c>
      <c r="CM123" s="45">
        <f t="shared" si="452"/>
        <v>0</v>
      </c>
      <c r="CN123" s="45">
        <v>0</v>
      </c>
      <c r="CO123" s="45">
        <f t="shared" ref="CO123:CQ123" si="799">IF(CN123&lt;0,-CN123,0)</f>
        <v>0</v>
      </c>
      <c r="CP123" s="45">
        <v>5000</v>
      </c>
      <c r="CQ123" s="45">
        <f t="shared" si="799"/>
        <v>0</v>
      </c>
      <c r="CR123" s="45">
        <v>-5300</v>
      </c>
      <c r="CS123" s="45">
        <f t="shared" ref="CS123:CU123" si="800">IF(CR123&lt;0,-CR123,0)</f>
        <v>5300</v>
      </c>
      <c r="CT123" s="45">
        <v>-4000</v>
      </c>
      <c r="CU123" s="45">
        <f t="shared" si="800"/>
        <v>4000</v>
      </c>
      <c r="CV123" s="45">
        <v>-4800</v>
      </c>
      <c r="CW123" s="45">
        <f t="shared" ref="CW123:CY123" si="801">IF(CV123&lt;0,-CV123,0)</f>
        <v>4800</v>
      </c>
      <c r="CX123" s="45">
        <v>12220.270911269999</v>
      </c>
      <c r="CY123" s="45">
        <f t="shared" si="801"/>
        <v>0</v>
      </c>
      <c r="CZ123" s="107">
        <f t="shared" si="456"/>
        <v>14800</v>
      </c>
      <c r="DA123" s="45"/>
      <c r="DB123" s="110">
        <v>32288.242999999999</v>
      </c>
      <c r="DC123" s="57">
        <v>2115.34</v>
      </c>
      <c r="DD123" s="61">
        <v>1260.0656243142</v>
      </c>
      <c r="DE123" s="61">
        <f t="shared" si="457"/>
        <v>35663.648624314199</v>
      </c>
      <c r="DF123" s="110">
        <v>8261.5229999999992</v>
      </c>
      <c r="DG123" s="110">
        <v>55637.411</v>
      </c>
      <c r="DH123" s="57">
        <v>8225</v>
      </c>
      <c r="DI123" s="107">
        <f t="shared" si="458"/>
        <v>63862.411</v>
      </c>
      <c r="DJ123" s="45"/>
      <c r="DK123" s="110">
        <v>651.60199999999998</v>
      </c>
      <c r="DL123" s="57">
        <v>10490.3985776968</v>
      </c>
      <c r="DM123" s="57">
        <f t="shared" si="459"/>
        <v>11142.000577696801</v>
      </c>
      <c r="DN123" s="61">
        <v>1601.956469328378</v>
      </c>
      <c r="DO123" s="61">
        <v>2897.904127127681</v>
      </c>
      <c r="DP123" s="61">
        <v>463.23149487000001</v>
      </c>
      <c r="DQ123" s="57">
        <f t="shared" si="460"/>
        <v>3361.135621997681</v>
      </c>
      <c r="DR123" s="57">
        <v>160.99467372931559</v>
      </c>
      <c r="DS123" s="57">
        <v>160.99467372931559</v>
      </c>
      <c r="DT123" s="5"/>
      <c r="DU123" s="73">
        <v>0</v>
      </c>
      <c r="DV123" s="156">
        <v>6779.6610170000004</v>
      </c>
      <c r="DW123" s="155">
        <v>1447.7400829999999</v>
      </c>
      <c r="DX123" s="155">
        <v>0</v>
      </c>
      <c r="DY123" s="73">
        <v>0</v>
      </c>
      <c r="DZ123" s="156">
        <v>244.84032626999999</v>
      </c>
      <c r="EA123" s="73">
        <v>0</v>
      </c>
      <c r="EB123" s="156">
        <v>1271.1864410000001</v>
      </c>
      <c r="EC123" s="73">
        <v>0</v>
      </c>
      <c r="ED123" s="156">
        <v>847.5</v>
      </c>
      <c r="EE123" s="73">
        <v>0</v>
      </c>
      <c r="EF123" s="156">
        <v>7397.5988710000001</v>
      </c>
      <c r="EG123" s="73">
        <v>0</v>
      </c>
      <c r="EH123" s="156">
        <v>6779.6610170000004</v>
      </c>
      <c r="EI123" s="159">
        <v>244.84032626999999</v>
      </c>
      <c r="EJ123" s="162">
        <v>847.5</v>
      </c>
      <c r="EK123" s="165">
        <v>735.83500000000004</v>
      </c>
      <c r="EL123" s="159">
        <v>463.23149487000001</v>
      </c>
      <c r="EM123" s="159">
        <f t="shared" si="461"/>
        <v>10964.025395000001</v>
      </c>
      <c r="EN123" s="159">
        <f t="shared" si="462"/>
        <v>0</v>
      </c>
      <c r="EP123" s="2">
        <v>22398.400799999999</v>
      </c>
      <c r="EQ123" s="5">
        <f t="shared" si="463"/>
        <v>0.91199999999999992</v>
      </c>
    </row>
    <row r="124" spans="13:147" x14ac:dyDescent="0.35">
      <c r="M124" s="5"/>
      <c r="N124" s="66">
        <f t="shared" si="464"/>
        <v>122</v>
      </c>
      <c r="O124" s="78">
        <v>0</v>
      </c>
      <c r="P124" s="77">
        <f t="shared" si="431"/>
        <v>0</v>
      </c>
      <c r="Q124" s="104">
        <v>0</v>
      </c>
      <c r="R124" s="77">
        <f t="shared" si="432"/>
        <v>0</v>
      </c>
      <c r="S124" s="104">
        <v>0</v>
      </c>
      <c r="T124" s="77">
        <f t="shared" si="433"/>
        <v>0</v>
      </c>
      <c r="U124" s="104">
        <v>0</v>
      </c>
      <c r="V124" s="77">
        <f t="shared" si="646"/>
        <v>0</v>
      </c>
      <c r="W124" s="104">
        <v>0</v>
      </c>
      <c r="X124" s="77">
        <f t="shared" si="647"/>
        <v>0</v>
      </c>
      <c r="Y124" s="104">
        <v>0</v>
      </c>
      <c r="Z124" s="77">
        <f t="shared" si="434"/>
        <v>0</v>
      </c>
      <c r="AA124" s="104">
        <v>0</v>
      </c>
      <c r="AB124" s="77">
        <f t="shared" si="435"/>
        <v>0</v>
      </c>
      <c r="AC124" s="5"/>
      <c r="AD124" s="66">
        <f t="shared" si="465"/>
        <v>122</v>
      </c>
      <c r="AE124" s="78">
        <v>43965.9012</v>
      </c>
      <c r="AF124" s="104">
        <v>1465.1</v>
      </c>
      <c r="AG124" s="78">
        <v>318.5</v>
      </c>
      <c r="AH124" s="61">
        <f t="shared" si="436"/>
        <v>0.49399999999999999</v>
      </c>
      <c r="AI124" s="61">
        <f t="shared" si="437"/>
        <v>0.63700000000000001</v>
      </c>
      <c r="AJ124" s="61">
        <f t="shared" si="438"/>
        <v>0.63700000000000001</v>
      </c>
      <c r="AK124" s="77">
        <v>95.608000000000004</v>
      </c>
      <c r="AL124" s="104">
        <v>2980.7615999999998</v>
      </c>
      <c r="AM124" s="61">
        <f t="shared" si="648"/>
        <v>0.14799999999999999</v>
      </c>
      <c r="AN124" s="57">
        <f t="shared" si="649"/>
        <v>0.25599999999999995</v>
      </c>
      <c r="AO124" s="78">
        <v>36795</v>
      </c>
      <c r="AP124" s="104">
        <v>22301.25</v>
      </c>
      <c r="AQ124" s="61">
        <f t="shared" si="439"/>
        <v>0.82499999999999996</v>
      </c>
      <c r="AR124" s="57">
        <f t="shared" si="440"/>
        <v>0.95</v>
      </c>
      <c r="AS124" s="45"/>
      <c r="AT124" s="78">
        <v>871.78200000000004</v>
      </c>
      <c r="AU124" s="77">
        <f t="shared" si="650"/>
        <v>0.3540001461833952</v>
      </c>
      <c r="AV124" s="78">
        <v>867.94899999999996</v>
      </c>
      <c r="AW124" s="77">
        <f t="shared" si="651"/>
        <v>0.54010516490354699</v>
      </c>
      <c r="AX124" s="78">
        <v>1121.4780000000001</v>
      </c>
      <c r="AY124" s="77">
        <f t="shared" si="441"/>
        <v>0.5784392407674851</v>
      </c>
      <c r="AZ124" s="45"/>
      <c r="BA124" s="75">
        <v>55924.239000000001</v>
      </c>
      <c r="BB124" s="77">
        <f t="shared" si="442"/>
        <v>0.80327868852459017</v>
      </c>
      <c r="BC124" s="45"/>
      <c r="BD124" s="105">
        <v>18766.608</v>
      </c>
      <c r="BE124" s="45">
        <v>0</v>
      </c>
      <c r="BF124" s="106">
        <v>0</v>
      </c>
      <c r="BG124" s="107">
        <f t="shared" si="443"/>
        <v>0.57566282208588959</v>
      </c>
      <c r="BH124" s="108">
        <f t="shared" si="444"/>
        <v>0</v>
      </c>
      <c r="BI124" s="106">
        <v>0</v>
      </c>
      <c r="BJ124" s="106">
        <v>0</v>
      </c>
      <c r="BK124" s="106">
        <v>0</v>
      </c>
      <c r="BL124" s="106">
        <v>1385.38</v>
      </c>
      <c r="BM124" s="107">
        <f t="shared" si="445"/>
        <v>0.10278824751446804</v>
      </c>
      <c r="BN124" s="108">
        <f t="shared" si="446"/>
        <v>0</v>
      </c>
      <c r="BO124" s="45">
        <v>7668</v>
      </c>
      <c r="BP124" s="45">
        <v>0</v>
      </c>
      <c r="BQ124" s="45"/>
      <c r="BR124" s="109">
        <v>-700</v>
      </c>
      <c r="BS124" s="45">
        <f t="shared" si="447"/>
        <v>0</v>
      </c>
      <c r="BT124" s="45">
        <v>4485</v>
      </c>
      <c r="BU124" s="45">
        <f t="shared" si="447"/>
        <v>4485</v>
      </c>
      <c r="BV124" s="45">
        <v>0</v>
      </c>
      <c r="BW124" s="45">
        <f t="shared" ref="BW124:BY124" si="802">IF(BV124&gt;0,BV124,0)</f>
        <v>0</v>
      </c>
      <c r="BX124" s="45">
        <v>5000</v>
      </c>
      <c r="BY124" s="45">
        <f t="shared" si="802"/>
        <v>5000</v>
      </c>
      <c r="BZ124" s="45">
        <v>-5300</v>
      </c>
      <c r="CA124" s="45">
        <f t="shared" ref="CA124:CC124" si="803">IF(BZ124&gt;0,BZ124,0)</f>
        <v>0</v>
      </c>
      <c r="CB124" s="45">
        <v>-4000</v>
      </c>
      <c r="CC124" s="45">
        <f t="shared" si="803"/>
        <v>0</v>
      </c>
      <c r="CD124" s="45">
        <v>-4800</v>
      </c>
      <c r="CE124" s="45">
        <f t="shared" ref="CE124:CG124" si="804">IF(CD124&gt;0,CD124,0)</f>
        <v>0</v>
      </c>
      <c r="CF124" s="45">
        <v>13063.90643606</v>
      </c>
      <c r="CG124" s="45">
        <f t="shared" si="804"/>
        <v>13063.90643606</v>
      </c>
      <c r="CH124" s="107">
        <f t="shared" si="451"/>
        <v>22548.906436060002</v>
      </c>
      <c r="CI124" s="45"/>
      <c r="CJ124" s="109">
        <v>-700</v>
      </c>
      <c r="CK124" s="45">
        <f t="shared" si="452"/>
        <v>700</v>
      </c>
      <c r="CL124" s="45">
        <v>4485</v>
      </c>
      <c r="CM124" s="45">
        <f t="shared" si="452"/>
        <v>0</v>
      </c>
      <c r="CN124" s="45">
        <v>0</v>
      </c>
      <c r="CO124" s="45">
        <f t="shared" ref="CO124:CQ124" si="805">IF(CN124&lt;0,-CN124,0)</f>
        <v>0</v>
      </c>
      <c r="CP124" s="45">
        <v>5000</v>
      </c>
      <c r="CQ124" s="45">
        <f t="shared" si="805"/>
        <v>0</v>
      </c>
      <c r="CR124" s="45">
        <v>-5300</v>
      </c>
      <c r="CS124" s="45">
        <f t="shared" ref="CS124:CU124" si="806">IF(CR124&lt;0,-CR124,0)</f>
        <v>5300</v>
      </c>
      <c r="CT124" s="45">
        <v>-4000</v>
      </c>
      <c r="CU124" s="45">
        <f t="shared" si="806"/>
        <v>4000</v>
      </c>
      <c r="CV124" s="45">
        <v>-4800</v>
      </c>
      <c r="CW124" s="45">
        <f t="shared" ref="CW124:CY124" si="807">IF(CV124&lt;0,-CV124,0)</f>
        <v>4800</v>
      </c>
      <c r="CX124" s="45">
        <v>13063.90643606</v>
      </c>
      <c r="CY124" s="45">
        <f t="shared" si="807"/>
        <v>0</v>
      </c>
      <c r="CZ124" s="107">
        <f t="shared" si="456"/>
        <v>14800</v>
      </c>
      <c r="DA124" s="45"/>
      <c r="DB124" s="110">
        <v>30245.455000000002</v>
      </c>
      <c r="DC124" s="57">
        <v>2040.8309999999999</v>
      </c>
      <c r="DD124" s="61">
        <v>950.67906937949999</v>
      </c>
      <c r="DE124" s="61">
        <f t="shared" si="457"/>
        <v>33236.965069379497</v>
      </c>
      <c r="DF124" s="110">
        <v>7829.38</v>
      </c>
      <c r="DG124" s="110">
        <v>53203.411</v>
      </c>
      <c r="DH124" s="57">
        <v>8281</v>
      </c>
      <c r="DI124" s="107">
        <f t="shared" si="458"/>
        <v>61484.411</v>
      </c>
      <c r="DJ124" s="45"/>
      <c r="DK124" s="110">
        <v>676.44600000000003</v>
      </c>
      <c r="DL124" s="57">
        <v>10490.3985776968</v>
      </c>
      <c r="DM124" s="57">
        <f t="shared" si="459"/>
        <v>11166.8445776968</v>
      </c>
      <c r="DN124" s="61">
        <v>1601.956469328378</v>
      </c>
      <c r="DO124" s="61">
        <v>2897.904127127681</v>
      </c>
      <c r="DP124" s="61">
        <v>463.23149487000001</v>
      </c>
      <c r="DQ124" s="57">
        <f t="shared" si="460"/>
        <v>3361.135621997681</v>
      </c>
      <c r="DR124" s="57">
        <v>160.99467372931559</v>
      </c>
      <c r="DS124" s="57">
        <v>160.99467372931559</v>
      </c>
      <c r="DT124" s="5"/>
      <c r="DU124" s="73">
        <v>0</v>
      </c>
      <c r="DV124" s="156">
        <v>6779.6610170000004</v>
      </c>
      <c r="DW124" s="155">
        <v>1447.7400829999999</v>
      </c>
      <c r="DX124" s="155">
        <v>0</v>
      </c>
      <c r="DY124" s="73">
        <v>0</v>
      </c>
      <c r="DZ124" s="156">
        <v>282.01795542000002</v>
      </c>
      <c r="EA124" s="73">
        <v>0</v>
      </c>
      <c r="EB124" s="156">
        <v>1271.1864410000001</v>
      </c>
      <c r="EC124" s="73">
        <v>0</v>
      </c>
      <c r="ED124" s="156">
        <v>847.5</v>
      </c>
      <c r="EE124" s="73">
        <v>0</v>
      </c>
      <c r="EF124" s="156">
        <v>7397.5988710000001</v>
      </c>
      <c r="EG124" s="73">
        <v>0</v>
      </c>
      <c r="EH124" s="156">
        <v>6779.6610170000004</v>
      </c>
      <c r="EI124" s="159">
        <v>282.01795542000002</v>
      </c>
      <c r="EJ124" s="162">
        <v>847.5</v>
      </c>
      <c r="EK124" s="165">
        <v>735.83500000000004</v>
      </c>
      <c r="EL124" s="159">
        <v>463.23149487000001</v>
      </c>
      <c r="EM124" s="159">
        <f t="shared" si="461"/>
        <v>10964.025395000001</v>
      </c>
      <c r="EN124" s="159">
        <f t="shared" si="462"/>
        <v>0</v>
      </c>
      <c r="EP124" s="2">
        <v>22398.400799999999</v>
      </c>
      <c r="EQ124" s="5">
        <f t="shared" si="463"/>
        <v>0.91199999999999992</v>
      </c>
    </row>
    <row r="125" spans="13:147" x14ac:dyDescent="0.35">
      <c r="M125" s="5"/>
      <c r="N125" s="66">
        <f t="shared" si="464"/>
        <v>123</v>
      </c>
      <c r="O125" s="78">
        <v>0</v>
      </c>
      <c r="P125" s="77">
        <f t="shared" si="431"/>
        <v>0</v>
      </c>
      <c r="Q125" s="104">
        <v>0</v>
      </c>
      <c r="R125" s="77">
        <f t="shared" si="432"/>
        <v>0</v>
      </c>
      <c r="S125" s="104">
        <v>0</v>
      </c>
      <c r="T125" s="77">
        <f t="shared" si="433"/>
        <v>0</v>
      </c>
      <c r="U125" s="104">
        <v>0</v>
      </c>
      <c r="V125" s="77">
        <f t="shared" si="646"/>
        <v>0</v>
      </c>
      <c r="W125" s="104">
        <v>0</v>
      </c>
      <c r="X125" s="77">
        <f t="shared" si="647"/>
        <v>0</v>
      </c>
      <c r="Y125" s="104">
        <v>0</v>
      </c>
      <c r="Z125" s="77">
        <f t="shared" si="434"/>
        <v>0</v>
      </c>
      <c r="AA125" s="104">
        <v>0</v>
      </c>
      <c r="AB125" s="77">
        <f t="shared" si="435"/>
        <v>0</v>
      </c>
      <c r="AC125" s="5"/>
      <c r="AD125" s="66">
        <f t="shared" si="465"/>
        <v>123</v>
      </c>
      <c r="AE125" s="78">
        <v>43342.902600000001</v>
      </c>
      <c r="AF125" s="104">
        <v>1485.8</v>
      </c>
      <c r="AG125" s="78">
        <v>323</v>
      </c>
      <c r="AH125" s="61">
        <f t="shared" si="436"/>
        <v>0.48699999999999999</v>
      </c>
      <c r="AI125" s="61">
        <f t="shared" si="437"/>
        <v>0.64600000000000002</v>
      </c>
      <c r="AJ125" s="61">
        <f t="shared" si="438"/>
        <v>0.64600000000000002</v>
      </c>
      <c r="AK125" s="77">
        <v>82.042000000000002</v>
      </c>
      <c r="AL125" s="104">
        <v>2573.2356</v>
      </c>
      <c r="AM125" s="61">
        <f t="shared" si="648"/>
        <v>0.127</v>
      </c>
      <c r="AN125" s="57">
        <f t="shared" si="649"/>
        <v>0.221</v>
      </c>
      <c r="AO125" s="78">
        <v>35323.199999999997</v>
      </c>
      <c r="AP125" s="104">
        <v>22277.775000000001</v>
      </c>
      <c r="AQ125" s="61">
        <f t="shared" si="439"/>
        <v>0.79199999999999993</v>
      </c>
      <c r="AR125" s="57">
        <f t="shared" si="440"/>
        <v>0.94900000000000007</v>
      </c>
      <c r="AS125" s="45"/>
      <c r="AT125" s="78">
        <v>864.39400000000001</v>
      </c>
      <c r="AU125" s="77">
        <f t="shared" si="650"/>
        <v>0.35100013806209546</v>
      </c>
      <c r="AV125" s="78">
        <v>865.53800000000001</v>
      </c>
      <c r="AW125" s="77">
        <f t="shared" si="651"/>
        <v>0.53860485376477907</v>
      </c>
      <c r="AX125" s="78">
        <v>1121.4780000000001</v>
      </c>
      <c r="AY125" s="77">
        <f t="shared" si="441"/>
        <v>0.5784392407674851</v>
      </c>
      <c r="AZ125" s="45"/>
      <c r="BA125" s="75">
        <v>54782.928</v>
      </c>
      <c r="BB125" s="77">
        <f t="shared" si="442"/>
        <v>0.78688524590163933</v>
      </c>
      <c r="BC125" s="45"/>
      <c r="BD125" s="105">
        <v>18516.809000000001</v>
      </c>
      <c r="BE125" s="45">
        <v>0</v>
      </c>
      <c r="BF125" s="106">
        <v>0</v>
      </c>
      <c r="BG125" s="107">
        <f t="shared" si="443"/>
        <v>0.56800027607361969</v>
      </c>
      <c r="BH125" s="108">
        <f t="shared" si="444"/>
        <v>0</v>
      </c>
      <c r="BI125" s="106">
        <v>0</v>
      </c>
      <c r="BJ125" s="106">
        <v>0</v>
      </c>
      <c r="BK125" s="106">
        <v>0</v>
      </c>
      <c r="BL125" s="106">
        <v>1210.2760000000001</v>
      </c>
      <c r="BM125" s="107">
        <f t="shared" si="445"/>
        <v>8.9796408962754121E-2</v>
      </c>
      <c r="BN125" s="108">
        <f t="shared" si="446"/>
        <v>0</v>
      </c>
      <c r="BO125" s="45">
        <v>7668</v>
      </c>
      <c r="BP125" s="45">
        <v>0</v>
      </c>
      <c r="BQ125" s="45"/>
      <c r="BR125" s="109">
        <v>-700</v>
      </c>
      <c r="BS125" s="45">
        <f t="shared" si="447"/>
        <v>0</v>
      </c>
      <c r="BT125" s="45">
        <v>4485</v>
      </c>
      <c r="BU125" s="45">
        <f t="shared" si="447"/>
        <v>4485</v>
      </c>
      <c r="BV125" s="45">
        <v>0</v>
      </c>
      <c r="BW125" s="45">
        <f t="shared" ref="BW125:BY125" si="808">IF(BV125&gt;0,BV125,0)</f>
        <v>0</v>
      </c>
      <c r="BX125" s="45">
        <v>5000</v>
      </c>
      <c r="BY125" s="45">
        <f t="shared" si="808"/>
        <v>5000</v>
      </c>
      <c r="BZ125" s="45">
        <v>-5300</v>
      </c>
      <c r="CA125" s="45">
        <f t="shared" ref="CA125:CC125" si="809">IF(BZ125&gt;0,BZ125,0)</f>
        <v>0</v>
      </c>
      <c r="CB125" s="45">
        <v>-4000</v>
      </c>
      <c r="CC125" s="45">
        <f t="shared" si="809"/>
        <v>0</v>
      </c>
      <c r="CD125" s="45">
        <v>-4800</v>
      </c>
      <c r="CE125" s="45">
        <f t="shared" ref="CE125:CG125" si="810">IF(CD125&gt;0,CD125,0)</f>
        <v>0</v>
      </c>
      <c r="CF125" s="45">
        <v>12577.671658990001</v>
      </c>
      <c r="CG125" s="45">
        <f t="shared" si="810"/>
        <v>12577.671658990001</v>
      </c>
      <c r="CH125" s="107">
        <f t="shared" si="451"/>
        <v>22062.671658990002</v>
      </c>
      <c r="CI125" s="45"/>
      <c r="CJ125" s="109">
        <v>-700</v>
      </c>
      <c r="CK125" s="45">
        <f t="shared" si="452"/>
        <v>700</v>
      </c>
      <c r="CL125" s="45">
        <v>4485</v>
      </c>
      <c r="CM125" s="45">
        <f t="shared" si="452"/>
        <v>0</v>
      </c>
      <c r="CN125" s="45">
        <v>0</v>
      </c>
      <c r="CO125" s="45">
        <f t="shared" ref="CO125:CQ125" si="811">IF(CN125&lt;0,-CN125,0)</f>
        <v>0</v>
      </c>
      <c r="CP125" s="45">
        <v>5000</v>
      </c>
      <c r="CQ125" s="45">
        <f t="shared" si="811"/>
        <v>0</v>
      </c>
      <c r="CR125" s="45">
        <v>-5300</v>
      </c>
      <c r="CS125" s="45">
        <f t="shared" ref="CS125:CU125" si="812">IF(CR125&lt;0,-CR125,0)</f>
        <v>5300</v>
      </c>
      <c r="CT125" s="45">
        <v>-4000</v>
      </c>
      <c r="CU125" s="45">
        <f t="shared" si="812"/>
        <v>4000</v>
      </c>
      <c r="CV125" s="45">
        <v>-4800</v>
      </c>
      <c r="CW125" s="45">
        <f t="shared" ref="CW125:CY125" si="813">IF(CV125&lt;0,-CV125,0)</f>
        <v>4800</v>
      </c>
      <c r="CX125" s="45">
        <v>12577.671658990001</v>
      </c>
      <c r="CY125" s="45">
        <f t="shared" si="813"/>
        <v>0</v>
      </c>
      <c r="CZ125" s="107">
        <f t="shared" si="456"/>
        <v>14800</v>
      </c>
      <c r="DA125" s="45"/>
      <c r="DB125" s="110">
        <v>28715.371999999999</v>
      </c>
      <c r="DC125" s="57">
        <v>1992.9269999999999</v>
      </c>
      <c r="DD125" s="61">
        <v>1573.8567565034</v>
      </c>
      <c r="DE125" s="61">
        <f t="shared" si="457"/>
        <v>32282.155756503398</v>
      </c>
      <c r="DF125" s="110">
        <v>7422.616</v>
      </c>
      <c r="DG125" s="110">
        <v>51297.411</v>
      </c>
      <c r="DH125" s="57">
        <v>8434</v>
      </c>
      <c r="DI125" s="107">
        <f t="shared" si="458"/>
        <v>59731.411</v>
      </c>
      <c r="DJ125" s="45"/>
      <c r="DK125" s="110">
        <v>733.84299999999996</v>
      </c>
      <c r="DL125" s="57">
        <v>10490.3985776968</v>
      </c>
      <c r="DM125" s="57">
        <f t="shared" si="459"/>
        <v>11224.241577696801</v>
      </c>
      <c r="DN125" s="61">
        <v>1601.956469328378</v>
      </c>
      <c r="DO125" s="61">
        <v>2897.904127127681</v>
      </c>
      <c r="DP125" s="61">
        <v>463.23149487000001</v>
      </c>
      <c r="DQ125" s="57">
        <f t="shared" si="460"/>
        <v>3361.135621997681</v>
      </c>
      <c r="DR125" s="57">
        <v>160.99467372931559</v>
      </c>
      <c r="DS125" s="57">
        <v>160.99467372931559</v>
      </c>
      <c r="DT125" s="5"/>
      <c r="DU125" s="73">
        <v>0</v>
      </c>
      <c r="DV125" s="156">
        <v>6779.6610170000004</v>
      </c>
      <c r="DW125" s="155">
        <v>1447.7400829999999</v>
      </c>
      <c r="DX125" s="155">
        <v>0</v>
      </c>
      <c r="DY125" s="73">
        <v>0</v>
      </c>
      <c r="DZ125" s="156">
        <v>574.84032626999999</v>
      </c>
      <c r="EA125" s="73">
        <v>0</v>
      </c>
      <c r="EB125" s="156">
        <v>1271.1864410000001</v>
      </c>
      <c r="EC125" s="73">
        <v>0</v>
      </c>
      <c r="ED125" s="156">
        <v>847.5</v>
      </c>
      <c r="EE125" s="73">
        <v>0</v>
      </c>
      <c r="EF125" s="156">
        <v>7397.5988710000001</v>
      </c>
      <c r="EG125" s="73">
        <v>0</v>
      </c>
      <c r="EH125" s="156">
        <v>6779.6610170000004</v>
      </c>
      <c r="EI125" s="159">
        <v>574.84032626999999</v>
      </c>
      <c r="EJ125" s="162">
        <v>847.5</v>
      </c>
      <c r="EK125" s="165">
        <v>735.83500000000004</v>
      </c>
      <c r="EL125" s="159">
        <v>463.23149487000001</v>
      </c>
      <c r="EM125" s="159">
        <f t="shared" si="461"/>
        <v>10964.025395000001</v>
      </c>
      <c r="EN125" s="159">
        <f t="shared" si="462"/>
        <v>0</v>
      </c>
      <c r="EP125" s="2">
        <v>22398.400799999999</v>
      </c>
      <c r="EQ125" s="5">
        <f t="shared" si="463"/>
        <v>0.91199999999999992</v>
      </c>
    </row>
    <row r="126" spans="13:147" x14ac:dyDescent="0.35">
      <c r="M126" s="5"/>
      <c r="N126" s="66">
        <f t="shared" si="464"/>
        <v>124</v>
      </c>
      <c r="O126" s="78">
        <v>0</v>
      </c>
      <c r="P126" s="77">
        <f t="shared" si="431"/>
        <v>0</v>
      </c>
      <c r="Q126" s="104">
        <v>0</v>
      </c>
      <c r="R126" s="77">
        <f t="shared" si="432"/>
        <v>0</v>
      </c>
      <c r="S126" s="104">
        <v>0</v>
      </c>
      <c r="T126" s="77">
        <f t="shared" si="433"/>
        <v>0</v>
      </c>
      <c r="U126" s="104">
        <v>0</v>
      </c>
      <c r="V126" s="77">
        <f t="shared" si="646"/>
        <v>0</v>
      </c>
      <c r="W126" s="104">
        <v>0</v>
      </c>
      <c r="X126" s="77">
        <f t="shared" si="647"/>
        <v>0</v>
      </c>
      <c r="Y126" s="104">
        <v>0</v>
      </c>
      <c r="Z126" s="77">
        <f t="shared" si="434"/>
        <v>0</v>
      </c>
      <c r="AA126" s="104">
        <v>0</v>
      </c>
      <c r="AB126" s="77">
        <f t="shared" si="435"/>
        <v>0</v>
      </c>
      <c r="AC126" s="5"/>
      <c r="AD126" s="66">
        <f t="shared" si="465"/>
        <v>124</v>
      </c>
      <c r="AE126" s="78">
        <v>43253.902800000003</v>
      </c>
      <c r="AF126" s="104">
        <v>1501.9</v>
      </c>
      <c r="AG126" s="78">
        <v>326.5</v>
      </c>
      <c r="AH126" s="61">
        <f t="shared" si="436"/>
        <v>0.48600000000000004</v>
      </c>
      <c r="AI126" s="61">
        <f t="shared" si="437"/>
        <v>0.65300000000000002</v>
      </c>
      <c r="AJ126" s="61">
        <f t="shared" si="438"/>
        <v>0.65300000000000002</v>
      </c>
      <c r="AK126" s="77">
        <v>72.998000000000005</v>
      </c>
      <c r="AL126" s="104">
        <v>2317.0763999999999</v>
      </c>
      <c r="AM126" s="61">
        <f t="shared" si="648"/>
        <v>0.113</v>
      </c>
      <c r="AN126" s="57">
        <f t="shared" si="649"/>
        <v>0.19899999999999998</v>
      </c>
      <c r="AO126" s="78">
        <v>33896</v>
      </c>
      <c r="AP126" s="104">
        <v>22230.825000000001</v>
      </c>
      <c r="AQ126" s="61">
        <f t="shared" si="439"/>
        <v>0.76</v>
      </c>
      <c r="AR126" s="57">
        <f t="shared" si="440"/>
        <v>0.94700000000000006</v>
      </c>
      <c r="AS126" s="45"/>
      <c r="AT126" s="78">
        <v>861.93100000000004</v>
      </c>
      <c r="AU126" s="77">
        <f t="shared" si="650"/>
        <v>0.35000000000000003</v>
      </c>
      <c r="AV126" s="78">
        <v>873.54</v>
      </c>
      <c r="AW126" s="77">
        <f t="shared" si="651"/>
        <v>0.54358431860609835</v>
      </c>
      <c r="AX126" s="78">
        <v>1121.4780000000001</v>
      </c>
      <c r="AY126" s="77">
        <f t="shared" si="441"/>
        <v>0.5784392407674851</v>
      </c>
      <c r="AZ126" s="45"/>
      <c r="BA126" s="75">
        <v>54782.928</v>
      </c>
      <c r="BB126" s="77">
        <f t="shared" si="442"/>
        <v>0.78688524590163933</v>
      </c>
      <c r="BC126" s="45"/>
      <c r="BD126" s="105">
        <v>18469.036</v>
      </c>
      <c r="BE126" s="45">
        <v>0</v>
      </c>
      <c r="BF126" s="106">
        <v>0</v>
      </c>
      <c r="BG126" s="107">
        <f t="shared" si="443"/>
        <v>0.56653484662576692</v>
      </c>
      <c r="BH126" s="108">
        <f t="shared" si="444"/>
        <v>0</v>
      </c>
      <c r="BI126" s="106">
        <v>0</v>
      </c>
      <c r="BJ126" s="106">
        <v>0</v>
      </c>
      <c r="BK126" s="106">
        <v>0</v>
      </c>
      <c r="BL126" s="106">
        <v>1103.001</v>
      </c>
      <c r="BM126" s="107">
        <f t="shared" si="445"/>
        <v>8.183714200920017E-2</v>
      </c>
      <c r="BN126" s="108">
        <f t="shared" si="446"/>
        <v>0</v>
      </c>
      <c r="BO126" s="45">
        <v>7668</v>
      </c>
      <c r="BP126" s="45">
        <v>0</v>
      </c>
      <c r="BQ126" s="45"/>
      <c r="BR126" s="109">
        <v>-700</v>
      </c>
      <c r="BS126" s="45">
        <f t="shared" si="447"/>
        <v>0</v>
      </c>
      <c r="BT126" s="45">
        <v>4485</v>
      </c>
      <c r="BU126" s="45">
        <f t="shared" si="447"/>
        <v>4485</v>
      </c>
      <c r="BV126" s="45">
        <v>0</v>
      </c>
      <c r="BW126" s="45">
        <f t="shared" ref="BW126:BY126" si="814">IF(BV126&gt;0,BV126,0)</f>
        <v>0</v>
      </c>
      <c r="BX126" s="45">
        <v>5000</v>
      </c>
      <c r="BY126" s="45">
        <f t="shared" si="814"/>
        <v>5000</v>
      </c>
      <c r="BZ126" s="45">
        <v>-5300</v>
      </c>
      <c r="CA126" s="45">
        <f t="shared" ref="CA126:CC126" si="815">IF(BZ126&gt;0,BZ126,0)</f>
        <v>0</v>
      </c>
      <c r="CB126" s="45">
        <v>-4000</v>
      </c>
      <c r="CC126" s="45">
        <f t="shared" si="815"/>
        <v>0</v>
      </c>
      <c r="CD126" s="45">
        <v>-4800</v>
      </c>
      <c r="CE126" s="45">
        <f t="shared" ref="CE126:CG126" si="816">IF(CD126&gt;0,CD126,0)</f>
        <v>0</v>
      </c>
      <c r="CF126" s="45">
        <v>12668.28613946</v>
      </c>
      <c r="CG126" s="45">
        <f t="shared" si="816"/>
        <v>12668.28613946</v>
      </c>
      <c r="CH126" s="107">
        <f t="shared" si="451"/>
        <v>22153.28613946</v>
      </c>
      <c r="CI126" s="45"/>
      <c r="CJ126" s="109">
        <v>-700</v>
      </c>
      <c r="CK126" s="45">
        <f t="shared" si="452"/>
        <v>700</v>
      </c>
      <c r="CL126" s="45">
        <v>4485</v>
      </c>
      <c r="CM126" s="45">
        <f t="shared" si="452"/>
        <v>0</v>
      </c>
      <c r="CN126" s="45">
        <v>0</v>
      </c>
      <c r="CO126" s="45">
        <f t="shared" ref="CO126:CQ126" si="817">IF(CN126&lt;0,-CN126,0)</f>
        <v>0</v>
      </c>
      <c r="CP126" s="45">
        <v>5000</v>
      </c>
      <c r="CQ126" s="45">
        <f t="shared" si="817"/>
        <v>0</v>
      </c>
      <c r="CR126" s="45">
        <v>-5300</v>
      </c>
      <c r="CS126" s="45">
        <f t="shared" ref="CS126:CU126" si="818">IF(CR126&lt;0,-CR126,0)</f>
        <v>5300</v>
      </c>
      <c r="CT126" s="45">
        <v>-4000</v>
      </c>
      <c r="CU126" s="45">
        <f t="shared" si="818"/>
        <v>4000</v>
      </c>
      <c r="CV126" s="45">
        <v>-4800</v>
      </c>
      <c r="CW126" s="45">
        <f t="shared" ref="CW126:CY126" si="819">IF(CV126&lt;0,-CV126,0)</f>
        <v>4800</v>
      </c>
      <c r="CX126" s="45">
        <v>12668.28613946</v>
      </c>
      <c r="CY126" s="45">
        <f t="shared" si="819"/>
        <v>0</v>
      </c>
      <c r="CZ126" s="107">
        <f t="shared" si="456"/>
        <v>14800</v>
      </c>
      <c r="DA126" s="45"/>
      <c r="DB126" s="110">
        <v>27649.628000000001</v>
      </c>
      <c r="DC126" s="57">
        <v>1963.6559999999999</v>
      </c>
      <c r="DD126" s="61">
        <v>2506.5258746324998</v>
      </c>
      <c r="DE126" s="61">
        <f t="shared" si="457"/>
        <v>32119.809874632498</v>
      </c>
      <c r="DF126" s="110">
        <v>7222.8249999999998</v>
      </c>
      <c r="DG126" s="110">
        <v>49788.411</v>
      </c>
      <c r="DH126" s="57">
        <v>8314</v>
      </c>
      <c r="DI126" s="107">
        <f t="shared" si="458"/>
        <v>58102.411</v>
      </c>
      <c r="DJ126" s="45"/>
      <c r="DK126" s="110">
        <v>823.94100000000003</v>
      </c>
      <c r="DL126" s="57">
        <v>10490.3985776968</v>
      </c>
      <c r="DM126" s="57">
        <f t="shared" si="459"/>
        <v>11314.339577696801</v>
      </c>
      <c r="DN126" s="61">
        <v>1601.956469328378</v>
      </c>
      <c r="DO126" s="61">
        <v>2897.904127127681</v>
      </c>
      <c r="DP126" s="61">
        <v>463.23149487000001</v>
      </c>
      <c r="DQ126" s="57">
        <f t="shared" si="460"/>
        <v>3361.135621997681</v>
      </c>
      <c r="DR126" s="57">
        <v>160.99467372931559</v>
      </c>
      <c r="DS126" s="57">
        <v>160.99467372931559</v>
      </c>
      <c r="DT126" s="5"/>
      <c r="DU126" s="73">
        <v>0</v>
      </c>
      <c r="DV126" s="156">
        <v>6779.6610170000004</v>
      </c>
      <c r="DW126" s="155">
        <v>1447.7400829999999</v>
      </c>
      <c r="DX126" s="155">
        <v>0</v>
      </c>
      <c r="DY126" s="73">
        <v>0</v>
      </c>
      <c r="DZ126" s="156">
        <v>244.84032626999999</v>
      </c>
      <c r="EA126" s="73">
        <v>0</v>
      </c>
      <c r="EB126" s="156">
        <v>1271.1864410000001</v>
      </c>
      <c r="EC126" s="73">
        <v>0</v>
      </c>
      <c r="ED126" s="156">
        <v>847.5</v>
      </c>
      <c r="EE126" s="73">
        <v>0</v>
      </c>
      <c r="EF126" s="156">
        <v>7397.5988710000001</v>
      </c>
      <c r="EG126" s="73">
        <v>0</v>
      </c>
      <c r="EH126" s="156">
        <v>6779.6610170000004</v>
      </c>
      <c r="EI126" s="159">
        <v>244.84032626999999</v>
      </c>
      <c r="EJ126" s="162">
        <v>847.5</v>
      </c>
      <c r="EK126" s="165">
        <v>735.83500000000004</v>
      </c>
      <c r="EL126" s="159">
        <v>463.23149487000001</v>
      </c>
      <c r="EM126" s="159">
        <f t="shared" si="461"/>
        <v>10964.025395000001</v>
      </c>
      <c r="EN126" s="159">
        <f t="shared" si="462"/>
        <v>0</v>
      </c>
      <c r="EP126" s="2">
        <v>21931.767449999999</v>
      </c>
      <c r="EQ126" s="5">
        <f t="shared" si="463"/>
        <v>0.8929999999999999</v>
      </c>
    </row>
    <row r="127" spans="13:147" x14ac:dyDescent="0.35">
      <c r="M127" s="5"/>
      <c r="N127" s="66">
        <f t="shared" si="464"/>
        <v>125</v>
      </c>
      <c r="O127" s="78">
        <v>0</v>
      </c>
      <c r="P127" s="77">
        <f t="shared" si="431"/>
        <v>0</v>
      </c>
      <c r="Q127" s="104">
        <v>0</v>
      </c>
      <c r="R127" s="77">
        <f t="shared" si="432"/>
        <v>0</v>
      </c>
      <c r="S127" s="104">
        <v>0</v>
      </c>
      <c r="T127" s="77">
        <f t="shared" si="433"/>
        <v>0</v>
      </c>
      <c r="U127" s="104">
        <v>0</v>
      </c>
      <c r="V127" s="77">
        <f t="shared" si="646"/>
        <v>0</v>
      </c>
      <c r="W127" s="104">
        <v>0</v>
      </c>
      <c r="X127" s="77">
        <f t="shared" si="647"/>
        <v>0</v>
      </c>
      <c r="Y127" s="104">
        <v>0</v>
      </c>
      <c r="Z127" s="77">
        <f t="shared" si="434"/>
        <v>0</v>
      </c>
      <c r="AA127" s="104">
        <v>0</v>
      </c>
      <c r="AB127" s="77">
        <f t="shared" si="435"/>
        <v>0</v>
      </c>
      <c r="AC127" s="5"/>
      <c r="AD127" s="66">
        <f t="shared" si="465"/>
        <v>125</v>
      </c>
      <c r="AE127" s="78">
        <v>43075.903200000001</v>
      </c>
      <c r="AF127" s="104">
        <v>1520.3</v>
      </c>
      <c r="AG127" s="78">
        <v>330.5</v>
      </c>
      <c r="AH127" s="61">
        <f t="shared" si="436"/>
        <v>0.48399999999999999</v>
      </c>
      <c r="AI127" s="61">
        <f t="shared" si="437"/>
        <v>0.66100000000000003</v>
      </c>
      <c r="AJ127" s="61">
        <f t="shared" si="438"/>
        <v>0.66100000000000003</v>
      </c>
      <c r="AK127" s="77">
        <v>69.122</v>
      </c>
      <c r="AL127" s="104">
        <v>2317.0763999999999</v>
      </c>
      <c r="AM127" s="61">
        <f t="shared" si="648"/>
        <v>0.107</v>
      </c>
      <c r="AN127" s="57">
        <f t="shared" si="649"/>
        <v>0.19899999999999998</v>
      </c>
      <c r="AO127" s="78">
        <v>32379.599999999999</v>
      </c>
      <c r="AP127" s="104">
        <v>22183.875</v>
      </c>
      <c r="AQ127" s="61">
        <f t="shared" si="439"/>
        <v>0.72599999999999998</v>
      </c>
      <c r="AR127" s="57">
        <f t="shared" si="440"/>
        <v>0.94499999999999995</v>
      </c>
      <c r="AS127" s="45"/>
      <c r="AT127" s="78">
        <v>859.46799999999996</v>
      </c>
      <c r="AU127" s="77">
        <f t="shared" si="650"/>
        <v>0.34899986193790455</v>
      </c>
      <c r="AV127" s="78">
        <v>868.88400000000001</v>
      </c>
      <c r="AW127" s="77">
        <f t="shared" si="651"/>
        <v>0.54068699439950219</v>
      </c>
      <c r="AX127" s="78">
        <v>1121.4780000000001</v>
      </c>
      <c r="AY127" s="77">
        <f t="shared" si="441"/>
        <v>0.5784392407674851</v>
      </c>
      <c r="AZ127" s="45"/>
      <c r="BA127" s="75">
        <v>54782.928</v>
      </c>
      <c r="BB127" s="77">
        <f t="shared" si="442"/>
        <v>0.78688524590163933</v>
      </c>
      <c r="BC127" s="45"/>
      <c r="BD127" s="105">
        <v>18405.225999999999</v>
      </c>
      <c r="BE127" s="45">
        <v>0</v>
      </c>
      <c r="BF127" s="106">
        <v>0</v>
      </c>
      <c r="BG127" s="107">
        <f t="shared" si="443"/>
        <v>0.56457748466257662</v>
      </c>
      <c r="BH127" s="108">
        <f t="shared" si="444"/>
        <v>0</v>
      </c>
      <c r="BI127" s="106">
        <v>0</v>
      </c>
      <c r="BJ127" s="106">
        <v>0</v>
      </c>
      <c r="BK127" s="106">
        <v>0</v>
      </c>
      <c r="BL127" s="106">
        <v>1070.383</v>
      </c>
      <c r="BM127" s="107">
        <f t="shared" si="445"/>
        <v>7.9417050007419498E-2</v>
      </c>
      <c r="BN127" s="108">
        <f t="shared" si="446"/>
        <v>0</v>
      </c>
      <c r="BO127" s="45">
        <v>7668</v>
      </c>
      <c r="BP127" s="45">
        <v>0</v>
      </c>
      <c r="BQ127" s="45"/>
      <c r="BR127" s="109">
        <v>-700</v>
      </c>
      <c r="BS127" s="45">
        <f t="shared" si="447"/>
        <v>0</v>
      </c>
      <c r="BT127" s="45">
        <v>4485</v>
      </c>
      <c r="BU127" s="45">
        <f t="shared" si="447"/>
        <v>4485</v>
      </c>
      <c r="BV127" s="45">
        <v>0</v>
      </c>
      <c r="BW127" s="45">
        <f t="shared" ref="BW127:BY127" si="820">IF(BV127&gt;0,BV127,0)</f>
        <v>0</v>
      </c>
      <c r="BX127" s="45">
        <v>5000</v>
      </c>
      <c r="BY127" s="45">
        <f t="shared" si="820"/>
        <v>5000</v>
      </c>
      <c r="BZ127" s="45">
        <v>-5300</v>
      </c>
      <c r="CA127" s="45">
        <f t="shared" ref="CA127:CC127" si="821">IF(BZ127&gt;0,BZ127,0)</f>
        <v>0</v>
      </c>
      <c r="CB127" s="45">
        <v>-4000</v>
      </c>
      <c r="CC127" s="45">
        <f t="shared" si="821"/>
        <v>0</v>
      </c>
      <c r="CD127" s="45">
        <v>-4800</v>
      </c>
      <c r="CE127" s="45">
        <f t="shared" ref="CE127:CG127" si="822">IF(CD127&gt;0,CD127,0)</f>
        <v>0</v>
      </c>
      <c r="CF127" s="45">
        <v>14235.40496736</v>
      </c>
      <c r="CG127" s="45">
        <f t="shared" si="822"/>
        <v>14235.40496736</v>
      </c>
      <c r="CH127" s="107">
        <f t="shared" si="451"/>
        <v>23720.404967360002</v>
      </c>
      <c r="CI127" s="45"/>
      <c r="CJ127" s="109">
        <v>-700</v>
      </c>
      <c r="CK127" s="45">
        <f t="shared" si="452"/>
        <v>700</v>
      </c>
      <c r="CL127" s="45">
        <v>4485</v>
      </c>
      <c r="CM127" s="45">
        <f t="shared" si="452"/>
        <v>0</v>
      </c>
      <c r="CN127" s="45">
        <v>0</v>
      </c>
      <c r="CO127" s="45">
        <f t="shared" ref="CO127:CQ127" si="823">IF(CN127&lt;0,-CN127,0)</f>
        <v>0</v>
      </c>
      <c r="CP127" s="45">
        <v>5000</v>
      </c>
      <c r="CQ127" s="45">
        <f t="shared" si="823"/>
        <v>0</v>
      </c>
      <c r="CR127" s="45">
        <v>-5300</v>
      </c>
      <c r="CS127" s="45">
        <f t="shared" ref="CS127:CU127" si="824">IF(CR127&lt;0,-CR127,0)</f>
        <v>5300</v>
      </c>
      <c r="CT127" s="45">
        <v>-4000</v>
      </c>
      <c r="CU127" s="45">
        <f t="shared" si="824"/>
        <v>4000</v>
      </c>
      <c r="CV127" s="45">
        <v>-4800</v>
      </c>
      <c r="CW127" s="45">
        <f t="shared" ref="CW127:CY127" si="825">IF(CV127&lt;0,-CV127,0)</f>
        <v>4800</v>
      </c>
      <c r="CX127" s="45">
        <v>14235.40496736</v>
      </c>
      <c r="CY127" s="45">
        <f t="shared" si="825"/>
        <v>0</v>
      </c>
      <c r="CZ127" s="107">
        <f t="shared" si="456"/>
        <v>14800</v>
      </c>
      <c r="DA127" s="45"/>
      <c r="DB127" s="110">
        <v>26674.839</v>
      </c>
      <c r="DC127" s="57">
        <v>1954.9349999999999</v>
      </c>
      <c r="DD127" s="61">
        <v>2823.7174552667002</v>
      </c>
      <c r="DE127" s="61">
        <f t="shared" si="457"/>
        <v>31453.491455266703</v>
      </c>
      <c r="DF127" s="110">
        <v>7161.9179999999997</v>
      </c>
      <c r="DG127" s="110">
        <v>49954.411</v>
      </c>
      <c r="DH127" s="57">
        <v>8423</v>
      </c>
      <c r="DI127" s="107">
        <f t="shared" si="458"/>
        <v>58377.411</v>
      </c>
      <c r="DJ127" s="45"/>
      <c r="DK127" s="110">
        <v>966.65</v>
      </c>
      <c r="DL127" s="57">
        <v>10522.090845252949</v>
      </c>
      <c r="DM127" s="57">
        <f t="shared" si="459"/>
        <v>11488.740845252949</v>
      </c>
      <c r="DN127" s="61">
        <v>1601.956469328378</v>
      </c>
      <c r="DO127" s="61">
        <v>2914.6033376229539</v>
      </c>
      <c r="DP127" s="61">
        <v>446.53228438000002</v>
      </c>
      <c r="DQ127" s="57">
        <f t="shared" si="460"/>
        <v>3361.1356220029538</v>
      </c>
      <c r="DR127" s="57">
        <v>161.92240764571969</v>
      </c>
      <c r="DS127" s="57">
        <v>161.92240764571969</v>
      </c>
      <c r="DT127" s="5"/>
      <c r="DU127" s="73">
        <v>0</v>
      </c>
      <c r="DV127" s="156">
        <v>6779.6610170000004</v>
      </c>
      <c r="DW127" s="155">
        <v>1447.7400829999999</v>
      </c>
      <c r="DX127" s="155">
        <v>0</v>
      </c>
      <c r="DY127" s="73">
        <v>0</v>
      </c>
      <c r="DZ127" s="156">
        <v>243.91259235000001</v>
      </c>
      <c r="EA127" s="73">
        <v>0</v>
      </c>
      <c r="EB127" s="156">
        <v>1271.1864410000001</v>
      </c>
      <c r="EC127" s="73">
        <v>0</v>
      </c>
      <c r="ED127" s="156">
        <v>847.5</v>
      </c>
      <c r="EE127" s="73">
        <v>0</v>
      </c>
      <c r="EF127" s="156">
        <v>7397.5988710000001</v>
      </c>
      <c r="EG127" s="73">
        <v>0</v>
      </c>
      <c r="EH127" s="156">
        <v>6779.6610170000004</v>
      </c>
      <c r="EI127" s="159">
        <v>243.91259235000001</v>
      </c>
      <c r="EJ127" s="162">
        <v>847.5</v>
      </c>
      <c r="EK127" s="165">
        <v>735.83500000000004</v>
      </c>
      <c r="EL127" s="159">
        <v>446.53228438000002</v>
      </c>
      <c r="EM127" s="159">
        <f t="shared" si="461"/>
        <v>10964.025395000001</v>
      </c>
      <c r="EN127" s="159">
        <f t="shared" si="462"/>
        <v>0</v>
      </c>
      <c r="EP127" s="2">
        <v>21931.767449999999</v>
      </c>
      <c r="EQ127" s="5">
        <f t="shared" si="463"/>
        <v>0.8929999999999999</v>
      </c>
    </row>
    <row r="128" spans="13:147" x14ac:dyDescent="0.35">
      <c r="M128" s="5"/>
      <c r="N128" s="66">
        <f t="shared" si="464"/>
        <v>126</v>
      </c>
      <c r="O128" s="78">
        <v>0</v>
      </c>
      <c r="P128" s="77">
        <f t="shared" si="431"/>
        <v>0</v>
      </c>
      <c r="Q128" s="104">
        <v>0</v>
      </c>
      <c r="R128" s="77">
        <f t="shared" si="432"/>
        <v>0</v>
      </c>
      <c r="S128" s="104">
        <v>0</v>
      </c>
      <c r="T128" s="77">
        <f t="shared" si="433"/>
        <v>0</v>
      </c>
      <c r="U128" s="104">
        <v>0</v>
      </c>
      <c r="V128" s="77">
        <f t="shared" si="646"/>
        <v>0</v>
      </c>
      <c r="W128" s="104">
        <v>0</v>
      </c>
      <c r="X128" s="77">
        <f t="shared" si="647"/>
        <v>0</v>
      </c>
      <c r="Y128" s="104">
        <v>0</v>
      </c>
      <c r="Z128" s="77">
        <f t="shared" si="434"/>
        <v>0</v>
      </c>
      <c r="AA128" s="104">
        <v>0</v>
      </c>
      <c r="AB128" s="77">
        <f t="shared" si="435"/>
        <v>0</v>
      </c>
      <c r="AC128" s="5"/>
      <c r="AD128" s="66">
        <f t="shared" si="465"/>
        <v>126</v>
      </c>
      <c r="AE128" s="78">
        <v>42630.904199999997</v>
      </c>
      <c r="AF128" s="104">
        <v>1545.6</v>
      </c>
      <c r="AG128" s="78">
        <v>336</v>
      </c>
      <c r="AH128" s="61">
        <f t="shared" si="436"/>
        <v>0.47899999999999993</v>
      </c>
      <c r="AI128" s="61">
        <f t="shared" si="437"/>
        <v>0.67199999999999993</v>
      </c>
      <c r="AJ128" s="61">
        <f t="shared" si="438"/>
        <v>0.67200000000000004</v>
      </c>
      <c r="AK128" s="77">
        <v>71.706000000000003</v>
      </c>
      <c r="AL128" s="104">
        <v>2549.9484000000002</v>
      </c>
      <c r="AM128" s="61">
        <f t="shared" si="648"/>
        <v>0.111</v>
      </c>
      <c r="AN128" s="57">
        <f t="shared" si="649"/>
        <v>0.219</v>
      </c>
      <c r="AO128" s="78">
        <v>30328</v>
      </c>
      <c r="AP128" s="104">
        <v>21996.075000000001</v>
      </c>
      <c r="AQ128" s="61">
        <f t="shared" si="439"/>
        <v>0.68</v>
      </c>
      <c r="AR128" s="57">
        <f t="shared" si="440"/>
        <v>0.93700000000000006</v>
      </c>
      <c r="AS128" s="45"/>
      <c r="AT128" s="78">
        <v>861.93100000000004</v>
      </c>
      <c r="AU128" s="77">
        <f t="shared" si="650"/>
        <v>0.35000000000000003</v>
      </c>
      <c r="AV128" s="78">
        <v>869.72199999999998</v>
      </c>
      <c r="AW128" s="77">
        <f t="shared" si="651"/>
        <v>0.54120846297448666</v>
      </c>
      <c r="AX128" s="78">
        <v>1121.4780000000001</v>
      </c>
      <c r="AY128" s="77">
        <f t="shared" si="441"/>
        <v>0.5784392407674851</v>
      </c>
      <c r="AZ128" s="45"/>
      <c r="BA128" s="75">
        <v>54782.928</v>
      </c>
      <c r="BB128" s="77">
        <f t="shared" si="442"/>
        <v>0.78688524590163933</v>
      </c>
      <c r="BC128" s="45"/>
      <c r="BD128" s="105">
        <v>18195.759999999998</v>
      </c>
      <c r="BE128" s="45">
        <v>0</v>
      </c>
      <c r="BF128" s="106">
        <v>0</v>
      </c>
      <c r="BG128" s="107">
        <f t="shared" si="443"/>
        <v>0.55815214723926376</v>
      </c>
      <c r="BH128" s="108">
        <f t="shared" si="444"/>
        <v>0</v>
      </c>
      <c r="BI128" s="106">
        <v>0</v>
      </c>
      <c r="BJ128" s="106">
        <v>0</v>
      </c>
      <c r="BK128" s="106">
        <v>0</v>
      </c>
      <c r="BL128" s="106">
        <v>1130.0530000000001</v>
      </c>
      <c r="BM128" s="107">
        <f t="shared" si="445"/>
        <v>8.3844264727704412E-2</v>
      </c>
      <c r="BN128" s="108">
        <f t="shared" si="446"/>
        <v>0</v>
      </c>
      <c r="BO128" s="45">
        <v>7668</v>
      </c>
      <c r="BP128" s="45">
        <v>0</v>
      </c>
      <c r="BQ128" s="45"/>
      <c r="BR128" s="109">
        <v>-700</v>
      </c>
      <c r="BS128" s="45">
        <f t="shared" si="447"/>
        <v>0</v>
      </c>
      <c r="BT128" s="45">
        <v>4485</v>
      </c>
      <c r="BU128" s="45">
        <f t="shared" si="447"/>
        <v>4485</v>
      </c>
      <c r="BV128" s="45">
        <v>0</v>
      </c>
      <c r="BW128" s="45">
        <f t="shared" ref="BW128:BY128" si="826">IF(BV128&gt;0,BV128,0)</f>
        <v>0</v>
      </c>
      <c r="BX128" s="45">
        <v>5000</v>
      </c>
      <c r="BY128" s="45">
        <f t="shared" si="826"/>
        <v>5000</v>
      </c>
      <c r="BZ128" s="45">
        <v>-5300</v>
      </c>
      <c r="CA128" s="45">
        <f t="shared" ref="CA128:CC128" si="827">IF(BZ128&gt;0,BZ128,0)</f>
        <v>0</v>
      </c>
      <c r="CB128" s="45">
        <v>-4000</v>
      </c>
      <c r="CC128" s="45">
        <f t="shared" si="827"/>
        <v>0</v>
      </c>
      <c r="CD128" s="45">
        <v>-4800</v>
      </c>
      <c r="CE128" s="45">
        <f t="shared" ref="CE128:CG128" si="828">IF(CD128&gt;0,CD128,0)</f>
        <v>0</v>
      </c>
      <c r="CF128" s="45">
        <v>9656.2819886399993</v>
      </c>
      <c r="CG128" s="45">
        <f t="shared" si="828"/>
        <v>9656.2819886399993</v>
      </c>
      <c r="CH128" s="107">
        <f t="shared" si="451"/>
        <v>19141.281988639999</v>
      </c>
      <c r="CI128" s="45"/>
      <c r="CJ128" s="109">
        <v>-700</v>
      </c>
      <c r="CK128" s="45">
        <f t="shared" si="452"/>
        <v>700</v>
      </c>
      <c r="CL128" s="45">
        <v>4485</v>
      </c>
      <c r="CM128" s="45">
        <f t="shared" si="452"/>
        <v>0</v>
      </c>
      <c r="CN128" s="45">
        <v>0</v>
      </c>
      <c r="CO128" s="45">
        <f t="shared" ref="CO128:CQ128" si="829">IF(CN128&lt;0,-CN128,0)</f>
        <v>0</v>
      </c>
      <c r="CP128" s="45">
        <v>5000</v>
      </c>
      <c r="CQ128" s="45">
        <f t="shared" si="829"/>
        <v>0</v>
      </c>
      <c r="CR128" s="45">
        <v>-5300</v>
      </c>
      <c r="CS128" s="45">
        <f t="shared" ref="CS128:CU128" si="830">IF(CR128&lt;0,-CR128,0)</f>
        <v>5300</v>
      </c>
      <c r="CT128" s="45">
        <v>-4000</v>
      </c>
      <c r="CU128" s="45">
        <f t="shared" si="830"/>
        <v>4000</v>
      </c>
      <c r="CV128" s="45">
        <v>-4800</v>
      </c>
      <c r="CW128" s="45">
        <f t="shared" ref="CW128:CY128" si="831">IF(CV128&lt;0,-CV128,0)</f>
        <v>4800</v>
      </c>
      <c r="CX128" s="45">
        <v>9656.2819886399993</v>
      </c>
      <c r="CY128" s="45">
        <f t="shared" si="831"/>
        <v>0</v>
      </c>
      <c r="CZ128" s="107">
        <f t="shared" si="456"/>
        <v>14800</v>
      </c>
      <c r="DA128" s="45"/>
      <c r="DB128" s="110">
        <v>25702.917000000001</v>
      </c>
      <c r="DC128" s="57">
        <v>1954.27</v>
      </c>
      <c r="DD128" s="61">
        <v>3014.0000332421</v>
      </c>
      <c r="DE128" s="61">
        <f t="shared" si="457"/>
        <v>30671.187033242102</v>
      </c>
      <c r="DF128" s="110">
        <v>7218.1629999999996</v>
      </c>
      <c r="DG128" s="110">
        <v>51094.411</v>
      </c>
      <c r="DH128" s="57">
        <v>8504</v>
      </c>
      <c r="DI128" s="107">
        <f t="shared" si="458"/>
        <v>59598.411</v>
      </c>
      <c r="DJ128" s="45"/>
      <c r="DK128" s="110">
        <v>1137.078</v>
      </c>
      <c r="DL128" s="57">
        <v>10553.7831128091</v>
      </c>
      <c r="DM128" s="57">
        <f t="shared" si="459"/>
        <v>11690.8611128091</v>
      </c>
      <c r="DN128" s="61">
        <v>1601.956469328378</v>
      </c>
      <c r="DO128" s="61">
        <v>2931.3025481182272</v>
      </c>
      <c r="DP128" s="61">
        <v>429.83307387999997</v>
      </c>
      <c r="DQ128" s="57">
        <f t="shared" si="460"/>
        <v>3361.1356219982272</v>
      </c>
      <c r="DR128" s="57">
        <v>162.8501415621237</v>
      </c>
      <c r="DS128" s="57">
        <v>162.8501415621237</v>
      </c>
      <c r="DT128" s="5"/>
      <c r="DU128" s="73">
        <v>0</v>
      </c>
      <c r="DV128" s="156">
        <v>6779.6610170000004</v>
      </c>
      <c r="DW128" s="155">
        <v>1447.7400829999999</v>
      </c>
      <c r="DX128" s="155">
        <v>0</v>
      </c>
      <c r="DY128" s="73">
        <v>0</v>
      </c>
      <c r="DZ128" s="156">
        <v>242.98485844000001</v>
      </c>
      <c r="EA128" s="73">
        <v>0</v>
      </c>
      <c r="EB128" s="156">
        <v>1271.1864410000001</v>
      </c>
      <c r="EC128" s="73">
        <v>0</v>
      </c>
      <c r="ED128" s="156">
        <v>847.5</v>
      </c>
      <c r="EE128" s="73">
        <v>0</v>
      </c>
      <c r="EF128" s="156">
        <v>7397.5988710000001</v>
      </c>
      <c r="EG128" s="73">
        <v>0</v>
      </c>
      <c r="EH128" s="156">
        <v>6779.6610170000004</v>
      </c>
      <c r="EI128" s="159">
        <v>242.98485844000001</v>
      </c>
      <c r="EJ128" s="162">
        <v>847.5</v>
      </c>
      <c r="EK128" s="165">
        <v>735.83500000000004</v>
      </c>
      <c r="EL128" s="159">
        <v>429.83307387999997</v>
      </c>
      <c r="EM128" s="159">
        <f t="shared" si="461"/>
        <v>10964.025395000001</v>
      </c>
      <c r="EN128" s="159">
        <f t="shared" si="462"/>
        <v>0</v>
      </c>
      <c r="EP128" s="2">
        <v>21465.134099999999</v>
      </c>
      <c r="EQ128" s="5">
        <f t="shared" si="463"/>
        <v>0.87399999999999989</v>
      </c>
    </row>
    <row r="129" spans="13:147" x14ac:dyDescent="0.35">
      <c r="M129" s="5"/>
      <c r="N129" s="66">
        <f t="shared" si="464"/>
        <v>127</v>
      </c>
      <c r="O129" s="78">
        <v>0</v>
      </c>
      <c r="P129" s="77">
        <f t="shared" si="431"/>
        <v>0</v>
      </c>
      <c r="Q129" s="104">
        <v>0</v>
      </c>
      <c r="R129" s="77">
        <f t="shared" si="432"/>
        <v>0</v>
      </c>
      <c r="S129" s="104">
        <v>0</v>
      </c>
      <c r="T129" s="77">
        <f t="shared" si="433"/>
        <v>0</v>
      </c>
      <c r="U129" s="104">
        <v>0</v>
      </c>
      <c r="V129" s="77">
        <f t="shared" si="646"/>
        <v>0</v>
      </c>
      <c r="W129" s="104">
        <v>0</v>
      </c>
      <c r="X129" s="77">
        <f t="shared" si="647"/>
        <v>0</v>
      </c>
      <c r="Y129" s="104">
        <v>0</v>
      </c>
      <c r="Z129" s="77">
        <f t="shared" si="434"/>
        <v>0</v>
      </c>
      <c r="AA129" s="104">
        <v>0</v>
      </c>
      <c r="AB129" s="77">
        <f t="shared" si="435"/>
        <v>0</v>
      </c>
      <c r="AC129" s="5"/>
      <c r="AD129" s="66">
        <f t="shared" si="465"/>
        <v>127</v>
      </c>
      <c r="AE129" s="78">
        <v>42096.905400000003</v>
      </c>
      <c r="AF129" s="104">
        <v>1570.9</v>
      </c>
      <c r="AG129" s="78">
        <v>341.5</v>
      </c>
      <c r="AH129" s="61">
        <f t="shared" si="436"/>
        <v>0.47300000000000003</v>
      </c>
      <c r="AI129" s="61">
        <f t="shared" si="437"/>
        <v>0.68300000000000005</v>
      </c>
      <c r="AJ129" s="61">
        <f t="shared" si="438"/>
        <v>0.68300000000000005</v>
      </c>
      <c r="AK129" s="77">
        <v>71.706000000000003</v>
      </c>
      <c r="AL129" s="104">
        <v>2887.6127999999999</v>
      </c>
      <c r="AM129" s="61">
        <f t="shared" si="648"/>
        <v>0.111</v>
      </c>
      <c r="AN129" s="57">
        <f t="shared" si="649"/>
        <v>0.24799999999999997</v>
      </c>
      <c r="AO129" s="78">
        <v>27830.400000000001</v>
      </c>
      <c r="AP129" s="104">
        <v>21550.05</v>
      </c>
      <c r="AQ129" s="61">
        <f t="shared" si="439"/>
        <v>0.624</v>
      </c>
      <c r="AR129" s="57">
        <f t="shared" si="440"/>
        <v>0.91799999999999993</v>
      </c>
      <c r="AS129" s="45"/>
      <c r="AT129" s="78">
        <v>857.00599999999997</v>
      </c>
      <c r="AU129" s="77">
        <f t="shared" si="650"/>
        <v>0.34800012994079571</v>
      </c>
      <c r="AV129" s="78">
        <v>889.26300000000003</v>
      </c>
      <c r="AW129" s="77">
        <f t="shared" si="651"/>
        <v>0.5533683883011824</v>
      </c>
      <c r="AX129" s="78">
        <v>1121.4780000000001</v>
      </c>
      <c r="AY129" s="77">
        <f t="shared" si="441"/>
        <v>0.5784392407674851</v>
      </c>
      <c r="AZ129" s="45"/>
      <c r="BA129" s="75">
        <v>54782.928</v>
      </c>
      <c r="BB129" s="77">
        <f t="shared" si="442"/>
        <v>0.78688524590163933</v>
      </c>
      <c r="BC129" s="45"/>
      <c r="BD129" s="105">
        <v>17964.437000000002</v>
      </c>
      <c r="BE129" s="45">
        <v>0</v>
      </c>
      <c r="BF129" s="106">
        <v>0</v>
      </c>
      <c r="BG129" s="107">
        <f t="shared" si="443"/>
        <v>0.55105634969325157</v>
      </c>
      <c r="BH129" s="108">
        <f t="shared" si="444"/>
        <v>0</v>
      </c>
      <c r="BI129" s="106">
        <v>0</v>
      </c>
      <c r="BJ129" s="106">
        <v>0</v>
      </c>
      <c r="BK129" s="106">
        <v>0</v>
      </c>
      <c r="BL129" s="106">
        <v>1140.329</v>
      </c>
      <c r="BM129" s="107">
        <f t="shared" si="445"/>
        <v>8.4606692387594593E-2</v>
      </c>
      <c r="BN129" s="108">
        <f t="shared" si="446"/>
        <v>0</v>
      </c>
      <c r="BO129" s="45">
        <v>7668</v>
      </c>
      <c r="BP129" s="45">
        <v>0</v>
      </c>
      <c r="BQ129" s="45"/>
      <c r="BR129" s="109">
        <v>-700</v>
      </c>
      <c r="BS129" s="45">
        <f t="shared" si="447"/>
        <v>0</v>
      </c>
      <c r="BT129" s="45">
        <v>4485</v>
      </c>
      <c r="BU129" s="45">
        <f t="shared" si="447"/>
        <v>4485</v>
      </c>
      <c r="BV129" s="45">
        <v>0</v>
      </c>
      <c r="BW129" s="45">
        <f t="shared" ref="BW129:BY129" si="832">IF(BV129&gt;0,BV129,0)</f>
        <v>0</v>
      </c>
      <c r="BX129" s="45">
        <v>5000</v>
      </c>
      <c r="BY129" s="45">
        <f t="shared" si="832"/>
        <v>5000</v>
      </c>
      <c r="BZ129" s="45">
        <v>-5300</v>
      </c>
      <c r="CA129" s="45">
        <f t="shared" ref="CA129:CC129" si="833">IF(BZ129&gt;0,BZ129,0)</f>
        <v>0</v>
      </c>
      <c r="CB129" s="45">
        <v>-4000</v>
      </c>
      <c r="CC129" s="45">
        <f t="shared" si="833"/>
        <v>0</v>
      </c>
      <c r="CD129" s="45">
        <v>-4800</v>
      </c>
      <c r="CE129" s="45">
        <f t="shared" ref="CE129:CG129" si="834">IF(CD129&gt;0,CD129,0)</f>
        <v>0</v>
      </c>
      <c r="CF129" s="45">
        <v>9797.1520919699997</v>
      </c>
      <c r="CG129" s="45">
        <f t="shared" si="834"/>
        <v>9797.1520919699997</v>
      </c>
      <c r="CH129" s="107">
        <f t="shared" si="451"/>
        <v>19282.152091969998</v>
      </c>
      <c r="CI129" s="45"/>
      <c r="CJ129" s="109">
        <v>-700</v>
      </c>
      <c r="CK129" s="45">
        <f t="shared" si="452"/>
        <v>700</v>
      </c>
      <c r="CL129" s="45">
        <v>4485</v>
      </c>
      <c r="CM129" s="45">
        <f t="shared" si="452"/>
        <v>0</v>
      </c>
      <c r="CN129" s="45">
        <v>0</v>
      </c>
      <c r="CO129" s="45">
        <f t="shared" ref="CO129:CQ129" si="835">IF(CN129&lt;0,-CN129,0)</f>
        <v>0</v>
      </c>
      <c r="CP129" s="45">
        <v>5000</v>
      </c>
      <c r="CQ129" s="45">
        <f t="shared" si="835"/>
        <v>0</v>
      </c>
      <c r="CR129" s="45">
        <v>-5300</v>
      </c>
      <c r="CS129" s="45">
        <f t="shared" ref="CS129:CU129" si="836">IF(CR129&lt;0,-CR129,0)</f>
        <v>5300</v>
      </c>
      <c r="CT129" s="45">
        <v>-4000</v>
      </c>
      <c r="CU129" s="45">
        <f t="shared" si="836"/>
        <v>4000</v>
      </c>
      <c r="CV129" s="45">
        <v>-4800</v>
      </c>
      <c r="CW129" s="45">
        <f t="shared" ref="CW129:CY129" si="837">IF(CV129&lt;0,-CV129,0)</f>
        <v>4800</v>
      </c>
      <c r="CX129" s="45">
        <v>9797.1520919699997</v>
      </c>
      <c r="CY129" s="45">
        <f t="shared" si="837"/>
        <v>0</v>
      </c>
      <c r="CZ129" s="107">
        <f t="shared" si="456"/>
        <v>14800</v>
      </c>
      <c r="DA129" s="45"/>
      <c r="DB129" s="110">
        <v>25607.171999999999</v>
      </c>
      <c r="DC129" s="57">
        <v>1976.7650000000001</v>
      </c>
      <c r="DD129" s="61">
        <v>3811.2824580247002</v>
      </c>
      <c r="DE129" s="61">
        <f t="shared" si="457"/>
        <v>31395.219458024698</v>
      </c>
      <c r="DF129" s="110">
        <v>7347.2060000000001</v>
      </c>
      <c r="DG129" s="110">
        <v>52453.411</v>
      </c>
      <c r="DH129" s="57">
        <v>8629</v>
      </c>
      <c r="DI129" s="107">
        <f t="shared" si="458"/>
        <v>61082.411</v>
      </c>
      <c r="DJ129" s="45"/>
      <c r="DK129" s="110">
        <v>1197.922</v>
      </c>
      <c r="DL129" s="57">
        <v>10569.62924658717</v>
      </c>
      <c r="DM129" s="57">
        <f t="shared" si="459"/>
        <v>11767.551246587171</v>
      </c>
      <c r="DN129" s="61">
        <v>1601.956469328378</v>
      </c>
      <c r="DO129" s="61">
        <v>2939.6521533658638</v>
      </c>
      <c r="DP129" s="61">
        <v>421.48346863</v>
      </c>
      <c r="DQ129" s="57">
        <f t="shared" si="460"/>
        <v>3361.1356219958639</v>
      </c>
      <c r="DR129" s="57">
        <v>163.31400852032581</v>
      </c>
      <c r="DS129" s="57">
        <v>163.31400852032581</v>
      </c>
      <c r="DT129" s="5"/>
      <c r="DU129" s="73">
        <v>0</v>
      </c>
      <c r="DV129" s="156">
        <v>6779.6610170000004</v>
      </c>
      <c r="DW129" s="155">
        <v>1447.7400829999999</v>
      </c>
      <c r="DX129" s="155">
        <v>0</v>
      </c>
      <c r="DY129" s="73">
        <v>0</v>
      </c>
      <c r="DZ129" s="156">
        <v>242.52099147999999</v>
      </c>
      <c r="EA129" s="73">
        <v>0</v>
      </c>
      <c r="EB129" s="156">
        <v>1271.1864410000001</v>
      </c>
      <c r="EC129" s="73">
        <v>0</v>
      </c>
      <c r="ED129" s="156">
        <v>847.5</v>
      </c>
      <c r="EE129" s="73">
        <v>0</v>
      </c>
      <c r="EF129" s="156">
        <v>7397.5988710000001</v>
      </c>
      <c r="EG129" s="73">
        <v>0</v>
      </c>
      <c r="EH129" s="156">
        <v>6779.6610170000004</v>
      </c>
      <c r="EI129" s="159">
        <v>242.52099147999999</v>
      </c>
      <c r="EJ129" s="162">
        <v>847.5</v>
      </c>
      <c r="EK129" s="165">
        <v>735.83500000000004</v>
      </c>
      <c r="EL129" s="159">
        <v>421.48346863</v>
      </c>
      <c r="EM129" s="159">
        <f t="shared" si="461"/>
        <v>10964.025395000001</v>
      </c>
      <c r="EN129" s="159">
        <f t="shared" si="462"/>
        <v>0</v>
      </c>
      <c r="EP129" s="2">
        <v>21465.134099999999</v>
      </c>
      <c r="EQ129" s="5">
        <f t="shared" si="463"/>
        <v>0.87399999999999989</v>
      </c>
    </row>
    <row r="130" spans="13:147" x14ac:dyDescent="0.35">
      <c r="M130" s="5"/>
      <c r="N130" s="66">
        <f t="shared" si="464"/>
        <v>128</v>
      </c>
      <c r="O130" s="78">
        <v>0</v>
      </c>
      <c r="P130" s="77">
        <f t="shared" si="431"/>
        <v>0</v>
      </c>
      <c r="Q130" s="104">
        <v>0</v>
      </c>
      <c r="R130" s="77">
        <f t="shared" si="432"/>
        <v>0</v>
      </c>
      <c r="S130" s="104">
        <v>0</v>
      </c>
      <c r="T130" s="77">
        <f t="shared" si="433"/>
        <v>0</v>
      </c>
      <c r="U130" s="104">
        <v>0</v>
      </c>
      <c r="V130" s="77">
        <f t="shared" si="646"/>
        <v>0</v>
      </c>
      <c r="W130" s="104">
        <v>0</v>
      </c>
      <c r="X130" s="77">
        <f t="shared" si="647"/>
        <v>0</v>
      </c>
      <c r="Y130" s="104">
        <v>0</v>
      </c>
      <c r="Z130" s="77">
        <f t="shared" si="434"/>
        <v>0</v>
      </c>
      <c r="AA130" s="104">
        <v>0</v>
      </c>
      <c r="AB130" s="77">
        <f t="shared" si="435"/>
        <v>0</v>
      </c>
      <c r="AC130" s="5"/>
      <c r="AD130" s="66">
        <f t="shared" si="465"/>
        <v>128</v>
      </c>
      <c r="AE130" s="78">
        <v>40672.908600000002</v>
      </c>
      <c r="AF130" s="104">
        <v>1607.7</v>
      </c>
      <c r="AG130" s="78">
        <v>349.5</v>
      </c>
      <c r="AH130" s="61">
        <f t="shared" si="436"/>
        <v>0.45700000000000002</v>
      </c>
      <c r="AI130" s="61">
        <f t="shared" si="437"/>
        <v>0.69900000000000007</v>
      </c>
      <c r="AJ130" s="61">
        <f t="shared" si="438"/>
        <v>0.69899999999999995</v>
      </c>
      <c r="AK130" s="77">
        <v>71.06</v>
      </c>
      <c r="AL130" s="104">
        <v>3143.7719999999999</v>
      </c>
      <c r="AM130" s="61">
        <f t="shared" si="648"/>
        <v>0.11</v>
      </c>
      <c r="AN130" s="57">
        <f t="shared" si="649"/>
        <v>0.26999999999999996</v>
      </c>
      <c r="AO130" s="78">
        <v>24886.799999999999</v>
      </c>
      <c r="AP130" s="104">
        <v>20822.325000000001</v>
      </c>
      <c r="AQ130" s="61">
        <f t="shared" si="439"/>
        <v>0.55799999999999994</v>
      </c>
      <c r="AR130" s="57">
        <f t="shared" si="440"/>
        <v>0.88700000000000001</v>
      </c>
      <c r="AS130" s="45"/>
      <c r="AT130" s="78">
        <v>854.54300000000001</v>
      </c>
      <c r="AU130" s="77">
        <f t="shared" si="650"/>
        <v>0.34699999187870029</v>
      </c>
      <c r="AV130" s="78">
        <v>932.255</v>
      </c>
      <c r="AW130" s="77">
        <f t="shared" si="651"/>
        <v>0.58012134411947724</v>
      </c>
      <c r="AX130" s="78">
        <v>1121.4780000000001</v>
      </c>
      <c r="AY130" s="77">
        <f t="shared" si="441"/>
        <v>0.5784392407674851</v>
      </c>
      <c r="AZ130" s="45"/>
      <c r="BA130" s="75">
        <v>54782.928</v>
      </c>
      <c r="BB130" s="77">
        <f t="shared" si="442"/>
        <v>0.78688524590163933</v>
      </c>
      <c r="BC130" s="45"/>
      <c r="BD130" s="105">
        <v>17384.257000000001</v>
      </c>
      <c r="BE130" s="45">
        <v>0</v>
      </c>
      <c r="BF130" s="106">
        <v>0</v>
      </c>
      <c r="BG130" s="107">
        <f t="shared" si="443"/>
        <v>0.53325941717791414</v>
      </c>
      <c r="BH130" s="108">
        <f t="shared" si="444"/>
        <v>0</v>
      </c>
      <c r="BI130" s="106">
        <v>0</v>
      </c>
      <c r="BJ130" s="106">
        <v>0</v>
      </c>
      <c r="BK130" s="106">
        <v>0</v>
      </c>
      <c r="BL130" s="106">
        <v>1117.5709999999999</v>
      </c>
      <c r="BM130" s="107">
        <f t="shared" si="445"/>
        <v>8.2918162932185777E-2</v>
      </c>
      <c r="BN130" s="108">
        <f t="shared" si="446"/>
        <v>0</v>
      </c>
      <c r="BO130" s="45">
        <v>7668</v>
      </c>
      <c r="BP130" s="45">
        <v>0</v>
      </c>
      <c r="BQ130" s="45"/>
      <c r="BR130" s="109">
        <v>-700</v>
      </c>
      <c r="BS130" s="45">
        <f t="shared" si="447"/>
        <v>0</v>
      </c>
      <c r="BT130" s="45">
        <v>4485</v>
      </c>
      <c r="BU130" s="45">
        <f t="shared" si="447"/>
        <v>4485</v>
      </c>
      <c r="BV130" s="45">
        <v>0</v>
      </c>
      <c r="BW130" s="45">
        <f t="shared" ref="BW130:BY130" si="838">IF(BV130&gt;0,BV130,0)</f>
        <v>0</v>
      </c>
      <c r="BX130" s="45">
        <v>5000</v>
      </c>
      <c r="BY130" s="45">
        <f t="shared" si="838"/>
        <v>5000</v>
      </c>
      <c r="BZ130" s="45">
        <v>-5300</v>
      </c>
      <c r="CA130" s="45">
        <f t="shared" ref="CA130:CC130" si="839">IF(BZ130&gt;0,BZ130,0)</f>
        <v>0</v>
      </c>
      <c r="CB130" s="45">
        <v>-4000</v>
      </c>
      <c r="CC130" s="45">
        <f t="shared" si="839"/>
        <v>0</v>
      </c>
      <c r="CD130" s="45">
        <v>-4800</v>
      </c>
      <c r="CE130" s="45">
        <f t="shared" ref="CE130:CG130" si="840">IF(CD130&gt;0,CD130,0)</f>
        <v>0</v>
      </c>
      <c r="CF130" s="45">
        <v>15456.106359629999</v>
      </c>
      <c r="CG130" s="45">
        <f t="shared" si="840"/>
        <v>15456.106359629999</v>
      </c>
      <c r="CH130" s="107">
        <f t="shared" si="451"/>
        <v>24941.106359630001</v>
      </c>
      <c r="CI130" s="45"/>
      <c r="CJ130" s="109">
        <v>-700</v>
      </c>
      <c r="CK130" s="45">
        <f t="shared" si="452"/>
        <v>700</v>
      </c>
      <c r="CL130" s="45">
        <v>4485</v>
      </c>
      <c r="CM130" s="45">
        <f t="shared" si="452"/>
        <v>0</v>
      </c>
      <c r="CN130" s="45">
        <v>0</v>
      </c>
      <c r="CO130" s="45">
        <f t="shared" ref="CO130:CQ130" si="841">IF(CN130&lt;0,-CN130,0)</f>
        <v>0</v>
      </c>
      <c r="CP130" s="45">
        <v>5000</v>
      </c>
      <c r="CQ130" s="45">
        <f t="shared" si="841"/>
        <v>0</v>
      </c>
      <c r="CR130" s="45">
        <v>-5300</v>
      </c>
      <c r="CS130" s="45">
        <f t="shared" ref="CS130:CU130" si="842">IF(CR130&lt;0,-CR130,0)</f>
        <v>5300</v>
      </c>
      <c r="CT130" s="45">
        <v>-4000</v>
      </c>
      <c r="CU130" s="45">
        <f t="shared" si="842"/>
        <v>4000</v>
      </c>
      <c r="CV130" s="45">
        <v>-4800</v>
      </c>
      <c r="CW130" s="45">
        <f t="shared" ref="CW130:CY130" si="843">IF(CV130&lt;0,-CV130,0)</f>
        <v>4800</v>
      </c>
      <c r="CX130" s="45">
        <v>15456.106359629999</v>
      </c>
      <c r="CY130" s="45">
        <f t="shared" si="843"/>
        <v>0</v>
      </c>
      <c r="CZ130" s="107">
        <f t="shared" si="456"/>
        <v>14800</v>
      </c>
      <c r="DA130" s="45"/>
      <c r="DB130" s="110">
        <v>26750.134999999998</v>
      </c>
      <c r="DC130" s="57">
        <v>2014.7550000000001</v>
      </c>
      <c r="DD130" s="61">
        <v>4286.8717639451997</v>
      </c>
      <c r="DE130" s="61">
        <f t="shared" si="457"/>
        <v>33051.7617639452</v>
      </c>
      <c r="DF130" s="110">
        <v>7433.34</v>
      </c>
      <c r="DG130" s="110">
        <v>53698.411</v>
      </c>
      <c r="DH130" s="57">
        <v>8876</v>
      </c>
      <c r="DI130" s="107">
        <f t="shared" si="458"/>
        <v>62574.411</v>
      </c>
      <c r="DJ130" s="45"/>
      <c r="DK130" s="110">
        <v>1194.913</v>
      </c>
      <c r="DL130" s="57">
        <v>10553.7831128091</v>
      </c>
      <c r="DM130" s="57">
        <f t="shared" si="459"/>
        <v>11748.696112809101</v>
      </c>
      <c r="DN130" s="61">
        <v>1601.956469328378</v>
      </c>
      <c r="DO130" s="61">
        <v>2931.3025481182272</v>
      </c>
      <c r="DP130" s="61">
        <v>429.83307387999997</v>
      </c>
      <c r="DQ130" s="57">
        <f t="shared" si="460"/>
        <v>3361.1356219982272</v>
      </c>
      <c r="DR130" s="57">
        <v>162.8501415621237</v>
      </c>
      <c r="DS130" s="57">
        <v>162.8501415621237</v>
      </c>
      <c r="DT130" s="5"/>
      <c r="DU130" s="73">
        <v>0</v>
      </c>
      <c r="DV130" s="156">
        <v>6779.6610170000004</v>
      </c>
      <c r="DW130" s="155">
        <v>1447.7400829999999</v>
      </c>
      <c r="DX130" s="155">
        <v>0</v>
      </c>
      <c r="DY130" s="73">
        <v>0</v>
      </c>
      <c r="DZ130" s="156">
        <v>572.98485844000004</v>
      </c>
      <c r="EA130" s="73">
        <v>0</v>
      </c>
      <c r="EB130" s="156">
        <v>1271.1864410000001</v>
      </c>
      <c r="EC130" s="73">
        <v>0</v>
      </c>
      <c r="ED130" s="156">
        <v>847.5</v>
      </c>
      <c r="EE130" s="73">
        <v>0</v>
      </c>
      <c r="EF130" s="156">
        <v>7397.5988710000001</v>
      </c>
      <c r="EG130" s="73">
        <v>0</v>
      </c>
      <c r="EH130" s="156">
        <v>6779.6610170000004</v>
      </c>
      <c r="EI130" s="159">
        <v>572.98485844000004</v>
      </c>
      <c r="EJ130" s="162">
        <v>847.5</v>
      </c>
      <c r="EK130" s="165">
        <v>735.83500000000004</v>
      </c>
      <c r="EL130" s="159">
        <v>429.83307387999997</v>
      </c>
      <c r="EM130" s="159">
        <f t="shared" si="461"/>
        <v>10964.025395000001</v>
      </c>
      <c r="EN130" s="159">
        <f t="shared" si="462"/>
        <v>0</v>
      </c>
      <c r="EP130" s="2">
        <v>21465.134099999999</v>
      </c>
      <c r="EQ130" s="5">
        <f t="shared" si="463"/>
        <v>0.87399999999999989</v>
      </c>
    </row>
    <row r="131" spans="13:147" x14ac:dyDescent="0.35">
      <c r="M131" s="5"/>
      <c r="N131" s="66">
        <f t="shared" si="464"/>
        <v>129</v>
      </c>
      <c r="O131" s="78">
        <v>0</v>
      </c>
      <c r="P131" s="77">
        <f t="shared" si="431"/>
        <v>0</v>
      </c>
      <c r="Q131" s="104">
        <v>0</v>
      </c>
      <c r="R131" s="77">
        <f t="shared" si="432"/>
        <v>0</v>
      </c>
      <c r="S131" s="104">
        <v>0</v>
      </c>
      <c r="T131" s="77">
        <f t="shared" si="433"/>
        <v>0</v>
      </c>
      <c r="U131" s="104">
        <v>0</v>
      </c>
      <c r="V131" s="77">
        <f t="shared" ref="V131:V162" si="844">U131/$B$6</f>
        <v>0</v>
      </c>
      <c r="W131" s="104">
        <v>0</v>
      </c>
      <c r="X131" s="77">
        <f t="shared" ref="X131:X162" si="845">W131/$B$7</f>
        <v>0</v>
      </c>
      <c r="Y131" s="104">
        <v>0</v>
      </c>
      <c r="Z131" s="77">
        <f t="shared" si="434"/>
        <v>0</v>
      </c>
      <c r="AA131" s="104">
        <v>0</v>
      </c>
      <c r="AB131" s="77">
        <f t="shared" si="435"/>
        <v>0</v>
      </c>
      <c r="AC131" s="5"/>
      <c r="AD131" s="66">
        <f t="shared" si="465"/>
        <v>129</v>
      </c>
      <c r="AE131" s="78">
        <v>38892.912600000003</v>
      </c>
      <c r="AF131" s="104">
        <v>1639.9</v>
      </c>
      <c r="AG131" s="78">
        <v>356.5</v>
      </c>
      <c r="AH131" s="61">
        <f t="shared" si="436"/>
        <v>0.437</v>
      </c>
      <c r="AI131" s="61">
        <f t="shared" si="437"/>
        <v>0.71300000000000008</v>
      </c>
      <c r="AJ131" s="61">
        <f t="shared" si="438"/>
        <v>0.71299999999999997</v>
      </c>
      <c r="AK131" s="77">
        <v>71.06</v>
      </c>
      <c r="AL131" s="104">
        <v>3143.7719999999999</v>
      </c>
      <c r="AM131" s="61">
        <f t="shared" ref="AM131:AM162" si="846">AK131/$B$9</f>
        <v>0.11</v>
      </c>
      <c r="AN131" s="57">
        <f t="shared" ref="AN131:AN162" si="847">AL131/$B$8</f>
        <v>0.26999999999999996</v>
      </c>
      <c r="AO131" s="78">
        <v>21720.2</v>
      </c>
      <c r="AP131" s="104">
        <v>19742.474999999999</v>
      </c>
      <c r="AQ131" s="61">
        <f t="shared" si="439"/>
        <v>0.48700000000000004</v>
      </c>
      <c r="AR131" s="57">
        <f t="shared" si="440"/>
        <v>0.84099999999999997</v>
      </c>
      <c r="AS131" s="45"/>
      <c r="AT131" s="78">
        <v>864.39400000000001</v>
      </c>
      <c r="AU131" s="77">
        <f t="shared" ref="AU131:AU162" si="848">AT131/$B$10</f>
        <v>0.35100013806209546</v>
      </c>
      <c r="AV131" s="78">
        <v>945.16300000000001</v>
      </c>
      <c r="AW131" s="77">
        <f t="shared" ref="AW131:AW162" si="849">AV131/$B$11</f>
        <v>0.58815370255133792</v>
      </c>
      <c r="AX131" s="78">
        <v>1121.4780000000001</v>
      </c>
      <c r="AY131" s="77">
        <f t="shared" si="441"/>
        <v>0.5784392407674851</v>
      </c>
      <c r="AZ131" s="45"/>
      <c r="BA131" s="75">
        <v>54782.928</v>
      </c>
      <c r="BB131" s="77">
        <f t="shared" si="442"/>
        <v>0.78688524590163933</v>
      </c>
      <c r="BC131" s="45"/>
      <c r="BD131" s="105">
        <v>16762.947</v>
      </c>
      <c r="BE131" s="45">
        <v>0</v>
      </c>
      <c r="BF131" s="106">
        <v>0</v>
      </c>
      <c r="BG131" s="107">
        <f t="shared" si="443"/>
        <v>0.51420082822085889</v>
      </c>
      <c r="BH131" s="108">
        <f t="shared" si="444"/>
        <v>0</v>
      </c>
      <c r="BI131" s="106">
        <v>0</v>
      </c>
      <c r="BJ131" s="106">
        <v>0</v>
      </c>
      <c r="BK131" s="106">
        <v>0</v>
      </c>
      <c r="BL131" s="106">
        <v>1092.5989999999999</v>
      </c>
      <c r="BM131" s="107">
        <f t="shared" si="445"/>
        <v>8.1065365781273185E-2</v>
      </c>
      <c r="BN131" s="108">
        <f t="shared" si="446"/>
        <v>0</v>
      </c>
      <c r="BO131" s="45">
        <v>7668</v>
      </c>
      <c r="BP131" s="45">
        <v>0</v>
      </c>
      <c r="BQ131" s="45"/>
      <c r="BR131" s="109">
        <v>-700</v>
      </c>
      <c r="BS131" s="45">
        <f t="shared" si="447"/>
        <v>0</v>
      </c>
      <c r="BT131" s="45">
        <v>4485</v>
      </c>
      <c r="BU131" s="45">
        <f t="shared" si="447"/>
        <v>4485</v>
      </c>
      <c r="BV131" s="45">
        <v>0</v>
      </c>
      <c r="BW131" s="45">
        <f t="shared" ref="BW131:BY131" si="850">IF(BV131&gt;0,BV131,0)</f>
        <v>0</v>
      </c>
      <c r="BX131" s="45">
        <v>5000</v>
      </c>
      <c r="BY131" s="45">
        <f t="shared" si="850"/>
        <v>5000</v>
      </c>
      <c r="BZ131" s="45">
        <v>-5300</v>
      </c>
      <c r="CA131" s="45">
        <f t="shared" ref="CA131:CC131" si="851">IF(BZ131&gt;0,BZ131,0)</f>
        <v>0</v>
      </c>
      <c r="CB131" s="45">
        <v>-4000</v>
      </c>
      <c r="CC131" s="45">
        <f t="shared" si="851"/>
        <v>0</v>
      </c>
      <c r="CD131" s="45">
        <v>-4800</v>
      </c>
      <c r="CE131" s="45">
        <f t="shared" ref="CE131:CG131" si="852">IF(CD131&gt;0,CD131,0)</f>
        <v>0</v>
      </c>
      <c r="CF131" s="45">
        <v>11004.664095390001</v>
      </c>
      <c r="CG131" s="45">
        <f t="shared" si="852"/>
        <v>11004.664095390001</v>
      </c>
      <c r="CH131" s="107">
        <f t="shared" si="451"/>
        <v>20489.664095389999</v>
      </c>
      <c r="CI131" s="45"/>
      <c r="CJ131" s="109">
        <v>-700</v>
      </c>
      <c r="CK131" s="45">
        <f t="shared" si="452"/>
        <v>700</v>
      </c>
      <c r="CL131" s="45">
        <v>4485</v>
      </c>
      <c r="CM131" s="45">
        <f t="shared" si="452"/>
        <v>0</v>
      </c>
      <c r="CN131" s="45">
        <v>0</v>
      </c>
      <c r="CO131" s="45">
        <f t="shared" ref="CO131:CQ131" si="853">IF(CN131&lt;0,-CN131,0)</f>
        <v>0</v>
      </c>
      <c r="CP131" s="45">
        <v>5000</v>
      </c>
      <c r="CQ131" s="45">
        <f t="shared" si="853"/>
        <v>0</v>
      </c>
      <c r="CR131" s="45">
        <v>-5300</v>
      </c>
      <c r="CS131" s="45">
        <f t="shared" ref="CS131:CU131" si="854">IF(CR131&lt;0,-CR131,0)</f>
        <v>5300</v>
      </c>
      <c r="CT131" s="45">
        <v>-4000</v>
      </c>
      <c r="CU131" s="45">
        <f t="shared" si="854"/>
        <v>4000</v>
      </c>
      <c r="CV131" s="45">
        <v>-4800</v>
      </c>
      <c r="CW131" s="45">
        <f t="shared" ref="CW131:CY131" si="855">IF(CV131&lt;0,-CV131,0)</f>
        <v>4800</v>
      </c>
      <c r="CX131" s="45">
        <v>11004.664095390001</v>
      </c>
      <c r="CY131" s="45">
        <f t="shared" si="855"/>
        <v>0</v>
      </c>
      <c r="CZ131" s="107">
        <f t="shared" si="456"/>
        <v>14800</v>
      </c>
      <c r="DA131" s="45"/>
      <c r="DB131" s="110">
        <v>28634.611000000001</v>
      </c>
      <c r="DC131" s="57">
        <v>2035.595</v>
      </c>
      <c r="DD131" s="61">
        <v>4180.9137475401003</v>
      </c>
      <c r="DE131" s="61">
        <f t="shared" si="457"/>
        <v>34851.119747540099</v>
      </c>
      <c r="DF131" s="110">
        <v>7561.3940000000002</v>
      </c>
      <c r="DG131" s="110">
        <v>54900.411</v>
      </c>
      <c r="DH131" s="57">
        <v>9523</v>
      </c>
      <c r="DI131" s="107">
        <f t="shared" si="458"/>
        <v>64423.411</v>
      </c>
      <c r="DJ131" s="45"/>
      <c r="DK131" s="110">
        <v>1114.79</v>
      </c>
      <c r="DL131" s="57">
        <v>10553.7831128091</v>
      </c>
      <c r="DM131" s="57">
        <f t="shared" si="459"/>
        <v>11668.573112809099</v>
      </c>
      <c r="DN131" s="61">
        <v>1601.956469328378</v>
      </c>
      <c r="DO131" s="61">
        <v>2931.3025481182272</v>
      </c>
      <c r="DP131" s="61">
        <v>429.83307387999997</v>
      </c>
      <c r="DQ131" s="57">
        <f t="shared" si="460"/>
        <v>3361.1356219982272</v>
      </c>
      <c r="DR131" s="57">
        <v>162.8501415621237</v>
      </c>
      <c r="DS131" s="57">
        <v>162.8501415621237</v>
      </c>
      <c r="DT131" s="5"/>
      <c r="DU131" s="73">
        <v>0</v>
      </c>
      <c r="DV131" s="156">
        <v>6779.6610170000004</v>
      </c>
      <c r="DW131" s="155">
        <v>1447.7400829999999</v>
      </c>
      <c r="DX131" s="155">
        <v>0</v>
      </c>
      <c r="DY131" s="73">
        <v>0</v>
      </c>
      <c r="DZ131" s="156">
        <v>572.98485844000004</v>
      </c>
      <c r="EA131" s="73">
        <v>0</v>
      </c>
      <c r="EB131" s="156">
        <v>1271.1864410000001</v>
      </c>
      <c r="EC131" s="73">
        <v>0</v>
      </c>
      <c r="ED131" s="156">
        <v>847.5</v>
      </c>
      <c r="EE131" s="73">
        <v>0</v>
      </c>
      <c r="EF131" s="156">
        <v>7397.5988710000001</v>
      </c>
      <c r="EG131" s="73">
        <v>0</v>
      </c>
      <c r="EH131" s="156">
        <v>6779.6610170000004</v>
      </c>
      <c r="EI131" s="159">
        <v>572.98485844000004</v>
      </c>
      <c r="EJ131" s="162">
        <v>847.5</v>
      </c>
      <c r="EK131" s="165">
        <v>735.83500000000004</v>
      </c>
      <c r="EL131" s="159">
        <v>429.83307387999997</v>
      </c>
      <c r="EM131" s="159">
        <f t="shared" si="461"/>
        <v>10964.025395000001</v>
      </c>
      <c r="EN131" s="159">
        <f t="shared" si="462"/>
        <v>0</v>
      </c>
      <c r="EP131" s="2">
        <v>21465.134099999999</v>
      </c>
      <c r="EQ131" s="5">
        <f t="shared" si="463"/>
        <v>0.87399999999999989</v>
      </c>
    </row>
    <row r="132" spans="13:147" x14ac:dyDescent="0.35">
      <c r="M132" s="5"/>
      <c r="N132" s="66">
        <f t="shared" si="464"/>
        <v>130</v>
      </c>
      <c r="O132" s="78">
        <v>9960</v>
      </c>
      <c r="P132" s="77">
        <f t="shared" ref="P132:P170" si="856">O132/$E$5</f>
        <v>0.12</v>
      </c>
      <c r="Q132" s="104">
        <v>389.20499999999998</v>
      </c>
      <c r="R132" s="77">
        <f t="shared" ref="R132:R170" si="857">Q132/$E$8</f>
        <v>8.1000000000000003E-2</v>
      </c>
      <c r="S132" s="104">
        <v>3810</v>
      </c>
      <c r="T132" s="77">
        <f t="shared" ref="T132:T170" si="858">S132/$E$17</f>
        <v>0.127</v>
      </c>
      <c r="U132" s="104">
        <v>790.80100000000004</v>
      </c>
      <c r="V132" s="77">
        <f t="shared" si="844"/>
        <v>5.5E-2</v>
      </c>
      <c r="W132" s="104">
        <v>299.45690000000002</v>
      </c>
      <c r="X132" s="77">
        <f t="shared" si="845"/>
        <v>3.1000000000000003E-2</v>
      </c>
      <c r="Y132" s="104">
        <v>2828.1</v>
      </c>
      <c r="Z132" s="77">
        <f t="shared" ref="Z132:Z170" si="859">Y132/$K$6</f>
        <v>5.5E-2</v>
      </c>
      <c r="AA132" s="104">
        <v>2223.3984</v>
      </c>
      <c r="AB132" s="77">
        <f t="shared" ref="AB132:AB170" si="860">AA132/$K$16</f>
        <v>4.8000000000000001E-2</v>
      </c>
      <c r="AC132" s="5"/>
      <c r="AD132" s="66">
        <f t="shared" si="465"/>
        <v>130</v>
      </c>
      <c r="AE132" s="78">
        <v>38358.913800000002</v>
      </c>
      <c r="AF132" s="104">
        <v>1658.3</v>
      </c>
      <c r="AG132" s="78">
        <v>360.5</v>
      </c>
      <c r="AH132" s="61">
        <f t="shared" ref="AH132:AH170" si="861">AE132/$E$4</f>
        <v>0.43099999999999999</v>
      </c>
      <c r="AI132" s="61">
        <f t="shared" ref="AI132:AI170" si="862">AF132/$E$6</f>
        <v>0.72099999999999997</v>
      </c>
      <c r="AJ132" s="61">
        <f t="shared" ref="AJ132:AJ170" si="863">AG132/$E$7</f>
        <v>0.72099999999999997</v>
      </c>
      <c r="AK132" s="77">
        <v>76.227999999999994</v>
      </c>
      <c r="AL132" s="104">
        <v>2480.0868</v>
      </c>
      <c r="AM132" s="61">
        <f t="shared" si="846"/>
        <v>0.11799999999999999</v>
      </c>
      <c r="AN132" s="57">
        <f t="shared" si="847"/>
        <v>0.21299999999999999</v>
      </c>
      <c r="AO132" s="78">
        <v>18598.2</v>
      </c>
      <c r="AP132" s="104">
        <v>18287.025000000001</v>
      </c>
      <c r="AQ132" s="61">
        <f t="shared" ref="AQ132:AQ170" si="864">AO132/$K$5</f>
        <v>0.41700000000000004</v>
      </c>
      <c r="AR132" s="57">
        <f t="shared" ref="AR132:AR170" si="865">AP132/$K$7</f>
        <v>0.77900000000000003</v>
      </c>
      <c r="AS132" s="45"/>
      <c r="AT132" s="78">
        <v>869.31899999999996</v>
      </c>
      <c r="AU132" s="77">
        <f t="shared" si="848"/>
        <v>0.35300000812129972</v>
      </c>
      <c r="AV132" s="78">
        <v>947.83399999999995</v>
      </c>
      <c r="AW132" s="77">
        <f t="shared" si="849"/>
        <v>0.58981580584940885</v>
      </c>
      <c r="AX132" s="78">
        <v>1121.4780000000001</v>
      </c>
      <c r="AY132" s="77">
        <f t="shared" ref="AY132:AY170" si="866">AX132/$K$8</f>
        <v>0.5784392407674851</v>
      </c>
      <c r="AZ132" s="45"/>
      <c r="BA132" s="75">
        <v>54782.928</v>
      </c>
      <c r="BB132" s="77">
        <f t="shared" ref="BB132:BB170" si="867">BA132/$K$3</f>
        <v>0.78688524590163933</v>
      </c>
      <c r="BC132" s="45"/>
      <c r="BD132" s="105">
        <v>21083.649000000001</v>
      </c>
      <c r="BE132" s="45">
        <v>0</v>
      </c>
      <c r="BF132" s="106">
        <v>0</v>
      </c>
      <c r="BG132" s="107">
        <f t="shared" ref="BG132:BG170" si="868">BD132/$E$20</f>
        <v>0.64673769938650305</v>
      </c>
      <c r="BH132" s="108">
        <f t="shared" ref="BH132:BH170" si="869">BE132/$E$18+BF132/$E$19</f>
        <v>0</v>
      </c>
      <c r="BI132" s="106">
        <v>0</v>
      </c>
      <c r="BJ132" s="106">
        <v>0</v>
      </c>
      <c r="BK132" s="106">
        <v>0</v>
      </c>
      <c r="BL132" s="106">
        <v>1647.3340000000001</v>
      </c>
      <c r="BM132" s="107">
        <f t="shared" ref="BM132:BM170" si="870">BL132/$H$17</f>
        <v>0.12222392046297671</v>
      </c>
      <c r="BN132" s="108">
        <f t="shared" ref="BN132:BN170" si="871">BI132/$H$14+BJ132/$H$15+BK132/$H$16</f>
        <v>0</v>
      </c>
      <c r="BO132" s="45">
        <v>7668</v>
      </c>
      <c r="BP132" s="45">
        <v>0</v>
      </c>
      <c r="BQ132" s="45"/>
      <c r="BR132" s="109">
        <v>-700</v>
      </c>
      <c r="BS132" s="45">
        <f t="shared" ref="BS132:BU170" si="872">IF(BR132&gt;0,BR132,0)</f>
        <v>0</v>
      </c>
      <c r="BT132" s="45">
        <v>4485</v>
      </c>
      <c r="BU132" s="45">
        <f t="shared" si="872"/>
        <v>4485</v>
      </c>
      <c r="BV132" s="45">
        <v>0</v>
      </c>
      <c r="BW132" s="45">
        <f t="shared" ref="BW132:BY132" si="873">IF(BV132&gt;0,BV132,0)</f>
        <v>0</v>
      </c>
      <c r="BX132" s="45">
        <v>5000</v>
      </c>
      <c r="BY132" s="45">
        <f t="shared" si="873"/>
        <v>5000</v>
      </c>
      <c r="BZ132" s="45">
        <v>-5300</v>
      </c>
      <c r="CA132" s="45">
        <f t="shared" ref="CA132:CC132" si="874">IF(BZ132&gt;0,BZ132,0)</f>
        <v>0</v>
      </c>
      <c r="CB132" s="45">
        <v>-4000</v>
      </c>
      <c r="CC132" s="45">
        <f t="shared" si="874"/>
        <v>0</v>
      </c>
      <c r="CD132" s="45">
        <v>-4800</v>
      </c>
      <c r="CE132" s="45">
        <f t="shared" ref="CE132:CG132" si="875">IF(CD132&gt;0,CD132,0)</f>
        <v>0</v>
      </c>
      <c r="CF132" s="45">
        <v>9604.15692657</v>
      </c>
      <c r="CG132" s="45">
        <f t="shared" si="875"/>
        <v>9604.15692657</v>
      </c>
      <c r="CH132" s="107">
        <f t="shared" ref="CH132:CH170" si="876">BS132+BU132+BW132+BY132+CA132+CC132+CE132+CG132</f>
        <v>19089.156926570002</v>
      </c>
      <c r="CI132" s="45"/>
      <c r="CJ132" s="109">
        <v>-700</v>
      </c>
      <c r="CK132" s="45">
        <f t="shared" ref="CK132:CM170" si="877">IF(CJ132&lt;0,-CJ132,0)</f>
        <v>700</v>
      </c>
      <c r="CL132" s="45">
        <v>4485</v>
      </c>
      <c r="CM132" s="45">
        <f t="shared" si="877"/>
        <v>0</v>
      </c>
      <c r="CN132" s="45">
        <v>0</v>
      </c>
      <c r="CO132" s="45">
        <f t="shared" ref="CO132:CQ132" si="878">IF(CN132&lt;0,-CN132,0)</f>
        <v>0</v>
      </c>
      <c r="CP132" s="45">
        <v>5000</v>
      </c>
      <c r="CQ132" s="45">
        <f t="shared" si="878"/>
        <v>0</v>
      </c>
      <c r="CR132" s="45">
        <v>-5300</v>
      </c>
      <c r="CS132" s="45">
        <f t="shared" ref="CS132:CU132" si="879">IF(CR132&lt;0,-CR132,0)</f>
        <v>5300</v>
      </c>
      <c r="CT132" s="45">
        <v>-4000</v>
      </c>
      <c r="CU132" s="45">
        <f t="shared" si="879"/>
        <v>4000</v>
      </c>
      <c r="CV132" s="45">
        <v>-4800</v>
      </c>
      <c r="CW132" s="45">
        <f t="shared" ref="CW132:CY132" si="880">IF(CV132&lt;0,-CV132,0)</f>
        <v>4800</v>
      </c>
      <c r="CX132" s="45">
        <v>9604.15692657</v>
      </c>
      <c r="CY132" s="45">
        <f t="shared" si="880"/>
        <v>0</v>
      </c>
      <c r="CZ132" s="107">
        <f t="shared" ref="CZ132:CZ170" si="881">CK132+CM132+CO132+CQ132+CS132+CU132+CW132+CY132</f>
        <v>14800</v>
      </c>
      <c r="DA132" s="45"/>
      <c r="DB132" s="110">
        <v>31095.82</v>
      </c>
      <c r="DC132" s="57">
        <v>1913.068</v>
      </c>
      <c r="DD132" s="61">
        <v>2626.8456460890002</v>
      </c>
      <c r="DE132" s="61">
        <f t="shared" ref="DE132:DE170" si="882">DB132+DC132+DD132</f>
        <v>35635.733646089</v>
      </c>
      <c r="DF132" s="110">
        <v>8265.2219999999998</v>
      </c>
      <c r="DG132" s="110">
        <v>55796.411</v>
      </c>
      <c r="DH132" s="57">
        <v>10099</v>
      </c>
      <c r="DI132" s="107">
        <f t="shared" ref="DI132:DI170" si="883">DG132+DH132</f>
        <v>65895.410999999993</v>
      </c>
      <c r="DJ132" s="45"/>
      <c r="DK132" s="110">
        <v>1037.1759999999999</v>
      </c>
      <c r="DL132" s="57">
        <v>10553.7831128091</v>
      </c>
      <c r="DM132" s="57">
        <f t="shared" ref="DM132:DM170" si="884">DK132+DL132</f>
        <v>11590.9591128091</v>
      </c>
      <c r="DN132" s="61">
        <v>1601.956469328378</v>
      </c>
      <c r="DO132" s="61">
        <v>2931.3025481182272</v>
      </c>
      <c r="DP132" s="61">
        <v>429.83307387999997</v>
      </c>
      <c r="DQ132" s="57">
        <f t="shared" ref="DQ132:DQ170" si="885">DO132+DP132</f>
        <v>3361.1356219982272</v>
      </c>
      <c r="DR132" s="57">
        <v>162.8501415621237</v>
      </c>
      <c r="DS132" s="57">
        <v>162.8501415621237</v>
      </c>
      <c r="DT132" s="5"/>
      <c r="DU132" s="73">
        <v>0</v>
      </c>
      <c r="DV132" s="156">
        <v>6779.6610170000004</v>
      </c>
      <c r="DW132" s="155">
        <v>1447.7400829999999</v>
      </c>
      <c r="DX132" s="155">
        <v>0</v>
      </c>
      <c r="DY132" s="73">
        <v>0</v>
      </c>
      <c r="DZ132" s="156">
        <v>242.98485844000001</v>
      </c>
      <c r="EA132" s="73">
        <v>0</v>
      </c>
      <c r="EB132" s="156">
        <v>1271.1864410000001</v>
      </c>
      <c r="EC132" s="73">
        <v>0</v>
      </c>
      <c r="ED132" s="156">
        <v>847.5</v>
      </c>
      <c r="EE132" s="73">
        <v>0</v>
      </c>
      <c r="EF132" s="156">
        <v>7397.5988710000001</v>
      </c>
      <c r="EG132" s="73">
        <v>0</v>
      </c>
      <c r="EH132" s="156">
        <v>6779.6610170000004</v>
      </c>
      <c r="EI132" s="159">
        <v>242.98485844000001</v>
      </c>
      <c r="EJ132" s="162">
        <v>847.5</v>
      </c>
      <c r="EK132" s="165">
        <v>735.83500000000004</v>
      </c>
      <c r="EL132" s="159">
        <v>429.83307387999997</v>
      </c>
      <c r="EM132" s="159">
        <f t="shared" ref="EM132:EM170" si="886">DW132+EB132+ED132+EF132</f>
        <v>10964.025395000001</v>
      </c>
      <c r="EN132" s="159">
        <f t="shared" ref="EN132:EN170" si="887">DX132+EA132+EC132+EE132</f>
        <v>0</v>
      </c>
      <c r="EP132" s="2">
        <v>21465.134099999999</v>
      </c>
      <c r="EQ132" s="5">
        <f t="shared" ref="EQ132:EQ195" si="888">EP132/$E$2</f>
        <v>0.87399999999999989</v>
      </c>
    </row>
    <row r="133" spans="13:147" x14ac:dyDescent="0.35">
      <c r="M133" s="5"/>
      <c r="N133" s="66">
        <f t="shared" ref="N133:N168" si="889">1+N132</f>
        <v>131</v>
      </c>
      <c r="O133" s="78">
        <v>25398</v>
      </c>
      <c r="P133" s="77">
        <f t="shared" si="856"/>
        <v>0.30599999999999999</v>
      </c>
      <c r="Q133" s="104">
        <v>1037.8800000000001</v>
      </c>
      <c r="R133" s="77">
        <f t="shared" si="857"/>
        <v>0.21600000000000003</v>
      </c>
      <c r="S133" s="104">
        <v>8910</v>
      </c>
      <c r="T133" s="77">
        <f t="shared" si="858"/>
        <v>0.29699999999999999</v>
      </c>
      <c r="U133" s="104">
        <v>2933.1527999999998</v>
      </c>
      <c r="V133" s="77">
        <f t="shared" si="844"/>
        <v>0.20399999999999999</v>
      </c>
      <c r="W133" s="104">
        <v>1130.2083</v>
      </c>
      <c r="X133" s="77">
        <f t="shared" si="845"/>
        <v>0.11700000000000001</v>
      </c>
      <c r="Y133" s="104">
        <v>8227.2000000000007</v>
      </c>
      <c r="Z133" s="77">
        <f t="shared" si="859"/>
        <v>0.16</v>
      </c>
      <c r="AA133" s="104">
        <v>6206.9871999999996</v>
      </c>
      <c r="AB133" s="77">
        <f t="shared" si="860"/>
        <v>0.13399999999999998</v>
      </c>
      <c r="AC133" s="5"/>
      <c r="AD133" s="66">
        <f t="shared" ref="AD133:AD168" si="890">1+AD132</f>
        <v>131</v>
      </c>
      <c r="AE133" s="78">
        <v>39070.912199999999</v>
      </c>
      <c r="AF133" s="104">
        <v>1674.4</v>
      </c>
      <c r="AG133" s="78">
        <v>364</v>
      </c>
      <c r="AH133" s="61">
        <f t="shared" si="861"/>
        <v>0.43899999999999995</v>
      </c>
      <c r="AI133" s="61">
        <f t="shared" si="862"/>
        <v>0.72800000000000009</v>
      </c>
      <c r="AJ133" s="61">
        <f t="shared" si="863"/>
        <v>0.72799999999999998</v>
      </c>
      <c r="AK133" s="77">
        <v>80.103999999999999</v>
      </c>
      <c r="AL133" s="104">
        <v>1467.0935999999999</v>
      </c>
      <c r="AM133" s="61">
        <f t="shared" si="846"/>
        <v>0.124</v>
      </c>
      <c r="AN133" s="57">
        <f t="shared" si="847"/>
        <v>0.126</v>
      </c>
      <c r="AO133" s="78">
        <v>16814.2</v>
      </c>
      <c r="AP133" s="104">
        <v>16268.174999999999</v>
      </c>
      <c r="AQ133" s="61">
        <f t="shared" si="864"/>
        <v>0.377</v>
      </c>
      <c r="AR133" s="57">
        <f t="shared" si="865"/>
        <v>0.69299999999999995</v>
      </c>
      <c r="AS133" s="45"/>
      <c r="AT133" s="78">
        <v>861.93100000000004</v>
      </c>
      <c r="AU133" s="77">
        <f t="shared" si="848"/>
        <v>0.35000000000000003</v>
      </c>
      <c r="AV133" s="78">
        <v>945.15200000000004</v>
      </c>
      <c r="AW133" s="77">
        <f t="shared" si="849"/>
        <v>0.58814685749844431</v>
      </c>
      <c r="AX133" s="78">
        <v>1121.4780000000001</v>
      </c>
      <c r="AY133" s="77">
        <f t="shared" si="866"/>
        <v>0.5784392407674851</v>
      </c>
      <c r="AZ133" s="45"/>
      <c r="BA133" s="75">
        <v>54782.928</v>
      </c>
      <c r="BB133" s="77">
        <f t="shared" si="867"/>
        <v>0.78688524590163933</v>
      </c>
      <c r="BC133" s="45"/>
      <c r="BD133" s="105">
        <v>28122.741999999998</v>
      </c>
      <c r="BE133" s="45">
        <v>0</v>
      </c>
      <c r="BF133" s="106">
        <v>0</v>
      </c>
      <c r="BG133" s="107">
        <f t="shared" si="868"/>
        <v>0.86266079754601221</v>
      </c>
      <c r="BH133" s="108">
        <f t="shared" si="869"/>
        <v>0</v>
      </c>
      <c r="BI133" s="106">
        <v>0</v>
      </c>
      <c r="BJ133" s="106">
        <v>0</v>
      </c>
      <c r="BK133" s="106">
        <v>0</v>
      </c>
      <c r="BL133" s="106">
        <v>3150.95</v>
      </c>
      <c r="BM133" s="107">
        <f t="shared" si="870"/>
        <v>0.23378468615521589</v>
      </c>
      <c r="BN133" s="108">
        <f t="shared" si="871"/>
        <v>0</v>
      </c>
      <c r="BO133" s="45">
        <v>7668</v>
      </c>
      <c r="BP133" s="45">
        <v>0</v>
      </c>
      <c r="BQ133" s="45"/>
      <c r="BR133" s="109">
        <v>-700</v>
      </c>
      <c r="BS133" s="45">
        <f t="shared" si="872"/>
        <v>0</v>
      </c>
      <c r="BT133" s="45">
        <v>4485</v>
      </c>
      <c r="BU133" s="45">
        <f t="shared" si="872"/>
        <v>4485</v>
      </c>
      <c r="BV133" s="45">
        <v>0</v>
      </c>
      <c r="BW133" s="45">
        <f t="shared" ref="BW133:BY133" si="891">IF(BV133&gt;0,BV133,0)</f>
        <v>0</v>
      </c>
      <c r="BX133" s="45">
        <v>5000</v>
      </c>
      <c r="BY133" s="45">
        <f t="shared" si="891"/>
        <v>5000</v>
      </c>
      <c r="BZ133" s="45">
        <v>-5300</v>
      </c>
      <c r="CA133" s="45">
        <f t="shared" ref="CA133:CC133" si="892">IF(BZ133&gt;0,BZ133,0)</f>
        <v>0</v>
      </c>
      <c r="CB133" s="45">
        <v>-4000</v>
      </c>
      <c r="CC133" s="45">
        <f t="shared" si="892"/>
        <v>0</v>
      </c>
      <c r="CD133" s="45">
        <v>-4800</v>
      </c>
      <c r="CE133" s="45">
        <f t="shared" ref="CE133:CG133" si="893">IF(CD133&gt;0,CD133,0)</f>
        <v>0</v>
      </c>
      <c r="CF133" s="45">
        <v>8186.8005559100002</v>
      </c>
      <c r="CG133" s="45">
        <f t="shared" si="893"/>
        <v>8186.8005559100002</v>
      </c>
      <c r="CH133" s="107">
        <f t="shared" si="876"/>
        <v>17671.800555909998</v>
      </c>
      <c r="CI133" s="45"/>
      <c r="CJ133" s="109">
        <v>-700</v>
      </c>
      <c r="CK133" s="45">
        <f t="shared" si="877"/>
        <v>700</v>
      </c>
      <c r="CL133" s="45">
        <v>4485</v>
      </c>
      <c r="CM133" s="45">
        <f t="shared" si="877"/>
        <v>0</v>
      </c>
      <c r="CN133" s="45">
        <v>0</v>
      </c>
      <c r="CO133" s="45">
        <f t="shared" ref="CO133:CQ133" si="894">IF(CN133&lt;0,-CN133,0)</f>
        <v>0</v>
      </c>
      <c r="CP133" s="45">
        <v>5000</v>
      </c>
      <c r="CQ133" s="45">
        <f t="shared" si="894"/>
        <v>0</v>
      </c>
      <c r="CR133" s="45">
        <v>-5300</v>
      </c>
      <c r="CS133" s="45">
        <f t="shared" ref="CS133:CU133" si="895">IF(CR133&lt;0,-CR133,0)</f>
        <v>5300</v>
      </c>
      <c r="CT133" s="45">
        <v>-4000</v>
      </c>
      <c r="CU133" s="45">
        <f t="shared" si="895"/>
        <v>4000</v>
      </c>
      <c r="CV133" s="45">
        <v>-4800</v>
      </c>
      <c r="CW133" s="45">
        <f t="shared" ref="CW133:CY133" si="896">IF(CV133&lt;0,-CV133,0)</f>
        <v>4800</v>
      </c>
      <c r="CX133" s="45">
        <v>8186.8005559100002</v>
      </c>
      <c r="CY133" s="45">
        <f t="shared" si="896"/>
        <v>0</v>
      </c>
      <c r="CZ133" s="107">
        <f t="shared" si="881"/>
        <v>14800</v>
      </c>
      <c r="DA133" s="45"/>
      <c r="DB133" s="110">
        <v>31685.147000000001</v>
      </c>
      <c r="DC133" s="57">
        <v>1764.1790000000001</v>
      </c>
      <c r="DD133" s="61">
        <v>2099.5337936766</v>
      </c>
      <c r="DE133" s="61">
        <f t="shared" si="882"/>
        <v>35548.859793676602</v>
      </c>
      <c r="DF133" s="110">
        <v>9558.5589999999993</v>
      </c>
      <c r="DG133" s="110">
        <v>56243.411</v>
      </c>
      <c r="DH133" s="57">
        <v>9525</v>
      </c>
      <c r="DI133" s="107">
        <f t="shared" si="883"/>
        <v>65768.410999999993</v>
      </c>
      <c r="DJ133" s="45"/>
      <c r="DK133" s="110">
        <v>969.36500000000001</v>
      </c>
      <c r="DL133" s="57">
        <v>10553.7831128091</v>
      </c>
      <c r="DM133" s="57">
        <f t="shared" si="884"/>
        <v>11523.1481128091</v>
      </c>
      <c r="DN133" s="61">
        <v>1785.6763065217999</v>
      </c>
      <c r="DO133" s="61">
        <v>2931.3025481182272</v>
      </c>
      <c r="DP133" s="61">
        <v>429.83307387999997</v>
      </c>
      <c r="DQ133" s="57">
        <f t="shared" si="885"/>
        <v>3361.1356219982272</v>
      </c>
      <c r="DR133" s="57">
        <v>162.8501415621237</v>
      </c>
      <c r="DS133" s="57">
        <v>162.8501415621237</v>
      </c>
      <c r="DT133" s="5"/>
      <c r="DU133" s="73">
        <v>0</v>
      </c>
      <c r="DV133" s="156">
        <v>6779.6610170000004</v>
      </c>
      <c r="DW133" s="155">
        <v>1447.7400829999999</v>
      </c>
      <c r="DX133" s="155">
        <v>0</v>
      </c>
      <c r="DY133" s="73">
        <v>0</v>
      </c>
      <c r="DZ133" s="156">
        <v>242.98485844000001</v>
      </c>
      <c r="EA133" s="73">
        <v>0</v>
      </c>
      <c r="EB133" s="156">
        <v>1271.1864410000001</v>
      </c>
      <c r="EC133" s="73">
        <v>0</v>
      </c>
      <c r="ED133" s="156">
        <v>847.5</v>
      </c>
      <c r="EE133" s="73">
        <v>0</v>
      </c>
      <c r="EF133" s="156">
        <v>7397.5988710000001</v>
      </c>
      <c r="EG133" s="73">
        <v>0</v>
      </c>
      <c r="EH133" s="156">
        <v>6779.6610170000004</v>
      </c>
      <c r="EI133" s="159">
        <v>242.98485844000001</v>
      </c>
      <c r="EJ133" s="162">
        <v>847.5</v>
      </c>
      <c r="EK133" s="165">
        <v>735.83500000000004</v>
      </c>
      <c r="EL133" s="159">
        <v>429.83307387999997</v>
      </c>
      <c r="EM133" s="159">
        <f t="shared" si="886"/>
        <v>10964.025395000001</v>
      </c>
      <c r="EN133" s="159">
        <f t="shared" si="887"/>
        <v>0</v>
      </c>
      <c r="EP133" s="2">
        <v>21465.134099999999</v>
      </c>
      <c r="EQ133" s="5">
        <f t="shared" si="888"/>
        <v>0.87399999999999989</v>
      </c>
    </row>
    <row r="134" spans="13:147" x14ac:dyDescent="0.35">
      <c r="M134" s="5"/>
      <c r="N134" s="66">
        <f t="shared" si="889"/>
        <v>132</v>
      </c>
      <c r="O134" s="78">
        <v>30959</v>
      </c>
      <c r="P134" s="77">
        <f t="shared" si="856"/>
        <v>0.373</v>
      </c>
      <c r="Q134" s="104">
        <v>1729.8</v>
      </c>
      <c r="R134" s="77">
        <f t="shared" si="857"/>
        <v>0.36</v>
      </c>
      <c r="S134" s="104">
        <v>12960</v>
      </c>
      <c r="T134" s="77">
        <f t="shared" si="858"/>
        <v>0.432</v>
      </c>
      <c r="U134" s="104">
        <v>5017.9917999999998</v>
      </c>
      <c r="V134" s="77">
        <f t="shared" si="844"/>
        <v>0.34899999999999998</v>
      </c>
      <c r="W134" s="104">
        <v>1980.2795000000001</v>
      </c>
      <c r="X134" s="77">
        <f t="shared" si="845"/>
        <v>0.20500000000000002</v>
      </c>
      <c r="Y134" s="104">
        <v>13523.46</v>
      </c>
      <c r="Z134" s="77">
        <f t="shared" si="859"/>
        <v>0.26299999999999996</v>
      </c>
      <c r="AA134" s="104">
        <v>10005.292799999999</v>
      </c>
      <c r="AB134" s="77">
        <f t="shared" si="860"/>
        <v>0.21599999999999997</v>
      </c>
      <c r="AC134" s="5"/>
      <c r="AD134" s="66">
        <f t="shared" si="890"/>
        <v>132</v>
      </c>
      <c r="AE134" s="78">
        <v>40138.909800000001</v>
      </c>
      <c r="AF134" s="104">
        <v>1681.3</v>
      </c>
      <c r="AG134" s="78">
        <v>365.5</v>
      </c>
      <c r="AH134" s="61">
        <f t="shared" si="861"/>
        <v>0.45100000000000001</v>
      </c>
      <c r="AI134" s="61">
        <f t="shared" si="862"/>
        <v>0.73099999999999998</v>
      </c>
      <c r="AJ134" s="61">
        <f t="shared" si="863"/>
        <v>0.73099999999999998</v>
      </c>
      <c r="AK134" s="77">
        <v>85.272000000000006</v>
      </c>
      <c r="AL134" s="104">
        <v>1222.578</v>
      </c>
      <c r="AM134" s="61">
        <f t="shared" si="846"/>
        <v>0.13200000000000001</v>
      </c>
      <c r="AN134" s="57">
        <f t="shared" si="847"/>
        <v>0.105</v>
      </c>
      <c r="AO134" s="78">
        <v>14896.4</v>
      </c>
      <c r="AP134" s="104">
        <v>14108.475</v>
      </c>
      <c r="AQ134" s="61">
        <f t="shared" si="864"/>
        <v>0.33400000000000002</v>
      </c>
      <c r="AR134" s="57">
        <f t="shared" si="865"/>
        <v>0.60099999999999998</v>
      </c>
      <c r="AS134" s="45"/>
      <c r="AT134" s="78">
        <v>859.46799999999996</v>
      </c>
      <c r="AU134" s="77">
        <f t="shared" si="848"/>
        <v>0.34899986193790455</v>
      </c>
      <c r="AV134" s="78">
        <v>943.71100000000001</v>
      </c>
      <c r="AW134" s="77">
        <f t="shared" si="849"/>
        <v>0.58725015556938398</v>
      </c>
      <c r="AX134" s="78">
        <v>1121.4780000000001</v>
      </c>
      <c r="AY134" s="77">
        <f t="shared" si="866"/>
        <v>0.5784392407674851</v>
      </c>
      <c r="AZ134" s="45"/>
      <c r="BA134" s="75">
        <v>54782.928</v>
      </c>
      <c r="BB134" s="77">
        <f t="shared" si="867"/>
        <v>0.78688524590163933</v>
      </c>
      <c r="BC134" s="45"/>
      <c r="BD134" s="105">
        <v>32422.995999999999</v>
      </c>
      <c r="BE134" s="45">
        <v>0</v>
      </c>
      <c r="BF134" s="106">
        <v>0</v>
      </c>
      <c r="BG134" s="107">
        <f t="shared" si="868"/>
        <v>0.99457042944785279</v>
      </c>
      <c r="BH134" s="108">
        <f t="shared" si="869"/>
        <v>0</v>
      </c>
      <c r="BI134" s="106">
        <v>0</v>
      </c>
      <c r="BJ134" s="106">
        <v>0</v>
      </c>
      <c r="BK134" s="106">
        <v>0</v>
      </c>
      <c r="BL134" s="106">
        <v>4677.8090000000002</v>
      </c>
      <c r="BM134" s="107">
        <f t="shared" si="870"/>
        <v>0.3470699658703072</v>
      </c>
      <c r="BN134" s="108">
        <f t="shared" si="871"/>
        <v>0</v>
      </c>
      <c r="BO134" s="45">
        <v>7668</v>
      </c>
      <c r="BP134" s="45">
        <v>0</v>
      </c>
      <c r="BQ134" s="45"/>
      <c r="BR134" s="109">
        <v>-700</v>
      </c>
      <c r="BS134" s="45">
        <f t="shared" si="872"/>
        <v>0</v>
      </c>
      <c r="BT134" s="45">
        <v>4485</v>
      </c>
      <c r="BU134" s="45">
        <f t="shared" si="872"/>
        <v>4485</v>
      </c>
      <c r="BV134" s="45">
        <v>0</v>
      </c>
      <c r="BW134" s="45">
        <f t="shared" ref="BW134:BY134" si="897">IF(BV134&gt;0,BV134,0)</f>
        <v>0</v>
      </c>
      <c r="BX134" s="45">
        <v>0</v>
      </c>
      <c r="BY134" s="45">
        <f t="shared" si="897"/>
        <v>0</v>
      </c>
      <c r="BZ134" s="45">
        <v>-5300</v>
      </c>
      <c r="CA134" s="45">
        <f t="shared" ref="CA134:CC134" si="898">IF(BZ134&gt;0,BZ134,0)</f>
        <v>0</v>
      </c>
      <c r="CB134" s="45">
        <v>-4000</v>
      </c>
      <c r="CC134" s="45">
        <f t="shared" si="898"/>
        <v>0</v>
      </c>
      <c r="CD134" s="45">
        <v>-4800</v>
      </c>
      <c r="CE134" s="45">
        <f t="shared" ref="CE134:CG134" si="899">IF(CD134&gt;0,CD134,0)</f>
        <v>0</v>
      </c>
      <c r="CF134" s="45">
        <v>8560.64515321</v>
      </c>
      <c r="CG134" s="45">
        <f t="shared" si="899"/>
        <v>8560.64515321</v>
      </c>
      <c r="CH134" s="107">
        <f t="shared" si="876"/>
        <v>13045.64515321</v>
      </c>
      <c r="CI134" s="45"/>
      <c r="CJ134" s="109">
        <v>-700</v>
      </c>
      <c r="CK134" s="45">
        <f t="shared" si="877"/>
        <v>700</v>
      </c>
      <c r="CL134" s="45">
        <v>4485</v>
      </c>
      <c r="CM134" s="45">
        <f t="shared" si="877"/>
        <v>0</v>
      </c>
      <c r="CN134" s="45">
        <v>0</v>
      </c>
      <c r="CO134" s="45">
        <f t="shared" ref="CO134:CQ134" si="900">IF(CN134&lt;0,-CN134,0)</f>
        <v>0</v>
      </c>
      <c r="CP134" s="45">
        <v>0</v>
      </c>
      <c r="CQ134" s="45">
        <f t="shared" si="900"/>
        <v>0</v>
      </c>
      <c r="CR134" s="45">
        <v>-5300</v>
      </c>
      <c r="CS134" s="45">
        <f t="shared" ref="CS134:CU134" si="901">IF(CR134&lt;0,-CR134,0)</f>
        <v>5300</v>
      </c>
      <c r="CT134" s="45">
        <v>-4000</v>
      </c>
      <c r="CU134" s="45">
        <f t="shared" si="901"/>
        <v>4000</v>
      </c>
      <c r="CV134" s="45">
        <v>-4800</v>
      </c>
      <c r="CW134" s="45">
        <f t="shared" ref="CW134:CY134" si="902">IF(CV134&lt;0,-CV134,0)</f>
        <v>4800</v>
      </c>
      <c r="CX134" s="45">
        <v>8560.64515321</v>
      </c>
      <c r="CY134" s="45">
        <f t="shared" si="902"/>
        <v>0</v>
      </c>
      <c r="CZ134" s="107">
        <f t="shared" si="881"/>
        <v>14800</v>
      </c>
      <c r="DA134" s="45"/>
      <c r="DB134" s="110">
        <v>32485.244999999999</v>
      </c>
      <c r="DC134" s="57">
        <v>1736.2159999999999</v>
      </c>
      <c r="DD134" s="61">
        <v>2670.4199233060999</v>
      </c>
      <c r="DE134" s="61">
        <f t="shared" si="882"/>
        <v>36891.880923306097</v>
      </c>
      <c r="DF134" s="110">
        <v>10938.232</v>
      </c>
      <c r="DG134" s="110">
        <v>57974.411</v>
      </c>
      <c r="DH134" s="57">
        <v>8773</v>
      </c>
      <c r="DI134" s="107">
        <f t="shared" si="883"/>
        <v>66747.410999999993</v>
      </c>
      <c r="DJ134" s="45"/>
      <c r="DK134" s="110">
        <v>919.17600000000004</v>
      </c>
      <c r="DL134" s="57">
        <v>10569.62924658717</v>
      </c>
      <c r="DM134" s="57">
        <f t="shared" si="884"/>
        <v>11488.80524658717</v>
      </c>
      <c r="DN134" s="61">
        <v>1785.6763065217999</v>
      </c>
      <c r="DO134" s="61">
        <v>2939.6521533658638</v>
      </c>
      <c r="DP134" s="61">
        <v>421.48346863</v>
      </c>
      <c r="DQ134" s="57">
        <f t="shared" si="885"/>
        <v>3361.1356219958639</v>
      </c>
      <c r="DR134" s="57">
        <v>163.31400852032581</v>
      </c>
      <c r="DS134" s="57">
        <v>163.31400852032581</v>
      </c>
      <c r="DT134" s="5"/>
      <c r="DU134" s="73">
        <v>0</v>
      </c>
      <c r="DV134" s="156">
        <v>6779.6610170000004</v>
      </c>
      <c r="DW134" s="155">
        <v>1447.7400829999999</v>
      </c>
      <c r="DX134" s="155">
        <v>0</v>
      </c>
      <c r="DY134" s="73">
        <v>0</v>
      </c>
      <c r="DZ134" s="156">
        <v>242.52099147999999</v>
      </c>
      <c r="EA134" s="73">
        <v>0</v>
      </c>
      <c r="EB134" s="156">
        <v>1271.1864410000001</v>
      </c>
      <c r="EC134" s="73">
        <v>0</v>
      </c>
      <c r="ED134" s="156">
        <v>847.5</v>
      </c>
      <c r="EE134" s="73">
        <v>0</v>
      </c>
      <c r="EF134" s="156">
        <v>7397.5988710000001</v>
      </c>
      <c r="EG134" s="73">
        <v>0</v>
      </c>
      <c r="EH134" s="156">
        <v>6779.6610170000004</v>
      </c>
      <c r="EI134" s="159">
        <v>242.52099147999999</v>
      </c>
      <c r="EJ134" s="162">
        <v>847.5</v>
      </c>
      <c r="EK134" s="165">
        <v>735.83500000000004</v>
      </c>
      <c r="EL134" s="159">
        <v>421.48346863</v>
      </c>
      <c r="EM134" s="159">
        <f t="shared" si="886"/>
        <v>10964.025395000001</v>
      </c>
      <c r="EN134" s="159">
        <f t="shared" si="887"/>
        <v>0</v>
      </c>
      <c r="EP134" s="2">
        <v>21465.134099999999</v>
      </c>
      <c r="EQ134" s="5">
        <f t="shared" si="888"/>
        <v>0.87399999999999989</v>
      </c>
    </row>
    <row r="135" spans="13:147" x14ac:dyDescent="0.35">
      <c r="M135" s="5"/>
      <c r="N135" s="66">
        <f t="shared" si="889"/>
        <v>133</v>
      </c>
      <c r="O135" s="78">
        <v>31872</v>
      </c>
      <c r="P135" s="77">
        <f t="shared" si="856"/>
        <v>0.38400000000000001</v>
      </c>
      <c r="Q135" s="104">
        <v>2200.69</v>
      </c>
      <c r="R135" s="77">
        <f t="shared" si="857"/>
        <v>0.45800000000000002</v>
      </c>
      <c r="S135" s="104">
        <v>14880</v>
      </c>
      <c r="T135" s="77">
        <f t="shared" si="858"/>
        <v>0.496</v>
      </c>
      <c r="U135" s="104">
        <v>5909.4402</v>
      </c>
      <c r="V135" s="77">
        <f t="shared" si="844"/>
        <v>0.41099999999999998</v>
      </c>
      <c r="W135" s="104">
        <v>2424.6349</v>
      </c>
      <c r="X135" s="77">
        <f t="shared" si="845"/>
        <v>0.251</v>
      </c>
      <c r="Y135" s="104">
        <v>14911.8</v>
      </c>
      <c r="Z135" s="77">
        <f t="shared" si="859"/>
        <v>0.28999999999999998</v>
      </c>
      <c r="AA135" s="104">
        <v>11070.671200000001</v>
      </c>
      <c r="AB135" s="77">
        <f t="shared" si="860"/>
        <v>0.23899999999999999</v>
      </c>
      <c r="AC135" s="5"/>
      <c r="AD135" s="66">
        <f t="shared" si="890"/>
        <v>133</v>
      </c>
      <c r="AE135" s="78">
        <v>41918.9058</v>
      </c>
      <c r="AF135" s="104">
        <v>1695.1</v>
      </c>
      <c r="AG135" s="78">
        <v>368.5</v>
      </c>
      <c r="AH135" s="61">
        <f t="shared" si="861"/>
        <v>0.47099999999999997</v>
      </c>
      <c r="AI135" s="61">
        <f t="shared" si="862"/>
        <v>0.73699999999999999</v>
      </c>
      <c r="AJ135" s="61">
        <f t="shared" si="863"/>
        <v>0.73699999999999999</v>
      </c>
      <c r="AK135" s="77">
        <v>96.9</v>
      </c>
      <c r="AL135" s="104">
        <v>1991.0555999999999</v>
      </c>
      <c r="AM135" s="61">
        <f t="shared" si="846"/>
        <v>0.15000000000000002</v>
      </c>
      <c r="AN135" s="57">
        <f t="shared" si="847"/>
        <v>0.17099999999999999</v>
      </c>
      <c r="AO135" s="78">
        <v>13915.2</v>
      </c>
      <c r="AP135" s="104">
        <v>12418.275</v>
      </c>
      <c r="AQ135" s="61">
        <f t="shared" si="864"/>
        <v>0.312</v>
      </c>
      <c r="AR135" s="57">
        <f t="shared" si="865"/>
        <v>0.52900000000000003</v>
      </c>
      <c r="AS135" s="45"/>
      <c r="AT135" s="78">
        <v>857.00599999999997</v>
      </c>
      <c r="AU135" s="77">
        <f t="shared" si="848"/>
        <v>0.34800012994079571</v>
      </c>
      <c r="AV135" s="78">
        <v>951.82299999999998</v>
      </c>
      <c r="AW135" s="77">
        <f t="shared" si="849"/>
        <v>0.59229807093963904</v>
      </c>
      <c r="AX135" s="78">
        <v>1121.4780000000001</v>
      </c>
      <c r="AY135" s="77">
        <f t="shared" si="866"/>
        <v>0.5784392407674851</v>
      </c>
      <c r="AZ135" s="45"/>
      <c r="BA135" s="75">
        <v>54782.928</v>
      </c>
      <c r="BB135" s="77">
        <f t="shared" si="867"/>
        <v>0.78688524590163933</v>
      </c>
      <c r="BC135" s="45"/>
      <c r="BD135" s="105">
        <v>32600</v>
      </c>
      <c r="BE135" s="45">
        <v>982.97</v>
      </c>
      <c r="BF135" s="106">
        <v>1052.1990000000001</v>
      </c>
      <c r="BG135" s="107">
        <f t="shared" si="868"/>
        <v>1</v>
      </c>
      <c r="BH135" s="108">
        <f t="shared" si="869"/>
        <v>5.355752995814702E-2</v>
      </c>
      <c r="BI135" s="106">
        <v>0</v>
      </c>
      <c r="BJ135" s="106">
        <v>0</v>
      </c>
      <c r="BK135" s="106">
        <v>0</v>
      </c>
      <c r="BL135" s="106">
        <v>5510.2169999999996</v>
      </c>
      <c r="BM135" s="107">
        <f t="shared" si="870"/>
        <v>0.40883046446060245</v>
      </c>
      <c r="BN135" s="108">
        <f t="shared" si="871"/>
        <v>0</v>
      </c>
      <c r="BO135" s="45">
        <v>7668</v>
      </c>
      <c r="BP135" s="45">
        <v>0</v>
      </c>
      <c r="BQ135" s="45"/>
      <c r="BR135" s="109">
        <v>-700</v>
      </c>
      <c r="BS135" s="45">
        <f t="shared" si="872"/>
        <v>0</v>
      </c>
      <c r="BT135" s="45">
        <v>4485</v>
      </c>
      <c r="BU135" s="45">
        <f t="shared" si="872"/>
        <v>4485</v>
      </c>
      <c r="BV135" s="45">
        <v>0</v>
      </c>
      <c r="BW135" s="45">
        <f t="shared" ref="BW135:BY135" si="903">IF(BV135&gt;0,BV135,0)</f>
        <v>0</v>
      </c>
      <c r="BX135" s="45">
        <v>0</v>
      </c>
      <c r="BY135" s="45">
        <f t="shared" si="903"/>
        <v>0</v>
      </c>
      <c r="BZ135" s="45">
        <v>-5300</v>
      </c>
      <c r="CA135" s="45">
        <f t="shared" ref="CA135:CC135" si="904">IF(BZ135&gt;0,BZ135,0)</f>
        <v>0</v>
      </c>
      <c r="CB135" s="45">
        <v>-4000</v>
      </c>
      <c r="CC135" s="45">
        <f t="shared" si="904"/>
        <v>0</v>
      </c>
      <c r="CD135" s="45">
        <v>-4800</v>
      </c>
      <c r="CE135" s="45">
        <f t="shared" ref="CE135:CG135" si="905">IF(CD135&gt;0,CD135,0)</f>
        <v>0</v>
      </c>
      <c r="CF135" s="45">
        <v>9267.7470492299999</v>
      </c>
      <c r="CG135" s="45">
        <f t="shared" si="905"/>
        <v>9267.7470492299999</v>
      </c>
      <c r="CH135" s="107">
        <f t="shared" si="876"/>
        <v>13752.74704923</v>
      </c>
      <c r="CI135" s="45"/>
      <c r="CJ135" s="109">
        <v>-700</v>
      </c>
      <c r="CK135" s="45">
        <f t="shared" si="877"/>
        <v>700</v>
      </c>
      <c r="CL135" s="45">
        <v>4485</v>
      </c>
      <c r="CM135" s="45">
        <f t="shared" si="877"/>
        <v>0</v>
      </c>
      <c r="CN135" s="45">
        <v>0</v>
      </c>
      <c r="CO135" s="45">
        <f t="shared" ref="CO135:CQ135" si="906">IF(CN135&lt;0,-CN135,0)</f>
        <v>0</v>
      </c>
      <c r="CP135" s="45">
        <v>0</v>
      </c>
      <c r="CQ135" s="45">
        <f t="shared" si="906"/>
        <v>0</v>
      </c>
      <c r="CR135" s="45">
        <v>-5300</v>
      </c>
      <c r="CS135" s="45">
        <f t="shared" ref="CS135:CU135" si="907">IF(CR135&lt;0,-CR135,0)</f>
        <v>5300</v>
      </c>
      <c r="CT135" s="45">
        <v>-4000</v>
      </c>
      <c r="CU135" s="45">
        <f t="shared" si="907"/>
        <v>4000</v>
      </c>
      <c r="CV135" s="45">
        <v>-4800</v>
      </c>
      <c r="CW135" s="45">
        <f t="shared" ref="CW135:CY135" si="908">IF(CV135&lt;0,-CV135,0)</f>
        <v>4800</v>
      </c>
      <c r="CX135" s="45">
        <v>9267.7470492299999</v>
      </c>
      <c r="CY135" s="45">
        <f t="shared" si="908"/>
        <v>0</v>
      </c>
      <c r="CZ135" s="107">
        <f t="shared" si="881"/>
        <v>14800</v>
      </c>
      <c r="DA135" s="45"/>
      <c r="DB135" s="110">
        <v>33421.652999999998</v>
      </c>
      <c r="DC135" s="57">
        <v>1734.212</v>
      </c>
      <c r="DD135" s="61">
        <v>2923.3451267648002</v>
      </c>
      <c r="DE135" s="61">
        <f t="shared" si="882"/>
        <v>38079.210126764796</v>
      </c>
      <c r="DF135" s="110">
        <v>11874.005999999999</v>
      </c>
      <c r="DG135" s="110">
        <v>59879.411</v>
      </c>
      <c r="DH135" s="57">
        <v>8024</v>
      </c>
      <c r="DI135" s="107">
        <f t="shared" si="883"/>
        <v>67903.410999999993</v>
      </c>
      <c r="DJ135" s="45"/>
      <c r="DK135" s="110">
        <v>895.24199999999996</v>
      </c>
      <c r="DL135" s="57">
        <v>10553.7831128091</v>
      </c>
      <c r="DM135" s="57">
        <f t="shared" si="884"/>
        <v>11449.0251128091</v>
      </c>
      <c r="DN135" s="61">
        <v>1785.6763065217999</v>
      </c>
      <c r="DO135" s="61">
        <v>2931.3025481182272</v>
      </c>
      <c r="DP135" s="61">
        <v>429.83307387999997</v>
      </c>
      <c r="DQ135" s="57">
        <f t="shared" si="885"/>
        <v>3361.1356219982272</v>
      </c>
      <c r="DR135" s="57">
        <v>162.8501415621237</v>
      </c>
      <c r="DS135" s="57">
        <v>162.8501415621237</v>
      </c>
      <c r="DT135" s="5"/>
      <c r="DU135" s="73">
        <v>0</v>
      </c>
      <c r="DV135" s="156">
        <v>6779.6610170000004</v>
      </c>
      <c r="DW135" s="155">
        <v>1447.7400829999999</v>
      </c>
      <c r="DX135" s="155">
        <v>0</v>
      </c>
      <c r="DY135" s="73">
        <v>0</v>
      </c>
      <c r="DZ135" s="156">
        <v>242.98485844000001</v>
      </c>
      <c r="EA135" s="73">
        <v>0</v>
      </c>
      <c r="EB135" s="156">
        <v>1271.1864410000001</v>
      </c>
      <c r="EC135" s="73">
        <v>0</v>
      </c>
      <c r="ED135" s="156">
        <v>847.5</v>
      </c>
      <c r="EE135" s="73">
        <v>0</v>
      </c>
      <c r="EF135" s="156">
        <v>7397.5988710000001</v>
      </c>
      <c r="EG135" s="73">
        <v>0</v>
      </c>
      <c r="EH135" s="156">
        <v>6779.6610170000004</v>
      </c>
      <c r="EI135" s="159">
        <v>242.98485844000001</v>
      </c>
      <c r="EJ135" s="162">
        <v>847.5</v>
      </c>
      <c r="EK135" s="165">
        <v>735.83500000000004</v>
      </c>
      <c r="EL135" s="159">
        <v>429.83307387999997</v>
      </c>
      <c r="EM135" s="159">
        <f t="shared" si="886"/>
        <v>10964.025395000001</v>
      </c>
      <c r="EN135" s="159">
        <f t="shared" si="887"/>
        <v>0</v>
      </c>
      <c r="EP135" s="2">
        <v>21465.134099999999</v>
      </c>
      <c r="EQ135" s="5">
        <f t="shared" si="888"/>
        <v>0.87399999999999989</v>
      </c>
    </row>
    <row r="136" spans="13:147" x14ac:dyDescent="0.35">
      <c r="M136" s="5"/>
      <c r="N136" s="66">
        <f t="shared" si="889"/>
        <v>134</v>
      </c>
      <c r="O136" s="78">
        <v>31623</v>
      </c>
      <c r="P136" s="77">
        <f t="shared" si="856"/>
        <v>0.38100000000000001</v>
      </c>
      <c r="Q136" s="104">
        <v>2306.4</v>
      </c>
      <c r="R136" s="77">
        <f t="shared" si="857"/>
        <v>0.48000000000000004</v>
      </c>
      <c r="S136" s="104">
        <v>14880</v>
      </c>
      <c r="T136" s="77">
        <f t="shared" si="858"/>
        <v>0.496</v>
      </c>
      <c r="U136" s="104">
        <v>5866.3055999999997</v>
      </c>
      <c r="V136" s="77">
        <f t="shared" si="844"/>
        <v>0.40799999999999997</v>
      </c>
      <c r="W136" s="104">
        <v>2463.2745</v>
      </c>
      <c r="X136" s="77">
        <f t="shared" si="845"/>
        <v>0.255</v>
      </c>
      <c r="Y136" s="104">
        <v>13780.56</v>
      </c>
      <c r="Z136" s="77">
        <f t="shared" si="859"/>
        <v>0.26800000000000002</v>
      </c>
      <c r="AA136" s="104">
        <v>10236.8968</v>
      </c>
      <c r="AB136" s="77">
        <f t="shared" si="860"/>
        <v>0.221</v>
      </c>
      <c r="AC136" s="5"/>
      <c r="AD136" s="66">
        <f t="shared" si="890"/>
        <v>134</v>
      </c>
      <c r="AE136" s="78">
        <v>42274.904999999999</v>
      </c>
      <c r="AF136" s="104">
        <v>1713.5</v>
      </c>
      <c r="AG136" s="78">
        <v>372.5</v>
      </c>
      <c r="AH136" s="61">
        <f t="shared" si="861"/>
        <v>0.47499999999999998</v>
      </c>
      <c r="AI136" s="61">
        <f t="shared" si="862"/>
        <v>0.745</v>
      </c>
      <c r="AJ136" s="61">
        <f t="shared" si="863"/>
        <v>0.745</v>
      </c>
      <c r="AK136" s="77">
        <v>113.05</v>
      </c>
      <c r="AL136" s="104">
        <v>3178.7028</v>
      </c>
      <c r="AM136" s="61">
        <f t="shared" si="846"/>
        <v>0.17499999999999999</v>
      </c>
      <c r="AN136" s="57">
        <f t="shared" si="847"/>
        <v>0.27300000000000002</v>
      </c>
      <c r="AO136" s="78">
        <v>12354.2</v>
      </c>
      <c r="AP136" s="104">
        <v>11831.4</v>
      </c>
      <c r="AQ136" s="61">
        <f t="shared" si="864"/>
        <v>0.27700000000000002</v>
      </c>
      <c r="AR136" s="57">
        <f t="shared" si="865"/>
        <v>0.504</v>
      </c>
      <c r="AS136" s="45"/>
      <c r="AT136" s="78">
        <v>859.46799999999996</v>
      </c>
      <c r="AU136" s="77">
        <f t="shared" si="848"/>
        <v>0.34899986193790455</v>
      </c>
      <c r="AV136" s="78">
        <v>966.63800000000003</v>
      </c>
      <c r="AW136" s="77">
        <f t="shared" si="849"/>
        <v>0.60151711263223395</v>
      </c>
      <c r="AX136" s="78">
        <v>1121.4780000000001</v>
      </c>
      <c r="AY136" s="77">
        <f t="shared" si="866"/>
        <v>0.5784392407674851</v>
      </c>
      <c r="AZ136" s="45"/>
      <c r="BA136" s="75">
        <v>54782.928</v>
      </c>
      <c r="BB136" s="77">
        <f t="shared" si="867"/>
        <v>0.78688524590163933</v>
      </c>
      <c r="BC136" s="45"/>
      <c r="BD136" s="105">
        <v>32600</v>
      </c>
      <c r="BE136" s="45">
        <v>1012.544</v>
      </c>
      <c r="BF136" s="106">
        <v>1097.9839999999999</v>
      </c>
      <c r="BG136" s="107">
        <f t="shared" si="868"/>
        <v>1</v>
      </c>
      <c r="BH136" s="108">
        <f t="shared" si="869"/>
        <v>5.554067823729042E-2</v>
      </c>
      <c r="BI136" s="106">
        <v>0</v>
      </c>
      <c r="BJ136" s="106">
        <v>0</v>
      </c>
      <c r="BK136" s="106">
        <v>0</v>
      </c>
      <c r="BL136" s="106">
        <v>5752.2330000000002</v>
      </c>
      <c r="BM136" s="107">
        <f t="shared" si="870"/>
        <v>0.42678683780976406</v>
      </c>
      <c r="BN136" s="108">
        <f t="shared" si="871"/>
        <v>0</v>
      </c>
      <c r="BO136" s="45">
        <v>7668</v>
      </c>
      <c r="BP136" s="45">
        <v>0</v>
      </c>
      <c r="BQ136" s="45"/>
      <c r="BR136" s="109">
        <v>-700</v>
      </c>
      <c r="BS136" s="45">
        <f t="shared" si="872"/>
        <v>0</v>
      </c>
      <c r="BT136" s="45">
        <v>4485</v>
      </c>
      <c r="BU136" s="45">
        <f t="shared" si="872"/>
        <v>4485</v>
      </c>
      <c r="BV136" s="45">
        <v>0</v>
      </c>
      <c r="BW136" s="45">
        <f t="shared" ref="BW136:BY136" si="909">IF(BV136&gt;0,BV136,0)</f>
        <v>0</v>
      </c>
      <c r="BX136" s="45">
        <v>-5000</v>
      </c>
      <c r="BY136" s="45">
        <f t="shared" si="909"/>
        <v>0</v>
      </c>
      <c r="BZ136" s="45">
        <v>-5300</v>
      </c>
      <c r="CA136" s="45">
        <f t="shared" ref="CA136:CC136" si="910">IF(BZ136&gt;0,BZ136,0)</f>
        <v>0</v>
      </c>
      <c r="CB136" s="45">
        <v>-4000</v>
      </c>
      <c r="CC136" s="45">
        <f t="shared" si="910"/>
        <v>0</v>
      </c>
      <c r="CD136" s="45">
        <v>-4800</v>
      </c>
      <c r="CE136" s="45">
        <f t="shared" ref="CE136:CG136" si="911">IF(CD136&gt;0,CD136,0)</f>
        <v>0</v>
      </c>
      <c r="CF136" s="45">
        <v>11783.784471749999</v>
      </c>
      <c r="CG136" s="45">
        <f t="shared" si="911"/>
        <v>11783.784471749999</v>
      </c>
      <c r="CH136" s="107">
        <f t="shared" si="876"/>
        <v>16268.784471749999</v>
      </c>
      <c r="CI136" s="45"/>
      <c r="CJ136" s="109">
        <v>-700</v>
      </c>
      <c r="CK136" s="45">
        <f t="shared" si="877"/>
        <v>700</v>
      </c>
      <c r="CL136" s="45">
        <v>4485</v>
      </c>
      <c r="CM136" s="45">
        <f t="shared" si="877"/>
        <v>0</v>
      </c>
      <c r="CN136" s="45">
        <v>0</v>
      </c>
      <c r="CO136" s="45">
        <f t="shared" ref="CO136:CQ136" si="912">IF(CN136&lt;0,-CN136,0)</f>
        <v>0</v>
      </c>
      <c r="CP136" s="45">
        <v>-5000</v>
      </c>
      <c r="CQ136" s="45">
        <f t="shared" si="912"/>
        <v>5000</v>
      </c>
      <c r="CR136" s="45">
        <v>-5300</v>
      </c>
      <c r="CS136" s="45">
        <f t="shared" ref="CS136:CU136" si="913">IF(CR136&lt;0,-CR136,0)</f>
        <v>5300</v>
      </c>
      <c r="CT136" s="45">
        <v>-4000</v>
      </c>
      <c r="CU136" s="45">
        <f t="shared" si="913"/>
        <v>4000</v>
      </c>
      <c r="CV136" s="45">
        <v>-4800</v>
      </c>
      <c r="CW136" s="45">
        <f t="shared" ref="CW136:CY136" si="914">IF(CV136&lt;0,-CV136,0)</f>
        <v>4800</v>
      </c>
      <c r="CX136" s="45">
        <v>11783.784471749999</v>
      </c>
      <c r="CY136" s="45">
        <f t="shared" si="914"/>
        <v>0</v>
      </c>
      <c r="CZ136" s="107">
        <f t="shared" si="881"/>
        <v>19800</v>
      </c>
      <c r="DA136" s="45"/>
      <c r="DB136" s="110">
        <v>33755.586000000003</v>
      </c>
      <c r="DC136" s="57">
        <v>1731.09</v>
      </c>
      <c r="DD136" s="61">
        <v>2601.0009946339001</v>
      </c>
      <c r="DE136" s="61">
        <f t="shared" si="882"/>
        <v>38087.676994633897</v>
      </c>
      <c r="DF136" s="110">
        <v>11630.675999999999</v>
      </c>
      <c r="DG136" s="110">
        <v>57672.411</v>
      </c>
      <c r="DH136" s="57">
        <v>7694</v>
      </c>
      <c r="DI136" s="107">
        <f t="shared" si="883"/>
        <v>65366.411</v>
      </c>
      <c r="DJ136" s="45"/>
      <c r="DK136" s="110">
        <v>878.61800000000005</v>
      </c>
      <c r="DL136" s="57">
        <v>10553.7831128091</v>
      </c>
      <c r="DM136" s="57">
        <f t="shared" si="884"/>
        <v>11432.401112809101</v>
      </c>
      <c r="DN136" s="61">
        <v>1785.6763065217999</v>
      </c>
      <c r="DO136" s="61">
        <v>2931.3025481182272</v>
      </c>
      <c r="DP136" s="61">
        <v>429.83307387999997</v>
      </c>
      <c r="DQ136" s="57">
        <f t="shared" si="885"/>
        <v>3361.1356219982272</v>
      </c>
      <c r="DR136" s="57">
        <v>162.8501415621237</v>
      </c>
      <c r="DS136" s="57">
        <v>162.8501415621237</v>
      </c>
      <c r="DT136" s="5"/>
      <c r="DU136" s="73">
        <v>0</v>
      </c>
      <c r="DV136" s="156">
        <v>6779.6610170000004</v>
      </c>
      <c r="DW136" s="155">
        <v>1447.7400829999999</v>
      </c>
      <c r="DX136" s="155">
        <v>0</v>
      </c>
      <c r="DY136" s="73">
        <v>0</v>
      </c>
      <c r="DZ136" s="156">
        <v>242.98485844000001</v>
      </c>
      <c r="EA136" s="73">
        <v>0</v>
      </c>
      <c r="EB136" s="156">
        <v>1271.1864410000001</v>
      </c>
      <c r="EC136" s="73">
        <v>0</v>
      </c>
      <c r="ED136" s="156">
        <v>847.5</v>
      </c>
      <c r="EE136" s="73">
        <v>0</v>
      </c>
      <c r="EF136" s="156">
        <v>7397.5988710000001</v>
      </c>
      <c r="EG136" s="73">
        <v>0</v>
      </c>
      <c r="EH136" s="156">
        <v>6779.6610170000004</v>
      </c>
      <c r="EI136" s="159">
        <v>242.98485844000001</v>
      </c>
      <c r="EJ136" s="162">
        <v>847.5</v>
      </c>
      <c r="EK136" s="165">
        <v>735.83500000000004</v>
      </c>
      <c r="EL136" s="159">
        <v>429.83307387999997</v>
      </c>
      <c r="EM136" s="159">
        <f t="shared" si="886"/>
        <v>10964.025395000001</v>
      </c>
      <c r="EN136" s="159">
        <f t="shared" si="887"/>
        <v>0</v>
      </c>
      <c r="EP136" s="2">
        <v>21465.134099999999</v>
      </c>
      <c r="EQ136" s="5">
        <f t="shared" si="888"/>
        <v>0.87399999999999989</v>
      </c>
    </row>
    <row r="137" spans="13:147" x14ac:dyDescent="0.35">
      <c r="M137" s="5"/>
      <c r="N137" s="66">
        <f t="shared" si="889"/>
        <v>135</v>
      </c>
      <c r="O137" s="78">
        <v>30627</v>
      </c>
      <c r="P137" s="77">
        <f t="shared" si="856"/>
        <v>0.36899999999999999</v>
      </c>
      <c r="Q137" s="104">
        <v>2003.6849999999999</v>
      </c>
      <c r="R137" s="77">
        <f t="shared" si="857"/>
        <v>0.41699999999999998</v>
      </c>
      <c r="S137" s="104">
        <v>13140</v>
      </c>
      <c r="T137" s="77">
        <f t="shared" si="858"/>
        <v>0.438</v>
      </c>
      <c r="U137" s="104">
        <v>5046.7482</v>
      </c>
      <c r="V137" s="77">
        <f t="shared" si="844"/>
        <v>0.35099999999999998</v>
      </c>
      <c r="W137" s="104">
        <v>2144.4978000000001</v>
      </c>
      <c r="X137" s="77">
        <f t="shared" si="845"/>
        <v>0.22200000000000003</v>
      </c>
      <c r="Y137" s="104">
        <v>10695.36</v>
      </c>
      <c r="Z137" s="77">
        <f t="shared" si="859"/>
        <v>0.20800000000000002</v>
      </c>
      <c r="AA137" s="104">
        <v>7828.2151999999996</v>
      </c>
      <c r="AB137" s="77">
        <f t="shared" si="860"/>
        <v>0.16899999999999998</v>
      </c>
      <c r="AC137" s="5"/>
      <c r="AD137" s="66">
        <f t="shared" si="890"/>
        <v>135</v>
      </c>
      <c r="AE137" s="78">
        <v>41028.907800000001</v>
      </c>
      <c r="AF137" s="104">
        <v>1734.2</v>
      </c>
      <c r="AG137" s="78">
        <v>377</v>
      </c>
      <c r="AH137" s="61">
        <f t="shared" si="861"/>
        <v>0.46100000000000002</v>
      </c>
      <c r="AI137" s="61">
        <f t="shared" si="862"/>
        <v>0.754</v>
      </c>
      <c r="AJ137" s="61">
        <f t="shared" si="863"/>
        <v>0.754</v>
      </c>
      <c r="AK137" s="77">
        <v>142.76599999999999</v>
      </c>
      <c r="AL137" s="104">
        <v>4145.1216000000004</v>
      </c>
      <c r="AM137" s="61">
        <f t="shared" si="846"/>
        <v>0.22099999999999997</v>
      </c>
      <c r="AN137" s="57">
        <f t="shared" si="847"/>
        <v>0.35600000000000004</v>
      </c>
      <c r="AO137" s="78">
        <v>10302.6</v>
      </c>
      <c r="AP137" s="104">
        <v>12746.924999999999</v>
      </c>
      <c r="AQ137" s="61">
        <f t="shared" si="864"/>
        <v>0.23100000000000001</v>
      </c>
      <c r="AR137" s="57">
        <f t="shared" si="865"/>
        <v>0.54299999999999993</v>
      </c>
      <c r="AS137" s="45"/>
      <c r="AT137" s="78">
        <v>859.46799999999996</v>
      </c>
      <c r="AU137" s="77">
        <f t="shared" si="848"/>
        <v>0.34899986193790455</v>
      </c>
      <c r="AV137" s="78">
        <v>980.21100000000001</v>
      </c>
      <c r="AW137" s="77">
        <f t="shared" si="849"/>
        <v>0.60996328562538893</v>
      </c>
      <c r="AX137" s="78">
        <v>1121.4780000000001</v>
      </c>
      <c r="AY137" s="77">
        <f t="shared" si="866"/>
        <v>0.5784392407674851</v>
      </c>
      <c r="AZ137" s="45"/>
      <c r="BA137" s="75">
        <v>54782.928</v>
      </c>
      <c r="BB137" s="77">
        <f t="shared" si="867"/>
        <v>0.78688524590163933</v>
      </c>
      <c r="BC137" s="45"/>
      <c r="BD137" s="105">
        <v>32600</v>
      </c>
      <c r="BE137" s="45">
        <v>116.871</v>
      </c>
      <c r="BF137" s="106">
        <v>133.58799999999999</v>
      </c>
      <c r="BG137" s="107">
        <f t="shared" si="868"/>
        <v>1</v>
      </c>
      <c r="BH137" s="108">
        <f t="shared" si="869"/>
        <v>6.5910818196363756E-3</v>
      </c>
      <c r="BI137" s="106">
        <v>0</v>
      </c>
      <c r="BJ137" s="106">
        <v>0</v>
      </c>
      <c r="BK137" s="106">
        <v>0</v>
      </c>
      <c r="BL137" s="106">
        <v>5588.8590000000004</v>
      </c>
      <c r="BM137" s="107">
        <f t="shared" si="870"/>
        <v>0.41466530642528565</v>
      </c>
      <c r="BN137" s="108">
        <f t="shared" si="871"/>
        <v>0</v>
      </c>
      <c r="BO137" s="45">
        <v>7668</v>
      </c>
      <c r="BP137" s="45">
        <v>0</v>
      </c>
      <c r="BQ137" s="45"/>
      <c r="BR137" s="109">
        <v>-700</v>
      </c>
      <c r="BS137" s="45">
        <f t="shared" si="872"/>
        <v>0</v>
      </c>
      <c r="BT137" s="45">
        <v>4485</v>
      </c>
      <c r="BU137" s="45">
        <f t="shared" si="872"/>
        <v>4485</v>
      </c>
      <c r="BV137" s="45">
        <v>0</v>
      </c>
      <c r="BW137" s="45">
        <f t="shared" ref="BW137:BY137" si="915">IF(BV137&gt;0,BV137,0)</f>
        <v>0</v>
      </c>
      <c r="BX137" s="45">
        <v>-5000</v>
      </c>
      <c r="BY137" s="45">
        <f t="shared" si="915"/>
        <v>0</v>
      </c>
      <c r="BZ137" s="45">
        <v>-5300</v>
      </c>
      <c r="CA137" s="45">
        <f t="shared" ref="CA137:CC137" si="916">IF(BZ137&gt;0,BZ137,0)</f>
        <v>0</v>
      </c>
      <c r="CB137" s="45">
        <v>-4000</v>
      </c>
      <c r="CC137" s="45">
        <f t="shared" si="916"/>
        <v>0</v>
      </c>
      <c r="CD137" s="45">
        <v>-4800</v>
      </c>
      <c r="CE137" s="45">
        <f t="shared" ref="CE137:CG137" si="917">IF(CD137&gt;0,CD137,0)</f>
        <v>0</v>
      </c>
      <c r="CF137" s="45">
        <v>14347.064148580001</v>
      </c>
      <c r="CG137" s="45">
        <f t="shared" si="917"/>
        <v>14347.064148580001</v>
      </c>
      <c r="CH137" s="107">
        <f t="shared" si="876"/>
        <v>18832.064148580001</v>
      </c>
      <c r="CI137" s="45"/>
      <c r="CJ137" s="109">
        <v>-700</v>
      </c>
      <c r="CK137" s="45">
        <f t="shared" si="877"/>
        <v>700</v>
      </c>
      <c r="CL137" s="45">
        <v>4485</v>
      </c>
      <c r="CM137" s="45">
        <f t="shared" si="877"/>
        <v>0</v>
      </c>
      <c r="CN137" s="45">
        <v>0</v>
      </c>
      <c r="CO137" s="45">
        <f t="shared" ref="CO137:CQ137" si="918">IF(CN137&lt;0,-CN137,0)</f>
        <v>0</v>
      </c>
      <c r="CP137" s="45">
        <v>-5000</v>
      </c>
      <c r="CQ137" s="45">
        <f t="shared" si="918"/>
        <v>5000</v>
      </c>
      <c r="CR137" s="45">
        <v>-5300</v>
      </c>
      <c r="CS137" s="45">
        <f t="shared" ref="CS137:CU137" si="919">IF(CR137&lt;0,-CR137,0)</f>
        <v>5300</v>
      </c>
      <c r="CT137" s="45">
        <v>-4000</v>
      </c>
      <c r="CU137" s="45">
        <f t="shared" si="919"/>
        <v>4000</v>
      </c>
      <c r="CV137" s="45">
        <v>-4800</v>
      </c>
      <c r="CW137" s="45">
        <f t="shared" ref="CW137:CY137" si="920">IF(CV137&lt;0,-CV137,0)</f>
        <v>4800</v>
      </c>
      <c r="CX137" s="45">
        <v>14347.064148580001</v>
      </c>
      <c r="CY137" s="45">
        <f t="shared" si="920"/>
        <v>0</v>
      </c>
      <c r="CZ137" s="107">
        <f t="shared" si="881"/>
        <v>19800</v>
      </c>
      <c r="DA137" s="45"/>
      <c r="DB137" s="110">
        <v>32538.956999999999</v>
      </c>
      <c r="DC137" s="57">
        <v>1894.8209999999999</v>
      </c>
      <c r="DD137" s="61">
        <v>1949.9707367581</v>
      </c>
      <c r="DE137" s="61">
        <f t="shared" si="882"/>
        <v>36383.748736758098</v>
      </c>
      <c r="DF137" s="110">
        <v>10915.235000000001</v>
      </c>
      <c r="DG137" s="110">
        <v>56866.411</v>
      </c>
      <c r="DH137" s="57">
        <v>7626</v>
      </c>
      <c r="DI137" s="107">
        <f t="shared" si="883"/>
        <v>64492.411</v>
      </c>
      <c r="DJ137" s="45"/>
      <c r="DK137" s="110">
        <v>873.57399999999996</v>
      </c>
      <c r="DL137" s="57">
        <v>10569.62924658717</v>
      </c>
      <c r="DM137" s="57">
        <f t="shared" si="884"/>
        <v>11443.203246587171</v>
      </c>
      <c r="DN137" s="61">
        <v>1785.6763065217999</v>
      </c>
      <c r="DO137" s="61">
        <v>2939.6521533658638</v>
      </c>
      <c r="DP137" s="61">
        <v>421.48346863</v>
      </c>
      <c r="DQ137" s="57">
        <f t="shared" si="885"/>
        <v>3361.1356219958639</v>
      </c>
      <c r="DR137" s="57">
        <v>163.31400852032581</v>
      </c>
      <c r="DS137" s="57">
        <v>163.31400852032581</v>
      </c>
      <c r="DT137" s="5"/>
      <c r="DU137" s="73">
        <v>0</v>
      </c>
      <c r="DV137" s="156">
        <v>6779.6610170000004</v>
      </c>
      <c r="DW137" s="155">
        <v>1447.7400829999999</v>
      </c>
      <c r="DX137" s="155">
        <v>0</v>
      </c>
      <c r="DY137" s="73">
        <v>0</v>
      </c>
      <c r="DZ137" s="156">
        <v>242.52099147999999</v>
      </c>
      <c r="EA137" s="73">
        <v>0</v>
      </c>
      <c r="EB137" s="156">
        <v>1271.1864410000001</v>
      </c>
      <c r="EC137" s="73">
        <v>0</v>
      </c>
      <c r="ED137" s="156">
        <v>847.5</v>
      </c>
      <c r="EE137" s="73">
        <v>0</v>
      </c>
      <c r="EF137" s="156">
        <v>7397.5988710000001</v>
      </c>
      <c r="EG137" s="73">
        <v>0</v>
      </c>
      <c r="EH137" s="156">
        <v>6779.6610170000004</v>
      </c>
      <c r="EI137" s="159">
        <v>242.52099147999999</v>
      </c>
      <c r="EJ137" s="162">
        <v>847.5</v>
      </c>
      <c r="EK137" s="165">
        <v>735.83500000000004</v>
      </c>
      <c r="EL137" s="159">
        <v>421.48346863</v>
      </c>
      <c r="EM137" s="159">
        <f t="shared" si="886"/>
        <v>10964.025395000001</v>
      </c>
      <c r="EN137" s="159">
        <f t="shared" si="887"/>
        <v>0</v>
      </c>
      <c r="EP137" s="2">
        <v>21931.767449999999</v>
      </c>
      <c r="EQ137" s="5">
        <f t="shared" si="888"/>
        <v>0.8929999999999999</v>
      </c>
    </row>
    <row r="138" spans="13:147" x14ac:dyDescent="0.35">
      <c r="M138" s="5"/>
      <c r="N138" s="66">
        <f t="shared" si="889"/>
        <v>136</v>
      </c>
      <c r="O138" s="78">
        <v>28137</v>
      </c>
      <c r="P138" s="77">
        <f t="shared" si="856"/>
        <v>0.33900000000000002</v>
      </c>
      <c r="Q138" s="104">
        <v>1388.645</v>
      </c>
      <c r="R138" s="77">
        <f t="shared" si="857"/>
        <v>0.28899999999999998</v>
      </c>
      <c r="S138" s="104">
        <v>10050</v>
      </c>
      <c r="T138" s="77">
        <f t="shared" si="858"/>
        <v>0.33500000000000002</v>
      </c>
      <c r="U138" s="104">
        <v>3925.2485999999999</v>
      </c>
      <c r="V138" s="77">
        <f t="shared" si="844"/>
        <v>0.27299999999999996</v>
      </c>
      <c r="W138" s="104">
        <v>1680.8226</v>
      </c>
      <c r="X138" s="77">
        <f t="shared" si="845"/>
        <v>0.17400000000000002</v>
      </c>
      <c r="Y138" s="104">
        <v>7044.54</v>
      </c>
      <c r="Z138" s="77">
        <f t="shared" si="859"/>
        <v>0.13700000000000001</v>
      </c>
      <c r="AA138" s="104">
        <v>5048.9672</v>
      </c>
      <c r="AB138" s="77">
        <f t="shared" si="860"/>
        <v>0.109</v>
      </c>
      <c r="AC138" s="5"/>
      <c r="AD138" s="66">
        <f t="shared" si="890"/>
        <v>136</v>
      </c>
      <c r="AE138" s="78">
        <v>38625.913200000003</v>
      </c>
      <c r="AF138" s="104">
        <v>1743.4</v>
      </c>
      <c r="AG138" s="78">
        <v>379</v>
      </c>
      <c r="AH138" s="61">
        <f t="shared" si="861"/>
        <v>0.434</v>
      </c>
      <c r="AI138" s="61">
        <f t="shared" si="862"/>
        <v>0.75800000000000001</v>
      </c>
      <c r="AJ138" s="61">
        <f t="shared" si="863"/>
        <v>0.75800000000000001</v>
      </c>
      <c r="AK138" s="77">
        <v>187.98599999999999</v>
      </c>
      <c r="AL138" s="104">
        <v>4738.9452000000001</v>
      </c>
      <c r="AM138" s="61">
        <f t="shared" si="846"/>
        <v>0.29099999999999998</v>
      </c>
      <c r="AN138" s="57">
        <f t="shared" si="847"/>
        <v>0.40699999999999997</v>
      </c>
      <c r="AO138" s="78">
        <v>8741.6</v>
      </c>
      <c r="AP138" s="104">
        <v>13779.825000000001</v>
      </c>
      <c r="AQ138" s="61">
        <f t="shared" si="864"/>
        <v>0.19600000000000001</v>
      </c>
      <c r="AR138" s="57">
        <f t="shared" si="865"/>
        <v>0.58700000000000008</v>
      </c>
      <c r="AS138" s="45"/>
      <c r="AT138" s="78">
        <v>854.54300000000001</v>
      </c>
      <c r="AU138" s="77">
        <f t="shared" si="848"/>
        <v>0.34699999187870029</v>
      </c>
      <c r="AV138" s="78">
        <v>982.89499999999998</v>
      </c>
      <c r="AW138" s="77">
        <f t="shared" si="849"/>
        <v>0.61163347853142502</v>
      </c>
      <c r="AX138" s="78">
        <v>1121.4780000000001</v>
      </c>
      <c r="AY138" s="77">
        <f t="shared" si="866"/>
        <v>0.5784392407674851</v>
      </c>
      <c r="AZ138" s="45"/>
      <c r="BA138" s="75">
        <v>54782.928</v>
      </c>
      <c r="BB138" s="77">
        <f t="shared" si="867"/>
        <v>0.78688524590163933</v>
      </c>
      <c r="BC138" s="45"/>
      <c r="BD138" s="105">
        <v>29287.587</v>
      </c>
      <c r="BE138" s="45">
        <v>0</v>
      </c>
      <c r="BF138" s="106">
        <v>0</v>
      </c>
      <c r="BG138" s="107">
        <f t="shared" si="868"/>
        <v>0.89839223926380363</v>
      </c>
      <c r="BH138" s="108">
        <f t="shared" si="869"/>
        <v>0</v>
      </c>
      <c r="BI138" s="106">
        <v>0</v>
      </c>
      <c r="BJ138" s="106">
        <v>0</v>
      </c>
      <c r="BK138" s="106">
        <v>0</v>
      </c>
      <c r="BL138" s="106">
        <v>5423.2290000000003</v>
      </c>
      <c r="BM138" s="107">
        <f t="shared" si="870"/>
        <v>0.40237639115595786</v>
      </c>
      <c r="BN138" s="108">
        <f t="shared" si="871"/>
        <v>0</v>
      </c>
      <c r="BO138" s="45">
        <v>7668</v>
      </c>
      <c r="BP138" s="45">
        <v>0</v>
      </c>
      <c r="BQ138" s="45"/>
      <c r="BR138" s="109">
        <v>-700</v>
      </c>
      <c r="BS138" s="45">
        <f t="shared" si="872"/>
        <v>0</v>
      </c>
      <c r="BT138" s="45">
        <v>4485</v>
      </c>
      <c r="BU138" s="45">
        <f t="shared" si="872"/>
        <v>4485</v>
      </c>
      <c r="BV138" s="45">
        <v>0</v>
      </c>
      <c r="BW138" s="45">
        <f t="shared" ref="BW138:BY138" si="921">IF(BV138&gt;0,BV138,0)</f>
        <v>0</v>
      </c>
      <c r="BX138" s="45">
        <v>-5000</v>
      </c>
      <c r="BY138" s="45">
        <f t="shared" si="921"/>
        <v>0</v>
      </c>
      <c r="BZ138" s="45">
        <v>-5300</v>
      </c>
      <c r="CA138" s="45">
        <f t="shared" ref="CA138:CC138" si="922">IF(BZ138&gt;0,BZ138,0)</f>
        <v>0</v>
      </c>
      <c r="CB138" s="45">
        <v>-4000</v>
      </c>
      <c r="CC138" s="45">
        <f t="shared" si="922"/>
        <v>0</v>
      </c>
      <c r="CD138" s="45">
        <v>-4800</v>
      </c>
      <c r="CE138" s="45">
        <f t="shared" ref="CE138:CG138" si="923">IF(CD138&gt;0,CD138,0)</f>
        <v>0</v>
      </c>
      <c r="CF138" s="45">
        <v>11782.291210720001</v>
      </c>
      <c r="CG138" s="45">
        <f t="shared" si="923"/>
        <v>11782.291210720001</v>
      </c>
      <c r="CH138" s="107">
        <f t="shared" si="876"/>
        <v>16267.291210720001</v>
      </c>
      <c r="CI138" s="45"/>
      <c r="CJ138" s="109">
        <v>-700</v>
      </c>
      <c r="CK138" s="45">
        <f t="shared" si="877"/>
        <v>700</v>
      </c>
      <c r="CL138" s="45">
        <v>4485</v>
      </c>
      <c r="CM138" s="45">
        <f t="shared" si="877"/>
        <v>0</v>
      </c>
      <c r="CN138" s="45">
        <v>0</v>
      </c>
      <c r="CO138" s="45">
        <f t="shared" ref="CO138:CQ138" si="924">IF(CN138&lt;0,-CN138,0)</f>
        <v>0</v>
      </c>
      <c r="CP138" s="45">
        <v>-5000</v>
      </c>
      <c r="CQ138" s="45">
        <f t="shared" si="924"/>
        <v>5000</v>
      </c>
      <c r="CR138" s="45">
        <v>-5300</v>
      </c>
      <c r="CS138" s="45">
        <f t="shared" ref="CS138:CU138" si="925">IF(CR138&lt;0,-CR138,0)</f>
        <v>5300</v>
      </c>
      <c r="CT138" s="45">
        <v>-4000</v>
      </c>
      <c r="CU138" s="45">
        <f t="shared" si="925"/>
        <v>4000</v>
      </c>
      <c r="CV138" s="45">
        <v>-4800</v>
      </c>
      <c r="CW138" s="45">
        <f t="shared" ref="CW138:CY138" si="926">IF(CV138&lt;0,-CV138,0)</f>
        <v>4800</v>
      </c>
      <c r="CX138" s="45">
        <v>11782.291210720001</v>
      </c>
      <c r="CY138" s="45">
        <f t="shared" si="926"/>
        <v>0</v>
      </c>
      <c r="CZ138" s="107">
        <f t="shared" si="881"/>
        <v>19800</v>
      </c>
      <c r="DA138" s="45"/>
      <c r="DB138" s="110">
        <v>31850.977999999999</v>
      </c>
      <c r="DC138" s="57">
        <v>2031.595</v>
      </c>
      <c r="DD138" s="61">
        <v>1661.6443127809</v>
      </c>
      <c r="DE138" s="61">
        <f t="shared" si="882"/>
        <v>35544.2173127809</v>
      </c>
      <c r="DF138" s="110">
        <v>10276.374</v>
      </c>
      <c r="DG138" s="110">
        <v>56863.411</v>
      </c>
      <c r="DH138" s="57">
        <v>8252</v>
      </c>
      <c r="DI138" s="107">
        <f t="shared" si="883"/>
        <v>65115.411</v>
      </c>
      <c r="DJ138" s="45"/>
      <c r="DK138" s="110">
        <v>877.81899999999996</v>
      </c>
      <c r="DL138" s="57">
        <v>10553.7831128091</v>
      </c>
      <c r="DM138" s="57">
        <f t="shared" si="884"/>
        <v>11431.6021128091</v>
      </c>
      <c r="DN138" s="61">
        <v>1601.956469328378</v>
      </c>
      <c r="DO138" s="61">
        <v>2931.3025481182272</v>
      </c>
      <c r="DP138" s="61">
        <v>429.83307387999997</v>
      </c>
      <c r="DQ138" s="57">
        <f t="shared" si="885"/>
        <v>3361.1356219982272</v>
      </c>
      <c r="DR138" s="57">
        <v>162.8501415621237</v>
      </c>
      <c r="DS138" s="57">
        <v>162.8501415621237</v>
      </c>
      <c r="DT138" s="5"/>
      <c r="DU138" s="73">
        <v>0</v>
      </c>
      <c r="DV138" s="156">
        <v>6779.6610170000004</v>
      </c>
      <c r="DW138" s="155">
        <v>1447.7400829999999</v>
      </c>
      <c r="DX138" s="155">
        <v>0</v>
      </c>
      <c r="DY138" s="73">
        <v>0</v>
      </c>
      <c r="DZ138" s="156">
        <v>242.98485844000001</v>
      </c>
      <c r="EA138" s="73">
        <v>0</v>
      </c>
      <c r="EB138" s="156">
        <v>1271.1864410000001</v>
      </c>
      <c r="EC138" s="73">
        <v>0</v>
      </c>
      <c r="ED138" s="156">
        <v>847.5</v>
      </c>
      <c r="EE138" s="73">
        <v>0</v>
      </c>
      <c r="EF138" s="156">
        <v>7397.5988710000001</v>
      </c>
      <c r="EG138" s="73">
        <v>0</v>
      </c>
      <c r="EH138" s="156">
        <v>6779.6610170000004</v>
      </c>
      <c r="EI138" s="159">
        <v>242.98485844000001</v>
      </c>
      <c r="EJ138" s="162">
        <v>847.5</v>
      </c>
      <c r="EK138" s="165">
        <v>735.83500000000004</v>
      </c>
      <c r="EL138" s="159">
        <v>429.83307387999997</v>
      </c>
      <c r="EM138" s="159">
        <f t="shared" si="886"/>
        <v>10964.025395000001</v>
      </c>
      <c r="EN138" s="159">
        <f t="shared" si="887"/>
        <v>0</v>
      </c>
      <c r="EP138" s="2">
        <v>21931.767449999999</v>
      </c>
      <c r="EQ138" s="5">
        <f t="shared" si="888"/>
        <v>0.8929999999999999</v>
      </c>
    </row>
    <row r="139" spans="13:147" x14ac:dyDescent="0.35">
      <c r="M139" s="5"/>
      <c r="N139" s="66">
        <f t="shared" si="889"/>
        <v>137</v>
      </c>
      <c r="O139" s="78">
        <v>19837</v>
      </c>
      <c r="P139" s="77">
        <f t="shared" si="856"/>
        <v>0.23899999999999999</v>
      </c>
      <c r="Q139" s="104">
        <v>658.28499999999997</v>
      </c>
      <c r="R139" s="77">
        <f t="shared" si="857"/>
        <v>0.13699999999999998</v>
      </c>
      <c r="S139" s="104">
        <v>5940</v>
      </c>
      <c r="T139" s="77">
        <f t="shared" si="858"/>
        <v>0.19800000000000001</v>
      </c>
      <c r="U139" s="104">
        <v>2444.2939999999999</v>
      </c>
      <c r="V139" s="77">
        <f t="shared" si="844"/>
        <v>0.16999999999999998</v>
      </c>
      <c r="W139" s="104">
        <v>1033.6093000000001</v>
      </c>
      <c r="X139" s="77">
        <f t="shared" si="845"/>
        <v>0.10700000000000001</v>
      </c>
      <c r="Y139" s="104">
        <v>2930.94</v>
      </c>
      <c r="Z139" s="77">
        <f t="shared" si="859"/>
        <v>5.7000000000000002E-2</v>
      </c>
      <c r="AA139" s="104">
        <v>1991.7944</v>
      </c>
      <c r="AB139" s="77">
        <f t="shared" si="860"/>
        <v>4.2999999999999997E-2</v>
      </c>
      <c r="AC139" s="5"/>
      <c r="AD139" s="66">
        <f t="shared" si="890"/>
        <v>137</v>
      </c>
      <c r="AE139" s="78">
        <v>36756.917399999998</v>
      </c>
      <c r="AF139" s="104">
        <v>1741.1</v>
      </c>
      <c r="AG139" s="78">
        <v>378.5</v>
      </c>
      <c r="AH139" s="61">
        <f t="shared" si="861"/>
        <v>0.41299999999999998</v>
      </c>
      <c r="AI139" s="61">
        <f t="shared" si="862"/>
        <v>0.75700000000000001</v>
      </c>
      <c r="AJ139" s="61">
        <f t="shared" si="863"/>
        <v>0.75700000000000001</v>
      </c>
      <c r="AK139" s="77">
        <v>228.684</v>
      </c>
      <c r="AL139" s="104">
        <v>4983.4607999999998</v>
      </c>
      <c r="AM139" s="61">
        <f t="shared" si="846"/>
        <v>0.35399999999999998</v>
      </c>
      <c r="AN139" s="57">
        <f t="shared" si="847"/>
        <v>0.42799999999999999</v>
      </c>
      <c r="AO139" s="78">
        <v>8161.8</v>
      </c>
      <c r="AP139" s="104">
        <v>14765.775</v>
      </c>
      <c r="AQ139" s="61">
        <f t="shared" si="864"/>
        <v>0.183</v>
      </c>
      <c r="AR139" s="57">
        <f t="shared" si="865"/>
        <v>0.629</v>
      </c>
      <c r="AS139" s="45"/>
      <c r="AT139" s="78">
        <v>859.46799999999996</v>
      </c>
      <c r="AU139" s="77">
        <f t="shared" si="848"/>
        <v>0.34899986193790455</v>
      </c>
      <c r="AV139" s="78">
        <v>984.45500000000004</v>
      </c>
      <c r="AW139" s="77">
        <f t="shared" si="849"/>
        <v>0.6126042314872433</v>
      </c>
      <c r="AX139" s="78">
        <v>1121.4780000000001</v>
      </c>
      <c r="AY139" s="77">
        <f t="shared" si="866"/>
        <v>0.5784392407674851</v>
      </c>
      <c r="AZ139" s="45"/>
      <c r="BA139" s="75">
        <v>54782.928</v>
      </c>
      <c r="BB139" s="77">
        <f t="shared" si="867"/>
        <v>0.78688524590163933</v>
      </c>
      <c r="BC139" s="45"/>
      <c r="BD139" s="105">
        <v>23966.923999999999</v>
      </c>
      <c r="BE139" s="45">
        <v>0</v>
      </c>
      <c r="BF139" s="106">
        <v>0</v>
      </c>
      <c r="BG139" s="107">
        <f t="shared" si="868"/>
        <v>0.73518171779141106</v>
      </c>
      <c r="BH139" s="108">
        <f t="shared" si="869"/>
        <v>0</v>
      </c>
      <c r="BI139" s="106">
        <v>0</v>
      </c>
      <c r="BJ139" s="106">
        <v>0</v>
      </c>
      <c r="BK139" s="106">
        <v>0</v>
      </c>
      <c r="BL139" s="106">
        <v>4912.4409999999998</v>
      </c>
      <c r="BM139" s="107">
        <f t="shared" si="870"/>
        <v>0.36447848345451844</v>
      </c>
      <c r="BN139" s="108">
        <f t="shared" si="871"/>
        <v>0</v>
      </c>
      <c r="BO139" s="45">
        <v>7668</v>
      </c>
      <c r="BP139" s="45">
        <v>0</v>
      </c>
      <c r="BQ139" s="45"/>
      <c r="BR139" s="109">
        <v>-700</v>
      </c>
      <c r="BS139" s="45">
        <f t="shared" si="872"/>
        <v>0</v>
      </c>
      <c r="BT139" s="45">
        <v>4485</v>
      </c>
      <c r="BU139" s="45">
        <f t="shared" si="872"/>
        <v>4485</v>
      </c>
      <c r="BV139" s="45">
        <v>0</v>
      </c>
      <c r="BW139" s="45">
        <f t="shared" ref="BW139:BY139" si="927">IF(BV139&gt;0,BV139,0)</f>
        <v>0</v>
      </c>
      <c r="BX139" s="45">
        <v>-5000</v>
      </c>
      <c r="BY139" s="45">
        <f t="shared" si="927"/>
        <v>0</v>
      </c>
      <c r="BZ139" s="45">
        <v>-5300</v>
      </c>
      <c r="CA139" s="45">
        <f t="shared" ref="CA139:CC139" si="928">IF(BZ139&gt;0,BZ139,0)</f>
        <v>0</v>
      </c>
      <c r="CB139" s="45">
        <v>-4000</v>
      </c>
      <c r="CC139" s="45">
        <f t="shared" si="928"/>
        <v>0</v>
      </c>
      <c r="CD139" s="45">
        <v>-4800</v>
      </c>
      <c r="CE139" s="45">
        <f t="shared" ref="CE139:CG139" si="929">IF(CD139&gt;0,CD139,0)</f>
        <v>0</v>
      </c>
      <c r="CF139" s="45">
        <v>9125.4132444999996</v>
      </c>
      <c r="CG139" s="45">
        <f t="shared" si="929"/>
        <v>9125.4132444999996</v>
      </c>
      <c r="CH139" s="107">
        <f t="shared" si="876"/>
        <v>13610.4132445</v>
      </c>
      <c r="CI139" s="45"/>
      <c r="CJ139" s="109">
        <v>-700</v>
      </c>
      <c r="CK139" s="45">
        <f t="shared" si="877"/>
        <v>700</v>
      </c>
      <c r="CL139" s="45">
        <v>4485</v>
      </c>
      <c r="CM139" s="45">
        <f t="shared" si="877"/>
        <v>0</v>
      </c>
      <c r="CN139" s="45">
        <v>0</v>
      </c>
      <c r="CO139" s="45">
        <f t="shared" ref="CO139:CQ139" si="930">IF(CN139&lt;0,-CN139,0)</f>
        <v>0</v>
      </c>
      <c r="CP139" s="45">
        <v>-5000</v>
      </c>
      <c r="CQ139" s="45">
        <f t="shared" si="930"/>
        <v>5000</v>
      </c>
      <c r="CR139" s="45">
        <v>-5300</v>
      </c>
      <c r="CS139" s="45">
        <f t="shared" ref="CS139:CU139" si="931">IF(CR139&lt;0,-CR139,0)</f>
        <v>5300</v>
      </c>
      <c r="CT139" s="45">
        <v>-4000</v>
      </c>
      <c r="CU139" s="45">
        <f t="shared" si="931"/>
        <v>4000</v>
      </c>
      <c r="CV139" s="45">
        <v>-4800</v>
      </c>
      <c r="CW139" s="45">
        <f t="shared" ref="CW139:CY139" si="932">IF(CV139&lt;0,-CV139,0)</f>
        <v>4800</v>
      </c>
      <c r="CX139" s="45">
        <v>9125.4132444999996</v>
      </c>
      <c r="CY139" s="45">
        <f t="shared" si="932"/>
        <v>0</v>
      </c>
      <c r="CZ139" s="107">
        <f t="shared" si="881"/>
        <v>19800</v>
      </c>
      <c r="DA139" s="45"/>
      <c r="DB139" s="110">
        <v>32185.047999999999</v>
      </c>
      <c r="DC139" s="57">
        <v>2055.6889999999999</v>
      </c>
      <c r="DD139" s="61">
        <v>1673.7397572597999</v>
      </c>
      <c r="DE139" s="61">
        <f t="shared" si="882"/>
        <v>35914.476757259799</v>
      </c>
      <c r="DF139" s="110">
        <v>9646.6149999999998</v>
      </c>
      <c r="DG139" s="110">
        <v>58702.411</v>
      </c>
      <c r="DH139" s="57">
        <v>8314</v>
      </c>
      <c r="DI139" s="107">
        <f t="shared" si="883"/>
        <v>67016.410999999993</v>
      </c>
      <c r="DJ139" s="45"/>
      <c r="DK139" s="110">
        <v>878.11500000000001</v>
      </c>
      <c r="DL139" s="57">
        <v>10553.7831128091</v>
      </c>
      <c r="DM139" s="57">
        <f t="shared" si="884"/>
        <v>11431.8981128091</v>
      </c>
      <c r="DN139" s="61">
        <v>1601.956469328378</v>
      </c>
      <c r="DO139" s="61">
        <v>2931.3025481182272</v>
      </c>
      <c r="DP139" s="61">
        <v>429.83307387999997</v>
      </c>
      <c r="DQ139" s="57">
        <f t="shared" si="885"/>
        <v>3361.1356219982272</v>
      </c>
      <c r="DR139" s="57">
        <v>162.8501415621237</v>
      </c>
      <c r="DS139" s="57">
        <v>162.8501415621237</v>
      </c>
      <c r="DT139" s="5"/>
      <c r="DU139" s="73">
        <v>0</v>
      </c>
      <c r="DV139" s="156">
        <v>6779.6610170000004</v>
      </c>
      <c r="DW139" s="155">
        <v>1447.7400829999999</v>
      </c>
      <c r="DX139" s="155">
        <v>0</v>
      </c>
      <c r="DY139" s="73">
        <v>0</v>
      </c>
      <c r="DZ139" s="156">
        <v>242.98485844000001</v>
      </c>
      <c r="EA139" s="73">
        <v>0</v>
      </c>
      <c r="EB139" s="156">
        <v>1271.1864410000001</v>
      </c>
      <c r="EC139" s="73">
        <v>0</v>
      </c>
      <c r="ED139" s="156">
        <v>847.5</v>
      </c>
      <c r="EE139" s="73">
        <v>0</v>
      </c>
      <c r="EF139" s="156">
        <v>7397.5988710000001</v>
      </c>
      <c r="EG139" s="73">
        <v>0</v>
      </c>
      <c r="EH139" s="156">
        <v>6779.6610170000004</v>
      </c>
      <c r="EI139" s="159">
        <v>242.98485844000001</v>
      </c>
      <c r="EJ139" s="162">
        <v>847.5</v>
      </c>
      <c r="EK139" s="165">
        <v>735.83500000000004</v>
      </c>
      <c r="EL139" s="159">
        <v>429.83307387999997</v>
      </c>
      <c r="EM139" s="159">
        <f t="shared" si="886"/>
        <v>10964.025395000001</v>
      </c>
      <c r="EN139" s="159">
        <f t="shared" si="887"/>
        <v>0</v>
      </c>
      <c r="EP139" s="2">
        <v>21931.767449999999</v>
      </c>
      <c r="EQ139" s="5">
        <f t="shared" si="888"/>
        <v>0.8929999999999999</v>
      </c>
    </row>
    <row r="140" spans="13:147" x14ac:dyDescent="0.35">
      <c r="M140" s="5"/>
      <c r="N140" s="66">
        <f t="shared" si="889"/>
        <v>138</v>
      </c>
      <c r="O140" s="78">
        <v>4648</v>
      </c>
      <c r="P140" s="77">
        <f t="shared" si="856"/>
        <v>5.6000000000000001E-2</v>
      </c>
      <c r="Q140" s="104">
        <v>81.685000000000002</v>
      </c>
      <c r="R140" s="77">
        <f t="shared" si="857"/>
        <v>1.7000000000000001E-2</v>
      </c>
      <c r="S140" s="104">
        <v>1650</v>
      </c>
      <c r="T140" s="77">
        <f t="shared" si="858"/>
        <v>5.5E-2</v>
      </c>
      <c r="U140" s="104">
        <v>1006.474</v>
      </c>
      <c r="V140" s="77">
        <f t="shared" si="844"/>
        <v>6.9999999999999993E-2</v>
      </c>
      <c r="W140" s="104">
        <v>367.07619999999997</v>
      </c>
      <c r="X140" s="77">
        <f t="shared" si="845"/>
        <v>3.7999999999999999E-2</v>
      </c>
      <c r="Y140" s="104">
        <v>0</v>
      </c>
      <c r="Z140" s="77">
        <f t="shared" si="859"/>
        <v>0</v>
      </c>
      <c r="AA140" s="104">
        <v>0</v>
      </c>
      <c r="AB140" s="77">
        <f t="shared" si="860"/>
        <v>0</v>
      </c>
      <c r="AC140" s="5"/>
      <c r="AD140" s="66">
        <f t="shared" si="890"/>
        <v>138</v>
      </c>
      <c r="AE140" s="78">
        <v>30704.931</v>
      </c>
      <c r="AF140" s="104">
        <v>1731.9</v>
      </c>
      <c r="AG140" s="78">
        <v>376.5</v>
      </c>
      <c r="AH140" s="61">
        <f t="shared" si="861"/>
        <v>0.34499999999999997</v>
      </c>
      <c r="AI140" s="61">
        <f t="shared" si="862"/>
        <v>0.753</v>
      </c>
      <c r="AJ140" s="61">
        <f t="shared" si="863"/>
        <v>0.753</v>
      </c>
      <c r="AK140" s="77">
        <v>259.69200000000001</v>
      </c>
      <c r="AL140" s="104">
        <v>3271.8516</v>
      </c>
      <c r="AM140" s="61">
        <f t="shared" si="846"/>
        <v>0.40200000000000002</v>
      </c>
      <c r="AN140" s="57">
        <f t="shared" si="847"/>
        <v>0.28099999999999997</v>
      </c>
      <c r="AO140" s="78">
        <v>8072.6</v>
      </c>
      <c r="AP140" s="104">
        <v>15892.575000000001</v>
      </c>
      <c r="AQ140" s="61">
        <f t="shared" si="864"/>
        <v>0.18100000000000002</v>
      </c>
      <c r="AR140" s="57">
        <f t="shared" si="865"/>
        <v>0.67700000000000005</v>
      </c>
      <c r="AS140" s="45"/>
      <c r="AT140" s="78">
        <v>884.09500000000003</v>
      </c>
      <c r="AU140" s="77">
        <f t="shared" si="848"/>
        <v>0.35900002436389922</v>
      </c>
      <c r="AV140" s="78">
        <v>998.83299999999997</v>
      </c>
      <c r="AW140" s="77">
        <f t="shared" si="849"/>
        <v>0.62155133789670192</v>
      </c>
      <c r="AX140" s="78">
        <v>1121.4780000000001</v>
      </c>
      <c r="AY140" s="77">
        <f t="shared" si="866"/>
        <v>0.5784392407674851</v>
      </c>
      <c r="AZ140" s="45"/>
      <c r="BA140" s="75">
        <v>54782.928</v>
      </c>
      <c r="BB140" s="77">
        <f t="shared" si="867"/>
        <v>0.78688524590163933</v>
      </c>
      <c r="BC140" s="45"/>
      <c r="BD140" s="105">
        <v>15214.316999999999</v>
      </c>
      <c r="BE140" s="45">
        <v>0</v>
      </c>
      <c r="BF140" s="106">
        <v>0</v>
      </c>
      <c r="BG140" s="107">
        <f t="shared" si="868"/>
        <v>0.46669684049079752</v>
      </c>
      <c r="BH140" s="108">
        <f t="shared" si="869"/>
        <v>0</v>
      </c>
      <c r="BI140" s="106">
        <v>0</v>
      </c>
      <c r="BJ140" s="106">
        <v>0</v>
      </c>
      <c r="BK140" s="106">
        <v>0</v>
      </c>
      <c r="BL140" s="106">
        <v>4285.4639999999999</v>
      </c>
      <c r="BM140" s="107">
        <f t="shared" si="870"/>
        <v>0.31795993470841372</v>
      </c>
      <c r="BN140" s="108">
        <f t="shared" si="871"/>
        <v>0</v>
      </c>
      <c r="BO140" s="45">
        <v>7668</v>
      </c>
      <c r="BP140" s="45">
        <v>0</v>
      </c>
      <c r="BQ140" s="45"/>
      <c r="BR140" s="109">
        <v>-700</v>
      </c>
      <c r="BS140" s="45">
        <f t="shared" si="872"/>
        <v>0</v>
      </c>
      <c r="BT140" s="45">
        <v>4485</v>
      </c>
      <c r="BU140" s="45">
        <f t="shared" si="872"/>
        <v>4485</v>
      </c>
      <c r="BV140" s="45">
        <v>0</v>
      </c>
      <c r="BW140" s="45">
        <f t="shared" ref="BW140:BY140" si="933">IF(BV140&gt;0,BV140,0)</f>
        <v>0</v>
      </c>
      <c r="BX140" s="45">
        <v>-5000</v>
      </c>
      <c r="BY140" s="45">
        <f t="shared" si="933"/>
        <v>0</v>
      </c>
      <c r="BZ140" s="45">
        <v>-5300</v>
      </c>
      <c r="CA140" s="45">
        <f t="shared" ref="CA140:CC140" si="934">IF(BZ140&gt;0,BZ140,0)</f>
        <v>0</v>
      </c>
      <c r="CB140" s="45">
        <v>-4000</v>
      </c>
      <c r="CC140" s="45">
        <f t="shared" si="934"/>
        <v>0</v>
      </c>
      <c r="CD140" s="45">
        <v>-4800</v>
      </c>
      <c r="CE140" s="45">
        <f t="shared" ref="CE140:CG140" si="935">IF(CD140&gt;0,CD140,0)</f>
        <v>0</v>
      </c>
      <c r="CF140" s="45">
        <v>11387.68849699</v>
      </c>
      <c r="CG140" s="45">
        <f t="shared" si="935"/>
        <v>11387.68849699</v>
      </c>
      <c r="CH140" s="107">
        <f t="shared" si="876"/>
        <v>15872.68849699</v>
      </c>
      <c r="CI140" s="45"/>
      <c r="CJ140" s="109">
        <v>-700</v>
      </c>
      <c r="CK140" s="45">
        <f t="shared" si="877"/>
        <v>700</v>
      </c>
      <c r="CL140" s="45">
        <v>4485</v>
      </c>
      <c r="CM140" s="45">
        <f t="shared" si="877"/>
        <v>0</v>
      </c>
      <c r="CN140" s="45">
        <v>0</v>
      </c>
      <c r="CO140" s="45">
        <f t="shared" ref="CO140:CQ140" si="936">IF(CN140&lt;0,-CN140,0)</f>
        <v>0</v>
      </c>
      <c r="CP140" s="45">
        <v>-5000</v>
      </c>
      <c r="CQ140" s="45">
        <f t="shared" si="936"/>
        <v>5000</v>
      </c>
      <c r="CR140" s="45">
        <v>-5300</v>
      </c>
      <c r="CS140" s="45">
        <f t="shared" ref="CS140:CU140" si="937">IF(CR140&lt;0,-CR140,0)</f>
        <v>5300</v>
      </c>
      <c r="CT140" s="45">
        <v>-4000</v>
      </c>
      <c r="CU140" s="45">
        <f t="shared" si="937"/>
        <v>4000</v>
      </c>
      <c r="CV140" s="45">
        <v>-4800</v>
      </c>
      <c r="CW140" s="45">
        <f t="shared" ref="CW140:CY140" si="938">IF(CV140&lt;0,-CV140,0)</f>
        <v>4800</v>
      </c>
      <c r="CX140" s="45">
        <v>11387.68849699</v>
      </c>
      <c r="CY140" s="45">
        <f t="shared" si="938"/>
        <v>0</v>
      </c>
      <c r="CZ140" s="107">
        <f t="shared" si="881"/>
        <v>19800</v>
      </c>
      <c r="DA140" s="45"/>
      <c r="DB140" s="110">
        <v>34658.703000000001</v>
      </c>
      <c r="DC140" s="57">
        <v>2217.5830000000001</v>
      </c>
      <c r="DD140" s="61">
        <v>1772.7842573093999</v>
      </c>
      <c r="DE140" s="61">
        <f t="shared" si="882"/>
        <v>38649.070257309402</v>
      </c>
      <c r="DF140" s="110">
        <v>9515.6929999999993</v>
      </c>
      <c r="DG140" s="110">
        <v>61701.411</v>
      </c>
      <c r="DH140" s="57">
        <v>8523</v>
      </c>
      <c r="DI140" s="107">
        <f t="shared" si="883"/>
        <v>70224.410999999993</v>
      </c>
      <c r="DJ140" s="45"/>
      <c r="DK140" s="110">
        <v>860.54499999999996</v>
      </c>
      <c r="DL140" s="57">
        <v>10553.7831128091</v>
      </c>
      <c r="DM140" s="57">
        <f t="shared" si="884"/>
        <v>11414.3281128091</v>
      </c>
      <c r="DN140" s="61">
        <v>1601.956469328378</v>
      </c>
      <c r="DO140" s="61">
        <v>2931.3025481182272</v>
      </c>
      <c r="DP140" s="61">
        <v>429.83307387999997</v>
      </c>
      <c r="DQ140" s="57">
        <f t="shared" si="885"/>
        <v>3361.1356219982272</v>
      </c>
      <c r="DR140" s="57">
        <v>162.8501415621237</v>
      </c>
      <c r="DS140" s="57">
        <v>162.8501415621237</v>
      </c>
      <c r="DT140" s="5"/>
      <c r="DU140" s="73">
        <v>0</v>
      </c>
      <c r="DV140" s="156">
        <v>6779.6610170000004</v>
      </c>
      <c r="DW140" s="155">
        <v>1447.7400829999999</v>
      </c>
      <c r="DX140" s="155">
        <v>0</v>
      </c>
      <c r="DY140" s="73">
        <v>0</v>
      </c>
      <c r="DZ140" s="156">
        <v>468.95712451999998</v>
      </c>
      <c r="EA140" s="73">
        <v>0</v>
      </c>
      <c r="EB140" s="156">
        <v>1271.1864410000001</v>
      </c>
      <c r="EC140" s="73">
        <v>0</v>
      </c>
      <c r="ED140" s="156">
        <v>847.5</v>
      </c>
      <c r="EE140" s="73">
        <v>0</v>
      </c>
      <c r="EF140" s="156">
        <v>7397.5988710000001</v>
      </c>
      <c r="EG140" s="73">
        <v>0</v>
      </c>
      <c r="EH140" s="156">
        <v>6779.6610170000004</v>
      </c>
      <c r="EI140" s="159">
        <v>468.95712451999998</v>
      </c>
      <c r="EJ140" s="162">
        <v>847.5</v>
      </c>
      <c r="EK140" s="165">
        <v>735.83500000000004</v>
      </c>
      <c r="EL140" s="159">
        <v>429.83307387999997</v>
      </c>
      <c r="EM140" s="159">
        <f t="shared" si="886"/>
        <v>10964.025395000001</v>
      </c>
      <c r="EN140" s="159">
        <f t="shared" si="887"/>
        <v>0</v>
      </c>
      <c r="EP140" s="2">
        <v>21465.134099999999</v>
      </c>
      <c r="EQ140" s="5">
        <f t="shared" si="888"/>
        <v>0.87399999999999989</v>
      </c>
    </row>
    <row r="141" spans="13:147" x14ac:dyDescent="0.35">
      <c r="M141" s="5"/>
      <c r="N141" s="66">
        <f t="shared" si="889"/>
        <v>139</v>
      </c>
      <c r="O141" s="78">
        <v>0</v>
      </c>
      <c r="P141" s="77">
        <f t="shared" si="856"/>
        <v>0</v>
      </c>
      <c r="Q141" s="104">
        <v>0</v>
      </c>
      <c r="R141" s="77">
        <f t="shared" si="857"/>
        <v>0</v>
      </c>
      <c r="S141" s="104">
        <v>0</v>
      </c>
      <c r="T141" s="77">
        <f t="shared" si="858"/>
        <v>0</v>
      </c>
      <c r="U141" s="104">
        <v>0</v>
      </c>
      <c r="V141" s="77">
        <f t="shared" si="844"/>
        <v>0</v>
      </c>
      <c r="W141" s="104">
        <v>0</v>
      </c>
      <c r="X141" s="77">
        <f t="shared" si="845"/>
        <v>0</v>
      </c>
      <c r="Y141" s="104">
        <v>0</v>
      </c>
      <c r="Z141" s="77">
        <f t="shared" si="859"/>
        <v>0</v>
      </c>
      <c r="AA141" s="104">
        <v>0</v>
      </c>
      <c r="AB141" s="77">
        <f t="shared" si="860"/>
        <v>0</v>
      </c>
      <c r="AC141" s="5"/>
      <c r="AD141" s="66">
        <f t="shared" si="890"/>
        <v>139</v>
      </c>
      <c r="AE141" s="78">
        <v>30793.930799999998</v>
      </c>
      <c r="AF141" s="104">
        <v>1718.1</v>
      </c>
      <c r="AG141" s="78">
        <v>373.5</v>
      </c>
      <c r="AH141" s="61">
        <f t="shared" si="861"/>
        <v>0.34599999999999997</v>
      </c>
      <c r="AI141" s="61">
        <f t="shared" si="862"/>
        <v>0.747</v>
      </c>
      <c r="AJ141" s="61">
        <f t="shared" si="863"/>
        <v>0.747</v>
      </c>
      <c r="AK141" s="77">
        <v>295.86799999999999</v>
      </c>
      <c r="AL141" s="104">
        <v>2771.1768000000002</v>
      </c>
      <c r="AM141" s="61">
        <f t="shared" si="846"/>
        <v>0.45800000000000002</v>
      </c>
      <c r="AN141" s="57">
        <f t="shared" si="847"/>
        <v>0.23800000000000002</v>
      </c>
      <c r="AO141" s="78">
        <v>8830.7999999999993</v>
      </c>
      <c r="AP141" s="104">
        <v>16737.674999999999</v>
      </c>
      <c r="AQ141" s="61">
        <f t="shared" si="864"/>
        <v>0.19799999999999998</v>
      </c>
      <c r="AR141" s="57">
        <f t="shared" si="865"/>
        <v>0.71299999999999997</v>
      </c>
      <c r="AS141" s="45"/>
      <c r="AT141" s="78">
        <v>916.11</v>
      </c>
      <c r="AU141" s="77">
        <f t="shared" si="848"/>
        <v>0.37200019491119363</v>
      </c>
      <c r="AV141" s="78">
        <v>1006.634</v>
      </c>
      <c r="AW141" s="77">
        <f t="shared" si="849"/>
        <v>0.62640572495332925</v>
      </c>
      <c r="AX141" s="78">
        <v>1121.4780000000001</v>
      </c>
      <c r="AY141" s="77">
        <f t="shared" si="866"/>
        <v>0.5784392407674851</v>
      </c>
      <c r="AZ141" s="45"/>
      <c r="BA141" s="75">
        <v>54782.928</v>
      </c>
      <c r="BB141" s="77">
        <f t="shared" si="867"/>
        <v>0.78688524590163933</v>
      </c>
      <c r="BC141" s="45"/>
      <c r="BD141" s="105">
        <v>13155.22</v>
      </c>
      <c r="BE141" s="45">
        <v>0</v>
      </c>
      <c r="BF141" s="106">
        <v>0</v>
      </c>
      <c r="BG141" s="107">
        <f t="shared" si="868"/>
        <v>0.40353435582822084</v>
      </c>
      <c r="BH141" s="108">
        <f t="shared" si="869"/>
        <v>0</v>
      </c>
      <c r="BI141" s="106">
        <v>0</v>
      </c>
      <c r="BJ141" s="106">
        <v>0</v>
      </c>
      <c r="BK141" s="106">
        <v>0</v>
      </c>
      <c r="BL141" s="106">
        <v>4156.5519999999997</v>
      </c>
      <c r="BM141" s="107">
        <f t="shared" si="870"/>
        <v>0.30839531087698469</v>
      </c>
      <c r="BN141" s="108">
        <f t="shared" si="871"/>
        <v>0</v>
      </c>
      <c r="BO141" s="45">
        <v>7668</v>
      </c>
      <c r="BP141" s="45">
        <v>0</v>
      </c>
      <c r="BQ141" s="45"/>
      <c r="BR141" s="109">
        <v>-700</v>
      </c>
      <c r="BS141" s="45">
        <f t="shared" si="872"/>
        <v>0</v>
      </c>
      <c r="BT141" s="45">
        <v>4485</v>
      </c>
      <c r="BU141" s="45">
        <f t="shared" si="872"/>
        <v>4485</v>
      </c>
      <c r="BV141" s="45">
        <v>0</v>
      </c>
      <c r="BW141" s="45">
        <f t="shared" ref="BW141:BY141" si="939">IF(BV141&gt;0,BV141,0)</f>
        <v>0</v>
      </c>
      <c r="BX141" s="45">
        <v>-5000</v>
      </c>
      <c r="BY141" s="45">
        <f t="shared" si="939"/>
        <v>0</v>
      </c>
      <c r="BZ141" s="45">
        <v>-5300</v>
      </c>
      <c r="CA141" s="45">
        <f t="shared" ref="CA141:CC141" si="940">IF(BZ141&gt;0,BZ141,0)</f>
        <v>0</v>
      </c>
      <c r="CB141" s="45">
        <v>-4000</v>
      </c>
      <c r="CC141" s="45">
        <f t="shared" si="940"/>
        <v>0</v>
      </c>
      <c r="CD141" s="45">
        <v>-4800</v>
      </c>
      <c r="CE141" s="45">
        <f t="shared" ref="CE141:CG141" si="941">IF(CD141&gt;0,CD141,0)</f>
        <v>0</v>
      </c>
      <c r="CF141" s="45">
        <v>11413.609467730001</v>
      </c>
      <c r="CG141" s="45">
        <f t="shared" si="941"/>
        <v>11413.609467730001</v>
      </c>
      <c r="CH141" s="107">
        <f t="shared" si="876"/>
        <v>15898.609467730001</v>
      </c>
      <c r="CI141" s="45"/>
      <c r="CJ141" s="109">
        <v>-700</v>
      </c>
      <c r="CK141" s="45">
        <f t="shared" si="877"/>
        <v>700</v>
      </c>
      <c r="CL141" s="45">
        <v>4485</v>
      </c>
      <c r="CM141" s="45">
        <f t="shared" si="877"/>
        <v>0</v>
      </c>
      <c r="CN141" s="45">
        <v>0</v>
      </c>
      <c r="CO141" s="45">
        <f t="shared" ref="CO141:CQ141" si="942">IF(CN141&lt;0,-CN141,0)</f>
        <v>0</v>
      </c>
      <c r="CP141" s="45">
        <v>-5000</v>
      </c>
      <c r="CQ141" s="45">
        <f t="shared" si="942"/>
        <v>5000</v>
      </c>
      <c r="CR141" s="45">
        <v>-5300</v>
      </c>
      <c r="CS141" s="45">
        <f t="shared" ref="CS141:CU141" si="943">IF(CR141&lt;0,-CR141,0)</f>
        <v>5300</v>
      </c>
      <c r="CT141" s="45">
        <v>-4000</v>
      </c>
      <c r="CU141" s="45">
        <f t="shared" si="943"/>
        <v>4000</v>
      </c>
      <c r="CV141" s="45">
        <v>-4800</v>
      </c>
      <c r="CW141" s="45">
        <f t="shared" ref="CW141:CY141" si="944">IF(CV141&lt;0,-CV141,0)</f>
        <v>4800</v>
      </c>
      <c r="CX141" s="45">
        <v>11413.609467730001</v>
      </c>
      <c r="CY141" s="45">
        <f t="shared" si="944"/>
        <v>0</v>
      </c>
      <c r="CZ141" s="107">
        <f t="shared" si="881"/>
        <v>19800</v>
      </c>
      <c r="DA141" s="45"/>
      <c r="DB141" s="110">
        <v>36500.114000000001</v>
      </c>
      <c r="DC141" s="57">
        <v>2316.5680000000002</v>
      </c>
      <c r="DD141" s="61">
        <v>1899.2357965029</v>
      </c>
      <c r="DE141" s="61">
        <f t="shared" si="882"/>
        <v>40715.917796502901</v>
      </c>
      <c r="DF141" s="110">
        <v>9696.7070000000003</v>
      </c>
      <c r="DG141" s="110">
        <v>63197.411</v>
      </c>
      <c r="DH141" s="57">
        <v>8136</v>
      </c>
      <c r="DI141" s="107">
        <f t="shared" si="883"/>
        <v>71333.410999999993</v>
      </c>
      <c r="DJ141" s="45"/>
      <c r="DK141" s="110">
        <v>856.73199999999997</v>
      </c>
      <c r="DL141" s="57">
        <v>10569.62924658717</v>
      </c>
      <c r="DM141" s="57">
        <f t="shared" si="884"/>
        <v>11426.36124658717</v>
      </c>
      <c r="DN141" s="61">
        <v>1601.956469328378</v>
      </c>
      <c r="DO141" s="61">
        <v>2939.6521533658638</v>
      </c>
      <c r="DP141" s="61">
        <v>421.48346863</v>
      </c>
      <c r="DQ141" s="57">
        <f t="shared" si="885"/>
        <v>3361.1356219958639</v>
      </c>
      <c r="DR141" s="57">
        <v>163.31400852032581</v>
      </c>
      <c r="DS141" s="57">
        <v>163.31400852032581</v>
      </c>
      <c r="DT141" s="5"/>
      <c r="DU141" s="73">
        <v>0</v>
      </c>
      <c r="DV141" s="156">
        <v>6779.6610170000004</v>
      </c>
      <c r="DW141" s="155">
        <v>1447.7400829999999</v>
      </c>
      <c r="DX141" s="155">
        <v>0</v>
      </c>
      <c r="DY141" s="73">
        <v>0</v>
      </c>
      <c r="DZ141" s="156">
        <v>242.52099147999999</v>
      </c>
      <c r="EA141" s="73">
        <v>0</v>
      </c>
      <c r="EB141" s="156">
        <v>1271.1864410000001</v>
      </c>
      <c r="EC141" s="73">
        <v>0</v>
      </c>
      <c r="ED141" s="156">
        <v>847.5</v>
      </c>
      <c r="EE141" s="73">
        <v>0</v>
      </c>
      <c r="EF141" s="156">
        <v>7397.5988710000001</v>
      </c>
      <c r="EG141" s="73">
        <v>0</v>
      </c>
      <c r="EH141" s="156">
        <v>6779.6610170000004</v>
      </c>
      <c r="EI141" s="159">
        <v>242.52099147999999</v>
      </c>
      <c r="EJ141" s="162">
        <v>847.5</v>
      </c>
      <c r="EK141" s="165">
        <v>735.83500000000004</v>
      </c>
      <c r="EL141" s="159">
        <v>421.48346863</v>
      </c>
      <c r="EM141" s="159">
        <f t="shared" si="886"/>
        <v>10964.025395000001</v>
      </c>
      <c r="EN141" s="159">
        <f t="shared" si="887"/>
        <v>0</v>
      </c>
      <c r="EP141" s="2">
        <v>21465.134099999999</v>
      </c>
      <c r="EQ141" s="5">
        <f t="shared" si="888"/>
        <v>0.87399999999999989</v>
      </c>
    </row>
    <row r="142" spans="13:147" x14ac:dyDescent="0.35">
      <c r="M142" s="5"/>
      <c r="N142" s="66">
        <f t="shared" si="889"/>
        <v>140</v>
      </c>
      <c r="O142" s="78">
        <v>0</v>
      </c>
      <c r="P142" s="77">
        <f t="shared" si="856"/>
        <v>0</v>
      </c>
      <c r="Q142" s="104">
        <v>0</v>
      </c>
      <c r="R142" s="77">
        <f t="shared" si="857"/>
        <v>0</v>
      </c>
      <c r="S142" s="104">
        <v>0</v>
      </c>
      <c r="T142" s="77">
        <f t="shared" si="858"/>
        <v>0</v>
      </c>
      <c r="U142" s="104">
        <v>0</v>
      </c>
      <c r="V142" s="77">
        <f t="shared" si="844"/>
        <v>0</v>
      </c>
      <c r="W142" s="104">
        <v>0</v>
      </c>
      <c r="X142" s="77">
        <f t="shared" si="845"/>
        <v>0</v>
      </c>
      <c r="Y142" s="104">
        <v>0</v>
      </c>
      <c r="Z142" s="77">
        <f t="shared" si="859"/>
        <v>0</v>
      </c>
      <c r="AA142" s="104">
        <v>0</v>
      </c>
      <c r="AB142" s="77">
        <f t="shared" si="860"/>
        <v>0</v>
      </c>
      <c r="AC142" s="5"/>
      <c r="AD142" s="66">
        <f t="shared" si="890"/>
        <v>140</v>
      </c>
      <c r="AE142" s="78">
        <v>34175.923199999997</v>
      </c>
      <c r="AF142" s="104">
        <v>1725</v>
      </c>
      <c r="AG142" s="78">
        <v>375</v>
      </c>
      <c r="AH142" s="61">
        <f t="shared" si="861"/>
        <v>0.38399999999999995</v>
      </c>
      <c r="AI142" s="61">
        <f t="shared" si="862"/>
        <v>0.75</v>
      </c>
      <c r="AJ142" s="61">
        <f t="shared" si="863"/>
        <v>0.75</v>
      </c>
      <c r="AK142" s="77">
        <v>326.87599999999998</v>
      </c>
      <c r="AL142" s="104">
        <v>2945.8308000000002</v>
      </c>
      <c r="AM142" s="61">
        <f t="shared" si="846"/>
        <v>0.50600000000000001</v>
      </c>
      <c r="AN142" s="57">
        <f t="shared" si="847"/>
        <v>0.253</v>
      </c>
      <c r="AO142" s="78">
        <v>10704</v>
      </c>
      <c r="AP142" s="104">
        <v>17841</v>
      </c>
      <c r="AQ142" s="61">
        <f t="shared" si="864"/>
        <v>0.24</v>
      </c>
      <c r="AR142" s="57">
        <f t="shared" si="865"/>
        <v>0.76</v>
      </c>
      <c r="AS142" s="45"/>
      <c r="AT142" s="78">
        <v>913.64700000000005</v>
      </c>
      <c r="AU142" s="77">
        <f t="shared" si="848"/>
        <v>0.37100005684909815</v>
      </c>
      <c r="AV142" s="78">
        <v>1004.859</v>
      </c>
      <c r="AW142" s="77">
        <f t="shared" si="849"/>
        <v>0.62530118232731802</v>
      </c>
      <c r="AX142" s="78">
        <v>1121.4780000000001</v>
      </c>
      <c r="AY142" s="77">
        <f t="shared" si="866"/>
        <v>0.5784392407674851</v>
      </c>
      <c r="AZ142" s="45"/>
      <c r="BA142" s="75">
        <v>54782.928</v>
      </c>
      <c r="BB142" s="77">
        <f t="shared" si="867"/>
        <v>0.78688524590163933</v>
      </c>
      <c r="BC142" s="45"/>
      <c r="BD142" s="105">
        <v>14605.852000000001</v>
      </c>
      <c r="BE142" s="45">
        <v>0</v>
      </c>
      <c r="BF142" s="106">
        <v>0</v>
      </c>
      <c r="BG142" s="107">
        <f t="shared" si="868"/>
        <v>0.44803226993865031</v>
      </c>
      <c r="BH142" s="108">
        <f t="shared" si="869"/>
        <v>0</v>
      </c>
      <c r="BI142" s="106">
        <v>0</v>
      </c>
      <c r="BJ142" s="106">
        <v>0</v>
      </c>
      <c r="BK142" s="106">
        <v>0</v>
      </c>
      <c r="BL142" s="106">
        <v>4540.826</v>
      </c>
      <c r="BM142" s="107">
        <f t="shared" si="870"/>
        <v>0.33690651431963198</v>
      </c>
      <c r="BN142" s="108">
        <f t="shared" si="871"/>
        <v>0</v>
      </c>
      <c r="BO142" s="45">
        <v>7668</v>
      </c>
      <c r="BP142" s="45">
        <v>0</v>
      </c>
      <c r="BQ142" s="45"/>
      <c r="BR142" s="109">
        <v>-700</v>
      </c>
      <c r="BS142" s="45">
        <f t="shared" si="872"/>
        <v>0</v>
      </c>
      <c r="BT142" s="45">
        <v>4485</v>
      </c>
      <c r="BU142" s="45">
        <f t="shared" si="872"/>
        <v>4485</v>
      </c>
      <c r="BV142" s="45">
        <v>0</v>
      </c>
      <c r="BW142" s="45">
        <f t="shared" ref="BW142:BY142" si="945">IF(BV142&gt;0,BV142,0)</f>
        <v>0</v>
      </c>
      <c r="BX142" s="45">
        <v>-5000</v>
      </c>
      <c r="BY142" s="45">
        <f t="shared" si="945"/>
        <v>0</v>
      </c>
      <c r="BZ142" s="45">
        <v>-5300</v>
      </c>
      <c r="CA142" s="45">
        <f t="shared" ref="CA142:CC142" si="946">IF(BZ142&gt;0,BZ142,0)</f>
        <v>0</v>
      </c>
      <c r="CB142" s="45">
        <v>-4000</v>
      </c>
      <c r="CC142" s="45">
        <f t="shared" si="946"/>
        <v>0</v>
      </c>
      <c r="CD142" s="45">
        <v>-4800</v>
      </c>
      <c r="CE142" s="45">
        <f t="shared" ref="CE142:CG142" si="947">IF(CD142&gt;0,CD142,0)</f>
        <v>0</v>
      </c>
      <c r="CF142" s="45">
        <v>11345.870615059999</v>
      </c>
      <c r="CG142" s="45">
        <f t="shared" si="947"/>
        <v>11345.870615059999</v>
      </c>
      <c r="CH142" s="107">
        <f t="shared" si="876"/>
        <v>15830.870615059999</v>
      </c>
      <c r="CI142" s="45"/>
      <c r="CJ142" s="109">
        <v>-700</v>
      </c>
      <c r="CK142" s="45">
        <f t="shared" si="877"/>
        <v>700</v>
      </c>
      <c r="CL142" s="45">
        <v>4485</v>
      </c>
      <c r="CM142" s="45">
        <f t="shared" si="877"/>
        <v>0</v>
      </c>
      <c r="CN142" s="45">
        <v>0</v>
      </c>
      <c r="CO142" s="45">
        <f t="shared" ref="CO142:CQ142" si="948">IF(CN142&lt;0,-CN142,0)</f>
        <v>0</v>
      </c>
      <c r="CP142" s="45">
        <v>-5000</v>
      </c>
      <c r="CQ142" s="45">
        <f t="shared" si="948"/>
        <v>5000</v>
      </c>
      <c r="CR142" s="45">
        <v>-5300</v>
      </c>
      <c r="CS142" s="45">
        <f t="shared" ref="CS142:CU142" si="949">IF(CR142&lt;0,-CR142,0)</f>
        <v>5300</v>
      </c>
      <c r="CT142" s="45">
        <v>-4000</v>
      </c>
      <c r="CU142" s="45">
        <f t="shared" si="949"/>
        <v>4000</v>
      </c>
      <c r="CV142" s="45">
        <v>-4800</v>
      </c>
      <c r="CW142" s="45">
        <f t="shared" ref="CW142:CY142" si="950">IF(CV142&lt;0,-CV142,0)</f>
        <v>4800</v>
      </c>
      <c r="CX142" s="45">
        <v>11345.870615059999</v>
      </c>
      <c r="CY142" s="45">
        <f t="shared" si="950"/>
        <v>0</v>
      </c>
      <c r="CZ142" s="107">
        <f t="shared" si="881"/>
        <v>19800</v>
      </c>
      <c r="DA142" s="45"/>
      <c r="DB142" s="110">
        <v>37140.712</v>
      </c>
      <c r="DC142" s="57">
        <v>2318.4690000000001</v>
      </c>
      <c r="DD142" s="61">
        <v>2023.4358837923</v>
      </c>
      <c r="DE142" s="61">
        <f t="shared" si="882"/>
        <v>41482.616883792296</v>
      </c>
      <c r="DF142" s="110">
        <v>9717.3829999999998</v>
      </c>
      <c r="DG142" s="110">
        <v>62694.411</v>
      </c>
      <c r="DH142" s="57">
        <v>7672</v>
      </c>
      <c r="DI142" s="107">
        <f t="shared" si="883"/>
        <v>70366.410999999993</v>
      </c>
      <c r="DJ142" s="45"/>
      <c r="DK142" s="110">
        <v>846.57100000000003</v>
      </c>
      <c r="DL142" s="57">
        <v>10553.7831128091</v>
      </c>
      <c r="DM142" s="57">
        <f t="shared" si="884"/>
        <v>11400.3541128091</v>
      </c>
      <c r="DN142" s="61">
        <v>1601.956469328378</v>
      </c>
      <c r="DO142" s="61">
        <v>2931.3025481182272</v>
      </c>
      <c r="DP142" s="61">
        <v>429.83307387999997</v>
      </c>
      <c r="DQ142" s="57">
        <f t="shared" si="885"/>
        <v>3361.1356219982272</v>
      </c>
      <c r="DR142" s="57">
        <v>162.8501415621237</v>
      </c>
      <c r="DS142" s="57">
        <v>162.8501415621237</v>
      </c>
      <c r="DT142" s="5"/>
      <c r="DU142" s="73">
        <v>0</v>
      </c>
      <c r="DV142" s="156">
        <v>6779.6610170000004</v>
      </c>
      <c r="DW142" s="155">
        <v>1447.7400829999999</v>
      </c>
      <c r="DX142" s="155">
        <v>0</v>
      </c>
      <c r="DY142" s="73">
        <v>0</v>
      </c>
      <c r="DZ142" s="156">
        <v>572.98485844000004</v>
      </c>
      <c r="EA142" s="73">
        <v>0</v>
      </c>
      <c r="EB142" s="156">
        <v>1271.1864410000001</v>
      </c>
      <c r="EC142" s="73">
        <v>0</v>
      </c>
      <c r="ED142" s="156">
        <v>847.5</v>
      </c>
      <c r="EE142" s="73">
        <v>0</v>
      </c>
      <c r="EF142" s="156">
        <v>7397.5988710000001</v>
      </c>
      <c r="EG142" s="73">
        <v>0</v>
      </c>
      <c r="EH142" s="156">
        <v>6779.6610170000004</v>
      </c>
      <c r="EI142" s="159">
        <v>572.98485844000004</v>
      </c>
      <c r="EJ142" s="162">
        <v>847.5</v>
      </c>
      <c r="EK142" s="165">
        <v>735.83500000000004</v>
      </c>
      <c r="EL142" s="159">
        <v>429.83307387999997</v>
      </c>
      <c r="EM142" s="159">
        <f t="shared" si="886"/>
        <v>10964.025395000001</v>
      </c>
      <c r="EN142" s="159">
        <f t="shared" si="887"/>
        <v>0</v>
      </c>
      <c r="EP142" s="2">
        <v>21465.134099999999</v>
      </c>
      <c r="EQ142" s="5">
        <f t="shared" si="888"/>
        <v>0.87399999999999989</v>
      </c>
    </row>
    <row r="143" spans="13:147" x14ac:dyDescent="0.35">
      <c r="M143" s="5"/>
      <c r="N143" s="66">
        <f t="shared" si="889"/>
        <v>141</v>
      </c>
      <c r="O143" s="78">
        <v>0</v>
      </c>
      <c r="P143" s="77">
        <f t="shared" si="856"/>
        <v>0</v>
      </c>
      <c r="Q143" s="104">
        <v>0</v>
      </c>
      <c r="R143" s="77">
        <f t="shared" si="857"/>
        <v>0</v>
      </c>
      <c r="S143" s="104">
        <v>0</v>
      </c>
      <c r="T143" s="77">
        <f t="shared" si="858"/>
        <v>0</v>
      </c>
      <c r="U143" s="104">
        <v>0</v>
      </c>
      <c r="V143" s="77">
        <f t="shared" si="844"/>
        <v>0</v>
      </c>
      <c r="W143" s="104">
        <v>0</v>
      </c>
      <c r="X143" s="77">
        <f t="shared" si="845"/>
        <v>0</v>
      </c>
      <c r="Y143" s="104">
        <v>0</v>
      </c>
      <c r="Z143" s="77">
        <f t="shared" si="859"/>
        <v>0</v>
      </c>
      <c r="AA143" s="104">
        <v>0</v>
      </c>
      <c r="AB143" s="77">
        <f t="shared" si="860"/>
        <v>0</v>
      </c>
      <c r="AC143" s="5"/>
      <c r="AD143" s="66">
        <f t="shared" si="890"/>
        <v>141</v>
      </c>
      <c r="AE143" s="78">
        <v>36845.917200000004</v>
      </c>
      <c r="AF143" s="104">
        <v>1734.2</v>
      </c>
      <c r="AG143" s="78">
        <v>377</v>
      </c>
      <c r="AH143" s="61">
        <f t="shared" si="861"/>
        <v>0.41400000000000003</v>
      </c>
      <c r="AI143" s="61">
        <f t="shared" si="862"/>
        <v>0.754</v>
      </c>
      <c r="AJ143" s="61">
        <f t="shared" si="863"/>
        <v>0.754</v>
      </c>
      <c r="AK143" s="77">
        <v>354.00799999999998</v>
      </c>
      <c r="AL143" s="104">
        <v>3446.5056</v>
      </c>
      <c r="AM143" s="61">
        <f t="shared" si="846"/>
        <v>0.54799999999999993</v>
      </c>
      <c r="AN143" s="57">
        <f t="shared" si="847"/>
        <v>0.29599999999999999</v>
      </c>
      <c r="AO143" s="78">
        <v>12978.6</v>
      </c>
      <c r="AP143" s="104">
        <v>19085.174999999999</v>
      </c>
      <c r="AQ143" s="61">
        <f t="shared" si="864"/>
        <v>0.29099999999999998</v>
      </c>
      <c r="AR143" s="57">
        <f t="shared" si="865"/>
        <v>0.81299999999999994</v>
      </c>
      <c r="AS143" s="45"/>
      <c r="AT143" s="78">
        <v>908.72199999999998</v>
      </c>
      <c r="AU143" s="77">
        <f t="shared" si="848"/>
        <v>0.36900018678989388</v>
      </c>
      <c r="AV143" s="78">
        <v>1004.706</v>
      </c>
      <c r="AW143" s="77">
        <f t="shared" si="849"/>
        <v>0.62520597386434351</v>
      </c>
      <c r="AX143" s="78">
        <v>1121.4780000000001</v>
      </c>
      <c r="AY143" s="77">
        <f t="shared" si="866"/>
        <v>0.5784392407674851</v>
      </c>
      <c r="AZ143" s="45"/>
      <c r="BA143" s="75">
        <v>54782.928</v>
      </c>
      <c r="BB143" s="77">
        <f t="shared" si="867"/>
        <v>0.78688524590163933</v>
      </c>
      <c r="BC143" s="45"/>
      <c r="BD143" s="105">
        <v>15718.287</v>
      </c>
      <c r="BE143" s="45">
        <v>0</v>
      </c>
      <c r="BF143" s="106">
        <v>0</v>
      </c>
      <c r="BG143" s="107">
        <f t="shared" si="868"/>
        <v>0.48215604294478526</v>
      </c>
      <c r="BH143" s="108">
        <f t="shared" si="869"/>
        <v>0</v>
      </c>
      <c r="BI143" s="106">
        <v>0</v>
      </c>
      <c r="BJ143" s="106">
        <v>0</v>
      </c>
      <c r="BK143" s="106">
        <v>0</v>
      </c>
      <c r="BL143" s="106">
        <v>4914.1610000000001</v>
      </c>
      <c r="BM143" s="107">
        <f t="shared" si="870"/>
        <v>0.36460609882771927</v>
      </c>
      <c r="BN143" s="108">
        <f t="shared" si="871"/>
        <v>0</v>
      </c>
      <c r="BO143" s="45">
        <v>7668</v>
      </c>
      <c r="BP143" s="45">
        <v>0</v>
      </c>
      <c r="BQ143" s="45"/>
      <c r="BR143" s="109">
        <v>-700</v>
      </c>
      <c r="BS143" s="45">
        <f t="shared" si="872"/>
        <v>0</v>
      </c>
      <c r="BT143" s="45">
        <v>4485</v>
      </c>
      <c r="BU143" s="45">
        <f t="shared" si="872"/>
        <v>4485</v>
      </c>
      <c r="BV143" s="45">
        <v>0</v>
      </c>
      <c r="BW143" s="45">
        <f t="shared" ref="BW143:BY143" si="951">IF(BV143&gt;0,BV143,0)</f>
        <v>0</v>
      </c>
      <c r="BX143" s="45">
        <v>-5000</v>
      </c>
      <c r="BY143" s="45">
        <f t="shared" si="951"/>
        <v>0</v>
      </c>
      <c r="BZ143" s="45">
        <v>-5300</v>
      </c>
      <c r="CA143" s="45">
        <f t="shared" ref="CA143:CC143" si="952">IF(BZ143&gt;0,BZ143,0)</f>
        <v>0</v>
      </c>
      <c r="CB143" s="45">
        <v>-4000</v>
      </c>
      <c r="CC143" s="45">
        <f t="shared" si="952"/>
        <v>0</v>
      </c>
      <c r="CD143" s="45">
        <v>-4800</v>
      </c>
      <c r="CE143" s="45">
        <f t="shared" ref="CE143:CG143" si="953">IF(CD143&gt;0,CD143,0)</f>
        <v>0</v>
      </c>
      <c r="CF143" s="45">
        <v>13917.72010602</v>
      </c>
      <c r="CG143" s="45">
        <f t="shared" si="953"/>
        <v>13917.72010602</v>
      </c>
      <c r="CH143" s="107">
        <f t="shared" si="876"/>
        <v>18402.720106020002</v>
      </c>
      <c r="CI143" s="45"/>
      <c r="CJ143" s="109">
        <v>-700</v>
      </c>
      <c r="CK143" s="45">
        <f t="shared" si="877"/>
        <v>700</v>
      </c>
      <c r="CL143" s="45">
        <v>4485</v>
      </c>
      <c r="CM143" s="45">
        <f t="shared" si="877"/>
        <v>0</v>
      </c>
      <c r="CN143" s="45">
        <v>0</v>
      </c>
      <c r="CO143" s="45">
        <f t="shared" ref="CO143:CQ143" si="954">IF(CN143&lt;0,-CN143,0)</f>
        <v>0</v>
      </c>
      <c r="CP143" s="45">
        <v>-5000</v>
      </c>
      <c r="CQ143" s="45">
        <f t="shared" si="954"/>
        <v>5000</v>
      </c>
      <c r="CR143" s="45">
        <v>-5300</v>
      </c>
      <c r="CS143" s="45">
        <f t="shared" ref="CS143:CU143" si="955">IF(CR143&lt;0,-CR143,0)</f>
        <v>5300</v>
      </c>
      <c r="CT143" s="45">
        <v>-4000</v>
      </c>
      <c r="CU143" s="45">
        <f t="shared" si="955"/>
        <v>4000</v>
      </c>
      <c r="CV143" s="45">
        <v>-4800</v>
      </c>
      <c r="CW143" s="45">
        <f t="shared" ref="CW143:CY143" si="956">IF(CV143&lt;0,-CV143,0)</f>
        <v>4800</v>
      </c>
      <c r="CX143" s="45">
        <v>13917.72010602</v>
      </c>
      <c r="CY143" s="45">
        <f t="shared" si="956"/>
        <v>0</v>
      </c>
      <c r="CZ143" s="107">
        <f t="shared" si="881"/>
        <v>19800</v>
      </c>
      <c r="DA143" s="45"/>
      <c r="DB143" s="110">
        <v>37137.919000000002</v>
      </c>
      <c r="DC143" s="57">
        <v>2319.2249999999999</v>
      </c>
      <c r="DD143" s="61">
        <v>1985.4172930269999</v>
      </c>
      <c r="DE143" s="61">
        <f t="shared" si="882"/>
        <v>41442.561293027</v>
      </c>
      <c r="DF143" s="110">
        <v>9348.4760000000006</v>
      </c>
      <c r="DG143" s="110">
        <v>59665.411</v>
      </c>
      <c r="DH143" s="57">
        <v>7742</v>
      </c>
      <c r="DI143" s="107">
        <f t="shared" si="883"/>
        <v>67407.410999999993</v>
      </c>
      <c r="DJ143" s="45"/>
      <c r="DK143" s="110">
        <v>798.98900000000003</v>
      </c>
      <c r="DL143" s="57">
        <v>10537.936979031019</v>
      </c>
      <c r="DM143" s="57">
        <f t="shared" si="884"/>
        <v>11336.925979031019</v>
      </c>
      <c r="DN143" s="61">
        <v>1601.956469328378</v>
      </c>
      <c r="DO143" s="61">
        <v>2922.952942870591</v>
      </c>
      <c r="DP143" s="61">
        <v>438.18267913</v>
      </c>
      <c r="DQ143" s="57">
        <f t="shared" si="885"/>
        <v>3361.135622000591</v>
      </c>
      <c r="DR143" s="57">
        <v>162.38627460392169</v>
      </c>
      <c r="DS143" s="57">
        <v>162.38627460392169</v>
      </c>
      <c r="DT143" s="5"/>
      <c r="DU143" s="73">
        <v>0</v>
      </c>
      <c r="DV143" s="156">
        <v>6779.6610170000004</v>
      </c>
      <c r="DW143" s="155">
        <v>1447.7400829999999</v>
      </c>
      <c r="DX143" s="155">
        <v>0</v>
      </c>
      <c r="DY143" s="73">
        <v>0</v>
      </c>
      <c r="DZ143" s="156">
        <v>243.4487254</v>
      </c>
      <c r="EA143" s="73">
        <v>0</v>
      </c>
      <c r="EB143" s="156">
        <v>1271.1864410000001</v>
      </c>
      <c r="EC143" s="73">
        <v>0</v>
      </c>
      <c r="ED143" s="156">
        <v>847.5</v>
      </c>
      <c r="EE143" s="73">
        <v>0</v>
      </c>
      <c r="EF143" s="156">
        <v>7397.5988710000001</v>
      </c>
      <c r="EG143" s="73">
        <v>0</v>
      </c>
      <c r="EH143" s="156">
        <v>6779.6610170000004</v>
      </c>
      <c r="EI143" s="159">
        <v>243.4487254</v>
      </c>
      <c r="EJ143" s="162">
        <v>847.5</v>
      </c>
      <c r="EK143" s="165">
        <v>735.83500000000004</v>
      </c>
      <c r="EL143" s="159">
        <v>438.18267913</v>
      </c>
      <c r="EM143" s="159">
        <f t="shared" si="886"/>
        <v>10964.025395000001</v>
      </c>
      <c r="EN143" s="159">
        <f t="shared" si="887"/>
        <v>0</v>
      </c>
      <c r="EP143" s="2">
        <v>21465.134099999999</v>
      </c>
      <c r="EQ143" s="5">
        <f t="shared" si="888"/>
        <v>0.87399999999999989</v>
      </c>
    </row>
    <row r="144" spans="13:147" x14ac:dyDescent="0.35">
      <c r="M144" s="5"/>
      <c r="N144" s="66">
        <f t="shared" si="889"/>
        <v>142</v>
      </c>
      <c r="O144" s="78">
        <v>0</v>
      </c>
      <c r="P144" s="77">
        <f t="shared" si="856"/>
        <v>0</v>
      </c>
      <c r="Q144" s="104">
        <v>0</v>
      </c>
      <c r="R144" s="77">
        <f t="shared" si="857"/>
        <v>0</v>
      </c>
      <c r="S144" s="104">
        <v>0</v>
      </c>
      <c r="T144" s="77">
        <f t="shared" si="858"/>
        <v>0</v>
      </c>
      <c r="U144" s="104">
        <v>0</v>
      </c>
      <c r="V144" s="77">
        <f t="shared" si="844"/>
        <v>0</v>
      </c>
      <c r="W144" s="104">
        <v>0</v>
      </c>
      <c r="X144" s="77">
        <f t="shared" si="845"/>
        <v>0</v>
      </c>
      <c r="Y144" s="104">
        <v>0</v>
      </c>
      <c r="Z144" s="77">
        <f t="shared" si="859"/>
        <v>0</v>
      </c>
      <c r="AA144" s="104">
        <v>0</v>
      </c>
      <c r="AB144" s="77">
        <f t="shared" si="860"/>
        <v>0</v>
      </c>
      <c r="AC144" s="5"/>
      <c r="AD144" s="66">
        <f t="shared" si="890"/>
        <v>142</v>
      </c>
      <c r="AE144" s="78">
        <v>38447.9136</v>
      </c>
      <c r="AF144" s="104">
        <v>1766.4</v>
      </c>
      <c r="AG144" s="78">
        <v>384</v>
      </c>
      <c r="AH144" s="61">
        <f t="shared" si="861"/>
        <v>0.432</v>
      </c>
      <c r="AI144" s="61">
        <f t="shared" si="862"/>
        <v>0.76800000000000002</v>
      </c>
      <c r="AJ144" s="61">
        <f t="shared" si="863"/>
        <v>0.76800000000000002</v>
      </c>
      <c r="AK144" s="77">
        <v>377.26400000000001</v>
      </c>
      <c r="AL144" s="104">
        <v>4354.7064</v>
      </c>
      <c r="AM144" s="61">
        <f t="shared" si="846"/>
        <v>0.58399999999999996</v>
      </c>
      <c r="AN144" s="57">
        <f t="shared" si="847"/>
        <v>0.374</v>
      </c>
      <c r="AO144" s="78">
        <v>15476.2</v>
      </c>
      <c r="AP144" s="104">
        <v>20470.2</v>
      </c>
      <c r="AQ144" s="61">
        <f t="shared" si="864"/>
        <v>0.34700000000000003</v>
      </c>
      <c r="AR144" s="57">
        <f t="shared" si="865"/>
        <v>0.872</v>
      </c>
      <c r="AS144" s="45"/>
      <c r="AT144" s="78">
        <v>911.18399999999997</v>
      </c>
      <c r="AU144" s="77">
        <f t="shared" si="848"/>
        <v>0.36999991878700267</v>
      </c>
      <c r="AV144" s="78">
        <v>999.15300000000002</v>
      </c>
      <c r="AW144" s="77">
        <f t="shared" si="849"/>
        <v>0.62175046670815182</v>
      </c>
      <c r="AX144" s="78">
        <v>1121.4780000000001</v>
      </c>
      <c r="AY144" s="77">
        <f t="shared" si="866"/>
        <v>0.5784392407674851</v>
      </c>
      <c r="AZ144" s="45"/>
      <c r="BA144" s="75">
        <v>53641.616999999998</v>
      </c>
      <c r="BB144" s="77">
        <f t="shared" si="867"/>
        <v>0.77049180327868849</v>
      </c>
      <c r="BC144" s="45"/>
      <c r="BD144" s="105">
        <v>16423.629000000001</v>
      </c>
      <c r="BE144" s="45">
        <v>0</v>
      </c>
      <c r="BF144" s="106">
        <v>0</v>
      </c>
      <c r="BG144" s="107">
        <f t="shared" si="868"/>
        <v>0.503792300613497</v>
      </c>
      <c r="BH144" s="108">
        <f t="shared" si="869"/>
        <v>0</v>
      </c>
      <c r="BI144" s="106">
        <v>0</v>
      </c>
      <c r="BJ144" s="106">
        <v>0</v>
      </c>
      <c r="BK144" s="106">
        <v>0</v>
      </c>
      <c r="BL144" s="106">
        <v>5236.0420000000004</v>
      </c>
      <c r="BM144" s="107">
        <f t="shared" si="870"/>
        <v>0.38848805460750857</v>
      </c>
      <c r="BN144" s="108">
        <f t="shared" si="871"/>
        <v>0</v>
      </c>
      <c r="BO144" s="45">
        <v>7668</v>
      </c>
      <c r="BP144" s="45">
        <v>0</v>
      </c>
      <c r="BQ144" s="45"/>
      <c r="BR144" s="109">
        <v>-700</v>
      </c>
      <c r="BS144" s="45">
        <f t="shared" si="872"/>
        <v>0</v>
      </c>
      <c r="BT144" s="45">
        <v>4485</v>
      </c>
      <c r="BU144" s="45">
        <f t="shared" si="872"/>
        <v>4485</v>
      </c>
      <c r="BV144" s="45">
        <v>0</v>
      </c>
      <c r="BW144" s="45">
        <f t="shared" ref="BW144:BY144" si="957">IF(BV144&gt;0,BV144,0)</f>
        <v>0</v>
      </c>
      <c r="BX144" s="45">
        <v>-5000</v>
      </c>
      <c r="BY144" s="45">
        <f t="shared" si="957"/>
        <v>0</v>
      </c>
      <c r="BZ144" s="45">
        <v>-5300</v>
      </c>
      <c r="CA144" s="45">
        <f t="shared" ref="CA144:CC144" si="958">IF(BZ144&gt;0,BZ144,0)</f>
        <v>0</v>
      </c>
      <c r="CB144" s="45">
        <v>-4000</v>
      </c>
      <c r="CC144" s="45">
        <f t="shared" si="958"/>
        <v>0</v>
      </c>
      <c r="CD144" s="45">
        <v>-4800</v>
      </c>
      <c r="CE144" s="45">
        <f t="shared" ref="CE144:CG144" si="959">IF(CD144&gt;0,CD144,0)</f>
        <v>0</v>
      </c>
      <c r="CF144" s="45">
        <v>18224.409051629998</v>
      </c>
      <c r="CG144" s="45">
        <f t="shared" si="959"/>
        <v>18224.409051629998</v>
      </c>
      <c r="CH144" s="107">
        <f t="shared" si="876"/>
        <v>22709.409051629998</v>
      </c>
      <c r="CI144" s="45"/>
      <c r="CJ144" s="109">
        <v>-700</v>
      </c>
      <c r="CK144" s="45">
        <f t="shared" si="877"/>
        <v>700</v>
      </c>
      <c r="CL144" s="45">
        <v>4485</v>
      </c>
      <c r="CM144" s="45">
        <f t="shared" si="877"/>
        <v>0</v>
      </c>
      <c r="CN144" s="45">
        <v>0</v>
      </c>
      <c r="CO144" s="45">
        <f t="shared" ref="CO144:CQ144" si="960">IF(CN144&lt;0,-CN144,0)</f>
        <v>0</v>
      </c>
      <c r="CP144" s="45">
        <v>-5000</v>
      </c>
      <c r="CQ144" s="45">
        <f t="shared" si="960"/>
        <v>5000</v>
      </c>
      <c r="CR144" s="45">
        <v>-5300</v>
      </c>
      <c r="CS144" s="45">
        <f t="shared" ref="CS144:CU144" si="961">IF(CR144&lt;0,-CR144,0)</f>
        <v>5300</v>
      </c>
      <c r="CT144" s="45">
        <v>-4000</v>
      </c>
      <c r="CU144" s="45">
        <f t="shared" si="961"/>
        <v>4000</v>
      </c>
      <c r="CV144" s="45">
        <v>-4800</v>
      </c>
      <c r="CW144" s="45">
        <f t="shared" ref="CW144:CY144" si="962">IF(CV144&lt;0,-CV144,0)</f>
        <v>4800</v>
      </c>
      <c r="CX144" s="45">
        <v>18224.409051629998</v>
      </c>
      <c r="CY144" s="45">
        <f t="shared" si="962"/>
        <v>0</v>
      </c>
      <c r="CZ144" s="107">
        <f t="shared" si="881"/>
        <v>19800</v>
      </c>
      <c r="DA144" s="45"/>
      <c r="DB144" s="110">
        <v>36284.303999999996</v>
      </c>
      <c r="DC144" s="57">
        <v>2320.0259999999998</v>
      </c>
      <c r="DD144" s="61">
        <v>1902.4026389026999</v>
      </c>
      <c r="DE144" s="61">
        <f t="shared" si="882"/>
        <v>40506.732638902693</v>
      </c>
      <c r="DF144" s="110">
        <v>8831.4169999999995</v>
      </c>
      <c r="DG144" s="110">
        <v>57482.411</v>
      </c>
      <c r="DH144" s="57">
        <v>7411</v>
      </c>
      <c r="DI144" s="107">
        <f t="shared" si="883"/>
        <v>64893.411</v>
      </c>
      <c r="DJ144" s="45"/>
      <c r="DK144" s="110">
        <v>686.94600000000003</v>
      </c>
      <c r="DL144" s="57">
        <v>10522.090845252949</v>
      </c>
      <c r="DM144" s="57">
        <f t="shared" si="884"/>
        <v>11209.036845252949</v>
      </c>
      <c r="DN144" s="61">
        <v>1601.956469328378</v>
      </c>
      <c r="DO144" s="61">
        <v>2914.6033376229539</v>
      </c>
      <c r="DP144" s="61">
        <v>446.53228438000002</v>
      </c>
      <c r="DQ144" s="57">
        <f t="shared" si="885"/>
        <v>3361.1356220029538</v>
      </c>
      <c r="DR144" s="57">
        <v>161.92240764571969</v>
      </c>
      <c r="DS144" s="57">
        <v>161.92240764571969</v>
      </c>
      <c r="DT144" s="5"/>
      <c r="DU144" s="73">
        <v>0</v>
      </c>
      <c r="DV144" s="156">
        <v>6779.6610170000004</v>
      </c>
      <c r="DW144" s="155">
        <v>1447.7400829999999</v>
      </c>
      <c r="DX144" s="155">
        <v>0</v>
      </c>
      <c r="DY144" s="73">
        <v>0</v>
      </c>
      <c r="DZ144" s="156">
        <v>573.91259234999995</v>
      </c>
      <c r="EA144" s="73">
        <v>0</v>
      </c>
      <c r="EB144" s="156">
        <v>1271.1864410000001</v>
      </c>
      <c r="EC144" s="73">
        <v>0</v>
      </c>
      <c r="ED144" s="156">
        <v>847.5</v>
      </c>
      <c r="EE144" s="73">
        <v>0</v>
      </c>
      <c r="EF144" s="156">
        <v>7397.5988710000001</v>
      </c>
      <c r="EG144" s="73">
        <v>0</v>
      </c>
      <c r="EH144" s="156">
        <v>6779.6610170000004</v>
      </c>
      <c r="EI144" s="159">
        <v>573.91259234999995</v>
      </c>
      <c r="EJ144" s="162">
        <v>847.5</v>
      </c>
      <c r="EK144" s="165">
        <v>735.83500000000004</v>
      </c>
      <c r="EL144" s="159">
        <v>446.53228438000002</v>
      </c>
      <c r="EM144" s="159">
        <f t="shared" si="886"/>
        <v>10964.025395000001</v>
      </c>
      <c r="EN144" s="159">
        <f t="shared" si="887"/>
        <v>0</v>
      </c>
      <c r="EP144" s="2">
        <v>20531.867399999999</v>
      </c>
      <c r="EQ144" s="5">
        <f t="shared" si="888"/>
        <v>0.83599999999999997</v>
      </c>
    </row>
    <row r="145" spans="13:147" x14ac:dyDescent="0.35">
      <c r="M145" s="5"/>
      <c r="N145" s="66">
        <f t="shared" si="889"/>
        <v>143</v>
      </c>
      <c r="O145" s="78">
        <v>0</v>
      </c>
      <c r="P145" s="77">
        <f t="shared" si="856"/>
        <v>0</v>
      </c>
      <c r="Q145" s="104">
        <v>0</v>
      </c>
      <c r="R145" s="77">
        <f t="shared" si="857"/>
        <v>0</v>
      </c>
      <c r="S145" s="104">
        <v>0</v>
      </c>
      <c r="T145" s="77">
        <f t="shared" si="858"/>
        <v>0</v>
      </c>
      <c r="U145" s="104">
        <v>0</v>
      </c>
      <c r="V145" s="77">
        <f t="shared" si="844"/>
        <v>0</v>
      </c>
      <c r="W145" s="104">
        <v>0</v>
      </c>
      <c r="X145" s="77">
        <f t="shared" si="845"/>
        <v>0</v>
      </c>
      <c r="Y145" s="104">
        <v>0</v>
      </c>
      <c r="Z145" s="77">
        <f t="shared" si="859"/>
        <v>0</v>
      </c>
      <c r="AA145" s="104">
        <v>0</v>
      </c>
      <c r="AB145" s="77">
        <f t="shared" si="860"/>
        <v>0</v>
      </c>
      <c r="AC145" s="5"/>
      <c r="AD145" s="66">
        <f t="shared" si="890"/>
        <v>143</v>
      </c>
      <c r="AE145" s="78">
        <v>40761.9084</v>
      </c>
      <c r="AF145" s="104">
        <v>1805.5</v>
      </c>
      <c r="AG145" s="78">
        <v>392.5</v>
      </c>
      <c r="AH145" s="61">
        <f t="shared" si="861"/>
        <v>0.45799999999999996</v>
      </c>
      <c r="AI145" s="61">
        <f t="shared" si="862"/>
        <v>0.78500000000000003</v>
      </c>
      <c r="AJ145" s="61">
        <f t="shared" si="863"/>
        <v>0.78500000000000003</v>
      </c>
      <c r="AK145" s="77">
        <v>399.87400000000002</v>
      </c>
      <c r="AL145" s="104">
        <v>5321.1252000000004</v>
      </c>
      <c r="AM145" s="61">
        <f t="shared" si="846"/>
        <v>0.61899999999999999</v>
      </c>
      <c r="AN145" s="57">
        <f t="shared" si="847"/>
        <v>0.45700000000000002</v>
      </c>
      <c r="AO145" s="78">
        <v>18018.400000000001</v>
      </c>
      <c r="AP145" s="104">
        <v>21338.775000000001</v>
      </c>
      <c r="AQ145" s="61">
        <f t="shared" si="864"/>
        <v>0.40400000000000003</v>
      </c>
      <c r="AR145" s="57">
        <f t="shared" si="865"/>
        <v>0.90900000000000003</v>
      </c>
      <c r="AS145" s="45"/>
      <c r="AT145" s="78">
        <v>891.48299999999995</v>
      </c>
      <c r="AU145" s="77">
        <f t="shared" si="848"/>
        <v>0.36200003248519891</v>
      </c>
      <c r="AV145" s="78">
        <v>984.97900000000004</v>
      </c>
      <c r="AW145" s="77">
        <f t="shared" si="849"/>
        <v>0.61293030491599254</v>
      </c>
      <c r="AX145" s="78">
        <v>1121.4780000000001</v>
      </c>
      <c r="AY145" s="77">
        <f t="shared" si="866"/>
        <v>0.5784392407674851</v>
      </c>
      <c r="AZ145" s="45"/>
      <c r="BA145" s="75">
        <v>53641.616999999998</v>
      </c>
      <c r="BB145" s="77">
        <f t="shared" si="867"/>
        <v>0.77049180327868849</v>
      </c>
      <c r="BC145" s="45"/>
      <c r="BD145" s="105">
        <v>17421.954000000002</v>
      </c>
      <c r="BE145" s="45">
        <v>0</v>
      </c>
      <c r="BF145" s="106">
        <v>0</v>
      </c>
      <c r="BG145" s="107">
        <f t="shared" si="868"/>
        <v>0.53441576687116565</v>
      </c>
      <c r="BH145" s="108">
        <f t="shared" si="869"/>
        <v>0</v>
      </c>
      <c r="BI145" s="106">
        <v>0</v>
      </c>
      <c r="BJ145" s="106">
        <v>0</v>
      </c>
      <c r="BK145" s="106">
        <v>0</v>
      </c>
      <c r="BL145" s="106">
        <v>5544.1530000000002</v>
      </c>
      <c r="BM145" s="107">
        <f t="shared" si="870"/>
        <v>0.41134834545184745</v>
      </c>
      <c r="BN145" s="108">
        <f t="shared" si="871"/>
        <v>0</v>
      </c>
      <c r="BO145" s="45">
        <v>7668</v>
      </c>
      <c r="BP145" s="45">
        <v>0</v>
      </c>
      <c r="BQ145" s="45"/>
      <c r="BR145" s="109">
        <v>-700</v>
      </c>
      <c r="BS145" s="45">
        <f t="shared" si="872"/>
        <v>0</v>
      </c>
      <c r="BT145" s="45">
        <v>4485</v>
      </c>
      <c r="BU145" s="45">
        <f t="shared" si="872"/>
        <v>4485</v>
      </c>
      <c r="BV145" s="45">
        <v>0</v>
      </c>
      <c r="BW145" s="45">
        <f t="shared" ref="BW145:BY145" si="963">IF(BV145&gt;0,BV145,0)</f>
        <v>0</v>
      </c>
      <c r="BX145" s="45">
        <v>-5000</v>
      </c>
      <c r="BY145" s="45">
        <f t="shared" si="963"/>
        <v>0</v>
      </c>
      <c r="BZ145" s="45">
        <v>-5300</v>
      </c>
      <c r="CA145" s="45">
        <f t="shared" ref="CA145:CC145" si="964">IF(BZ145&gt;0,BZ145,0)</f>
        <v>0</v>
      </c>
      <c r="CB145" s="45">
        <v>-4000</v>
      </c>
      <c r="CC145" s="45">
        <f t="shared" si="964"/>
        <v>0</v>
      </c>
      <c r="CD145" s="45">
        <v>-4800</v>
      </c>
      <c r="CE145" s="45">
        <f t="shared" ref="CE145:CG145" si="965">IF(CD145&gt;0,CD145,0)</f>
        <v>0</v>
      </c>
      <c r="CF145" s="45">
        <v>14330.46466904</v>
      </c>
      <c r="CG145" s="45">
        <f t="shared" si="965"/>
        <v>14330.46466904</v>
      </c>
      <c r="CH145" s="107">
        <f t="shared" si="876"/>
        <v>18815.46466904</v>
      </c>
      <c r="CI145" s="45"/>
      <c r="CJ145" s="109">
        <v>-700</v>
      </c>
      <c r="CK145" s="45">
        <f t="shared" si="877"/>
        <v>700</v>
      </c>
      <c r="CL145" s="45">
        <v>4485</v>
      </c>
      <c r="CM145" s="45">
        <f t="shared" si="877"/>
        <v>0</v>
      </c>
      <c r="CN145" s="45">
        <v>0</v>
      </c>
      <c r="CO145" s="45">
        <f t="shared" ref="CO145:CQ145" si="966">IF(CN145&lt;0,-CN145,0)</f>
        <v>0</v>
      </c>
      <c r="CP145" s="45">
        <v>-5000</v>
      </c>
      <c r="CQ145" s="45">
        <f t="shared" si="966"/>
        <v>5000</v>
      </c>
      <c r="CR145" s="45">
        <v>-5300</v>
      </c>
      <c r="CS145" s="45">
        <f t="shared" ref="CS145:CU145" si="967">IF(CR145&lt;0,-CR145,0)</f>
        <v>5300</v>
      </c>
      <c r="CT145" s="45">
        <v>-4000</v>
      </c>
      <c r="CU145" s="45">
        <f t="shared" si="967"/>
        <v>4000</v>
      </c>
      <c r="CV145" s="45">
        <v>-4800</v>
      </c>
      <c r="CW145" s="45">
        <f t="shared" ref="CW145:CY145" si="968">IF(CV145&lt;0,-CV145,0)</f>
        <v>4800</v>
      </c>
      <c r="CX145" s="45">
        <v>14330.46466904</v>
      </c>
      <c r="CY145" s="45">
        <f t="shared" si="968"/>
        <v>0</v>
      </c>
      <c r="CZ145" s="107">
        <f t="shared" si="881"/>
        <v>19800</v>
      </c>
      <c r="DA145" s="45"/>
      <c r="DB145" s="110">
        <v>34517.152999999998</v>
      </c>
      <c r="DC145" s="57">
        <v>2296.6019999999999</v>
      </c>
      <c r="DD145" s="61">
        <v>1907.1097407361001</v>
      </c>
      <c r="DE145" s="61">
        <f t="shared" si="882"/>
        <v>38720.864740736099</v>
      </c>
      <c r="DF145" s="110">
        <v>8846.4850000000006</v>
      </c>
      <c r="DG145" s="110">
        <v>56575.411</v>
      </c>
      <c r="DH145" s="57">
        <v>7738</v>
      </c>
      <c r="DI145" s="107">
        <f t="shared" si="883"/>
        <v>64313.411</v>
      </c>
      <c r="DJ145" s="45"/>
      <c r="DK145" s="110">
        <v>612.93200000000002</v>
      </c>
      <c r="DL145" s="57">
        <v>10490.3985776968</v>
      </c>
      <c r="DM145" s="57">
        <f t="shared" si="884"/>
        <v>11103.330577696801</v>
      </c>
      <c r="DN145" s="61">
        <v>1601.956469328378</v>
      </c>
      <c r="DO145" s="61">
        <v>2897.904127127681</v>
      </c>
      <c r="DP145" s="61">
        <v>463.23149487000001</v>
      </c>
      <c r="DQ145" s="57">
        <f t="shared" si="885"/>
        <v>3361.135621997681</v>
      </c>
      <c r="DR145" s="57">
        <v>160.99467372931559</v>
      </c>
      <c r="DS145" s="57">
        <v>160.99467372931559</v>
      </c>
      <c r="DT145" s="5"/>
      <c r="DU145" s="73">
        <v>0</v>
      </c>
      <c r="DV145" s="156">
        <v>6779.6610170000004</v>
      </c>
      <c r="DW145" s="155">
        <v>1447.7400829999999</v>
      </c>
      <c r="DX145" s="155">
        <v>0</v>
      </c>
      <c r="DY145" s="73">
        <v>0</v>
      </c>
      <c r="DZ145" s="156">
        <v>244.84032626999999</v>
      </c>
      <c r="EA145" s="73">
        <v>0</v>
      </c>
      <c r="EB145" s="156">
        <v>1271.1864410000001</v>
      </c>
      <c r="EC145" s="73">
        <v>0</v>
      </c>
      <c r="ED145" s="156">
        <v>847.5</v>
      </c>
      <c r="EE145" s="73">
        <v>0</v>
      </c>
      <c r="EF145" s="156">
        <v>7397.5988710000001</v>
      </c>
      <c r="EG145" s="73">
        <v>0</v>
      </c>
      <c r="EH145" s="156">
        <v>6779.6610170000004</v>
      </c>
      <c r="EI145" s="159">
        <v>244.84032626999999</v>
      </c>
      <c r="EJ145" s="162">
        <v>847.5</v>
      </c>
      <c r="EK145" s="165">
        <v>735.83500000000004</v>
      </c>
      <c r="EL145" s="159">
        <v>463.23149487000001</v>
      </c>
      <c r="EM145" s="159">
        <f t="shared" si="886"/>
        <v>10964.025395000001</v>
      </c>
      <c r="EN145" s="159">
        <f t="shared" si="887"/>
        <v>0</v>
      </c>
      <c r="EP145" s="2">
        <v>20531.867399999999</v>
      </c>
      <c r="EQ145" s="5">
        <f t="shared" si="888"/>
        <v>0.83599999999999997</v>
      </c>
    </row>
    <row r="146" spans="13:147" x14ac:dyDescent="0.35">
      <c r="M146" s="5"/>
      <c r="N146" s="66">
        <f t="shared" si="889"/>
        <v>144</v>
      </c>
      <c r="O146" s="78">
        <v>0</v>
      </c>
      <c r="P146" s="77">
        <f t="shared" si="856"/>
        <v>0</v>
      </c>
      <c r="Q146" s="104">
        <v>0</v>
      </c>
      <c r="R146" s="77">
        <f t="shared" si="857"/>
        <v>0</v>
      </c>
      <c r="S146" s="104">
        <v>0</v>
      </c>
      <c r="T146" s="77">
        <f t="shared" si="858"/>
        <v>0</v>
      </c>
      <c r="U146" s="104">
        <v>0</v>
      </c>
      <c r="V146" s="77">
        <f t="shared" si="844"/>
        <v>0</v>
      </c>
      <c r="W146" s="104">
        <v>0</v>
      </c>
      <c r="X146" s="77">
        <f t="shared" si="845"/>
        <v>0</v>
      </c>
      <c r="Y146" s="104">
        <v>0</v>
      </c>
      <c r="Z146" s="77">
        <f t="shared" si="859"/>
        <v>0</v>
      </c>
      <c r="AA146" s="104">
        <v>0</v>
      </c>
      <c r="AB146" s="77">
        <f t="shared" si="860"/>
        <v>0</v>
      </c>
      <c r="AC146" s="5"/>
      <c r="AD146" s="66">
        <f t="shared" si="890"/>
        <v>144</v>
      </c>
      <c r="AE146" s="78">
        <v>43253.902800000003</v>
      </c>
      <c r="AF146" s="104">
        <v>1851.5</v>
      </c>
      <c r="AG146" s="78">
        <v>402.5</v>
      </c>
      <c r="AH146" s="61">
        <f t="shared" si="861"/>
        <v>0.48600000000000004</v>
      </c>
      <c r="AI146" s="61">
        <f t="shared" si="862"/>
        <v>0.80500000000000005</v>
      </c>
      <c r="AJ146" s="61">
        <f t="shared" si="863"/>
        <v>0.80500000000000005</v>
      </c>
      <c r="AK146" s="77">
        <v>421.83800000000002</v>
      </c>
      <c r="AL146" s="104">
        <v>6171.1080000000002</v>
      </c>
      <c r="AM146" s="61">
        <f t="shared" si="846"/>
        <v>0.65300000000000002</v>
      </c>
      <c r="AN146" s="57">
        <f t="shared" si="847"/>
        <v>0.53</v>
      </c>
      <c r="AO146" s="78">
        <v>21809.4</v>
      </c>
      <c r="AP146" s="104">
        <v>21714.375</v>
      </c>
      <c r="AQ146" s="61">
        <f t="shared" si="864"/>
        <v>0.48900000000000005</v>
      </c>
      <c r="AR146" s="57">
        <f t="shared" si="865"/>
        <v>0.92500000000000004</v>
      </c>
      <c r="AS146" s="45"/>
      <c r="AT146" s="78">
        <v>881.63199999999995</v>
      </c>
      <c r="AU146" s="77">
        <f t="shared" si="848"/>
        <v>0.35799988630180374</v>
      </c>
      <c r="AV146" s="78">
        <v>972.048</v>
      </c>
      <c r="AW146" s="77">
        <f t="shared" si="849"/>
        <v>0.60488363410080892</v>
      </c>
      <c r="AX146" s="78">
        <v>1121.4780000000001</v>
      </c>
      <c r="AY146" s="77">
        <f t="shared" si="866"/>
        <v>0.5784392407674851</v>
      </c>
      <c r="AZ146" s="45"/>
      <c r="BA146" s="75">
        <v>53641.616999999998</v>
      </c>
      <c r="BB146" s="77">
        <f t="shared" si="867"/>
        <v>0.77049180327868849</v>
      </c>
      <c r="BC146" s="45"/>
      <c r="BD146" s="105">
        <v>18473.257000000001</v>
      </c>
      <c r="BE146" s="45">
        <v>0</v>
      </c>
      <c r="BF146" s="106">
        <v>0</v>
      </c>
      <c r="BG146" s="107">
        <f t="shared" si="868"/>
        <v>0.56666432515337428</v>
      </c>
      <c r="BH146" s="108">
        <f t="shared" si="869"/>
        <v>0</v>
      </c>
      <c r="BI146" s="106">
        <v>0</v>
      </c>
      <c r="BJ146" s="106">
        <v>0</v>
      </c>
      <c r="BK146" s="106">
        <v>0</v>
      </c>
      <c r="BL146" s="106">
        <v>5853.1850000000004</v>
      </c>
      <c r="BM146" s="107">
        <f t="shared" si="870"/>
        <v>0.43427696987683634</v>
      </c>
      <c r="BN146" s="108">
        <f t="shared" si="871"/>
        <v>0</v>
      </c>
      <c r="BO146" s="45">
        <v>7668</v>
      </c>
      <c r="BP146" s="45">
        <v>0</v>
      </c>
      <c r="BQ146" s="45"/>
      <c r="BR146" s="109">
        <v>-700</v>
      </c>
      <c r="BS146" s="45">
        <f t="shared" si="872"/>
        <v>0</v>
      </c>
      <c r="BT146" s="45">
        <v>4485</v>
      </c>
      <c r="BU146" s="45">
        <f t="shared" si="872"/>
        <v>4485</v>
      </c>
      <c r="BV146" s="45">
        <v>0</v>
      </c>
      <c r="BW146" s="45">
        <f t="shared" ref="BW146:BY146" si="969">IF(BV146&gt;0,BV146,0)</f>
        <v>0</v>
      </c>
      <c r="BX146" s="45">
        <v>-5000</v>
      </c>
      <c r="BY146" s="45">
        <f t="shared" si="969"/>
        <v>0</v>
      </c>
      <c r="BZ146" s="45">
        <v>-5300</v>
      </c>
      <c r="CA146" s="45">
        <f t="shared" ref="CA146:CC146" si="970">IF(BZ146&gt;0,BZ146,0)</f>
        <v>0</v>
      </c>
      <c r="CB146" s="45">
        <v>-4000</v>
      </c>
      <c r="CC146" s="45">
        <f t="shared" si="970"/>
        <v>0</v>
      </c>
      <c r="CD146" s="45">
        <v>-4800</v>
      </c>
      <c r="CE146" s="45">
        <f t="shared" ref="CE146:CG146" si="971">IF(CD146&gt;0,CD146,0)</f>
        <v>0</v>
      </c>
      <c r="CF146" s="45">
        <v>12379.71611505</v>
      </c>
      <c r="CG146" s="45">
        <f t="shared" si="971"/>
        <v>12379.71611505</v>
      </c>
      <c r="CH146" s="107">
        <f t="shared" si="876"/>
        <v>16864.71611505</v>
      </c>
      <c r="CI146" s="45"/>
      <c r="CJ146" s="109">
        <v>-700</v>
      </c>
      <c r="CK146" s="45">
        <f t="shared" si="877"/>
        <v>700</v>
      </c>
      <c r="CL146" s="45">
        <v>4485</v>
      </c>
      <c r="CM146" s="45">
        <f t="shared" si="877"/>
        <v>0</v>
      </c>
      <c r="CN146" s="45">
        <v>0</v>
      </c>
      <c r="CO146" s="45">
        <f t="shared" ref="CO146:CQ146" si="972">IF(CN146&lt;0,-CN146,0)</f>
        <v>0</v>
      </c>
      <c r="CP146" s="45">
        <v>-5000</v>
      </c>
      <c r="CQ146" s="45">
        <f t="shared" si="972"/>
        <v>5000</v>
      </c>
      <c r="CR146" s="45">
        <v>-5300</v>
      </c>
      <c r="CS146" s="45">
        <f t="shared" ref="CS146:CU146" si="973">IF(CR146&lt;0,-CR146,0)</f>
        <v>5300</v>
      </c>
      <c r="CT146" s="45">
        <v>-4000</v>
      </c>
      <c r="CU146" s="45">
        <f t="shared" si="973"/>
        <v>4000</v>
      </c>
      <c r="CV146" s="45">
        <v>-4800</v>
      </c>
      <c r="CW146" s="45">
        <f t="shared" ref="CW146:CY146" si="974">IF(CV146&lt;0,-CV146,0)</f>
        <v>4800</v>
      </c>
      <c r="CX146" s="45">
        <v>12379.71611505</v>
      </c>
      <c r="CY146" s="45">
        <f t="shared" si="974"/>
        <v>0</v>
      </c>
      <c r="CZ146" s="107">
        <f t="shared" si="881"/>
        <v>19800</v>
      </c>
      <c r="DA146" s="45"/>
      <c r="DB146" s="110">
        <v>32088.77</v>
      </c>
      <c r="DC146" s="57">
        <v>2193.31</v>
      </c>
      <c r="DD146" s="61">
        <v>1599.6443355250001</v>
      </c>
      <c r="DE146" s="61">
        <f t="shared" si="882"/>
        <v>35881.724335525003</v>
      </c>
      <c r="DF146" s="110">
        <v>8546.5609999999997</v>
      </c>
      <c r="DG146" s="110">
        <v>56045.411</v>
      </c>
      <c r="DH146" s="57">
        <v>7978</v>
      </c>
      <c r="DI146" s="107">
        <f t="shared" si="883"/>
        <v>64023.411</v>
      </c>
      <c r="DJ146" s="45"/>
      <c r="DK146" s="110">
        <v>630.96900000000005</v>
      </c>
      <c r="DL146" s="57">
        <v>10490.3985776968</v>
      </c>
      <c r="DM146" s="57">
        <f t="shared" si="884"/>
        <v>11121.367577696801</v>
      </c>
      <c r="DN146" s="61">
        <v>1601.956469328378</v>
      </c>
      <c r="DO146" s="61">
        <v>2897.904127127681</v>
      </c>
      <c r="DP146" s="61">
        <v>463.23149487000001</v>
      </c>
      <c r="DQ146" s="57">
        <f t="shared" si="885"/>
        <v>3361.135621997681</v>
      </c>
      <c r="DR146" s="57">
        <v>160.99467372931559</v>
      </c>
      <c r="DS146" s="57">
        <v>160.99467372931559</v>
      </c>
      <c r="DT146" s="5"/>
      <c r="DU146" s="73">
        <v>0</v>
      </c>
      <c r="DV146" s="156">
        <v>6779.6610170000004</v>
      </c>
      <c r="DW146" s="155">
        <v>1447.7400829999999</v>
      </c>
      <c r="DX146" s="155">
        <v>0</v>
      </c>
      <c r="DY146" s="73">
        <v>0</v>
      </c>
      <c r="DZ146" s="156">
        <v>574.84032626999999</v>
      </c>
      <c r="EA146" s="73">
        <v>0</v>
      </c>
      <c r="EB146" s="156">
        <v>1271.1864410000001</v>
      </c>
      <c r="EC146" s="73">
        <v>0</v>
      </c>
      <c r="ED146" s="156">
        <v>847.5</v>
      </c>
      <c r="EE146" s="73">
        <v>0</v>
      </c>
      <c r="EF146" s="156">
        <v>7397.5988710000001</v>
      </c>
      <c r="EG146" s="73">
        <v>0</v>
      </c>
      <c r="EH146" s="156">
        <v>6779.6610170000004</v>
      </c>
      <c r="EI146" s="159">
        <v>574.84032626999999</v>
      </c>
      <c r="EJ146" s="162">
        <v>847.5</v>
      </c>
      <c r="EK146" s="165">
        <v>735.83500000000004</v>
      </c>
      <c r="EL146" s="159">
        <v>463.23149487000001</v>
      </c>
      <c r="EM146" s="159">
        <f t="shared" si="886"/>
        <v>10964.025395000001</v>
      </c>
      <c r="EN146" s="159">
        <f t="shared" si="887"/>
        <v>0</v>
      </c>
      <c r="EP146" s="2">
        <v>20531.867399999999</v>
      </c>
      <c r="EQ146" s="5">
        <f t="shared" si="888"/>
        <v>0.83599999999999997</v>
      </c>
    </row>
    <row r="147" spans="13:147" x14ac:dyDescent="0.35">
      <c r="M147" s="5"/>
      <c r="N147" s="66">
        <f t="shared" si="889"/>
        <v>145</v>
      </c>
      <c r="O147" s="78">
        <v>0</v>
      </c>
      <c r="P147" s="77">
        <f t="shared" si="856"/>
        <v>0</v>
      </c>
      <c r="Q147" s="104">
        <v>0</v>
      </c>
      <c r="R147" s="77">
        <f t="shared" si="857"/>
        <v>0</v>
      </c>
      <c r="S147" s="104">
        <v>0</v>
      </c>
      <c r="T147" s="77">
        <f t="shared" si="858"/>
        <v>0</v>
      </c>
      <c r="U147" s="104">
        <v>0</v>
      </c>
      <c r="V147" s="77">
        <f t="shared" si="844"/>
        <v>0</v>
      </c>
      <c r="W147" s="104">
        <v>0</v>
      </c>
      <c r="X147" s="77">
        <f t="shared" si="845"/>
        <v>0</v>
      </c>
      <c r="Y147" s="104">
        <v>0</v>
      </c>
      <c r="Z147" s="77">
        <f t="shared" si="859"/>
        <v>0</v>
      </c>
      <c r="AA147" s="104">
        <v>0</v>
      </c>
      <c r="AB147" s="77">
        <f t="shared" si="860"/>
        <v>0</v>
      </c>
      <c r="AC147" s="5"/>
      <c r="AD147" s="66">
        <f t="shared" si="890"/>
        <v>145</v>
      </c>
      <c r="AE147" s="78">
        <v>46635.895199999999</v>
      </c>
      <c r="AF147" s="104">
        <v>1911.3</v>
      </c>
      <c r="AG147" s="78">
        <v>415.5</v>
      </c>
      <c r="AH147" s="61">
        <f t="shared" si="861"/>
        <v>0.52400000000000002</v>
      </c>
      <c r="AI147" s="61">
        <f t="shared" si="862"/>
        <v>0.83099999999999996</v>
      </c>
      <c r="AJ147" s="61">
        <f t="shared" si="863"/>
        <v>0.83099999999999996</v>
      </c>
      <c r="AK147" s="77">
        <v>441.21800000000002</v>
      </c>
      <c r="AL147" s="104">
        <v>7219.0320000000002</v>
      </c>
      <c r="AM147" s="61">
        <f t="shared" si="846"/>
        <v>0.68300000000000005</v>
      </c>
      <c r="AN147" s="57">
        <f t="shared" si="847"/>
        <v>0.62</v>
      </c>
      <c r="AO147" s="78">
        <v>25957.200000000001</v>
      </c>
      <c r="AP147" s="104">
        <v>21714.375</v>
      </c>
      <c r="AQ147" s="61">
        <f t="shared" si="864"/>
        <v>0.58199999999999996</v>
      </c>
      <c r="AR147" s="57">
        <f t="shared" si="865"/>
        <v>0.92500000000000004</v>
      </c>
      <c r="AS147" s="45"/>
      <c r="AT147" s="78">
        <v>884.09500000000003</v>
      </c>
      <c r="AU147" s="77">
        <f t="shared" si="848"/>
        <v>0.35900002436389922</v>
      </c>
      <c r="AV147" s="78">
        <v>919.899</v>
      </c>
      <c r="AW147" s="77">
        <f t="shared" si="849"/>
        <v>0.57243248288736781</v>
      </c>
      <c r="AX147" s="78">
        <v>1121.4780000000001</v>
      </c>
      <c r="AY147" s="77">
        <f t="shared" si="866"/>
        <v>0.5784392407674851</v>
      </c>
      <c r="AZ147" s="45"/>
      <c r="BA147" s="75">
        <v>53641.616999999998</v>
      </c>
      <c r="BB147" s="77">
        <f t="shared" si="867"/>
        <v>0.77049180327868849</v>
      </c>
      <c r="BC147" s="45"/>
      <c r="BD147" s="105">
        <v>19895.514999999999</v>
      </c>
      <c r="BE147" s="45">
        <v>0</v>
      </c>
      <c r="BF147" s="106">
        <v>0</v>
      </c>
      <c r="BG147" s="107">
        <f t="shared" si="868"/>
        <v>0.61029187116564421</v>
      </c>
      <c r="BH147" s="108">
        <f t="shared" si="869"/>
        <v>0</v>
      </c>
      <c r="BI147" s="106">
        <v>0</v>
      </c>
      <c r="BJ147" s="106">
        <v>0</v>
      </c>
      <c r="BK147" s="106">
        <v>0</v>
      </c>
      <c r="BL147" s="106">
        <v>6119.268</v>
      </c>
      <c r="BM147" s="107">
        <f t="shared" si="870"/>
        <v>0.4540189939160113</v>
      </c>
      <c r="BN147" s="108">
        <f t="shared" si="871"/>
        <v>0</v>
      </c>
      <c r="BO147" s="45">
        <v>7668</v>
      </c>
      <c r="BP147" s="45">
        <v>0</v>
      </c>
      <c r="BQ147" s="45"/>
      <c r="BR147" s="109">
        <v>-700</v>
      </c>
      <c r="BS147" s="45">
        <f t="shared" si="872"/>
        <v>0</v>
      </c>
      <c r="BT147" s="45">
        <v>4485</v>
      </c>
      <c r="BU147" s="45">
        <f t="shared" si="872"/>
        <v>4485</v>
      </c>
      <c r="BV147" s="45">
        <v>0</v>
      </c>
      <c r="BW147" s="45">
        <f t="shared" ref="BW147:BY147" si="975">IF(BV147&gt;0,BV147,0)</f>
        <v>0</v>
      </c>
      <c r="BX147" s="45">
        <v>-5000</v>
      </c>
      <c r="BY147" s="45">
        <f t="shared" si="975"/>
        <v>0</v>
      </c>
      <c r="BZ147" s="45">
        <v>-5300</v>
      </c>
      <c r="CA147" s="45">
        <f t="shared" ref="CA147:CC147" si="976">IF(BZ147&gt;0,BZ147,0)</f>
        <v>0</v>
      </c>
      <c r="CB147" s="45">
        <v>-4000</v>
      </c>
      <c r="CC147" s="45">
        <f t="shared" si="976"/>
        <v>0</v>
      </c>
      <c r="CD147" s="45">
        <v>-4800</v>
      </c>
      <c r="CE147" s="45">
        <f t="shared" ref="CE147:CG147" si="977">IF(CD147&gt;0,CD147,0)</f>
        <v>0</v>
      </c>
      <c r="CF147" s="45">
        <v>14639.132617020001</v>
      </c>
      <c r="CG147" s="45">
        <f t="shared" si="977"/>
        <v>14639.132617020001</v>
      </c>
      <c r="CH147" s="107">
        <f t="shared" si="876"/>
        <v>19124.132617020001</v>
      </c>
      <c r="CI147" s="45"/>
      <c r="CJ147" s="109">
        <v>-700</v>
      </c>
      <c r="CK147" s="45">
        <f t="shared" si="877"/>
        <v>700</v>
      </c>
      <c r="CL147" s="45">
        <v>4485</v>
      </c>
      <c r="CM147" s="45">
        <f t="shared" si="877"/>
        <v>0</v>
      </c>
      <c r="CN147" s="45">
        <v>0</v>
      </c>
      <c r="CO147" s="45">
        <f t="shared" ref="CO147:CQ147" si="978">IF(CN147&lt;0,-CN147,0)</f>
        <v>0</v>
      </c>
      <c r="CP147" s="45">
        <v>-5000</v>
      </c>
      <c r="CQ147" s="45">
        <f t="shared" si="978"/>
        <v>5000</v>
      </c>
      <c r="CR147" s="45">
        <v>-5300</v>
      </c>
      <c r="CS147" s="45">
        <f t="shared" ref="CS147:CU147" si="979">IF(CR147&lt;0,-CR147,0)</f>
        <v>5300</v>
      </c>
      <c r="CT147" s="45">
        <v>-4000</v>
      </c>
      <c r="CU147" s="45">
        <f t="shared" si="979"/>
        <v>4000</v>
      </c>
      <c r="CV147" s="45">
        <v>-4800</v>
      </c>
      <c r="CW147" s="45">
        <f t="shared" ref="CW147:CY147" si="980">IF(CV147&lt;0,-CV147,0)</f>
        <v>4800</v>
      </c>
      <c r="CX147" s="45">
        <v>14639.132617020001</v>
      </c>
      <c r="CY147" s="45">
        <f t="shared" si="980"/>
        <v>0</v>
      </c>
      <c r="CZ147" s="107">
        <f t="shared" si="881"/>
        <v>19800</v>
      </c>
      <c r="DA147" s="45"/>
      <c r="DB147" s="110">
        <v>30518.436000000002</v>
      </c>
      <c r="DC147" s="57">
        <v>2115.34</v>
      </c>
      <c r="DD147" s="61">
        <v>1275.0043948544001</v>
      </c>
      <c r="DE147" s="61">
        <f t="shared" si="882"/>
        <v>33908.780394854402</v>
      </c>
      <c r="DF147" s="110">
        <v>7957.4250000000002</v>
      </c>
      <c r="DG147" s="110">
        <v>55114.411</v>
      </c>
      <c r="DH147" s="57">
        <v>8072</v>
      </c>
      <c r="DI147" s="107">
        <f t="shared" si="883"/>
        <v>63186.411</v>
      </c>
      <c r="DJ147" s="45"/>
      <c r="DK147" s="110">
        <v>667.68399999999997</v>
      </c>
      <c r="DL147" s="57">
        <v>10490.3985776968</v>
      </c>
      <c r="DM147" s="57">
        <f t="shared" si="884"/>
        <v>11158.082577696799</v>
      </c>
      <c r="DN147" s="61">
        <v>1455.3989030504879</v>
      </c>
      <c r="DO147" s="61">
        <v>2897.8863782272761</v>
      </c>
      <c r="DP147" s="61">
        <v>463.24924377000002</v>
      </c>
      <c r="DQ147" s="57">
        <f t="shared" si="885"/>
        <v>3361.1356219972758</v>
      </c>
      <c r="DR147" s="57">
        <v>160.9936876792932</v>
      </c>
      <c r="DS147" s="57">
        <v>160.9936876792932</v>
      </c>
      <c r="DT147" s="5"/>
      <c r="DU147" s="73">
        <v>0</v>
      </c>
      <c r="DV147" s="156">
        <v>6779.6610170000004</v>
      </c>
      <c r="DW147" s="155">
        <v>1447.7400829999999</v>
      </c>
      <c r="DX147" s="155">
        <v>0</v>
      </c>
      <c r="DY147" s="73">
        <v>0</v>
      </c>
      <c r="DZ147" s="156">
        <v>244.84131231999999</v>
      </c>
      <c r="EA147" s="73">
        <v>0</v>
      </c>
      <c r="EB147" s="156">
        <v>1271.1864410000001</v>
      </c>
      <c r="EC147" s="73">
        <v>0</v>
      </c>
      <c r="ED147" s="156">
        <v>847.5</v>
      </c>
      <c r="EE147" s="73">
        <v>0</v>
      </c>
      <c r="EF147" s="156">
        <v>7397.5988710000001</v>
      </c>
      <c r="EG147" s="73">
        <v>0</v>
      </c>
      <c r="EH147" s="156">
        <v>6779.6610170000004</v>
      </c>
      <c r="EI147" s="159">
        <v>244.84131231999999</v>
      </c>
      <c r="EJ147" s="162">
        <v>847.5</v>
      </c>
      <c r="EK147" s="165">
        <v>735.83500000000004</v>
      </c>
      <c r="EL147" s="159">
        <v>463.24924377000002</v>
      </c>
      <c r="EM147" s="159">
        <f t="shared" si="886"/>
        <v>10964.025395000001</v>
      </c>
      <c r="EN147" s="159">
        <f t="shared" si="887"/>
        <v>0</v>
      </c>
      <c r="EP147" s="2">
        <v>20531.867399999999</v>
      </c>
      <c r="EQ147" s="5">
        <f t="shared" si="888"/>
        <v>0.83599999999999997</v>
      </c>
    </row>
    <row r="148" spans="13:147" x14ac:dyDescent="0.35">
      <c r="M148" s="5"/>
      <c r="N148" s="66">
        <f t="shared" si="889"/>
        <v>146</v>
      </c>
      <c r="O148" s="78">
        <v>0</v>
      </c>
      <c r="P148" s="77">
        <f t="shared" si="856"/>
        <v>0</v>
      </c>
      <c r="Q148" s="104">
        <v>0</v>
      </c>
      <c r="R148" s="77">
        <f t="shared" si="857"/>
        <v>0</v>
      </c>
      <c r="S148" s="104">
        <v>0</v>
      </c>
      <c r="T148" s="77">
        <f t="shared" si="858"/>
        <v>0</v>
      </c>
      <c r="U148" s="104">
        <v>0</v>
      </c>
      <c r="V148" s="77">
        <f t="shared" si="844"/>
        <v>0</v>
      </c>
      <c r="W148" s="104">
        <v>0</v>
      </c>
      <c r="X148" s="77">
        <f t="shared" si="845"/>
        <v>0</v>
      </c>
      <c r="Y148" s="104">
        <v>0</v>
      </c>
      <c r="Z148" s="77">
        <f t="shared" si="859"/>
        <v>0</v>
      </c>
      <c r="AA148" s="104">
        <v>0</v>
      </c>
      <c r="AB148" s="77">
        <f t="shared" si="860"/>
        <v>0</v>
      </c>
      <c r="AC148" s="5"/>
      <c r="AD148" s="66">
        <f t="shared" si="890"/>
        <v>146</v>
      </c>
      <c r="AE148" s="78">
        <v>50195.887199999997</v>
      </c>
      <c r="AF148" s="104">
        <v>1948.1</v>
      </c>
      <c r="AG148" s="78">
        <v>423.5</v>
      </c>
      <c r="AH148" s="61">
        <f t="shared" si="861"/>
        <v>0.56399999999999995</v>
      </c>
      <c r="AI148" s="61">
        <f t="shared" si="862"/>
        <v>0.84699999999999998</v>
      </c>
      <c r="AJ148" s="61">
        <f t="shared" si="863"/>
        <v>0.84699999999999998</v>
      </c>
      <c r="AK148" s="77">
        <v>454.78399999999999</v>
      </c>
      <c r="AL148" s="104">
        <v>8243.6687999999995</v>
      </c>
      <c r="AM148" s="61">
        <f t="shared" si="846"/>
        <v>0.70399999999999996</v>
      </c>
      <c r="AN148" s="57">
        <f t="shared" si="847"/>
        <v>0.70799999999999996</v>
      </c>
      <c r="AO148" s="78">
        <v>30149.599999999999</v>
      </c>
      <c r="AP148" s="104">
        <v>21432.674999999999</v>
      </c>
      <c r="AQ148" s="61">
        <f t="shared" si="864"/>
        <v>0.67599999999999993</v>
      </c>
      <c r="AR148" s="57">
        <f t="shared" si="865"/>
        <v>0.91299999999999992</v>
      </c>
      <c r="AS148" s="45"/>
      <c r="AT148" s="78">
        <v>884.09500000000003</v>
      </c>
      <c r="AU148" s="77">
        <f t="shared" si="848"/>
        <v>0.35900002436389922</v>
      </c>
      <c r="AV148" s="78">
        <v>922.79899999999998</v>
      </c>
      <c r="AW148" s="77">
        <f t="shared" si="849"/>
        <v>0.57423708774113258</v>
      </c>
      <c r="AX148" s="78">
        <v>1121.4780000000001</v>
      </c>
      <c r="AY148" s="77">
        <f t="shared" si="866"/>
        <v>0.5784392407674851</v>
      </c>
      <c r="AZ148" s="45"/>
      <c r="BA148" s="75">
        <v>53641.616999999998</v>
      </c>
      <c r="BB148" s="77">
        <f t="shared" si="867"/>
        <v>0.77049180327868849</v>
      </c>
      <c r="BC148" s="45"/>
      <c r="BD148" s="105">
        <v>21433.611000000001</v>
      </c>
      <c r="BE148" s="45">
        <v>0</v>
      </c>
      <c r="BF148" s="106">
        <v>0</v>
      </c>
      <c r="BG148" s="107">
        <f t="shared" si="868"/>
        <v>0.65747273006134976</v>
      </c>
      <c r="BH148" s="108">
        <f t="shared" si="869"/>
        <v>0</v>
      </c>
      <c r="BI148" s="106">
        <v>0</v>
      </c>
      <c r="BJ148" s="106">
        <v>0</v>
      </c>
      <c r="BK148" s="106">
        <v>0</v>
      </c>
      <c r="BL148" s="106">
        <v>6305.2460000000001</v>
      </c>
      <c r="BM148" s="107">
        <f t="shared" si="870"/>
        <v>0.46781762872829796</v>
      </c>
      <c r="BN148" s="108">
        <f t="shared" si="871"/>
        <v>0</v>
      </c>
      <c r="BO148" s="45">
        <v>7668</v>
      </c>
      <c r="BP148" s="45">
        <v>0</v>
      </c>
      <c r="BQ148" s="45"/>
      <c r="BR148" s="109">
        <v>-700</v>
      </c>
      <c r="BS148" s="45">
        <f t="shared" si="872"/>
        <v>0</v>
      </c>
      <c r="BT148" s="45">
        <v>4485</v>
      </c>
      <c r="BU148" s="45">
        <f t="shared" si="872"/>
        <v>4485</v>
      </c>
      <c r="BV148" s="45">
        <v>0</v>
      </c>
      <c r="BW148" s="45">
        <f t="shared" ref="BW148:BY148" si="981">IF(BV148&gt;0,BV148,0)</f>
        <v>0</v>
      </c>
      <c r="BX148" s="45">
        <v>-5000</v>
      </c>
      <c r="BY148" s="45">
        <f t="shared" si="981"/>
        <v>0</v>
      </c>
      <c r="BZ148" s="45">
        <v>-5300</v>
      </c>
      <c r="CA148" s="45">
        <f t="shared" ref="CA148:CC148" si="982">IF(BZ148&gt;0,BZ148,0)</f>
        <v>0</v>
      </c>
      <c r="CB148" s="45">
        <v>-4000</v>
      </c>
      <c r="CC148" s="45">
        <f t="shared" si="982"/>
        <v>0</v>
      </c>
      <c r="CD148" s="45">
        <v>-4800</v>
      </c>
      <c r="CE148" s="45">
        <f t="shared" ref="CE148:CG148" si="983">IF(CD148&gt;0,CD148,0)</f>
        <v>0</v>
      </c>
      <c r="CF148" s="45">
        <v>16513.29453191</v>
      </c>
      <c r="CG148" s="45">
        <f t="shared" si="983"/>
        <v>16513.29453191</v>
      </c>
      <c r="CH148" s="107">
        <f t="shared" si="876"/>
        <v>20998.29453191</v>
      </c>
      <c r="CI148" s="45"/>
      <c r="CJ148" s="109">
        <v>-700</v>
      </c>
      <c r="CK148" s="45">
        <f t="shared" si="877"/>
        <v>700</v>
      </c>
      <c r="CL148" s="45">
        <v>4485</v>
      </c>
      <c r="CM148" s="45">
        <f t="shared" si="877"/>
        <v>0</v>
      </c>
      <c r="CN148" s="45">
        <v>0</v>
      </c>
      <c r="CO148" s="45">
        <f t="shared" ref="CO148:CQ148" si="984">IF(CN148&lt;0,-CN148,0)</f>
        <v>0</v>
      </c>
      <c r="CP148" s="45">
        <v>-5000</v>
      </c>
      <c r="CQ148" s="45">
        <f t="shared" si="984"/>
        <v>5000</v>
      </c>
      <c r="CR148" s="45">
        <v>-5300</v>
      </c>
      <c r="CS148" s="45">
        <f t="shared" ref="CS148:CU148" si="985">IF(CR148&lt;0,-CR148,0)</f>
        <v>5300</v>
      </c>
      <c r="CT148" s="45">
        <v>-4000</v>
      </c>
      <c r="CU148" s="45">
        <f t="shared" si="985"/>
        <v>4000</v>
      </c>
      <c r="CV148" s="45">
        <v>-4800</v>
      </c>
      <c r="CW148" s="45">
        <f t="shared" ref="CW148:CY148" si="986">IF(CV148&lt;0,-CV148,0)</f>
        <v>4800</v>
      </c>
      <c r="CX148" s="45">
        <v>16513.29453191</v>
      </c>
      <c r="CY148" s="45">
        <f t="shared" si="986"/>
        <v>0</v>
      </c>
      <c r="CZ148" s="107">
        <f t="shared" si="881"/>
        <v>19800</v>
      </c>
      <c r="DA148" s="45"/>
      <c r="DB148" s="110">
        <v>28686.294999999998</v>
      </c>
      <c r="DC148" s="57">
        <v>2040.8309999999999</v>
      </c>
      <c r="DD148" s="61">
        <v>967.56677635230005</v>
      </c>
      <c r="DE148" s="61">
        <f t="shared" si="882"/>
        <v>31694.692776352298</v>
      </c>
      <c r="DF148" s="110">
        <v>7541.326</v>
      </c>
      <c r="DG148" s="110">
        <v>53600.411</v>
      </c>
      <c r="DH148" s="57">
        <v>8073</v>
      </c>
      <c r="DI148" s="107">
        <f t="shared" si="883"/>
        <v>61673.411</v>
      </c>
      <c r="DJ148" s="45"/>
      <c r="DK148" s="110">
        <v>693.5</v>
      </c>
      <c r="DL148" s="57">
        <v>10490.3985776968</v>
      </c>
      <c r="DM148" s="57">
        <f t="shared" si="884"/>
        <v>11183.8985776968</v>
      </c>
      <c r="DN148" s="61">
        <v>1455.3989030504879</v>
      </c>
      <c r="DO148" s="61">
        <v>2897.8863782272761</v>
      </c>
      <c r="DP148" s="61">
        <v>463.24924377000002</v>
      </c>
      <c r="DQ148" s="57">
        <f t="shared" si="885"/>
        <v>3361.1356219972758</v>
      </c>
      <c r="DR148" s="57">
        <v>160.9936876792932</v>
      </c>
      <c r="DS148" s="57">
        <v>160.9936876792932</v>
      </c>
      <c r="DT148" s="5"/>
      <c r="DU148" s="73">
        <v>0</v>
      </c>
      <c r="DV148" s="156">
        <v>6779.6610170000004</v>
      </c>
      <c r="DW148" s="155">
        <v>1447.7400829999999</v>
      </c>
      <c r="DX148" s="155">
        <v>0</v>
      </c>
      <c r="DY148" s="73">
        <v>0</v>
      </c>
      <c r="DZ148" s="156">
        <v>244.84131231999999</v>
      </c>
      <c r="EA148" s="73">
        <v>0</v>
      </c>
      <c r="EB148" s="156">
        <v>1271.1864410000001</v>
      </c>
      <c r="EC148" s="73">
        <v>0</v>
      </c>
      <c r="ED148" s="156">
        <v>847.5</v>
      </c>
      <c r="EE148" s="73">
        <v>0</v>
      </c>
      <c r="EF148" s="156">
        <v>7397.5988710000001</v>
      </c>
      <c r="EG148" s="73">
        <v>0</v>
      </c>
      <c r="EH148" s="156">
        <v>6779.6610170000004</v>
      </c>
      <c r="EI148" s="159">
        <v>244.84131231999999</v>
      </c>
      <c r="EJ148" s="162">
        <v>847.5</v>
      </c>
      <c r="EK148" s="165">
        <v>735.83500000000004</v>
      </c>
      <c r="EL148" s="159">
        <v>463.24924377000002</v>
      </c>
      <c r="EM148" s="159">
        <f t="shared" si="886"/>
        <v>10964.025395000001</v>
      </c>
      <c r="EN148" s="159">
        <f t="shared" si="887"/>
        <v>0</v>
      </c>
      <c r="EP148" s="2">
        <v>20998.500749999999</v>
      </c>
      <c r="EQ148" s="5">
        <f t="shared" si="888"/>
        <v>0.85499999999999987</v>
      </c>
    </row>
    <row r="149" spans="13:147" x14ac:dyDescent="0.35">
      <c r="M149" s="5"/>
      <c r="N149" s="66">
        <f t="shared" si="889"/>
        <v>147</v>
      </c>
      <c r="O149" s="78">
        <v>0</v>
      </c>
      <c r="P149" s="77">
        <f t="shared" si="856"/>
        <v>0</v>
      </c>
      <c r="Q149" s="104">
        <v>0</v>
      </c>
      <c r="R149" s="77">
        <f t="shared" si="857"/>
        <v>0</v>
      </c>
      <c r="S149" s="104">
        <v>0</v>
      </c>
      <c r="T149" s="77">
        <f t="shared" si="858"/>
        <v>0</v>
      </c>
      <c r="U149" s="104">
        <v>0</v>
      </c>
      <c r="V149" s="77">
        <f t="shared" si="844"/>
        <v>0</v>
      </c>
      <c r="W149" s="104">
        <v>0</v>
      </c>
      <c r="X149" s="77">
        <f t="shared" si="845"/>
        <v>0</v>
      </c>
      <c r="Y149" s="104">
        <v>0</v>
      </c>
      <c r="Z149" s="77">
        <f t="shared" si="859"/>
        <v>0</v>
      </c>
      <c r="AA149" s="104">
        <v>0</v>
      </c>
      <c r="AB149" s="77">
        <f t="shared" si="860"/>
        <v>0</v>
      </c>
      <c r="AC149" s="5"/>
      <c r="AD149" s="66">
        <f t="shared" si="890"/>
        <v>147</v>
      </c>
      <c r="AE149" s="78">
        <v>53755.879200000003</v>
      </c>
      <c r="AF149" s="104">
        <v>1978</v>
      </c>
      <c r="AG149" s="78">
        <v>430</v>
      </c>
      <c r="AH149" s="61">
        <f t="shared" si="861"/>
        <v>0.60399999999999998</v>
      </c>
      <c r="AI149" s="61">
        <f t="shared" si="862"/>
        <v>0.86</v>
      </c>
      <c r="AJ149" s="61">
        <f t="shared" si="863"/>
        <v>0.86</v>
      </c>
      <c r="AK149" s="77">
        <v>468.99599999999998</v>
      </c>
      <c r="AL149" s="104">
        <v>8755.9871999999996</v>
      </c>
      <c r="AM149" s="61">
        <f t="shared" si="846"/>
        <v>0.72599999999999998</v>
      </c>
      <c r="AN149" s="57">
        <f t="shared" si="847"/>
        <v>0.75199999999999989</v>
      </c>
      <c r="AO149" s="78">
        <v>33450</v>
      </c>
      <c r="AP149" s="104">
        <v>21150.974999999999</v>
      </c>
      <c r="AQ149" s="61">
        <f t="shared" si="864"/>
        <v>0.75</v>
      </c>
      <c r="AR149" s="57">
        <f t="shared" si="865"/>
        <v>0.90099999999999991</v>
      </c>
      <c r="AS149" s="45"/>
      <c r="AT149" s="78">
        <v>886.55799999999999</v>
      </c>
      <c r="AU149" s="77">
        <f t="shared" si="848"/>
        <v>0.3600001624259947</v>
      </c>
      <c r="AV149" s="78">
        <v>926.03700000000003</v>
      </c>
      <c r="AW149" s="77">
        <f t="shared" si="849"/>
        <v>0.57625202240199136</v>
      </c>
      <c r="AX149" s="78">
        <v>1121.4780000000001</v>
      </c>
      <c r="AY149" s="77">
        <f t="shared" si="866"/>
        <v>0.5784392407674851</v>
      </c>
      <c r="AZ149" s="45"/>
      <c r="BA149" s="75">
        <v>53641.616999999998</v>
      </c>
      <c r="BB149" s="77">
        <f t="shared" si="867"/>
        <v>0.77049180327868849</v>
      </c>
      <c r="BC149" s="45"/>
      <c r="BD149" s="105">
        <v>22964.167000000001</v>
      </c>
      <c r="BE149" s="45">
        <v>0</v>
      </c>
      <c r="BF149" s="106">
        <v>0</v>
      </c>
      <c r="BG149" s="107">
        <f t="shared" si="868"/>
        <v>0.70442230061349698</v>
      </c>
      <c r="BH149" s="108">
        <f t="shared" si="869"/>
        <v>0</v>
      </c>
      <c r="BI149" s="106">
        <v>0</v>
      </c>
      <c r="BJ149" s="106">
        <v>0</v>
      </c>
      <c r="BK149" s="106">
        <v>0</v>
      </c>
      <c r="BL149" s="106">
        <v>6507.5330000000004</v>
      </c>
      <c r="BM149" s="107">
        <f t="shared" si="870"/>
        <v>0.48282630954147504</v>
      </c>
      <c r="BN149" s="108">
        <f t="shared" si="871"/>
        <v>0</v>
      </c>
      <c r="BO149" s="45">
        <v>7668</v>
      </c>
      <c r="BP149" s="45">
        <v>0</v>
      </c>
      <c r="BQ149" s="45"/>
      <c r="BR149" s="109">
        <v>-700</v>
      </c>
      <c r="BS149" s="45">
        <f t="shared" si="872"/>
        <v>0</v>
      </c>
      <c r="BT149" s="45">
        <v>4485</v>
      </c>
      <c r="BU149" s="45">
        <f t="shared" si="872"/>
        <v>4485</v>
      </c>
      <c r="BV149" s="45">
        <v>0</v>
      </c>
      <c r="BW149" s="45">
        <f t="shared" ref="BW149:BY149" si="987">IF(BV149&gt;0,BV149,0)</f>
        <v>0</v>
      </c>
      <c r="BX149" s="45">
        <v>-5000</v>
      </c>
      <c r="BY149" s="45">
        <f t="shared" si="987"/>
        <v>0</v>
      </c>
      <c r="BZ149" s="45">
        <v>-5300</v>
      </c>
      <c r="CA149" s="45">
        <f t="shared" ref="CA149:CC149" si="988">IF(BZ149&gt;0,BZ149,0)</f>
        <v>0</v>
      </c>
      <c r="CB149" s="45">
        <v>-4000</v>
      </c>
      <c r="CC149" s="45">
        <f t="shared" si="988"/>
        <v>0</v>
      </c>
      <c r="CD149" s="45">
        <v>-4800</v>
      </c>
      <c r="CE149" s="45">
        <f t="shared" ref="CE149:CG149" si="989">IF(CD149&gt;0,CD149,0)</f>
        <v>0</v>
      </c>
      <c r="CF149" s="45">
        <v>22339.958574470002</v>
      </c>
      <c r="CG149" s="45">
        <f t="shared" si="989"/>
        <v>22339.958574470002</v>
      </c>
      <c r="CH149" s="107">
        <f t="shared" si="876"/>
        <v>26824.958574470002</v>
      </c>
      <c r="CI149" s="45"/>
      <c r="CJ149" s="109">
        <v>-700</v>
      </c>
      <c r="CK149" s="45">
        <f t="shared" si="877"/>
        <v>700</v>
      </c>
      <c r="CL149" s="45">
        <v>4485</v>
      </c>
      <c r="CM149" s="45">
        <f t="shared" si="877"/>
        <v>0</v>
      </c>
      <c r="CN149" s="45">
        <v>0</v>
      </c>
      <c r="CO149" s="45">
        <f t="shared" ref="CO149:CQ149" si="990">IF(CN149&lt;0,-CN149,0)</f>
        <v>0</v>
      </c>
      <c r="CP149" s="45">
        <v>-5000</v>
      </c>
      <c r="CQ149" s="45">
        <f t="shared" si="990"/>
        <v>5000</v>
      </c>
      <c r="CR149" s="45">
        <v>-5300</v>
      </c>
      <c r="CS149" s="45">
        <f t="shared" ref="CS149:CU149" si="991">IF(CR149&lt;0,-CR149,0)</f>
        <v>5300</v>
      </c>
      <c r="CT149" s="45">
        <v>-4000</v>
      </c>
      <c r="CU149" s="45">
        <f t="shared" si="991"/>
        <v>4000</v>
      </c>
      <c r="CV149" s="45">
        <v>-4800</v>
      </c>
      <c r="CW149" s="45">
        <f t="shared" ref="CW149:CY149" si="992">IF(CV149&lt;0,-CV149,0)</f>
        <v>4800</v>
      </c>
      <c r="CX149" s="45">
        <v>22339.958574470002</v>
      </c>
      <c r="CY149" s="45">
        <f t="shared" si="992"/>
        <v>0</v>
      </c>
      <c r="CZ149" s="107">
        <f t="shared" si="881"/>
        <v>19800</v>
      </c>
      <c r="DA149" s="45"/>
      <c r="DB149" s="110">
        <v>27467.654999999999</v>
      </c>
      <c r="DC149" s="57">
        <v>1992.9269999999999</v>
      </c>
      <c r="DD149" s="61">
        <v>1581.5952864992</v>
      </c>
      <c r="DE149" s="61">
        <f t="shared" si="882"/>
        <v>31042.177286499198</v>
      </c>
      <c r="DF149" s="110">
        <v>7143.91</v>
      </c>
      <c r="DG149" s="110">
        <v>51701.411</v>
      </c>
      <c r="DH149" s="57">
        <v>8095</v>
      </c>
      <c r="DI149" s="107">
        <f t="shared" si="883"/>
        <v>59796.411</v>
      </c>
      <c r="DJ149" s="45"/>
      <c r="DK149" s="110">
        <v>752.06799999999998</v>
      </c>
      <c r="DL149" s="57">
        <v>10490.3985776968</v>
      </c>
      <c r="DM149" s="57">
        <f t="shared" si="884"/>
        <v>11242.4665776968</v>
      </c>
      <c r="DN149" s="61">
        <v>1455.3989030504879</v>
      </c>
      <c r="DO149" s="61">
        <v>2897.8863782272761</v>
      </c>
      <c r="DP149" s="61">
        <v>463.24924377000002</v>
      </c>
      <c r="DQ149" s="57">
        <f t="shared" si="885"/>
        <v>3361.1356219972758</v>
      </c>
      <c r="DR149" s="57">
        <v>160.9936876792932</v>
      </c>
      <c r="DS149" s="57">
        <v>160.9936876792932</v>
      </c>
      <c r="DT149" s="5"/>
      <c r="DU149" s="73">
        <v>0</v>
      </c>
      <c r="DV149" s="156">
        <v>6779.6610170000004</v>
      </c>
      <c r="DW149" s="155">
        <v>1447.7400829999999</v>
      </c>
      <c r="DX149" s="155">
        <v>0</v>
      </c>
      <c r="DY149" s="73">
        <v>0</v>
      </c>
      <c r="DZ149" s="156">
        <v>244.84131231999999</v>
      </c>
      <c r="EA149" s="73">
        <v>0</v>
      </c>
      <c r="EB149" s="156">
        <v>1271.1864410000001</v>
      </c>
      <c r="EC149" s="73">
        <v>0</v>
      </c>
      <c r="ED149" s="156">
        <v>847.5</v>
      </c>
      <c r="EE149" s="73">
        <v>0</v>
      </c>
      <c r="EF149" s="156">
        <v>7397.5988710000001</v>
      </c>
      <c r="EG149" s="73">
        <v>0</v>
      </c>
      <c r="EH149" s="156">
        <v>6779.6610170000004</v>
      </c>
      <c r="EI149" s="159">
        <v>244.84131231999999</v>
      </c>
      <c r="EJ149" s="162">
        <v>847.5</v>
      </c>
      <c r="EK149" s="165">
        <v>735.83500000000004</v>
      </c>
      <c r="EL149" s="159">
        <v>463.24924377000002</v>
      </c>
      <c r="EM149" s="159">
        <f t="shared" si="886"/>
        <v>10964.025395000001</v>
      </c>
      <c r="EN149" s="159">
        <f t="shared" si="887"/>
        <v>0</v>
      </c>
      <c r="EP149" s="2">
        <v>20998.500749999999</v>
      </c>
      <c r="EQ149" s="5">
        <f t="shared" si="888"/>
        <v>0.85499999999999987</v>
      </c>
    </row>
    <row r="150" spans="13:147" x14ac:dyDescent="0.35">
      <c r="M150" s="5"/>
      <c r="N150" s="66">
        <f t="shared" si="889"/>
        <v>148</v>
      </c>
      <c r="O150" s="78">
        <v>0</v>
      </c>
      <c r="P150" s="77">
        <f t="shared" si="856"/>
        <v>0</v>
      </c>
      <c r="Q150" s="104">
        <v>0</v>
      </c>
      <c r="R150" s="77">
        <f t="shared" si="857"/>
        <v>0</v>
      </c>
      <c r="S150" s="104">
        <v>0</v>
      </c>
      <c r="T150" s="77">
        <f t="shared" si="858"/>
        <v>0</v>
      </c>
      <c r="U150" s="104">
        <v>0</v>
      </c>
      <c r="V150" s="77">
        <f t="shared" si="844"/>
        <v>0</v>
      </c>
      <c r="W150" s="104">
        <v>0</v>
      </c>
      <c r="X150" s="77">
        <f t="shared" si="845"/>
        <v>0</v>
      </c>
      <c r="Y150" s="104">
        <v>0</v>
      </c>
      <c r="Z150" s="77">
        <f t="shared" si="859"/>
        <v>0</v>
      </c>
      <c r="AA150" s="104">
        <v>0</v>
      </c>
      <c r="AB150" s="77">
        <f t="shared" si="860"/>
        <v>0</v>
      </c>
      <c r="AC150" s="5"/>
      <c r="AD150" s="66">
        <f t="shared" si="890"/>
        <v>148</v>
      </c>
      <c r="AE150" s="78">
        <v>57582.870600000002</v>
      </c>
      <c r="AF150" s="104">
        <v>2010.2</v>
      </c>
      <c r="AG150" s="78">
        <v>437</v>
      </c>
      <c r="AH150" s="61">
        <f t="shared" si="861"/>
        <v>0.64700000000000002</v>
      </c>
      <c r="AI150" s="61">
        <f t="shared" si="862"/>
        <v>0.874</v>
      </c>
      <c r="AJ150" s="61">
        <f t="shared" si="863"/>
        <v>0.874</v>
      </c>
      <c r="AK150" s="77">
        <v>473.51799999999997</v>
      </c>
      <c r="AL150" s="104">
        <v>9175.1568000000007</v>
      </c>
      <c r="AM150" s="61">
        <f t="shared" si="846"/>
        <v>0.73299999999999998</v>
      </c>
      <c r="AN150" s="57">
        <f t="shared" si="847"/>
        <v>0.78800000000000003</v>
      </c>
      <c r="AO150" s="78">
        <v>35546.199999999997</v>
      </c>
      <c r="AP150" s="104">
        <v>20611.05</v>
      </c>
      <c r="AQ150" s="61">
        <f t="shared" si="864"/>
        <v>0.79699999999999993</v>
      </c>
      <c r="AR150" s="57">
        <f t="shared" si="865"/>
        <v>0.878</v>
      </c>
      <c r="AS150" s="45"/>
      <c r="AT150" s="78">
        <v>886.55799999999999</v>
      </c>
      <c r="AU150" s="77">
        <f t="shared" si="848"/>
        <v>0.3600001624259947</v>
      </c>
      <c r="AV150" s="78">
        <v>932.17399999999998</v>
      </c>
      <c r="AW150" s="77">
        <f t="shared" si="849"/>
        <v>0.58007093963907896</v>
      </c>
      <c r="AX150" s="78">
        <v>1121.4780000000001</v>
      </c>
      <c r="AY150" s="77">
        <f t="shared" si="866"/>
        <v>0.5784392407674851</v>
      </c>
      <c r="AZ150" s="45"/>
      <c r="BA150" s="75">
        <v>53641.616999999998</v>
      </c>
      <c r="BB150" s="77">
        <f t="shared" si="867"/>
        <v>0.77049180327868849</v>
      </c>
      <c r="BC150" s="45"/>
      <c r="BD150" s="105">
        <v>24578.392</v>
      </c>
      <c r="BE150" s="45">
        <v>0</v>
      </c>
      <c r="BF150" s="106">
        <v>0</v>
      </c>
      <c r="BG150" s="107">
        <f t="shared" si="868"/>
        <v>0.75393840490797548</v>
      </c>
      <c r="BH150" s="108">
        <f t="shared" si="869"/>
        <v>0</v>
      </c>
      <c r="BI150" s="106">
        <v>0</v>
      </c>
      <c r="BJ150" s="106">
        <v>0</v>
      </c>
      <c r="BK150" s="106">
        <v>0</v>
      </c>
      <c r="BL150" s="106">
        <v>6567.3729999999996</v>
      </c>
      <c r="BM150" s="107">
        <f t="shared" si="870"/>
        <v>0.48726613740911112</v>
      </c>
      <c r="BN150" s="108">
        <f t="shared" si="871"/>
        <v>0</v>
      </c>
      <c r="BO150" s="45">
        <v>7668</v>
      </c>
      <c r="BP150" s="45">
        <v>0</v>
      </c>
      <c r="BQ150" s="45"/>
      <c r="BR150" s="109">
        <v>-700</v>
      </c>
      <c r="BS150" s="45">
        <f t="shared" si="872"/>
        <v>0</v>
      </c>
      <c r="BT150" s="45">
        <v>4485</v>
      </c>
      <c r="BU150" s="45">
        <f t="shared" si="872"/>
        <v>4485</v>
      </c>
      <c r="BV150" s="45">
        <v>0</v>
      </c>
      <c r="BW150" s="45">
        <f t="shared" ref="BW150:BY150" si="993">IF(BV150&gt;0,BV150,0)</f>
        <v>0</v>
      </c>
      <c r="BX150" s="45">
        <v>-5000</v>
      </c>
      <c r="BY150" s="45">
        <f t="shared" si="993"/>
        <v>0</v>
      </c>
      <c r="BZ150" s="45">
        <v>-5300</v>
      </c>
      <c r="CA150" s="45">
        <f t="shared" ref="CA150:CC150" si="994">IF(BZ150&gt;0,BZ150,0)</f>
        <v>0</v>
      </c>
      <c r="CB150" s="45">
        <v>-4000</v>
      </c>
      <c r="CC150" s="45">
        <f t="shared" si="994"/>
        <v>0</v>
      </c>
      <c r="CD150" s="45">
        <v>-4800</v>
      </c>
      <c r="CE150" s="45">
        <f t="shared" ref="CE150:CG150" si="995">IF(CD150&gt;0,CD150,0)</f>
        <v>0</v>
      </c>
      <c r="CF150" s="45">
        <v>38048.08338787</v>
      </c>
      <c r="CG150" s="45">
        <f t="shared" si="995"/>
        <v>38048.08338787</v>
      </c>
      <c r="CH150" s="107">
        <f t="shared" si="876"/>
        <v>42533.08338787</v>
      </c>
      <c r="CI150" s="45"/>
      <c r="CJ150" s="109">
        <v>-700</v>
      </c>
      <c r="CK150" s="45">
        <f t="shared" si="877"/>
        <v>700</v>
      </c>
      <c r="CL150" s="45">
        <v>4485</v>
      </c>
      <c r="CM150" s="45">
        <f t="shared" si="877"/>
        <v>0</v>
      </c>
      <c r="CN150" s="45">
        <v>0</v>
      </c>
      <c r="CO150" s="45">
        <f t="shared" ref="CO150:CQ150" si="996">IF(CN150&lt;0,-CN150,0)</f>
        <v>0</v>
      </c>
      <c r="CP150" s="45">
        <v>-5000</v>
      </c>
      <c r="CQ150" s="45">
        <f t="shared" si="996"/>
        <v>5000</v>
      </c>
      <c r="CR150" s="45">
        <v>-5300</v>
      </c>
      <c r="CS150" s="45">
        <f t="shared" ref="CS150:CU150" si="997">IF(CR150&lt;0,-CR150,0)</f>
        <v>5300</v>
      </c>
      <c r="CT150" s="45">
        <v>-4000</v>
      </c>
      <c r="CU150" s="45">
        <f t="shared" si="997"/>
        <v>4000</v>
      </c>
      <c r="CV150" s="45">
        <v>-4800</v>
      </c>
      <c r="CW150" s="45">
        <f t="shared" ref="CW150:CY150" si="998">IF(CV150&lt;0,-CV150,0)</f>
        <v>4800</v>
      </c>
      <c r="CX150" s="45">
        <v>38048.08338787</v>
      </c>
      <c r="CY150" s="45">
        <f t="shared" si="998"/>
        <v>0</v>
      </c>
      <c r="CZ150" s="107">
        <f t="shared" si="881"/>
        <v>19800</v>
      </c>
      <c r="DA150" s="45"/>
      <c r="DB150" s="110">
        <v>26794.48</v>
      </c>
      <c r="DC150" s="57">
        <v>1963.6559999999999</v>
      </c>
      <c r="DD150" s="61">
        <v>2498.7366734859002</v>
      </c>
      <c r="DE150" s="61">
        <f t="shared" si="882"/>
        <v>31256.872673485897</v>
      </c>
      <c r="DF150" s="110">
        <v>6954.5510000000004</v>
      </c>
      <c r="DG150" s="110">
        <v>50110.411</v>
      </c>
      <c r="DH150" s="57">
        <v>7869</v>
      </c>
      <c r="DI150" s="107">
        <f t="shared" si="883"/>
        <v>57979.411</v>
      </c>
      <c r="DJ150" s="45"/>
      <c r="DK150" s="110">
        <v>841.47900000000004</v>
      </c>
      <c r="DL150" s="57">
        <v>10490.3985776968</v>
      </c>
      <c r="DM150" s="57">
        <f t="shared" si="884"/>
        <v>11331.8775776968</v>
      </c>
      <c r="DN150" s="61">
        <v>1455.3989030504879</v>
      </c>
      <c r="DO150" s="61">
        <v>2897.8863782272761</v>
      </c>
      <c r="DP150" s="61">
        <v>463.24924377000002</v>
      </c>
      <c r="DQ150" s="57">
        <f t="shared" si="885"/>
        <v>3361.1356219972758</v>
      </c>
      <c r="DR150" s="57">
        <v>160.9936876792932</v>
      </c>
      <c r="DS150" s="57">
        <v>160.9936876792932</v>
      </c>
      <c r="DT150" s="5"/>
      <c r="DU150" s="73">
        <v>0</v>
      </c>
      <c r="DV150" s="156">
        <v>6779.6610170000004</v>
      </c>
      <c r="DW150" s="155">
        <v>1447.7400829999999</v>
      </c>
      <c r="DX150" s="155">
        <v>0</v>
      </c>
      <c r="DY150" s="73">
        <v>0</v>
      </c>
      <c r="DZ150" s="156">
        <v>244.84131231999999</v>
      </c>
      <c r="EA150" s="73">
        <v>0</v>
      </c>
      <c r="EB150" s="156">
        <v>1271.1864410000001</v>
      </c>
      <c r="EC150" s="73">
        <v>0</v>
      </c>
      <c r="ED150" s="156">
        <v>847.5</v>
      </c>
      <c r="EE150" s="73">
        <v>0</v>
      </c>
      <c r="EF150" s="156">
        <v>7397.5988710000001</v>
      </c>
      <c r="EG150" s="73">
        <v>0</v>
      </c>
      <c r="EH150" s="156">
        <v>6779.6610170000004</v>
      </c>
      <c r="EI150" s="159">
        <v>244.84131231999999</v>
      </c>
      <c r="EJ150" s="162">
        <v>847.5</v>
      </c>
      <c r="EK150" s="165">
        <v>735.83500000000004</v>
      </c>
      <c r="EL150" s="159">
        <v>463.24924377000002</v>
      </c>
      <c r="EM150" s="159">
        <f t="shared" si="886"/>
        <v>10964.025395000001</v>
      </c>
      <c r="EN150" s="159">
        <f t="shared" si="887"/>
        <v>0</v>
      </c>
      <c r="EP150" s="2">
        <v>21465.134099999999</v>
      </c>
      <c r="EQ150" s="5">
        <f t="shared" si="888"/>
        <v>0.87399999999999989</v>
      </c>
    </row>
    <row r="151" spans="13:147" x14ac:dyDescent="0.35">
      <c r="M151" s="5"/>
      <c r="N151" s="66">
        <f t="shared" si="889"/>
        <v>149</v>
      </c>
      <c r="O151" s="78">
        <v>0</v>
      </c>
      <c r="P151" s="77">
        <f t="shared" si="856"/>
        <v>0</v>
      </c>
      <c r="Q151" s="104">
        <v>0</v>
      </c>
      <c r="R151" s="77">
        <f t="shared" si="857"/>
        <v>0</v>
      </c>
      <c r="S151" s="104">
        <v>0</v>
      </c>
      <c r="T151" s="77">
        <f t="shared" si="858"/>
        <v>0</v>
      </c>
      <c r="U151" s="104">
        <v>0</v>
      </c>
      <c r="V151" s="77">
        <f t="shared" si="844"/>
        <v>0</v>
      </c>
      <c r="W151" s="104">
        <v>0</v>
      </c>
      <c r="X151" s="77">
        <f t="shared" si="845"/>
        <v>0</v>
      </c>
      <c r="Y151" s="104">
        <v>0</v>
      </c>
      <c r="Z151" s="77">
        <f t="shared" si="859"/>
        <v>0</v>
      </c>
      <c r="AA151" s="104">
        <v>0</v>
      </c>
      <c r="AB151" s="77">
        <f t="shared" si="860"/>
        <v>0</v>
      </c>
      <c r="AC151" s="5"/>
      <c r="AD151" s="66">
        <f t="shared" si="890"/>
        <v>149</v>
      </c>
      <c r="AE151" s="78">
        <v>61320.862200000003</v>
      </c>
      <c r="AF151" s="104">
        <v>2037.8</v>
      </c>
      <c r="AG151" s="78">
        <v>443</v>
      </c>
      <c r="AH151" s="61">
        <f t="shared" si="861"/>
        <v>0.68900000000000006</v>
      </c>
      <c r="AI151" s="61">
        <f t="shared" si="862"/>
        <v>0.88600000000000001</v>
      </c>
      <c r="AJ151" s="61">
        <f t="shared" si="863"/>
        <v>0.88600000000000001</v>
      </c>
      <c r="AK151" s="77">
        <v>465.12</v>
      </c>
      <c r="AL151" s="104">
        <v>9408.0288</v>
      </c>
      <c r="AM151" s="61">
        <f t="shared" si="846"/>
        <v>0.72</v>
      </c>
      <c r="AN151" s="57">
        <f t="shared" si="847"/>
        <v>0.80799999999999994</v>
      </c>
      <c r="AO151" s="78">
        <v>36304.400000000001</v>
      </c>
      <c r="AP151" s="104">
        <v>20000.7</v>
      </c>
      <c r="AQ151" s="61">
        <f t="shared" si="864"/>
        <v>0.81400000000000006</v>
      </c>
      <c r="AR151" s="57">
        <f t="shared" si="865"/>
        <v>0.85199999999999998</v>
      </c>
      <c r="AS151" s="45"/>
      <c r="AT151" s="78">
        <v>879.17</v>
      </c>
      <c r="AU151" s="77">
        <f t="shared" si="848"/>
        <v>0.35700015430469495</v>
      </c>
      <c r="AV151" s="78">
        <v>932.14700000000005</v>
      </c>
      <c r="AW151" s="77">
        <f t="shared" si="849"/>
        <v>0.58005413814561302</v>
      </c>
      <c r="AX151" s="78">
        <v>1121.4780000000001</v>
      </c>
      <c r="AY151" s="77">
        <f t="shared" si="866"/>
        <v>0.5784392407674851</v>
      </c>
      <c r="AZ151" s="45"/>
      <c r="BA151" s="75">
        <v>53641.616999999998</v>
      </c>
      <c r="BB151" s="77">
        <f t="shared" si="867"/>
        <v>0.77049180327868849</v>
      </c>
      <c r="BC151" s="45"/>
      <c r="BD151" s="105">
        <v>26177.436000000002</v>
      </c>
      <c r="BE151" s="45">
        <v>0</v>
      </c>
      <c r="BF151" s="106">
        <v>0</v>
      </c>
      <c r="BG151" s="107">
        <f t="shared" si="868"/>
        <v>0.80298883435582824</v>
      </c>
      <c r="BH151" s="108">
        <f t="shared" si="869"/>
        <v>0</v>
      </c>
      <c r="BI151" s="106">
        <v>0</v>
      </c>
      <c r="BJ151" s="106">
        <v>0</v>
      </c>
      <c r="BK151" s="106">
        <v>0</v>
      </c>
      <c r="BL151" s="106">
        <v>6449.9719999999998</v>
      </c>
      <c r="BM151" s="107">
        <f t="shared" si="870"/>
        <v>0.47855557204332988</v>
      </c>
      <c r="BN151" s="108">
        <f t="shared" si="871"/>
        <v>0</v>
      </c>
      <c r="BO151" s="45">
        <v>7668</v>
      </c>
      <c r="BP151" s="45">
        <v>0</v>
      </c>
      <c r="BQ151" s="45"/>
      <c r="BR151" s="109">
        <v>-700</v>
      </c>
      <c r="BS151" s="45">
        <f t="shared" si="872"/>
        <v>0</v>
      </c>
      <c r="BT151" s="45">
        <v>4485</v>
      </c>
      <c r="BU151" s="45">
        <f t="shared" si="872"/>
        <v>4485</v>
      </c>
      <c r="BV151" s="45">
        <v>0</v>
      </c>
      <c r="BW151" s="45">
        <f t="shared" ref="BW151:BY151" si="999">IF(BV151&gt;0,BV151,0)</f>
        <v>0</v>
      </c>
      <c r="BX151" s="45">
        <v>-5000</v>
      </c>
      <c r="BY151" s="45">
        <f t="shared" si="999"/>
        <v>0</v>
      </c>
      <c r="BZ151" s="45">
        <v>-5300</v>
      </c>
      <c r="CA151" s="45">
        <f t="shared" ref="CA151:CC151" si="1000">IF(BZ151&gt;0,BZ151,0)</f>
        <v>0</v>
      </c>
      <c r="CB151" s="45">
        <v>-4000</v>
      </c>
      <c r="CC151" s="45">
        <f t="shared" si="1000"/>
        <v>0</v>
      </c>
      <c r="CD151" s="45">
        <v>-4800</v>
      </c>
      <c r="CE151" s="45">
        <f t="shared" ref="CE151:CG151" si="1001">IF(CD151&gt;0,CD151,0)</f>
        <v>0</v>
      </c>
      <c r="CF151" s="45">
        <v>28564.700170209999</v>
      </c>
      <c r="CG151" s="45">
        <f t="shared" si="1001"/>
        <v>28564.700170209999</v>
      </c>
      <c r="CH151" s="107">
        <f t="shared" si="876"/>
        <v>33049.700170209995</v>
      </c>
      <c r="CI151" s="45"/>
      <c r="CJ151" s="109">
        <v>-700</v>
      </c>
      <c r="CK151" s="45">
        <f t="shared" si="877"/>
        <v>700</v>
      </c>
      <c r="CL151" s="45">
        <v>4485</v>
      </c>
      <c r="CM151" s="45">
        <f t="shared" si="877"/>
        <v>0</v>
      </c>
      <c r="CN151" s="45">
        <v>0</v>
      </c>
      <c r="CO151" s="45">
        <f t="shared" ref="CO151:CQ151" si="1002">IF(CN151&lt;0,-CN151,0)</f>
        <v>0</v>
      </c>
      <c r="CP151" s="45">
        <v>-5000</v>
      </c>
      <c r="CQ151" s="45">
        <f t="shared" si="1002"/>
        <v>5000</v>
      </c>
      <c r="CR151" s="45">
        <v>-5300</v>
      </c>
      <c r="CS151" s="45">
        <f t="shared" ref="CS151:CU151" si="1003">IF(CR151&lt;0,-CR151,0)</f>
        <v>5300</v>
      </c>
      <c r="CT151" s="45">
        <v>-4000</v>
      </c>
      <c r="CU151" s="45">
        <f t="shared" si="1003"/>
        <v>4000</v>
      </c>
      <c r="CV151" s="45">
        <v>-4800</v>
      </c>
      <c r="CW151" s="45">
        <f t="shared" ref="CW151:CY151" si="1004">IF(CV151&lt;0,-CV151,0)</f>
        <v>4800</v>
      </c>
      <c r="CX151" s="45">
        <v>28564.700170209999</v>
      </c>
      <c r="CY151" s="45">
        <f t="shared" si="1004"/>
        <v>0</v>
      </c>
      <c r="CZ151" s="107">
        <f t="shared" si="881"/>
        <v>19800</v>
      </c>
      <c r="DA151" s="45"/>
      <c r="DB151" s="110">
        <v>26630.736000000001</v>
      </c>
      <c r="DC151" s="57">
        <v>1954.9349999999999</v>
      </c>
      <c r="DD151" s="61">
        <v>2804.0450830970999</v>
      </c>
      <c r="DE151" s="61">
        <f t="shared" si="882"/>
        <v>31389.716083097101</v>
      </c>
      <c r="DF151" s="110">
        <v>6894.78</v>
      </c>
      <c r="DG151" s="110">
        <v>49683.411</v>
      </c>
      <c r="DH151" s="57">
        <v>7869</v>
      </c>
      <c r="DI151" s="107">
        <f t="shared" si="883"/>
        <v>57552.411</v>
      </c>
      <c r="DJ151" s="45"/>
      <c r="DK151" s="110">
        <v>987.78</v>
      </c>
      <c r="DL151" s="57">
        <v>10522.090845252949</v>
      </c>
      <c r="DM151" s="57">
        <f t="shared" si="884"/>
        <v>11509.87084525295</v>
      </c>
      <c r="DN151" s="61">
        <v>1455.3989030504879</v>
      </c>
      <c r="DO151" s="61">
        <v>2914.5855887225489</v>
      </c>
      <c r="DP151" s="61">
        <v>446.55003327999998</v>
      </c>
      <c r="DQ151" s="57">
        <f t="shared" si="885"/>
        <v>3361.1356220025491</v>
      </c>
      <c r="DR151" s="57">
        <v>161.92142159569721</v>
      </c>
      <c r="DS151" s="57">
        <v>161.92142159569721</v>
      </c>
      <c r="DT151" s="5"/>
      <c r="DU151" s="73">
        <v>0</v>
      </c>
      <c r="DV151" s="156">
        <v>6779.6610170000004</v>
      </c>
      <c r="DW151" s="155">
        <v>1447.7400829999999</v>
      </c>
      <c r="DX151" s="155">
        <v>0</v>
      </c>
      <c r="DY151" s="73">
        <v>0</v>
      </c>
      <c r="DZ151" s="156">
        <v>243.91357840000001</v>
      </c>
      <c r="EA151" s="73">
        <v>0</v>
      </c>
      <c r="EB151" s="156">
        <v>1271.1864410000001</v>
      </c>
      <c r="EC151" s="73">
        <v>0</v>
      </c>
      <c r="ED151" s="156">
        <v>847.5</v>
      </c>
      <c r="EE151" s="73">
        <v>0</v>
      </c>
      <c r="EF151" s="156">
        <v>7397.5988710000001</v>
      </c>
      <c r="EG151" s="73">
        <v>0</v>
      </c>
      <c r="EH151" s="156">
        <v>6779.6610170000004</v>
      </c>
      <c r="EI151" s="159">
        <v>243.91357840000001</v>
      </c>
      <c r="EJ151" s="162">
        <v>847.5</v>
      </c>
      <c r="EK151" s="165">
        <v>735.83500000000004</v>
      </c>
      <c r="EL151" s="159">
        <v>446.55003327999998</v>
      </c>
      <c r="EM151" s="159">
        <f t="shared" si="886"/>
        <v>10964.025395000001</v>
      </c>
      <c r="EN151" s="159">
        <f t="shared" si="887"/>
        <v>0</v>
      </c>
      <c r="EP151" s="2">
        <v>21465.134099999999</v>
      </c>
      <c r="EQ151" s="5">
        <f t="shared" si="888"/>
        <v>0.87399999999999989</v>
      </c>
    </row>
    <row r="152" spans="13:147" x14ac:dyDescent="0.35">
      <c r="M152" s="5"/>
      <c r="N152" s="66">
        <f t="shared" si="889"/>
        <v>150</v>
      </c>
      <c r="O152" s="78">
        <v>0</v>
      </c>
      <c r="P152" s="77">
        <f t="shared" si="856"/>
        <v>0</v>
      </c>
      <c r="Q152" s="104">
        <v>0</v>
      </c>
      <c r="R152" s="77">
        <f t="shared" si="857"/>
        <v>0</v>
      </c>
      <c r="S152" s="104">
        <v>0</v>
      </c>
      <c r="T152" s="77">
        <f t="shared" si="858"/>
        <v>0</v>
      </c>
      <c r="U152" s="104">
        <v>0</v>
      </c>
      <c r="V152" s="77">
        <f t="shared" si="844"/>
        <v>0</v>
      </c>
      <c r="W152" s="104">
        <v>0</v>
      </c>
      <c r="X152" s="77">
        <f t="shared" si="845"/>
        <v>0</v>
      </c>
      <c r="Y152" s="104">
        <v>0</v>
      </c>
      <c r="Z152" s="77">
        <f t="shared" si="859"/>
        <v>0</v>
      </c>
      <c r="AA152" s="104">
        <v>0</v>
      </c>
      <c r="AB152" s="77">
        <f t="shared" si="860"/>
        <v>0</v>
      </c>
      <c r="AC152" s="5"/>
      <c r="AD152" s="66">
        <f t="shared" si="890"/>
        <v>150</v>
      </c>
      <c r="AE152" s="78">
        <v>63100.858200000002</v>
      </c>
      <c r="AF152" s="104">
        <v>2056.1999999999998</v>
      </c>
      <c r="AG152" s="78">
        <v>447</v>
      </c>
      <c r="AH152" s="61">
        <f t="shared" si="861"/>
        <v>0.70899999999999996</v>
      </c>
      <c r="AI152" s="61">
        <f t="shared" si="862"/>
        <v>0.89399999999999991</v>
      </c>
      <c r="AJ152" s="61">
        <f t="shared" si="863"/>
        <v>0.89400000000000002</v>
      </c>
      <c r="AK152" s="77">
        <v>445.09399999999999</v>
      </c>
      <c r="AL152" s="104">
        <v>9256.6620000000003</v>
      </c>
      <c r="AM152" s="61">
        <f t="shared" si="846"/>
        <v>0.68899999999999995</v>
      </c>
      <c r="AN152" s="57">
        <f t="shared" si="847"/>
        <v>0.79500000000000004</v>
      </c>
      <c r="AO152" s="78">
        <v>36616.6</v>
      </c>
      <c r="AP152" s="104">
        <v>19578.150000000001</v>
      </c>
      <c r="AQ152" s="61">
        <f t="shared" si="864"/>
        <v>0.82099999999999995</v>
      </c>
      <c r="AR152" s="57">
        <f t="shared" si="865"/>
        <v>0.83400000000000007</v>
      </c>
      <c r="AS152" s="45"/>
      <c r="AT152" s="78">
        <v>884.09500000000003</v>
      </c>
      <c r="AU152" s="77">
        <f t="shared" si="848"/>
        <v>0.35900002436389922</v>
      </c>
      <c r="AV152" s="78">
        <v>934.01599999999996</v>
      </c>
      <c r="AW152" s="77">
        <f t="shared" si="849"/>
        <v>0.58121717485998758</v>
      </c>
      <c r="AX152" s="78">
        <v>1121.4780000000001</v>
      </c>
      <c r="AY152" s="77">
        <f t="shared" si="866"/>
        <v>0.5784392407674851</v>
      </c>
      <c r="AZ152" s="45"/>
      <c r="BA152" s="75">
        <v>53641.616999999998</v>
      </c>
      <c r="BB152" s="77">
        <f t="shared" si="867"/>
        <v>0.77049180327868849</v>
      </c>
      <c r="BC152" s="45"/>
      <c r="BD152" s="105">
        <v>26939.273000000001</v>
      </c>
      <c r="BE152" s="45">
        <v>0</v>
      </c>
      <c r="BF152" s="106">
        <v>0</v>
      </c>
      <c r="BG152" s="107">
        <f t="shared" si="868"/>
        <v>0.82635806748466256</v>
      </c>
      <c r="BH152" s="108">
        <f t="shared" si="869"/>
        <v>0</v>
      </c>
      <c r="BI152" s="106">
        <v>0</v>
      </c>
      <c r="BJ152" s="106">
        <v>0</v>
      </c>
      <c r="BK152" s="106">
        <v>0</v>
      </c>
      <c r="BL152" s="106">
        <v>6175.2070000000003</v>
      </c>
      <c r="BM152" s="107">
        <f t="shared" si="870"/>
        <v>0.45816938714942873</v>
      </c>
      <c r="BN152" s="108">
        <f t="shared" si="871"/>
        <v>0</v>
      </c>
      <c r="BO152" s="45">
        <v>7668</v>
      </c>
      <c r="BP152" s="45">
        <v>0</v>
      </c>
      <c r="BQ152" s="45"/>
      <c r="BR152" s="109">
        <v>-700</v>
      </c>
      <c r="BS152" s="45">
        <f t="shared" si="872"/>
        <v>0</v>
      </c>
      <c r="BT152" s="45">
        <v>4485</v>
      </c>
      <c r="BU152" s="45">
        <f t="shared" si="872"/>
        <v>4485</v>
      </c>
      <c r="BV152" s="45">
        <v>0</v>
      </c>
      <c r="BW152" s="45">
        <f t="shared" ref="BW152:BY152" si="1005">IF(BV152&gt;0,BV152,0)</f>
        <v>0</v>
      </c>
      <c r="BX152" s="45">
        <v>-5000</v>
      </c>
      <c r="BY152" s="45">
        <f t="shared" si="1005"/>
        <v>0</v>
      </c>
      <c r="BZ152" s="45">
        <v>-5300</v>
      </c>
      <c r="CA152" s="45">
        <f t="shared" ref="CA152:CC152" si="1006">IF(BZ152&gt;0,BZ152,0)</f>
        <v>0</v>
      </c>
      <c r="CB152" s="45">
        <v>-4000</v>
      </c>
      <c r="CC152" s="45">
        <f t="shared" si="1006"/>
        <v>0</v>
      </c>
      <c r="CD152" s="45">
        <v>-4800</v>
      </c>
      <c r="CE152" s="45">
        <f t="shared" ref="CE152:CG152" si="1007">IF(CD152&gt;0,CD152,0)</f>
        <v>0</v>
      </c>
      <c r="CF152" s="45">
        <v>23454.642297869999</v>
      </c>
      <c r="CG152" s="45">
        <f t="shared" si="1007"/>
        <v>23454.642297869999</v>
      </c>
      <c r="CH152" s="107">
        <f t="shared" si="876"/>
        <v>27939.642297869999</v>
      </c>
      <c r="CI152" s="45"/>
      <c r="CJ152" s="109">
        <v>-700</v>
      </c>
      <c r="CK152" s="45">
        <f t="shared" si="877"/>
        <v>700</v>
      </c>
      <c r="CL152" s="45">
        <v>4485</v>
      </c>
      <c r="CM152" s="45">
        <f t="shared" si="877"/>
        <v>0</v>
      </c>
      <c r="CN152" s="45">
        <v>0</v>
      </c>
      <c r="CO152" s="45">
        <f t="shared" ref="CO152:CQ152" si="1008">IF(CN152&lt;0,-CN152,0)</f>
        <v>0</v>
      </c>
      <c r="CP152" s="45">
        <v>-5000</v>
      </c>
      <c r="CQ152" s="45">
        <f t="shared" si="1008"/>
        <v>5000</v>
      </c>
      <c r="CR152" s="45">
        <v>-5300</v>
      </c>
      <c r="CS152" s="45">
        <f t="shared" ref="CS152:CU152" si="1009">IF(CR152&lt;0,-CR152,0)</f>
        <v>5300</v>
      </c>
      <c r="CT152" s="45">
        <v>-4000</v>
      </c>
      <c r="CU152" s="45">
        <f t="shared" si="1009"/>
        <v>4000</v>
      </c>
      <c r="CV152" s="45">
        <v>-4800</v>
      </c>
      <c r="CW152" s="45">
        <f t="shared" ref="CW152:CY152" si="1010">IF(CV152&lt;0,-CV152,0)</f>
        <v>4800</v>
      </c>
      <c r="CX152" s="45">
        <v>23454.642297869999</v>
      </c>
      <c r="CY152" s="45">
        <f t="shared" si="1010"/>
        <v>0</v>
      </c>
      <c r="CZ152" s="107">
        <f t="shared" si="881"/>
        <v>19800</v>
      </c>
      <c r="DA152" s="45"/>
      <c r="DB152" s="110">
        <v>26829.452000000001</v>
      </c>
      <c r="DC152" s="57">
        <v>1954.27</v>
      </c>
      <c r="DD152" s="61">
        <v>2984.8624044164999</v>
      </c>
      <c r="DE152" s="61">
        <f t="shared" si="882"/>
        <v>31768.584404416502</v>
      </c>
      <c r="DF152" s="110">
        <v>6929.8019999999997</v>
      </c>
      <c r="DG152" s="110">
        <v>50184.411</v>
      </c>
      <c r="DH152" s="57">
        <v>7819</v>
      </c>
      <c r="DI152" s="107">
        <f t="shared" si="883"/>
        <v>58003.411</v>
      </c>
      <c r="DJ152" s="45"/>
      <c r="DK152" s="110">
        <v>1161.4269999999999</v>
      </c>
      <c r="DL152" s="57">
        <v>10553.7831128091</v>
      </c>
      <c r="DM152" s="57">
        <f t="shared" si="884"/>
        <v>11715.2101128091</v>
      </c>
      <c r="DN152" s="61">
        <v>1455.3989030504879</v>
      </c>
      <c r="DO152" s="61">
        <v>2931.2847992178222</v>
      </c>
      <c r="DP152" s="61">
        <v>429.85082277999999</v>
      </c>
      <c r="DQ152" s="57">
        <f t="shared" si="885"/>
        <v>3361.135621997822</v>
      </c>
      <c r="DR152" s="57">
        <v>162.84915551210119</v>
      </c>
      <c r="DS152" s="57">
        <v>162.84915551210119</v>
      </c>
      <c r="DT152" s="5"/>
      <c r="DU152" s="73">
        <v>0</v>
      </c>
      <c r="DV152" s="156">
        <v>6779.6610170000004</v>
      </c>
      <c r="DW152" s="155">
        <v>1447.7400829999999</v>
      </c>
      <c r="DX152" s="155">
        <v>0</v>
      </c>
      <c r="DY152" s="73">
        <v>0</v>
      </c>
      <c r="DZ152" s="156">
        <v>242.98584449000001</v>
      </c>
      <c r="EA152" s="73">
        <v>0</v>
      </c>
      <c r="EB152" s="156">
        <v>1271.1864410000001</v>
      </c>
      <c r="EC152" s="73">
        <v>0</v>
      </c>
      <c r="ED152" s="156">
        <v>847.5</v>
      </c>
      <c r="EE152" s="73">
        <v>0</v>
      </c>
      <c r="EF152" s="156">
        <v>7397.5988710000001</v>
      </c>
      <c r="EG152" s="73">
        <v>0</v>
      </c>
      <c r="EH152" s="156">
        <v>6779.6610170000004</v>
      </c>
      <c r="EI152" s="159">
        <v>242.98584449000001</v>
      </c>
      <c r="EJ152" s="162">
        <v>847.5</v>
      </c>
      <c r="EK152" s="165">
        <v>735.83500000000004</v>
      </c>
      <c r="EL152" s="159">
        <v>429.85082277999999</v>
      </c>
      <c r="EM152" s="159">
        <f t="shared" si="886"/>
        <v>10964.025395000001</v>
      </c>
      <c r="EN152" s="159">
        <f t="shared" si="887"/>
        <v>0</v>
      </c>
      <c r="EP152" s="2">
        <v>21931.767449999999</v>
      </c>
      <c r="EQ152" s="5">
        <f t="shared" si="888"/>
        <v>0.8929999999999999</v>
      </c>
    </row>
    <row r="153" spans="13:147" x14ac:dyDescent="0.35">
      <c r="M153" s="5"/>
      <c r="N153" s="66">
        <f t="shared" si="889"/>
        <v>151</v>
      </c>
      <c r="O153" s="78">
        <v>0</v>
      </c>
      <c r="P153" s="77">
        <f t="shared" si="856"/>
        <v>0</v>
      </c>
      <c r="Q153" s="104">
        <v>0</v>
      </c>
      <c r="R153" s="77">
        <f t="shared" si="857"/>
        <v>0</v>
      </c>
      <c r="S153" s="104">
        <v>0</v>
      </c>
      <c r="T153" s="77">
        <f t="shared" si="858"/>
        <v>0</v>
      </c>
      <c r="U153" s="104">
        <v>0</v>
      </c>
      <c r="V153" s="77">
        <f t="shared" si="844"/>
        <v>0</v>
      </c>
      <c r="W153" s="104">
        <v>0</v>
      </c>
      <c r="X153" s="77">
        <f t="shared" si="845"/>
        <v>0</v>
      </c>
      <c r="Y153" s="104">
        <v>0</v>
      </c>
      <c r="Z153" s="77">
        <f t="shared" si="859"/>
        <v>0</v>
      </c>
      <c r="AA153" s="104">
        <v>0</v>
      </c>
      <c r="AB153" s="77">
        <f t="shared" si="860"/>
        <v>0</v>
      </c>
      <c r="AC153" s="5"/>
      <c r="AD153" s="66">
        <f t="shared" si="890"/>
        <v>151</v>
      </c>
      <c r="AE153" s="78">
        <v>62032.8606</v>
      </c>
      <c r="AF153" s="104">
        <v>2060.8000000000002</v>
      </c>
      <c r="AG153" s="78">
        <v>448</v>
      </c>
      <c r="AH153" s="61">
        <f t="shared" si="861"/>
        <v>0.69699999999999995</v>
      </c>
      <c r="AI153" s="61">
        <f t="shared" si="862"/>
        <v>0.89600000000000013</v>
      </c>
      <c r="AJ153" s="61">
        <f t="shared" si="863"/>
        <v>0.89600000000000002</v>
      </c>
      <c r="AK153" s="77">
        <v>448.32400000000001</v>
      </c>
      <c r="AL153" s="104">
        <v>9198.4439999999995</v>
      </c>
      <c r="AM153" s="61">
        <f t="shared" si="846"/>
        <v>0.69400000000000006</v>
      </c>
      <c r="AN153" s="57">
        <f t="shared" si="847"/>
        <v>0.78999999999999992</v>
      </c>
      <c r="AO153" s="78">
        <v>37285.599999999999</v>
      </c>
      <c r="AP153" s="104">
        <v>19179.075000000001</v>
      </c>
      <c r="AQ153" s="61">
        <f t="shared" si="864"/>
        <v>0.83599999999999997</v>
      </c>
      <c r="AR153" s="57">
        <f t="shared" si="865"/>
        <v>0.81700000000000006</v>
      </c>
      <c r="AS153" s="45"/>
      <c r="AT153" s="78">
        <v>889.02</v>
      </c>
      <c r="AU153" s="77">
        <f t="shared" si="848"/>
        <v>0.36099989442310348</v>
      </c>
      <c r="AV153" s="78">
        <v>943.673</v>
      </c>
      <c r="AW153" s="77">
        <f t="shared" si="849"/>
        <v>0.58722650902302431</v>
      </c>
      <c r="AX153" s="78">
        <v>1121.4780000000001</v>
      </c>
      <c r="AY153" s="77">
        <f t="shared" si="866"/>
        <v>0.5784392407674851</v>
      </c>
      <c r="AZ153" s="45"/>
      <c r="BA153" s="75">
        <v>53641.616999999998</v>
      </c>
      <c r="BB153" s="77">
        <f t="shared" si="867"/>
        <v>0.77049180327868849</v>
      </c>
      <c r="BC153" s="45"/>
      <c r="BD153" s="105">
        <v>26489.846000000001</v>
      </c>
      <c r="BE153" s="45">
        <v>0</v>
      </c>
      <c r="BF153" s="106">
        <v>0</v>
      </c>
      <c r="BG153" s="107">
        <f t="shared" si="868"/>
        <v>0.8125719631901841</v>
      </c>
      <c r="BH153" s="108">
        <f t="shared" si="869"/>
        <v>0</v>
      </c>
      <c r="BI153" s="106">
        <v>0</v>
      </c>
      <c r="BJ153" s="106">
        <v>0</v>
      </c>
      <c r="BK153" s="106">
        <v>0</v>
      </c>
      <c r="BL153" s="106">
        <v>6224.9139999999998</v>
      </c>
      <c r="BM153" s="107">
        <f t="shared" si="870"/>
        <v>0.46185739723994657</v>
      </c>
      <c r="BN153" s="108">
        <f t="shared" si="871"/>
        <v>0</v>
      </c>
      <c r="BO153" s="45">
        <v>7668</v>
      </c>
      <c r="BP153" s="45">
        <v>0</v>
      </c>
      <c r="BQ153" s="45"/>
      <c r="BR153" s="109">
        <v>-700</v>
      </c>
      <c r="BS153" s="45">
        <f t="shared" si="872"/>
        <v>0</v>
      </c>
      <c r="BT153" s="45">
        <v>4485</v>
      </c>
      <c r="BU153" s="45">
        <f t="shared" si="872"/>
        <v>4485</v>
      </c>
      <c r="BV153" s="45">
        <v>0</v>
      </c>
      <c r="BW153" s="45">
        <f t="shared" ref="BW153:BY153" si="1011">IF(BV153&gt;0,BV153,0)</f>
        <v>0</v>
      </c>
      <c r="BX153" s="45">
        <v>-5000</v>
      </c>
      <c r="BY153" s="45">
        <f t="shared" si="1011"/>
        <v>0</v>
      </c>
      <c r="BZ153" s="45">
        <v>-5300</v>
      </c>
      <c r="CA153" s="45">
        <f t="shared" ref="CA153:CC153" si="1012">IF(BZ153&gt;0,BZ153,0)</f>
        <v>0</v>
      </c>
      <c r="CB153" s="45">
        <v>-4000</v>
      </c>
      <c r="CC153" s="45">
        <f t="shared" si="1012"/>
        <v>0</v>
      </c>
      <c r="CD153" s="45">
        <v>-4800</v>
      </c>
      <c r="CE153" s="45">
        <f t="shared" ref="CE153:CG153" si="1013">IF(CD153&gt;0,CD153,0)</f>
        <v>0</v>
      </c>
      <c r="CF153" s="45">
        <v>24177.85301649</v>
      </c>
      <c r="CG153" s="45">
        <f t="shared" si="1013"/>
        <v>24177.85301649</v>
      </c>
      <c r="CH153" s="107">
        <f t="shared" si="876"/>
        <v>28662.85301649</v>
      </c>
      <c r="CI153" s="45"/>
      <c r="CJ153" s="109">
        <v>-700</v>
      </c>
      <c r="CK153" s="45">
        <f t="shared" si="877"/>
        <v>700</v>
      </c>
      <c r="CL153" s="45">
        <v>4485</v>
      </c>
      <c r="CM153" s="45">
        <f t="shared" si="877"/>
        <v>0</v>
      </c>
      <c r="CN153" s="45">
        <v>0</v>
      </c>
      <c r="CO153" s="45">
        <f t="shared" ref="CO153:CQ153" si="1014">IF(CN153&lt;0,-CN153,0)</f>
        <v>0</v>
      </c>
      <c r="CP153" s="45">
        <v>-5000</v>
      </c>
      <c r="CQ153" s="45">
        <f t="shared" si="1014"/>
        <v>5000</v>
      </c>
      <c r="CR153" s="45">
        <v>-5300</v>
      </c>
      <c r="CS153" s="45">
        <f t="shared" ref="CS153:CU153" si="1015">IF(CR153&lt;0,-CR153,0)</f>
        <v>5300</v>
      </c>
      <c r="CT153" s="45">
        <v>-4000</v>
      </c>
      <c r="CU153" s="45">
        <f t="shared" si="1015"/>
        <v>4000</v>
      </c>
      <c r="CV153" s="45">
        <v>-4800</v>
      </c>
      <c r="CW153" s="45">
        <f t="shared" ref="CW153:CY153" si="1016">IF(CV153&lt;0,-CV153,0)</f>
        <v>4800</v>
      </c>
      <c r="CX153" s="45">
        <v>24177.85301649</v>
      </c>
      <c r="CY153" s="45">
        <f t="shared" si="1016"/>
        <v>0</v>
      </c>
      <c r="CZ153" s="107">
        <f t="shared" si="881"/>
        <v>19800</v>
      </c>
      <c r="DA153" s="45"/>
      <c r="DB153" s="110">
        <v>27697.37</v>
      </c>
      <c r="DC153" s="57">
        <v>1976.7650000000001</v>
      </c>
      <c r="DD153" s="61">
        <v>3746.0903539301999</v>
      </c>
      <c r="DE153" s="61">
        <f t="shared" si="882"/>
        <v>33420.225353930196</v>
      </c>
      <c r="DF153" s="110">
        <v>6996.299</v>
      </c>
      <c r="DG153" s="110">
        <v>50078.411</v>
      </c>
      <c r="DH153" s="57">
        <v>7850</v>
      </c>
      <c r="DI153" s="107">
        <f t="shared" si="883"/>
        <v>57928.411</v>
      </c>
      <c r="DJ153" s="45"/>
      <c r="DK153" s="110">
        <v>1222.2739999999999</v>
      </c>
      <c r="DL153" s="57">
        <v>10569.62924658717</v>
      </c>
      <c r="DM153" s="57">
        <f t="shared" si="884"/>
        <v>11791.90324658717</v>
      </c>
      <c r="DN153" s="61">
        <v>1455.3989030504879</v>
      </c>
      <c r="DO153" s="61">
        <v>2939.6344044654588</v>
      </c>
      <c r="DP153" s="61">
        <v>421.50121753000002</v>
      </c>
      <c r="DQ153" s="57">
        <f t="shared" si="885"/>
        <v>3361.1356219954587</v>
      </c>
      <c r="DR153" s="57">
        <v>163.31302247030331</v>
      </c>
      <c r="DS153" s="57">
        <v>163.31302247030331</v>
      </c>
      <c r="DT153" s="5"/>
      <c r="DU153" s="73">
        <v>0</v>
      </c>
      <c r="DV153" s="156">
        <v>6779.6610170000004</v>
      </c>
      <c r="DW153" s="155">
        <v>1447.7400829999999</v>
      </c>
      <c r="DX153" s="155">
        <v>0</v>
      </c>
      <c r="DY153" s="73">
        <v>0</v>
      </c>
      <c r="DZ153" s="156">
        <v>242.52197752999999</v>
      </c>
      <c r="EA153" s="73">
        <v>0</v>
      </c>
      <c r="EB153" s="156">
        <v>1271.1864410000001</v>
      </c>
      <c r="EC153" s="73">
        <v>0</v>
      </c>
      <c r="ED153" s="156">
        <v>847.5</v>
      </c>
      <c r="EE153" s="73">
        <v>0</v>
      </c>
      <c r="EF153" s="156">
        <v>7397.5988710000001</v>
      </c>
      <c r="EG153" s="73">
        <v>0</v>
      </c>
      <c r="EH153" s="156">
        <v>6779.6610170000004</v>
      </c>
      <c r="EI153" s="159">
        <v>242.52197752999999</v>
      </c>
      <c r="EJ153" s="162">
        <v>847.5</v>
      </c>
      <c r="EK153" s="165">
        <v>735.83500000000004</v>
      </c>
      <c r="EL153" s="159">
        <v>421.50121753000002</v>
      </c>
      <c r="EM153" s="159">
        <f t="shared" si="886"/>
        <v>10964.025395000001</v>
      </c>
      <c r="EN153" s="159">
        <f t="shared" si="887"/>
        <v>0</v>
      </c>
      <c r="EP153" s="2">
        <v>21931.767449999999</v>
      </c>
      <c r="EQ153" s="5">
        <f t="shared" si="888"/>
        <v>0.8929999999999999</v>
      </c>
    </row>
    <row r="154" spans="13:147" x14ac:dyDescent="0.35">
      <c r="M154" s="5"/>
      <c r="N154" s="66">
        <f t="shared" si="889"/>
        <v>152</v>
      </c>
      <c r="O154" s="78">
        <v>0</v>
      </c>
      <c r="P154" s="77">
        <f t="shared" si="856"/>
        <v>0</v>
      </c>
      <c r="Q154" s="104">
        <v>0</v>
      </c>
      <c r="R154" s="77">
        <f t="shared" si="857"/>
        <v>0</v>
      </c>
      <c r="S154" s="104">
        <v>0</v>
      </c>
      <c r="T154" s="77">
        <f t="shared" si="858"/>
        <v>0</v>
      </c>
      <c r="U154" s="104">
        <v>0</v>
      </c>
      <c r="V154" s="77">
        <f t="shared" si="844"/>
        <v>0</v>
      </c>
      <c r="W154" s="104">
        <v>0</v>
      </c>
      <c r="X154" s="77">
        <f t="shared" si="845"/>
        <v>0</v>
      </c>
      <c r="Y154" s="104">
        <v>0</v>
      </c>
      <c r="Z154" s="77">
        <f t="shared" si="859"/>
        <v>0</v>
      </c>
      <c r="AA154" s="104">
        <v>0</v>
      </c>
      <c r="AB154" s="77">
        <f t="shared" si="860"/>
        <v>0</v>
      </c>
      <c r="AC154" s="5"/>
      <c r="AD154" s="66">
        <f t="shared" si="890"/>
        <v>152</v>
      </c>
      <c r="AE154" s="78">
        <v>59718.8658</v>
      </c>
      <c r="AF154" s="104">
        <v>2079.1999999999998</v>
      </c>
      <c r="AG154" s="78">
        <v>452</v>
      </c>
      <c r="AH154" s="61">
        <f t="shared" si="861"/>
        <v>0.67099999999999993</v>
      </c>
      <c r="AI154" s="61">
        <f t="shared" si="862"/>
        <v>0.90399999999999991</v>
      </c>
      <c r="AJ154" s="61">
        <f t="shared" si="863"/>
        <v>0.90400000000000003</v>
      </c>
      <c r="AK154" s="77">
        <v>436.05</v>
      </c>
      <c r="AL154" s="104">
        <v>9058.7207999999991</v>
      </c>
      <c r="AM154" s="61">
        <f t="shared" si="846"/>
        <v>0.67500000000000004</v>
      </c>
      <c r="AN154" s="57">
        <f t="shared" si="847"/>
        <v>0.77799999999999991</v>
      </c>
      <c r="AO154" s="78">
        <v>37687</v>
      </c>
      <c r="AP154" s="104">
        <v>18850.424999999999</v>
      </c>
      <c r="AQ154" s="61">
        <f t="shared" si="864"/>
        <v>0.84499999999999997</v>
      </c>
      <c r="AR154" s="57">
        <f t="shared" si="865"/>
        <v>0.80299999999999994</v>
      </c>
      <c r="AS154" s="45"/>
      <c r="AT154" s="78">
        <v>891.48299999999995</v>
      </c>
      <c r="AU154" s="77">
        <f t="shared" si="848"/>
        <v>0.36200003248519891</v>
      </c>
      <c r="AV154" s="78">
        <v>1016.37</v>
      </c>
      <c r="AW154" s="77">
        <f t="shared" si="849"/>
        <v>0.63246421904169259</v>
      </c>
      <c r="AX154" s="78">
        <v>1121.4780000000001</v>
      </c>
      <c r="AY154" s="77">
        <f t="shared" si="866"/>
        <v>0.5784392407674851</v>
      </c>
      <c r="AZ154" s="45"/>
      <c r="BA154" s="75">
        <v>53641.616999999998</v>
      </c>
      <c r="BB154" s="77">
        <f t="shared" si="867"/>
        <v>0.77049180327868849</v>
      </c>
      <c r="BC154" s="45"/>
      <c r="BD154" s="105">
        <v>25487.447</v>
      </c>
      <c r="BE154" s="45">
        <v>0</v>
      </c>
      <c r="BF154" s="106">
        <v>0</v>
      </c>
      <c r="BG154" s="107">
        <f t="shared" si="868"/>
        <v>0.78182352760736196</v>
      </c>
      <c r="BH154" s="108">
        <f t="shared" si="869"/>
        <v>0</v>
      </c>
      <c r="BI154" s="106">
        <v>0</v>
      </c>
      <c r="BJ154" s="106">
        <v>0</v>
      </c>
      <c r="BK154" s="106">
        <v>0</v>
      </c>
      <c r="BL154" s="106">
        <v>6055.6409999999996</v>
      </c>
      <c r="BM154" s="107">
        <f t="shared" si="870"/>
        <v>0.44929818964238016</v>
      </c>
      <c r="BN154" s="108">
        <f t="shared" si="871"/>
        <v>0</v>
      </c>
      <c r="BO154" s="45">
        <v>7668</v>
      </c>
      <c r="BP154" s="45">
        <v>0</v>
      </c>
      <c r="BQ154" s="45"/>
      <c r="BR154" s="109">
        <v>-700</v>
      </c>
      <c r="BS154" s="45">
        <f t="shared" si="872"/>
        <v>0</v>
      </c>
      <c r="BT154" s="45">
        <v>4485</v>
      </c>
      <c r="BU154" s="45">
        <f t="shared" si="872"/>
        <v>4485</v>
      </c>
      <c r="BV154" s="45">
        <v>0</v>
      </c>
      <c r="BW154" s="45">
        <f t="shared" ref="BW154:BY154" si="1017">IF(BV154&gt;0,BV154,0)</f>
        <v>0</v>
      </c>
      <c r="BX154" s="45">
        <v>-5000</v>
      </c>
      <c r="BY154" s="45">
        <f t="shared" si="1017"/>
        <v>0</v>
      </c>
      <c r="BZ154" s="45">
        <v>-5300</v>
      </c>
      <c r="CA154" s="45">
        <f t="shared" ref="CA154:CC154" si="1018">IF(BZ154&gt;0,BZ154,0)</f>
        <v>0</v>
      </c>
      <c r="CB154" s="45">
        <v>-4000</v>
      </c>
      <c r="CC154" s="45">
        <f t="shared" si="1018"/>
        <v>0</v>
      </c>
      <c r="CD154" s="45">
        <v>-4800</v>
      </c>
      <c r="CE154" s="45">
        <f t="shared" ref="CE154:CG154" si="1019">IF(CD154&gt;0,CD154,0)</f>
        <v>0</v>
      </c>
      <c r="CF154" s="45">
        <v>18549.629253560001</v>
      </c>
      <c r="CG154" s="45">
        <f t="shared" si="1019"/>
        <v>18549.629253560001</v>
      </c>
      <c r="CH154" s="107">
        <f t="shared" si="876"/>
        <v>23034.629253560001</v>
      </c>
      <c r="CI154" s="45"/>
      <c r="CJ154" s="109">
        <v>-700</v>
      </c>
      <c r="CK154" s="45">
        <f t="shared" si="877"/>
        <v>700</v>
      </c>
      <c r="CL154" s="45">
        <v>4485</v>
      </c>
      <c r="CM154" s="45">
        <f t="shared" si="877"/>
        <v>0</v>
      </c>
      <c r="CN154" s="45">
        <v>0</v>
      </c>
      <c r="CO154" s="45">
        <f t="shared" ref="CO154:CQ154" si="1020">IF(CN154&lt;0,-CN154,0)</f>
        <v>0</v>
      </c>
      <c r="CP154" s="45">
        <v>-5000</v>
      </c>
      <c r="CQ154" s="45">
        <f t="shared" si="1020"/>
        <v>5000</v>
      </c>
      <c r="CR154" s="45">
        <v>-5300</v>
      </c>
      <c r="CS154" s="45">
        <f t="shared" ref="CS154:CU154" si="1021">IF(CR154&lt;0,-CR154,0)</f>
        <v>5300</v>
      </c>
      <c r="CT154" s="45">
        <v>-4000</v>
      </c>
      <c r="CU154" s="45">
        <f t="shared" si="1021"/>
        <v>4000</v>
      </c>
      <c r="CV154" s="45">
        <v>-4800</v>
      </c>
      <c r="CW154" s="45">
        <f t="shared" ref="CW154:CY154" si="1022">IF(CV154&lt;0,-CV154,0)</f>
        <v>4800</v>
      </c>
      <c r="CX154" s="45">
        <v>18549.629253560001</v>
      </c>
      <c r="CY154" s="45">
        <f t="shared" si="1022"/>
        <v>0</v>
      </c>
      <c r="CZ154" s="107">
        <f t="shared" si="881"/>
        <v>19800</v>
      </c>
      <c r="DA154" s="45"/>
      <c r="DB154" s="110">
        <v>29304.958999999999</v>
      </c>
      <c r="DC154" s="57">
        <v>2014.7550000000001</v>
      </c>
      <c r="DD154" s="61">
        <v>4164.2738159463997</v>
      </c>
      <c r="DE154" s="61">
        <f t="shared" si="882"/>
        <v>35483.987815946399</v>
      </c>
      <c r="DF154" s="110">
        <v>6963.8149999999996</v>
      </c>
      <c r="DG154" s="110">
        <v>49789.411</v>
      </c>
      <c r="DH154" s="57">
        <v>8040</v>
      </c>
      <c r="DI154" s="107">
        <f t="shared" si="883"/>
        <v>57829.411</v>
      </c>
      <c r="DJ154" s="45"/>
      <c r="DK154" s="110">
        <v>1218.1959999999999</v>
      </c>
      <c r="DL154" s="57">
        <v>10553.7831128091</v>
      </c>
      <c r="DM154" s="57">
        <f t="shared" si="884"/>
        <v>11771.9791128091</v>
      </c>
      <c r="DN154" s="61">
        <v>1455.3989030504879</v>
      </c>
      <c r="DO154" s="61">
        <v>2931.2847992178222</v>
      </c>
      <c r="DP154" s="61">
        <v>429.85082277999999</v>
      </c>
      <c r="DQ154" s="57">
        <f t="shared" si="885"/>
        <v>3361.135621997822</v>
      </c>
      <c r="DR154" s="57">
        <v>162.84915551210119</v>
      </c>
      <c r="DS154" s="57">
        <v>162.84915551210119</v>
      </c>
      <c r="DT154" s="5"/>
      <c r="DU154" s="73">
        <v>0</v>
      </c>
      <c r="DV154" s="156">
        <v>6779.6610170000004</v>
      </c>
      <c r="DW154" s="155">
        <v>1447.7400829999999</v>
      </c>
      <c r="DX154" s="155">
        <v>0</v>
      </c>
      <c r="DY154" s="73">
        <v>0</v>
      </c>
      <c r="DZ154" s="156">
        <v>242.98584449000001</v>
      </c>
      <c r="EA154" s="73">
        <v>0</v>
      </c>
      <c r="EB154" s="156">
        <v>1271.1864410000001</v>
      </c>
      <c r="EC154" s="73">
        <v>0</v>
      </c>
      <c r="ED154" s="156">
        <v>847.5</v>
      </c>
      <c r="EE154" s="73">
        <v>0</v>
      </c>
      <c r="EF154" s="156">
        <v>7397.5988710000001</v>
      </c>
      <c r="EG154" s="73">
        <v>0</v>
      </c>
      <c r="EH154" s="156">
        <v>6779.6610170000004</v>
      </c>
      <c r="EI154" s="159">
        <v>242.98584449000001</v>
      </c>
      <c r="EJ154" s="162">
        <v>847.5</v>
      </c>
      <c r="EK154" s="165">
        <v>735.83500000000004</v>
      </c>
      <c r="EL154" s="159">
        <v>429.85082277999999</v>
      </c>
      <c r="EM154" s="159">
        <f t="shared" si="886"/>
        <v>10964.025395000001</v>
      </c>
      <c r="EN154" s="159">
        <f t="shared" si="887"/>
        <v>0</v>
      </c>
      <c r="EP154" s="2">
        <v>21931.767449999999</v>
      </c>
      <c r="EQ154" s="5">
        <f t="shared" si="888"/>
        <v>0.8929999999999999</v>
      </c>
    </row>
    <row r="155" spans="13:147" x14ac:dyDescent="0.35">
      <c r="M155" s="5"/>
      <c r="N155" s="66">
        <f t="shared" si="889"/>
        <v>153</v>
      </c>
      <c r="O155" s="78">
        <v>0</v>
      </c>
      <c r="P155" s="77">
        <f t="shared" si="856"/>
        <v>0</v>
      </c>
      <c r="Q155" s="104">
        <v>0</v>
      </c>
      <c r="R155" s="77">
        <f t="shared" si="857"/>
        <v>0</v>
      </c>
      <c r="S155" s="104">
        <v>0</v>
      </c>
      <c r="T155" s="77">
        <f t="shared" si="858"/>
        <v>0</v>
      </c>
      <c r="U155" s="104">
        <v>0</v>
      </c>
      <c r="V155" s="77">
        <f t="shared" si="844"/>
        <v>0</v>
      </c>
      <c r="W155" s="104">
        <v>0</v>
      </c>
      <c r="X155" s="77">
        <f t="shared" si="845"/>
        <v>0</v>
      </c>
      <c r="Y155" s="104">
        <v>0</v>
      </c>
      <c r="Z155" s="77">
        <f t="shared" si="859"/>
        <v>0</v>
      </c>
      <c r="AA155" s="104">
        <v>0</v>
      </c>
      <c r="AB155" s="77">
        <f t="shared" si="860"/>
        <v>0</v>
      </c>
      <c r="AC155" s="5"/>
      <c r="AD155" s="66">
        <f t="shared" si="890"/>
        <v>153</v>
      </c>
      <c r="AE155" s="78">
        <v>56959.872000000003</v>
      </c>
      <c r="AF155" s="104">
        <v>2097.6</v>
      </c>
      <c r="AG155" s="78">
        <v>456</v>
      </c>
      <c r="AH155" s="61">
        <f t="shared" si="861"/>
        <v>0.64</v>
      </c>
      <c r="AI155" s="61">
        <f t="shared" si="862"/>
        <v>0.91199999999999992</v>
      </c>
      <c r="AJ155" s="61">
        <f t="shared" si="863"/>
        <v>0.91200000000000003</v>
      </c>
      <c r="AK155" s="77">
        <v>390.83</v>
      </c>
      <c r="AL155" s="104">
        <v>8383.3919999999998</v>
      </c>
      <c r="AM155" s="61">
        <f t="shared" si="846"/>
        <v>0.60499999999999998</v>
      </c>
      <c r="AN155" s="57">
        <f t="shared" si="847"/>
        <v>0.72</v>
      </c>
      <c r="AO155" s="78">
        <v>37820.800000000003</v>
      </c>
      <c r="AP155" s="104">
        <v>18897.375</v>
      </c>
      <c r="AQ155" s="61">
        <f t="shared" si="864"/>
        <v>0.84800000000000009</v>
      </c>
      <c r="AR155" s="57">
        <f t="shared" si="865"/>
        <v>0.80500000000000005</v>
      </c>
      <c r="AS155" s="45"/>
      <c r="AT155" s="78">
        <v>891.48299999999995</v>
      </c>
      <c r="AU155" s="77">
        <f t="shared" si="848"/>
        <v>0.36200003248519891</v>
      </c>
      <c r="AV155" s="78">
        <v>1031.7850000000001</v>
      </c>
      <c r="AW155" s="77">
        <f t="shared" si="849"/>
        <v>0.64205662725575607</v>
      </c>
      <c r="AX155" s="78">
        <v>1121.4780000000001</v>
      </c>
      <c r="AY155" s="77">
        <f t="shared" si="866"/>
        <v>0.5784392407674851</v>
      </c>
      <c r="AZ155" s="45"/>
      <c r="BA155" s="75">
        <v>53641.616999999998</v>
      </c>
      <c r="BB155" s="77">
        <f t="shared" si="867"/>
        <v>0.77049180327868849</v>
      </c>
      <c r="BC155" s="45"/>
      <c r="BD155" s="105">
        <v>24359.144</v>
      </c>
      <c r="BE155" s="45">
        <v>0</v>
      </c>
      <c r="BF155" s="106">
        <v>0</v>
      </c>
      <c r="BG155" s="107">
        <f t="shared" si="868"/>
        <v>0.74721300613496933</v>
      </c>
      <c r="BH155" s="108">
        <f t="shared" si="869"/>
        <v>0</v>
      </c>
      <c r="BI155" s="106">
        <v>0</v>
      </c>
      <c r="BJ155" s="106">
        <v>0</v>
      </c>
      <c r="BK155" s="106">
        <v>0</v>
      </c>
      <c r="BL155" s="106">
        <v>5428.94</v>
      </c>
      <c r="BM155" s="107">
        <f t="shared" si="870"/>
        <v>0.40280011871197502</v>
      </c>
      <c r="BN155" s="108">
        <f t="shared" si="871"/>
        <v>0</v>
      </c>
      <c r="BO155" s="45">
        <v>7668</v>
      </c>
      <c r="BP155" s="45">
        <v>0</v>
      </c>
      <c r="BQ155" s="45"/>
      <c r="BR155" s="109">
        <v>-700</v>
      </c>
      <c r="BS155" s="45">
        <f t="shared" si="872"/>
        <v>0</v>
      </c>
      <c r="BT155" s="45">
        <v>4485</v>
      </c>
      <c r="BU155" s="45">
        <f t="shared" si="872"/>
        <v>4485</v>
      </c>
      <c r="BV155" s="45">
        <v>0</v>
      </c>
      <c r="BW155" s="45">
        <f t="shared" ref="BW155:BY155" si="1023">IF(BV155&gt;0,BV155,0)</f>
        <v>0</v>
      </c>
      <c r="BX155" s="45">
        <v>-5000</v>
      </c>
      <c r="BY155" s="45">
        <f t="shared" si="1023"/>
        <v>0</v>
      </c>
      <c r="BZ155" s="45">
        <v>-5300</v>
      </c>
      <c r="CA155" s="45">
        <f t="shared" ref="CA155:CC155" si="1024">IF(BZ155&gt;0,BZ155,0)</f>
        <v>0</v>
      </c>
      <c r="CB155" s="45">
        <v>-4000</v>
      </c>
      <c r="CC155" s="45">
        <f t="shared" si="1024"/>
        <v>0</v>
      </c>
      <c r="CD155" s="45">
        <v>-4800</v>
      </c>
      <c r="CE155" s="45">
        <f t="shared" ref="CE155:CG155" si="1025">IF(CD155&gt;0,CD155,0)</f>
        <v>0</v>
      </c>
      <c r="CF155" s="45">
        <v>20200.097486499999</v>
      </c>
      <c r="CG155" s="45">
        <f t="shared" si="1025"/>
        <v>20200.097486499999</v>
      </c>
      <c r="CH155" s="107">
        <f t="shared" si="876"/>
        <v>24685.097486499999</v>
      </c>
      <c r="CI155" s="45"/>
      <c r="CJ155" s="109">
        <v>-700</v>
      </c>
      <c r="CK155" s="45">
        <f t="shared" si="877"/>
        <v>700</v>
      </c>
      <c r="CL155" s="45">
        <v>4485</v>
      </c>
      <c r="CM155" s="45">
        <f t="shared" si="877"/>
        <v>0</v>
      </c>
      <c r="CN155" s="45">
        <v>0</v>
      </c>
      <c r="CO155" s="45">
        <f t="shared" ref="CO155:CQ155" si="1026">IF(CN155&lt;0,-CN155,0)</f>
        <v>0</v>
      </c>
      <c r="CP155" s="45">
        <v>-5000</v>
      </c>
      <c r="CQ155" s="45">
        <f t="shared" si="1026"/>
        <v>5000</v>
      </c>
      <c r="CR155" s="45">
        <v>-5300</v>
      </c>
      <c r="CS155" s="45">
        <f t="shared" ref="CS155:CU155" si="1027">IF(CR155&lt;0,-CR155,0)</f>
        <v>5300</v>
      </c>
      <c r="CT155" s="45">
        <v>-4000</v>
      </c>
      <c r="CU155" s="45">
        <f t="shared" si="1027"/>
        <v>4000</v>
      </c>
      <c r="CV155" s="45">
        <v>-4800</v>
      </c>
      <c r="CW155" s="45">
        <f t="shared" ref="CW155:CY155" si="1028">IF(CV155&lt;0,-CV155,0)</f>
        <v>4800</v>
      </c>
      <c r="CX155" s="45">
        <v>20200.097486499999</v>
      </c>
      <c r="CY155" s="45">
        <f t="shared" si="1028"/>
        <v>0</v>
      </c>
      <c r="CZ155" s="107">
        <f t="shared" si="881"/>
        <v>19800</v>
      </c>
      <c r="DA155" s="45"/>
      <c r="DB155" s="110">
        <v>31600.330999999998</v>
      </c>
      <c r="DC155" s="57">
        <v>2035.595</v>
      </c>
      <c r="DD155" s="61">
        <v>4005.3451847143001</v>
      </c>
      <c r="DE155" s="61">
        <f t="shared" si="882"/>
        <v>37641.2711847143</v>
      </c>
      <c r="DF155" s="110">
        <v>7009.6719999999996</v>
      </c>
      <c r="DG155" s="110">
        <v>49762.411</v>
      </c>
      <c r="DH155" s="57">
        <v>8874</v>
      </c>
      <c r="DI155" s="107">
        <f t="shared" si="883"/>
        <v>58636.411</v>
      </c>
      <c r="DJ155" s="45"/>
      <c r="DK155" s="110">
        <v>1137.6869999999999</v>
      </c>
      <c r="DL155" s="57">
        <v>10553.7831128091</v>
      </c>
      <c r="DM155" s="57">
        <f t="shared" si="884"/>
        <v>11691.4701128091</v>
      </c>
      <c r="DN155" s="61">
        <v>1455.3989030504879</v>
      </c>
      <c r="DO155" s="61">
        <v>2931.2847992178222</v>
      </c>
      <c r="DP155" s="61">
        <v>429.85082277999999</v>
      </c>
      <c r="DQ155" s="57">
        <f t="shared" si="885"/>
        <v>3361.135621997822</v>
      </c>
      <c r="DR155" s="57">
        <v>162.84915551210119</v>
      </c>
      <c r="DS155" s="57">
        <v>162.84915551210119</v>
      </c>
      <c r="DT155" s="5"/>
      <c r="DU155" s="73">
        <v>0</v>
      </c>
      <c r="DV155" s="156">
        <v>6779.6610170000004</v>
      </c>
      <c r="DW155" s="155">
        <v>1447.7400829999999</v>
      </c>
      <c r="DX155" s="155">
        <v>0</v>
      </c>
      <c r="DY155" s="73">
        <v>0</v>
      </c>
      <c r="DZ155" s="156">
        <v>242.98584449000001</v>
      </c>
      <c r="EA155" s="73">
        <v>0</v>
      </c>
      <c r="EB155" s="156">
        <v>1271.1864410000001</v>
      </c>
      <c r="EC155" s="73">
        <v>0</v>
      </c>
      <c r="ED155" s="156">
        <v>847.5</v>
      </c>
      <c r="EE155" s="73">
        <v>0</v>
      </c>
      <c r="EF155" s="156">
        <v>7397.5988710000001</v>
      </c>
      <c r="EG155" s="73">
        <v>0</v>
      </c>
      <c r="EH155" s="156">
        <v>6779.6610170000004</v>
      </c>
      <c r="EI155" s="159">
        <v>242.98584449000001</v>
      </c>
      <c r="EJ155" s="162">
        <v>847.5</v>
      </c>
      <c r="EK155" s="165">
        <v>735.83500000000004</v>
      </c>
      <c r="EL155" s="159">
        <v>429.85082277999999</v>
      </c>
      <c r="EM155" s="159">
        <f t="shared" si="886"/>
        <v>10964.025395000001</v>
      </c>
      <c r="EN155" s="159">
        <f t="shared" si="887"/>
        <v>0</v>
      </c>
      <c r="EP155" s="2">
        <v>21465.134099999999</v>
      </c>
      <c r="EQ155" s="5">
        <f t="shared" si="888"/>
        <v>0.87399999999999989</v>
      </c>
    </row>
    <row r="156" spans="13:147" x14ac:dyDescent="0.35">
      <c r="M156" s="5"/>
      <c r="N156" s="66">
        <f t="shared" si="889"/>
        <v>154</v>
      </c>
      <c r="O156" s="78">
        <v>2490</v>
      </c>
      <c r="P156" s="77">
        <f t="shared" si="856"/>
        <v>0.03</v>
      </c>
      <c r="Q156" s="104">
        <v>0</v>
      </c>
      <c r="R156" s="77">
        <f t="shared" si="857"/>
        <v>0</v>
      </c>
      <c r="S156" s="104">
        <v>1110</v>
      </c>
      <c r="T156" s="77">
        <f t="shared" si="858"/>
        <v>3.6999999999999998E-2</v>
      </c>
      <c r="U156" s="104">
        <v>172.5384</v>
      </c>
      <c r="V156" s="77">
        <f t="shared" si="844"/>
        <v>1.1999999999999999E-2</v>
      </c>
      <c r="W156" s="104">
        <v>115.9188</v>
      </c>
      <c r="X156" s="77">
        <f t="shared" si="845"/>
        <v>1.2E-2</v>
      </c>
      <c r="Y156" s="104">
        <v>1079.82</v>
      </c>
      <c r="Z156" s="77">
        <f t="shared" si="859"/>
        <v>2.0999999999999998E-2</v>
      </c>
      <c r="AA156" s="104">
        <v>972.73680000000002</v>
      </c>
      <c r="AB156" s="77">
        <f t="shared" si="860"/>
        <v>2.0999999999999998E-2</v>
      </c>
      <c r="AC156" s="5"/>
      <c r="AD156" s="66">
        <f t="shared" si="890"/>
        <v>154</v>
      </c>
      <c r="AE156" s="78">
        <v>53933.878799999999</v>
      </c>
      <c r="AF156" s="104">
        <v>2099.9</v>
      </c>
      <c r="AG156" s="78">
        <v>456.5</v>
      </c>
      <c r="AH156" s="61">
        <f t="shared" si="861"/>
        <v>0.60599999999999998</v>
      </c>
      <c r="AI156" s="61">
        <f t="shared" si="862"/>
        <v>0.91300000000000003</v>
      </c>
      <c r="AJ156" s="61">
        <f t="shared" si="863"/>
        <v>0.91300000000000003</v>
      </c>
      <c r="AK156" s="77">
        <v>341.08800000000002</v>
      </c>
      <c r="AL156" s="104">
        <v>7742.9939999999997</v>
      </c>
      <c r="AM156" s="61">
        <f t="shared" si="846"/>
        <v>0.52800000000000002</v>
      </c>
      <c r="AN156" s="57">
        <f t="shared" si="847"/>
        <v>0.66499999999999992</v>
      </c>
      <c r="AO156" s="78">
        <v>37151.800000000003</v>
      </c>
      <c r="AP156" s="104">
        <v>19085.174999999999</v>
      </c>
      <c r="AQ156" s="61">
        <f t="shared" si="864"/>
        <v>0.83300000000000007</v>
      </c>
      <c r="AR156" s="57">
        <f t="shared" si="865"/>
        <v>0.81299999999999994</v>
      </c>
      <c r="AS156" s="45"/>
      <c r="AT156" s="78">
        <v>906.25900000000001</v>
      </c>
      <c r="AU156" s="77">
        <f t="shared" si="848"/>
        <v>0.3680000487277984</v>
      </c>
      <c r="AV156" s="78">
        <v>0</v>
      </c>
      <c r="AW156" s="77">
        <f t="shared" si="849"/>
        <v>0</v>
      </c>
      <c r="AX156" s="78">
        <v>1121.4780000000001</v>
      </c>
      <c r="AY156" s="77">
        <f t="shared" si="866"/>
        <v>0.5784392407674851</v>
      </c>
      <c r="AZ156" s="45"/>
      <c r="BA156" s="75">
        <v>53641.616999999998</v>
      </c>
      <c r="BB156" s="77">
        <f t="shared" si="867"/>
        <v>0.77049180327868849</v>
      </c>
      <c r="BC156" s="45"/>
      <c r="BD156" s="105">
        <v>24295.387999999999</v>
      </c>
      <c r="BE156" s="45">
        <v>0</v>
      </c>
      <c r="BF156" s="106">
        <v>0</v>
      </c>
      <c r="BG156" s="107">
        <f t="shared" si="868"/>
        <v>0.74525730061349693</v>
      </c>
      <c r="BH156" s="108">
        <f t="shared" si="869"/>
        <v>0</v>
      </c>
      <c r="BI156" s="106">
        <v>0</v>
      </c>
      <c r="BJ156" s="106">
        <v>0</v>
      </c>
      <c r="BK156" s="106">
        <v>0</v>
      </c>
      <c r="BL156" s="106">
        <v>4891.6629999999996</v>
      </c>
      <c r="BM156" s="107">
        <f t="shared" si="870"/>
        <v>0.36293686006825937</v>
      </c>
      <c r="BN156" s="108">
        <f t="shared" si="871"/>
        <v>0</v>
      </c>
      <c r="BO156" s="45">
        <v>7668</v>
      </c>
      <c r="BP156" s="45">
        <v>0</v>
      </c>
      <c r="BQ156" s="45"/>
      <c r="BR156" s="109">
        <v>-700</v>
      </c>
      <c r="BS156" s="45">
        <f t="shared" si="872"/>
        <v>0</v>
      </c>
      <c r="BT156" s="45">
        <v>4485</v>
      </c>
      <c r="BU156" s="45">
        <f t="shared" si="872"/>
        <v>4485</v>
      </c>
      <c r="BV156" s="45">
        <v>0</v>
      </c>
      <c r="BW156" s="45">
        <f t="shared" ref="BW156:BY156" si="1029">IF(BV156&gt;0,BV156,0)</f>
        <v>0</v>
      </c>
      <c r="BX156" s="45">
        <v>-5000</v>
      </c>
      <c r="BY156" s="45">
        <f t="shared" si="1029"/>
        <v>0</v>
      </c>
      <c r="BZ156" s="45">
        <v>-5300</v>
      </c>
      <c r="CA156" s="45">
        <f t="shared" ref="CA156:CC156" si="1030">IF(BZ156&gt;0,BZ156,0)</f>
        <v>0</v>
      </c>
      <c r="CB156" s="45">
        <v>-4000</v>
      </c>
      <c r="CC156" s="45">
        <f t="shared" si="1030"/>
        <v>0</v>
      </c>
      <c r="CD156" s="45">
        <v>-4800</v>
      </c>
      <c r="CE156" s="45">
        <f t="shared" ref="CE156:CG156" si="1031">IF(CD156&gt;0,CD156,0)</f>
        <v>0</v>
      </c>
      <c r="CF156" s="45">
        <v>20381.173239299998</v>
      </c>
      <c r="CG156" s="45">
        <f t="shared" si="1031"/>
        <v>20381.173239299998</v>
      </c>
      <c r="CH156" s="107">
        <f t="shared" si="876"/>
        <v>24866.173239299998</v>
      </c>
      <c r="CI156" s="45"/>
      <c r="CJ156" s="109">
        <v>-700</v>
      </c>
      <c r="CK156" s="45">
        <f t="shared" si="877"/>
        <v>700</v>
      </c>
      <c r="CL156" s="45">
        <v>4485</v>
      </c>
      <c r="CM156" s="45">
        <f t="shared" si="877"/>
        <v>0</v>
      </c>
      <c r="CN156" s="45">
        <v>0</v>
      </c>
      <c r="CO156" s="45">
        <f t="shared" ref="CO156:CQ156" si="1032">IF(CN156&lt;0,-CN156,0)</f>
        <v>0</v>
      </c>
      <c r="CP156" s="45">
        <v>-5000</v>
      </c>
      <c r="CQ156" s="45">
        <f t="shared" si="1032"/>
        <v>5000</v>
      </c>
      <c r="CR156" s="45">
        <v>-5300</v>
      </c>
      <c r="CS156" s="45">
        <f t="shared" ref="CS156:CU156" si="1033">IF(CR156&lt;0,-CR156,0)</f>
        <v>5300</v>
      </c>
      <c r="CT156" s="45">
        <v>-4000</v>
      </c>
      <c r="CU156" s="45">
        <f t="shared" si="1033"/>
        <v>4000</v>
      </c>
      <c r="CV156" s="45">
        <v>-4800</v>
      </c>
      <c r="CW156" s="45">
        <f t="shared" ref="CW156:CY156" si="1034">IF(CV156&lt;0,-CV156,0)</f>
        <v>4800</v>
      </c>
      <c r="CX156" s="45">
        <v>20381.173239299998</v>
      </c>
      <c r="CY156" s="45">
        <f t="shared" si="1034"/>
        <v>0</v>
      </c>
      <c r="CZ156" s="107">
        <f t="shared" si="881"/>
        <v>19800</v>
      </c>
      <c r="DA156" s="45"/>
      <c r="DB156" s="110">
        <v>34110.508000000002</v>
      </c>
      <c r="DC156" s="57">
        <v>1913.068</v>
      </c>
      <c r="DD156" s="61">
        <v>2484.8285621874002</v>
      </c>
      <c r="DE156" s="61">
        <f t="shared" si="882"/>
        <v>38508.404562187403</v>
      </c>
      <c r="DF156" s="110">
        <v>7404.299</v>
      </c>
      <c r="DG156" s="110">
        <v>50267.411</v>
      </c>
      <c r="DH156" s="57">
        <v>9802</v>
      </c>
      <c r="DI156" s="107">
        <f t="shared" si="883"/>
        <v>60069.411</v>
      </c>
      <c r="DJ156" s="45"/>
      <c r="DK156" s="110">
        <v>1060.5630000000001</v>
      </c>
      <c r="DL156" s="57">
        <v>10553.7831128091</v>
      </c>
      <c r="DM156" s="57">
        <f t="shared" si="884"/>
        <v>11614.3461128091</v>
      </c>
      <c r="DN156" s="61">
        <v>1455.3989030504879</v>
      </c>
      <c r="DO156" s="61">
        <v>2931.2847992178222</v>
      </c>
      <c r="DP156" s="61">
        <v>429.85082277999999</v>
      </c>
      <c r="DQ156" s="57">
        <f t="shared" si="885"/>
        <v>3361.135621997822</v>
      </c>
      <c r="DR156" s="57">
        <v>162.84915551210119</v>
      </c>
      <c r="DS156" s="57">
        <v>162.84915551210119</v>
      </c>
      <c r="DT156" s="5"/>
      <c r="DU156" s="73">
        <v>0</v>
      </c>
      <c r="DV156" s="156">
        <v>6779.6610170000004</v>
      </c>
      <c r="DW156" s="155">
        <v>1447.7400829999999</v>
      </c>
      <c r="DX156" s="155">
        <v>0</v>
      </c>
      <c r="DY156" s="73">
        <v>0</v>
      </c>
      <c r="DZ156" s="156">
        <v>242.98584449000001</v>
      </c>
      <c r="EA156" s="73">
        <v>0</v>
      </c>
      <c r="EB156" s="156">
        <v>1271.1864410000001</v>
      </c>
      <c r="EC156" s="73">
        <v>0</v>
      </c>
      <c r="ED156" s="156">
        <v>847.5</v>
      </c>
      <c r="EE156" s="73">
        <v>0</v>
      </c>
      <c r="EF156" s="156">
        <v>7397.5988710000001</v>
      </c>
      <c r="EG156" s="73">
        <v>0</v>
      </c>
      <c r="EH156" s="156">
        <v>6779.6610170000004</v>
      </c>
      <c r="EI156" s="159">
        <v>242.98584449000001</v>
      </c>
      <c r="EJ156" s="162">
        <v>847.5</v>
      </c>
      <c r="EK156" s="165">
        <v>735.83500000000004</v>
      </c>
      <c r="EL156" s="159">
        <v>429.85082277999999</v>
      </c>
      <c r="EM156" s="159">
        <f t="shared" si="886"/>
        <v>10964.025395000001</v>
      </c>
      <c r="EN156" s="159">
        <f t="shared" si="887"/>
        <v>0</v>
      </c>
      <c r="EP156" s="2">
        <v>21465.134099999999</v>
      </c>
      <c r="EQ156" s="5">
        <f t="shared" si="888"/>
        <v>0.87399999999999989</v>
      </c>
    </row>
    <row r="157" spans="13:147" x14ac:dyDescent="0.35">
      <c r="M157" s="5"/>
      <c r="N157" s="66">
        <f t="shared" si="889"/>
        <v>155</v>
      </c>
      <c r="O157" s="78">
        <v>6806</v>
      </c>
      <c r="P157" s="77">
        <f t="shared" si="856"/>
        <v>8.2000000000000003E-2</v>
      </c>
      <c r="Q157" s="104">
        <v>81.685000000000002</v>
      </c>
      <c r="R157" s="77">
        <f t="shared" si="857"/>
        <v>1.7000000000000001E-2</v>
      </c>
      <c r="S157" s="104">
        <v>3210</v>
      </c>
      <c r="T157" s="77">
        <f t="shared" si="858"/>
        <v>0.107</v>
      </c>
      <c r="U157" s="104">
        <v>704.53179999999998</v>
      </c>
      <c r="V157" s="77">
        <f t="shared" si="844"/>
        <v>4.8999999999999995E-2</v>
      </c>
      <c r="W157" s="104">
        <v>540.95439999999996</v>
      </c>
      <c r="X157" s="77">
        <f t="shared" si="845"/>
        <v>5.6000000000000001E-2</v>
      </c>
      <c r="Y157" s="104">
        <v>4267.8599999999997</v>
      </c>
      <c r="Z157" s="77">
        <f t="shared" si="859"/>
        <v>8.299999999999999E-2</v>
      </c>
      <c r="AA157" s="104">
        <v>3427.7392</v>
      </c>
      <c r="AB157" s="77">
        <f t="shared" si="860"/>
        <v>7.3999999999999996E-2</v>
      </c>
      <c r="AC157" s="5"/>
      <c r="AD157" s="66">
        <f t="shared" si="890"/>
        <v>155</v>
      </c>
      <c r="AE157" s="78">
        <v>53666.879399999998</v>
      </c>
      <c r="AF157" s="104">
        <v>2093</v>
      </c>
      <c r="AG157" s="78">
        <v>455</v>
      </c>
      <c r="AH157" s="61">
        <f t="shared" si="861"/>
        <v>0.60299999999999998</v>
      </c>
      <c r="AI157" s="61">
        <f t="shared" si="862"/>
        <v>0.91</v>
      </c>
      <c r="AJ157" s="61">
        <f t="shared" si="863"/>
        <v>0.91</v>
      </c>
      <c r="AK157" s="77">
        <v>288.11599999999999</v>
      </c>
      <c r="AL157" s="104">
        <v>7230.6755999999996</v>
      </c>
      <c r="AM157" s="61">
        <f t="shared" si="846"/>
        <v>0.44599999999999995</v>
      </c>
      <c r="AN157" s="57">
        <f t="shared" si="847"/>
        <v>0.621</v>
      </c>
      <c r="AO157" s="78">
        <v>36705.800000000003</v>
      </c>
      <c r="AP157" s="104">
        <v>19695.525000000001</v>
      </c>
      <c r="AQ157" s="61">
        <f t="shared" si="864"/>
        <v>0.82300000000000006</v>
      </c>
      <c r="AR157" s="57">
        <f t="shared" si="865"/>
        <v>0.83900000000000008</v>
      </c>
      <c r="AS157" s="45"/>
      <c r="AT157" s="78">
        <v>901.33399999999995</v>
      </c>
      <c r="AU157" s="77">
        <f t="shared" si="848"/>
        <v>0.36600017866859413</v>
      </c>
      <c r="AV157" s="78">
        <v>1033.3889999999999</v>
      </c>
      <c r="AW157" s="77">
        <f t="shared" si="849"/>
        <v>0.64305476042314869</v>
      </c>
      <c r="AX157" s="78">
        <v>1121.4780000000001</v>
      </c>
      <c r="AY157" s="77">
        <f t="shared" si="866"/>
        <v>0.5784392407674851</v>
      </c>
      <c r="AZ157" s="45"/>
      <c r="BA157" s="75">
        <v>53641.616999999998</v>
      </c>
      <c r="BB157" s="77">
        <f t="shared" si="867"/>
        <v>0.77049180327868849</v>
      </c>
      <c r="BC157" s="45"/>
      <c r="BD157" s="105">
        <v>26488.441999999999</v>
      </c>
      <c r="BE157" s="45">
        <v>0</v>
      </c>
      <c r="BF157" s="106">
        <v>0</v>
      </c>
      <c r="BG157" s="107">
        <f t="shared" si="868"/>
        <v>0.81252889570552145</v>
      </c>
      <c r="BH157" s="108">
        <f t="shared" si="869"/>
        <v>0</v>
      </c>
      <c r="BI157" s="106">
        <v>0</v>
      </c>
      <c r="BJ157" s="106">
        <v>0</v>
      </c>
      <c r="BK157" s="106">
        <v>0</v>
      </c>
      <c r="BL157" s="106">
        <v>4668.4679999999998</v>
      </c>
      <c r="BM157" s="107">
        <f t="shared" si="870"/>
        <v>0.34637691052084879</v>
      </c>
      <c r="BN157" s="108">
        <f t="shared" si="871"/>
        <v>0</v>
      </c>
      <c r="BO157" s="45">
        <v>7668</v>
      </c>
      <c r="BP157" s="45">
        <v>0</v>
      </c>
      <c r="BQ157" s="45"/>
      <c r="BR157" s="109">
        <v>-700</v>
      </c>
      <c r="BS157" s="45">
        <f t="shared" si="872"/>
        <v>0</v>
      </c>
      <c r="BT157" s="45">
        <v>4485</v>
      </c>
      <c r="BU157" s="45">
        <f t="shared" si="872"/>
        <v>4485</v>
      </c>
      <c r="BV157" s="45">
        <v>0</v>
      </c>
      <c r="BW157" s="45">
        <f t="shared" ref="BW157:BY157" si="1035">IF(BV157&gt;0,BV157,0)</f>
        <v>0</v>
      </c>
      <c r="BX157" s="45">
        <v>-5000</v>
      </c>
      <c r="BY157" s="45">
        <f t="shared" si="1035"/>
        <v>0</v>
      </c>
      <c r="BZ157" s="45">
        <v>-5300</v>
      </c>
      <c r="CA157" s="45">
        <f t="shared" ref="CA157:CC157" si="1036">IF(BZ157&gt;0,BZ157,0)</f>
        <v>0</v>
      </c>
      <c r="CB157" s="45">
        <v>-4000</v>
      </c>
      <c r="CC157" s="45">
        <f t="shared" si="1036"/>
        <v>0</v>
      </c>
      <c r="CD157" s="45">
        <v>-4800</v>
      </c>
      <c r="CE157" s="45">
        <f t="shared" ref="CE157:CG157" si="1037">IF(CD157&gt;0,CD157,0)</f>
        <v>0</v>
      </c>
      <c r="CF157" s="45">
        <v>20889.164371880001</v>
      </c>
      <c r="CG157" s="45">
        <f t="shared" si="1037"/>
        <v>20889.164371880001</v>
      </c>
      <c r="CH157" s="107">
        <f t="shared" si="876"/>
        <v>25374.164371880001</v>
      </c>
      <c r="CI157" s="45"/>
      <c r="CJ157" s="109">
        <v>-700</v>
      </c>
      <c r="CK157" s="45">
        <f t="shared" si="877"/>
        <v>700</v>
      </c>
      <c r="CL157" s="45">
        <v>4485</v>
      </c>
      <c r="CM157" s="45">
        <f t="shared" si="877"/>
        <v>0</v>
      </c>
      <c r="CN157" s="45">
        <v>0</v>
      </c>
      <c r="CO157" s="45">
        <f t="shared" ref="CO157:CQ157" si="1038">IF(CN157&lt;0,-CN157,0)</f>
        <v>0</v>
      </c>
      <c r="CP157" s="45">
        <v>-5000</v>
      </c>
      <c r="CQ157" s="45">
        <f t="shared" si="1038"/>
        <v>5000</v>
      </c>
      <c r="CR157" s="45">
        <v>-5300</v>
      </c>
      <c r="CS157" s="45">
        <f t="shared" ref="CS157:CU157" si="1039">IF(CR157&lt;0,-CR157,0)</f>
        <v>5300</v>
      </c>
      <c r="CT157" s="45">
        <v>-4000</v>
      </c>
      <c r="CU157" s="45">
        <f t="shared" si="1039"/>
        <v>4000</v>
      </c>
      <c r="CV157" s="45">
        <v>-4800</v>
      </c>
      <c r="CW157" s="45">
        <f t="shared" ref="CW157:CY157" si="1040">IF(CV157&lt;0,-CV157,0)</f>
        <v>4800</v>
      </c>
      <c r="CX157" s="45">
        <v>20889.164371880001</v>
      </c>
      <c r="CY157" s="45">
        <f t="shared" si="1040"/>
        <v>0</v>
      </c>
      <c r="CZ157" s="107">
        <f t="shared" si="881"/>
        <v>19800</v>
      </c>
      <c r="DA157" s="45"/>
      <c r="DB157" s="110">
        <v>35040.794000000002</v>
      </c>
      <c r="DC157" s="57">
        <v>1764.1790000000001</v>
      </c>
      <c r="DD157" s="61">
        <v>2000.9532392553001</v>
      </c>
      <c r="DE157" s="61">
        <f t="shared" si="882"/>
        <v>38805.926239255299</v>
      </c>
      <c r="DF157" s="110">
        <v>7957.683</v>
      </c>
      <c r="DG157" s="110">
        <v>51744.411</v>
      </c>
      <c r="DH157" s="57">
        <v>9675</v>
      </c>
      <c r="DI157" s="107">
        <f t="shared" si="883"/>
        <v>61419.411</v>
      </c>
      <c r="DJ157" s="45"/>
      <c r="DK157" s="110">
        <v>990.99400000000003</v>
      </c>
      <c r="DL157" s="57">
        <v>10553.7831128091</v>
      </c>
      <c r="DM157" s="57">
        <f t="shared" si="884"/>
        <v>11544.777112809101</v>
      </c>
      <c r="DN157" s="61">
        <v>1639.11874024391</v>
      </c>
      <c r="DO157" s="61">
        <v>2931.2847992178222</v>
      </c>
      <c r="DP157" s="61">
        <v>429.85082277999999</v>
      </c>
      <c r="DQ157" s="57">
        <f t="shared" si="885"/>
        <v>3361.135621997822</v>
      </c>
      <c r="DR157" s="57">
        <v>162.84915551210119</v>
      </c>
      <c r="DS157" s="57">
        <v>162.84915551210119</v>
      </c>
      <c r="DT157" s="5"/>
      <c r="DU157" s="73">
        <v>0</v>
      </c>
      <c r="DV157" s="156">
        <v>6779.6610170000004</v>
      </c>
      <c r="DW157" s="155">
        <v>1447.7400829999999</v>
      </c>
      <c r="DX157" s="155">
        <v>0</v>
      </c>
      <c r="DY157" s="73">
        <v>0</v>
      </c>
      <c r="DZ157" s="156">
        <v>242.98584449000001</v>
      </c>
      <c r="EA157" s="73">
        <v>0</v>
      </c>
      <c r="EB157" s="156">
        <v>1271.1864410000001</v>
      </c>
      <c r="EC157" s="73">
        <v>0</v>
      </c>
      <c r="ED157" s="156">
        <v>847.5</v>
      </c>
      <c r="EE157" s="73">
        <v>0</v>
      </c>
      <c r="EF157" s="156">
        <v>7397.5988710000001</v>
      </c>
      <c r="EG157" s="73">
        <v>0</v>
      </c>
      <c r="EH157" s="156">
        <v>6779.6610170000004</v>
      </c>
      <c r="EI157" s="159">
        <v>242.98584449000001</v>
      </c>
      <c r="EJ157" s="162">
        <v>847.5</v>
      </c>
      <c r="EK157" s="165">
        <v>735.83500000000004</v>
      </c>
      <c r="EL157" s="159">
        <v>429.85082277999999</v>
      </c>
      <c r="EM157" s="159">
        <f t="shared" si="886"/>
        <v>10964.025395000001</v>
      </c>
      <c r="EN157" s="159">
        <f t="shared" si="887"/>
        <v>0</v>
      </c>
      <c r="EP157" s="2">
        <v>20998.500749999999</v>
      </c>
      <c r="EQ157" s="5">
        <f t="shared" si="888"/>
        <v>0.85499999999999987</v>
      </c>
    </row>
    <row r="158" spans="13:147" x14ac:dyDescent="0.35">
      <c r="M158" s="5"/>
      <c r="N158" s="66">
        <f t="shared" si="889"/>
        <v>156</v>
      </c>
      <c r="O158" s="78">
        <v>11288</v>
      </c>
      <c r="P158" s="77">
        <f t="shared" si="856"/>
        <v>0.13600000000000001</v>
      </c>
      <c r="Q158" s="104">
        <v>134.54</v>
      </c>
      <c r="R158" s="77">
        <f t="shared" si="857"/>
        <v>2.7999999999999997E-2</v>
      </c>
      <c r="S158" s="104">
        <v>5370</v>
      </c>
      <c r="T158" s="77">
        <f t="shared" si="858"/>
        <v>0.17899999999999999</v>
      </c>
      <c r="U158" s="104">
        <v>1294.038</v>
      </c>
      <c r="V158" s="77">
        <f t="shared" si="844"/>
        <v>0.09</v>
      </c>
      <c r="W158" s="104">
        <v>1043.2692</v>
      </c>
      <c r="X158" s="77">
        <f t="shared" si="845"/>
        <v>0.108</v>
      </c>
      <c r="Y158" s="104">
        <v>8124.36</v>
      </c>
      <c r="Z158" s="77">
        <f t="shared" si="859"/>
        <v>0.158</v>
      </c>
      <c r="AA158" s="104">
        <v>6253.308</v>
      </c>
      <c r="AB158" s="77">
        <f t="shared" si="860"/>
        <v>0.13499999999999998</v>
      </c>
      <c r="AC158" s="5"/>
      <c r="AD158" s="66">
        <f t="shared" si="890"/>
        <v>156</v>
      </c>
      <c r="AE158" s="78">
        <v>55001.876400000001</v>
      </c>
      <c r="AF158" s="104">
        <v>2093</v>
      </c>
      <c r="AG158" s="78">
        <v>455</v>
      </c>
      <c r="AH158" s="61">
        <f t="shared" si="861"/>
        <v>0.61799999999999999</v>
      </c>
      <c r="AI158" s="61">
        <f t="shared" si="862"/>
        <v>0.91</v>
      </c>
      <c r="AJ158" s="61">
        <f t="shared" si="863"/>
        <v>0.91</v>
      </c>
      <c r="AK158" s="77">
        <v>239.666</v>
      </c>
      <c r="AL158" s="104">
        <v>6695.07</v>
      </c>
      <c r="AM158" s="61">
        <f t="shared" si="846"/>
        <v>0.371</v>
      </c>
      <c r="AN158" s="57">
        <f t="shared" si="847"/>
        <v>0.57499999999999996</v>
      </c>
      <c r="AO158" s="78">
        <v>36170.6</v>
      </c>
      <c r="AP158" s="104">
        <v>20634.525000000001</v>
      </c>
      <c r="AQ158" s="61">
        <f t="shared" si="864"/>
        <v>0.81099999999999994</v>
      </c>
      <c r="AR158" s="57">
        <f t="shared" si="865"/>
        <v>0.87900000000000011</v>
      </c>
      <c r="AS158" s="45"/>
      <c r="AT158" s="78">
        <v>911.18399999999997</v>
      </c>
      <c r="AU158" s="77">
        <f t="shared" si="848"/>
        <v>0.36999991878700267</v>
      </c>
      <c r="AV158" s="78">
        <v>1024.3230000000001</v>
      </c>
      <c r="AW158" s="77">
        <f t="shared" si="849"/>
        <v>0.63741319228375859</v>
      </c>
      <c r="AX158" s="78">
        <v>1121.4780000000001</v>
      </c>
      <c r="AY158" s="77">
        <f t="shared" si="866"/>
        <v>0.5784392407674851</v>
      </c>
      <c r="AZ158" s="45"/>
      <c r="BA158" s="75">
        <v>53641.616999999998</v>
      </c>
      <c r="BB158" s="77">
        <f t="shared" si="867"/>
        <v>0.77049180327868849</v>
      </c>
      <c r="BC158" s="45"/>
      <c r="BD158" s="105">
        <v>29483.574000000001</v>
      </c>
      <c r="BE158" s="45">
        <v>0</v>
      </c>
      <c r="BF158" s="106">
        <v>0</v>
      </c>
      <c r="BG158" s="107">
        <f t="shared" si="868"/>
        <v>0.9044041104294479</v>
      </c>
      <c r="BH158" s="108">
        <f t="shared" si="869"/>
        <v>0</v>
      </c>
      <c r="BI158" s="106">
        <v>0</v>
      </c>
      <c r="BJ158" s="106">
        <v>0</v>
      </c>
      <c r="BK158" s="106">
        <v>0</v>
      </c>
      <c r="BL158" s="106">
        <v>4582.625</v>
      </c>
      <c r="BM158" s="107">
        <f t="shared" si="870"/>
        <v>0.34000779047336399</v>
      </c>
      <c r="BN158" s="108">
        <f t="shared" si="871"/>
        <v>0</v>
      </c>
      <c r="BO158" s="45">
        <v>7668</v>
      </c>
      <c r="BP158" s="45">
        <v>0</v>
      </c>
      <c r="BQ158" s="45"/>
      <c r="BR158" s="109">
        <v>-700</v>
      </c>
      <c r="BS158" s="45">
        <f t="shared" si="872"/>
        <v>0</v>
      </c>
      <c r="BT158" s="45">
        <v>4485</v>
      </c>
      <c r="BU158" s="45">
        <f t="shared" si="872"/>
        <v>4485</v>
      </c>
      <c r="BV158" s="45">
        <v>0</v>
      </c>
      <c r="BW158" s="45">
        <f t="shared" ref="BW158:BY158" si="1041">IF(BV158&gt;0,BV158,0)</f>
        <v>0</v>
      </c>
      <c r="BX158" s="45">
        <v>-5000</v>
      </c>
      <c r="BY158" s="45">
        <f t="shared" si="1041"/>
        <v>0</v>
      </c>
      <c r="BZ158" s="45">
        <v>-5300</v>
      </c>
      <c r="CA158" s="45">
        <f t="shared" ref="CA158:CC158" si="1042">IF(BZ158&gt;0,BZ158,0)</f>
        <v>0</v>
      </c>
      <c r="CB158" s="45">
        <v>-4000</v>
      </c>
      <c r="CC158" s="45">
        <f t="shared" si="1042"/>
        <v>0</v>
      </c>
      <c r="CD158" s="45">
        <v>-4800</v>
      </c>
      <c r="CE158" s="45">
        <f t="shared" ref="CE158:CG158" si="1043">IF(CD158&gt;0,CD158,0)</f>
        <v>0</v>
      </c>
      <c r="CF158" s="45">
        <v>20592.227723399999</v>
      </c>
      <c r="CG158" s="45">
        <f t="shared" si="1043"/>
        <v>20592.227723399999</v>
      </c>
      <c r="CH158" s="107">
        <f t="shared" si="876"/>
        <v>25077.227723399999</v>
      </c>
      <c r="CI158" s="45"/>
      <c r="CJ158" s="109">
        <v>-700</v>
      </c>
      <c r="CK158" s="45">
        <f t="shared" si="877"/>
        <v>700</v>
      </c>
      <c r="CL158" s="45">
        <v>4485</v>
      </c>
      <c r="CM158" s="45">
        <f t="shared" si="877"/>
        <v>0</v>
      </c>
      <c r="CN158" s="45">
        <v>0</v>
      </c>
      <c r="CO158" s="45">
        <f t="shared" ref="CO158:CQ158" si="1044">IF(CN158&lt;0,-CN158,0)</f>
        <v>0</v>
      </c>
      <c r="CP158" s="45">
        <v>-5000</v>
      </c>
      <c r="CQ158" s="45">
        <f t="shared" si="1044"/>
        <v>5000</v>
      </c>
      <c r="CR158" s="45">
        <v>-5300</v>
      </c>
      <c r="CS158" s="45">
        <f t="shared" ref="CS158:CU158" si="1045">IF(CR158&lt;0,-CR158,0)</f>
        <v>5300</v>
      </c>
      <c r="CT158" s="45">
        <v>-4000</v>
      </c>
      <c r="CU158" s="45">
        <f t="shared" si="1045"/>
        <v>4000</v>
      </c>
      <c r="CV158" s="45">
        <v>-4800</v>
      </c>
      <c r="CW158" s="45">
        <f t="shared" ref="CW158:CY158" si="1046">IF(CV158&lt;0,-CV158,0)</f>
        <v>4800</v>
      </c>
      <c r="CX158" s="45">
        <v>20592.227723399999</v>
      </c>
      <c r="CY158" s="45">
        <f t="shared" si="1046"/>
        <v>0</v>
      </c>
      <c r="CZ158" s="107">
        <f t="shared" si="881"/>
        <v>19800</v>
      </c>
      <c r="DA158" s="45"/>
      <c r="DB158" s="110">
        <v>35902.012000000002</v>
      </c>
      <c r="DC158" s="57">
        <v>1736.2159999999999</v>
      </c>
      <c r="DD158" s="61">
        <v>2578.0380017264001</v>
      </c>
      <c r="DE158" s="61">
        <f t="shared" si="882"/>
        <v>40216.266001726406</v>
      </c>
      <c r="DF158" s="110">
        <v>8638.7980000000007</v>
      </c>
      <c r="DG158" s="110">
        <v>54506.411</v>
      </c>
      <c r="DH158" s="57">
        <v>9365</v>
      </c>
      <c r="DI158" s="107">
        <f t="shared" si="883"/>
        <v>63871.411</v>
      </c>
      <c r="DJ158" s="45"/>
      <c r="DK158" s="110">
        <v>941.68299999999999</v>
      </c>
      <c r="DL158" s="57">
        <v>10569.62924658717</v>
      </c>
      <c r="DM158" s="57">
        <f t="shared" si="884"/>
        <v>11511.312246587171</v>
      </c>
      <c r="DN158" s="61">
        <v>1639.11874024391</v>
      </c>
      <c r="DO158" s="61">
        <v>2939.6344044654588</v>
      </c>
      <c r="DP158" s="61">
        <v>421.50121753000002</v>
      </c>
      <c r="DQ158" s="57">
        <f t="shared" si="885"/>
        <v>3361.1356219954587</v>
      </c>
      <c r="DR158" s="57">
        <v>163.31302247030331</v>
      </c>
      <c r="DS158" s="57">
        <v>163.31302247030331</v>
      </c>
      <c r="DT158" s="5"/>
      <c r="DU158" s="73">
        <v>0</v>
      </c>
      <c r="DV158" s="156">
        <v>6779.6610170000004</v>
      </c>
      <c r="DW158" s="155">
        <v>1447.7400829999999</v>
      </c>
      <c r="DX158" s="155">
        <v>0</v>
      </c>
      <c r="DY158" s="73">
        <v>0</v>
      </c>
      <c r="DZ158" s="156">
        <v>242.52197752999999</v>
      </c>
      <c r="EA158" s="73">
        <v>0</v>
      </c>
      <c r="EB158" s="156">
        <v>1271.1864410000001</v>
      </c>
      <c r="EC158" s="73">
        <v>0</v>
      </c>
      <c r="ED158" s="156">
        <v>847.5</v>
      </c>
      <c r="EE158" s="73">
        <v>0</v>
      </c>
      <c r="EF158" s="156">
        <v>7397.5988710000001</v>
      </c>
      <c r="EG158" s="73">
        <v>0</v>
      </c>
      <c r="EH158" s="156">
        <v>6779.6610170000004</v>
      </c>
      <c r="EI158" s="159">
        <v>242.52197752999999</v>
      </c>
      <c r="EJ158" s="162">
        <v>847.5</v>
      </c>
      <c r="EK158" s="165">
        <v>735.83500000000004</v>
      </c>
      <c r="EL158" s="159">
        <v>421.50121753000002</v>
      </c>
      <c r="EM158" s="159">
        <f t="shared" si="886"/>
        <v>10964.025395000001</v>
      </c>
      <c r="EN158" s="159">
        <f t="shared" si="887"/>
        <v>0</v>
      </c>
      <c r="EP158" s="2">
        <v>20998.500749999999</v>
      </c>
      <c r="EQ158" s="5">
        <f t="shared" si="888"/>
        <v>0.85499999999999987</v>
      </c>
    </row>
    <row r="159" spans="13:147" x14ac:dyDescent="0.35">
      <c r="M159" s="5"/>
      <c r="N159" s="66">
        <f t="shared" si="889"/>
        <v>157</v>
      </c>
      <c r="O159" s="78">
        <v>15272</v>
      </c>
      <c r="P159" s="77">
        <f t="shared" si="856"/>
        <v>0.184</v>
      </c>
      <c r="Q159" s="104">
        <v>172.98</v>
      </c>
      <c r="R159" s="77">
        <f t="shared" si="857"/>
        <v>3.5999999999999997E-2</v>
      </c>
      <c r="S159" s="104">
        <v>7200</v>
      </c>
      <c r="T159" s="77">
        <f t="shared" si="858"/>
        <v>0.24</v>
      </c>
      <c r="U159" s="104">
        <v>2185.4863999999998</v>
      </c>
      <c r="V159" s="77">
        <f t="shared" si="844"/>
        <v>0.15199999999999997</v>
      </c>
      <c r="W159" s="104">
        <v>1584.2236</v>
      </c>
      <c r="X159" s="77">
        <f t="shared" si="845"/>
        <v>0.16400000000000001</v>
      </c>
      <c r="Y159" s="104">
        <v>11466.66</v>
      </c>
      <c r="Z159" s="77">
        <f t="shared" si="859"/>
        <v>0.223</v>
      </c>
      <c r="AA159" s="104">
        <v>8847.2728000000006</v>
      </c>
      <c r="AB159" s="77">
        <f t="shared" si="860"/>
        <v>0.191</v>
      </c>
      <c r="AC159" s="5"/>
      <c r="AD159" s="66">
        <f t="shared" si="890"/>
        <v>157</v>
      </c>
      <c r="AE159" s="78">
        <v>58561.868399999999</v>
      </c>
      <c r="AF159" s="104">
        <v>2099.9</v>
      </c>
      <c r="AG159" s="78">
        <v>456.5</v>
      </c>
      <c r="AH159" s="61">
        <f t="shared" si="861"/>
        <v>0.65799999999999992</v>
      </c>
      <c r="AI159" s="61">
        <f t="shared" si="862"/>
        <v>0.91300000000000003</v>
      </c>
      <c r="AJ159" s="61">
        <f t="shared" si="863"/>
        <v>0.91300000000000003</v>
      </c>
      <c r="AK159" s="77">
        <v>213.82599999999999</v>
      </c>
      <c r="AL159" s="104">
        <v>6799.8624</v>
      </c>
      <c r="AM159" s="61">
        <f t="shared" si="846"/>
        <v>0.33100000000000002</v>
      </c>
      <c r="AN159" s="57">
        <f t="shared" si="847"/>
        <v>0.58399999999999996</v>
      </c>
      <c r="AO159" s="78">
        <v>35501.599999999999</v>
      </c>
      <c r="AP159" s="104">
        <v>21550.05</v>
      </c>
      <c r="AQ159" s="61">
        <f t="shared" si="864"/>
        <v>0.79599999999999993</v>
      </c>
      <c r="AR159" s="57">
        <f t="shared" si="865"/>
        <v>0.91799999999999993</v>
      </c>
      <c r="AS159" s="45"/>
      <c r="AT159" s="78">
        <v>908.72199999999998</v>
      </c>
      <c r="AU159" s="77">
        <f t="shared" si="848"/>
        <v>0.36900018678989388</v>
      </c>
      <c r="AV159" s="78">
        <v>1017.357</v>
      </c>
      <c r="AW159" s="77">
        <f t="shared" si="849"/>
        <v>0.63307840696950834</v>
      </c>
      <c r="AX159" s="78">
        <v>1121.4780000000001</v>
      </c>
      <c r="AY159" s="77">
        <f t="shared" si="866"/>
        <v>0.5784392407674851</v>
      </c>
      <c r="AZ159" s="45"/>
      <c r="BA159" s="75">
        <v>53641.616999999998</v>
      </c>
      <c r="BB159" s="77">
        <f t="shared" si="867"/>
        <v>0.77049180327868849</v>
      </c>
      <c r="BC159" s="45"/>
      <c r="BD159" s="105">
        <v>32600</v>
      </c>
      <c r="BE159" s="45">
        <v>117.562</v>
      </c>
      <c r="BF159" s="106">
        <v>364.91800000000001</v>
      </c>
      <c r="BG159" s="107">
        <f t="shared" si="868"/>
        <v>1</v>
      </c>
      <c r="BH159" s="108">
        <f t="shared" si="869"/>
        <v>1.2696949026939174E-2</v>
      </c>
      <c r="BI159" s="106">
        <v>0</v>
      </c>
      <c r="BJ159" s="106">
        <v>0</v>
      </c>
      <c r="BK159" s="106">
        <v>0</v>
      </c>
      <c r="BL159" s="106">
        <v>4978.9620000000004</v>
      </c>
      <c r="BM159" s="107">
        <f t="shared" si="870"/>
        <v>0.36941400801305835</v>
      </c>
      <c r="BN159" s="108">
        <f t="shared" si="871"/>
        <v>0</v>
      </c>
      <c r="BO159" s="45">
        <v>7668</v>
      </c>
      <c r="BP159" s="45">
        <v>0</v>
      </c>
      <c r="BQ159" s="45"/>
      <c r="BR159" s="109">
        <v>-700</v>
      </c>
      <c r="BS159" s="45">
        <f t="shared" si="872"/>
        <v>0</v>
      </c>
      <c r="BT159" s="45">
        <v>4485</v>
      </c>
      <c r="BU159" s="45">
        <f t="shared" si="872"/>
        <v>4485</v>
      </c>
      <c r="BV159" s="45">
        <v>0</v>
      </c>
      <c r="BW159" s="45">
        <f t="shared" ref="BW159:BY159" si="1047">IF(BV159&gt;0,BV159,0)</f>
        <v>0</v>
      </c>
      <c r="BX159" s="45">
        <v>-5000</v>
      </c>
      <c r="BY159" s="45">
        <f t="shared" si="1047"/>
        <v>0</v>
      </c>
      <c r="BZ159" s="45">
        <v>-5300</v>
      </c>
      <c r="CA159" s="45">
        <f t="shared" ref="CA159:CC159" si="1048">IF(BZ159&gt;0,BZ159,0)</f>
        <v>0</v>
      </c>
      <c r="CB159" s="45">
        <v>-4000</v>
      </c>
      <c r="CC159" s="45">
        <f t="shared" si="1048"/>
        <v>0</v>
      </c>
      <c r="CD159" s="45">
        <v>-4800</v>
      </c>
      <c r="CE159" s="45">
        <f t="shared" ref="CE159:CG159" si="1049">IF(CD159&gt;0,CD159,0)</f>
        <v>0</v>
      </c>
      <c r="CF159" s="45">
        <v>23293.240979189999</v>
      </c>
      <c r="CG159" s="45">
        <f t="shared" si="1049"/>
        <v>23293.240979189999</v>
      </c>
      <c r="CH159" s="107">
        <f t="shared" si="876"/>
        <v>27778.240979189999</v>
      </c>
      <c r="CI159" s="45"/>
      <c r="CJ159" s="109">
        <v>-700</v>
      </c>
      <c r="CK159" s="45">
        <f t="shared" si="877"/>
        <v>700</v>
      </c>
      <c r="CL159" s="45">
        <v>4485</v>
      </c>
      <c r="CM159" s="45">
        <f t="shared" si="877"/>
        <v>0</v>
      </c>
      <c r="CN159" s="45">
        <v>0</v>
      </c>
      <c r="CO159" s="45">
        <f t="shared" ref="CO159:CQ159" si="1050">IF(CN159&lt;0,-CN159,0)</f>
        <v>0</v>
      </c>
      <c r="CP159" s="45">
        <v>-5000</v>
      </c>
      <c r="CQ159" s="45">
        <f t="shared" si="1050"/>
        <v>5000</v>
      </c>
      <c r="CR159" s="45">
        <v>-5300</v>
      </c>
      <c r="CS159" s="45">
        <f t="shared" ref="CS159:CU159" si="1051">IF(CR159&lt;0,-CR159,0)</f>
        <v>5300</v>
      </c>
      <c r="CT159" s="45">
        <v>-4000</v>
      </c>
      <c r="CU159" s="45">
        <f t="shared" si="1051"/>
        <v>4000</v>
      </c>
      <c r="CV159" s="45">
        <v>-4800</v>
      </c>
      <c r="CW159" s="45">
        <f t="shared" ref="CW159:CY159" si="1052">IF(CV159&lt;0,-CV159,0)</f>
        <v>4800</v>
      </c>
      <c r="CX159" s="45">
        <v>23293.240979189999</v>
      </c>
      <c r="CY159" s="45">
        <f t="shared" si="1052"/>
        <v>0</v>
      </c>
      <c r="CZ159" s="107">
        <f t="shared" si="881"/>
        <v>19800</v>
      </c>
      <c r="DA159" s="45"/>
      <c r="DB159" s="110">
        <v>36858.574999999997</v>
      </c>
      <c r="DC159" s="57">
        <v>1676.62</v>
      </c>
      <c r="DD159" s="61">
        <v>2861.3687009046998</v>
      </c>
      <c r="DE159" s="61">
        <f t="shared" si="882"/>
        <v>41396.563700904699</v>
      </c>
      <c r="DF159" s="110">
        <v>9593.99</v>
      </c>
      <c r="DG159" s="110">
        <v>56557.411</v>
      </c>
      <c r="DH159" s="57">
        <v>8858</v>
      </c>
      <c r="DI159" s="107">
        <f t="shared" si="883"/>
        <v>65415.411</v>
      </c>
      <c r="DJ159" s="45"/>
      <c r="DK159" s="110">
        <v>916.39</v>
      </c>
      <c r="DL159" s="57">
        <v>10553.7831128091</v>
      </c>
      <c r="DM159" s="57">
        <f t="shared" si="884"/>
        <v>11470.1731128091</v>
      </c>
      <c r="DN159" s="61">
        <v>1639.11874024391</v>
      </c>
      <c r="DO159" s="61">
        <v>2931.2847992178222</v>
      </c>
      <c r="DP159" s="61">
        <v>429.85082277999999</v>
      </c>
      <c r="DQ159" s="57">
        <f t="shared" si="885"/>
        <v>3361.135621997822</v>
      </c>
      <c r="DR159" s="57">
        <v>162.84915551210119</v>
      </c>
      <c r="DS159" s="57">
        <v>162.84915551210119</v>
      </c>
      <c r="DT159" s="5"/>
      <c r="DU159" s="73">
        <v>0</v>
      </c>
      <c r="DV159" s="156">
        <v>6779.6610170000004</v>
      </c>
      <c r="DW159" s="155">
        <v>1447.7400829999999</v>
      </c>
      <c r="DX159" s="155">
        <v>0</v>
      </c>
      <c r="DY159" s="73">
        <v>0</v>
      </c>
      <c r="DZ159" s="156">
        <v>242.98584449000001</v>
      </c>
      <c r="EA159" s="73">
        <v>0</v>
      </c>
      <c r="EB159" s="156">
        <v>1271.1864410000001</v>
      </c>
      <c r="EC159" s="73">
        <v>0</v>
      </c>
      <c r="ED159" s="156">
        <v>847.5</v>
      </c>
      <c r="EE159" s="73">
        <v>0</v>
      </c>
      <c r="EF159" s="156">
        <v>7397.5988710000001</v>
      </c>
      <c r="EG159" s="73">
        <v>0</v>
      </c>
      <c r="EH159" s="156">
        <v>6779.6610170000004</v>
      </c>
      <c r="EI159" s="159">
        <v>242.98584449000001</v>
      </c>
      <c r="EJ159" s="162">
        <v>847.5</v>
      </c>
      <c r="EK159" s="165">
        <v>735.83500000000004</v>
      </c>
      <c r="EL159" s="159">
        <v>429.85082277999999</v>
      </c>
      <c r="EM159" s="159">
        <f t="shared" si="886"/>
        <v>10964.025395000001</v>
      </c>
      <c r="EN159" s="159">
        <f t="shared" si="887"/>
        <v>0</v>
      </c>
      <c r="EP159" s="2">
        <v>20998.500749999999</v>
      </c>
      <c r="EQ159" s="5">
        <f t="shared" si="888"/>
        <v>0.85499999999999987</v>
      </c>
    </row>
    <row r="160" spans="13:147" x14ac:dyDescent="0.35">
      <c r="M160" s="5"/>
      <c r="N160" s="66">
        <f t="shared" si="889"/>
        <v>158</v>
      </c>
      <c r="O160" s="78">
        <v>17347</v>
      </c>
      <c r="P160" s="77">
        <f t="shared" si="856"/>
        <v>0.20899999999999999</v>
      </c>
      <c r="Q160" s="104">
        <v>187.39500000000001</v>
      </c>
      <c r="R160" s="77">
        <f t="shared" si="857"/>
        <v>3.9E-2</v>
      </c>
      <c r="S160" s="104">
        <v>8160</v>
      </c>
      <c r="T160" s="77">
        <f t="shared" si="858"/>
        <v>0.27200000000000002</v>
      </c>
      <c r="U160" s="104">
        <v>2976.2874000000002</v>
      </c>
      <c r="V160" s="77">
        <f t="shared" si="844"/>
        <v>0.20699999999999999</v>
      </c>
      <c r="W160" s="104">
        <v>1970.6196</v>
      </c>
      <c r="X160" s="77">
        <f t="shared" si="845"/>
        <v>0.20400000000000001</v>
      </c>
      <c r="Y160" s="104">
        <v>13934.82</v>
      </c>
      <c r="Z160" s="77">
        <f t="shared" si="859"/>
        <v>0.27100000000000002</v>
      </c>
      <c r="AA160" s="104">
        <v>10514.821599999999</v>
      </c>
      <c r="AB160" s="77">
        <f t="shared" si="860"/>
        <v>0.22699999999999998</v>
      </c>
      <c r="AC160" s="5"/>
      <c r="AD160" s="66">
        <f t="shared" si="890"/>
        <v>158</v>
      </c>
      <c r="AE160" s="78">
        <v>61943.860800000002</v>
      </c>
      <c r="AF160" s="104">
        <v>2111.4</v>
      </c>
      <c r="AG160" s="78">
        <v>459</v>
      </c>
      <c r="AH160" s="61">
        <f t="shared" si="861"/>
        <v>0.69599999999999995</v>
      </c>
      <c r="AI160" s="61">
        <f t="shared" si="862"/>
        <v>0.91800000000000004</v>
      </c>
      <c r="AJ160" s="61">
        <f t="shared" si="863"/>
        <v>0.91800000000000004</v>
      </c>
      <c r="AK160" s="77">
        <v>209.304</v>
      </c>
      <c r="AL160" s="104">
        <v>7207.3883999999998</v>
      </c>
      <c r="AM160" s="61">
        <f t="shared" si="846"/>
        <v>0.32400000000000001</v>
      </c>
      <c r="AN160" s="57">
        <f t="shared" si="847"/>
        <v>0.61899999999999999</v>
      </c>
      <c r="AO160" s="78">
        <v>35590.800000000003</v>
      </c>
      <c r="AP160" s="104">
        <v>22207.35</v>
      </c>
      <c r="AQ160" s="61">
        <f t="shared" si="864"/>
        <v>0.79800000000000004</v>
      </c>
      <c r="AR160" s="57">
        <f t="shared" si="865"/>
        <v>0.94599999999999995</v>
      </c>
      <c r="AS160" s="45"/>
      <c r="AT160" s="78">
        <v>911.18399999999997</v>
      </c>
      <c r="AU160" s="77">
        <f t="shared" si="848"/>
        <v>0.36999991878700267</v>
      </c>
      <c r="AV160" s="78">
        <v>1014.687</v>
      </c>
      <c r="AW160" s="77">
        <f t="shared" si="849"/>
        <v>0.63141692594897325</v>
      </c>
      <c r="AX160" s="78">
        <v>1121.4780000000001</v>
      </c>
      <c r="AY160" s="77">
        <f t="shared" si="866"/>
        <v>0.5784392407674851</v>
      </c>
      <c r="AZ160" s="45"/>
      <c r="BA160" s="75">
        <v>53641.616999999998</v>
      </c>
      <c r="BB160" s="77">
        <f t="shared" si="867"/>
        <v>0.77049180327868849</v>
      </c>
      <c r="BC160" s="45"/>
      <c r="BD160" s="105">
        <v>32600</v>
      </c>
      <c r="BE160" s="45">
        <v>761.29499999999996</v>
      </c>
      <c r="BF160" s="106">
        <v>2202.5450000000001</v>
      </c>
      <c r="BG160" s="107">
        <f t="shared" si="868"/>
        <v>1</v>
      </c>
      <c r="BH160" s="108">
        <f t="shared" si="869"/>
        <v>7.7996446285863469E-2</v>
      </c>
      <c r="BI160" s="106">
        <v>0</v>
      </c>
      <c r="BJ160" s="106">
        <v>0</v>
      </c>
      <c r="BK160" s="106">
        <v>0</v>
      </c>
      <c r="BL160" s="106">
        <v>5510.491</v>
      </c>
      <c r="BM160" s="107">
        <f t="shared" si="870"/>
        <v>0.40885079388633327</v>
      </c>
      <c r="BN160" s="108">
        <f t="shared" si="871"/>
        <v>0</v>
      </c>
      <c r="BO160" s="45">
        <v>7668</v>
      </c>
      <c r="BP160" s="45">
        <v>0</v>
      </c>
      <c r="BQ160" s="45"/>
      <c r="BR160" s="109">
        <v>-700</v>
      </c>
      <c r="BS160" s="45">
        <f t="shared" si="872"/>
        <v>0</v>
      </c>
      <c r="BT160" s="45">
        <v>4485</v>
      </c>
      <c r="BU160" s="45">
        <f t="shared" si="872"/>
        <v>4485</v>
      </c>
      <c r="BV160" s="45">
        <v>0</v>
      </c>
      <c r="BW160" s="45">
        <f t="shared" ref="BW160:BY160" si="1053">IF(BV160&gt;0,BV160,0)</f>
        <v>0</v>
      </c>
      <c r="BX160" s="45">
        <v>-5000</v>
      </c>
      <c r="BY160" s="45">
        <f t="shared" si="1053"/>
        <v>0</v>
      </c>
      <c r="BZ160" s="45">
        <v>-5300</v>
      </c>
      <c r="CA160" s="45">
        <f t="shared" ref="CA160:CC160" si="1054">IF(BZ160&gt;0,BZ160,0)</f>
        <v>0</v>
      </c>
      <c r="CB160" s="45">
        <v>-4000</v>
      </c>
      <c r="CC160" s="45">
        <f t="shared" si="1054"/>
        <v>0</v>
      </c>
      <c r="CD160" s="45">
        <v>-4800</v>
      </c>
      <c r="CE160" s="45">
        <f t="shared" ref="CE160:CG160" si="1055">IF(CD160&gt;0,CD160,0)</f>
        <v>0</v>
      </c>
      <c r="CF160" s="45">
        <v>25924.267542329999</v>
      </c>
      <c r="CG160" s="45">
        <f t="shared" si="1055"/>
        <v>25924.267542329999</v>
      </c>
      <c r="CH160" s="107">
        <f t="shared" si="876"/>
        <v>30409.267542329999</v>
      </c>
      <c r="CI160" s="45"/>
      <c r="CJ160" s="109">
        <v>-700</v>
      </c>
      <c r="CK160" s="45">
        <f t="shared" si="877"/>
        <v>700</v>
      </c>
      <c r="CL160" s="45">
        <v>4485</v>
      </c>
      <c r="CM160" s="45">
        <f t="shared" si="877"/>
        <v>0</v>
      </c>
      <c r="CN160" s="45">
        <v>0</v>
      </c>
      <c r="CO160" s="45">
        <f t="shared" ref="CO160:CQ160" si="1056">IF(CN160&lt;0,-CN160,0)</f>
        <v>0</v>
      </c>
      <c r="CP160" s="45">
        <v>-5000</v>
      </c>
      <c r="CQ160" s="45">
        <f t="shared" si="1056"/>
        <v>5000</v>
      </c>
      <c r="CR160" s="45">
        <v>-5300</v>
      </c>
      <c r="CS160" s="45">
        <f t="shared" ref="CS160:CU160" si="1057">IF(CR160&lt;0,-CR160,0)</f>
        <v>5300</v>
      </c>
      <c r="CT160" s="45">
        <v>-4000</v>
      </c>
      <c r="CU160" s="45">
        <f t="shared" si="1057"/>
        <v>4000</v>
      </c>
      <c r="CV160" s="45">
        <v>-4800</v>
      </c>
      <c r="CW160" s="45">
        <f t="shared" ref="CW160:CY160" si="1058">IF(CV160&lt;0,-CV160,0)</f>
        <v>4800</v>
      </c>
      <c r="CX160" s="45">
        <v>25924.267542329999</v>
      </c>
      <c r="CY160" s="45">
        <f t="shared" si="1058"/>
        <v>0</v>
      </c>
      <c r="CZ160" s="107">
        <f t="shared" si="881"/>
        <v>19800</v>
      </c>
      <c r="DA160" s="45"/>
      <c r="DB160" s="110">
        <v>37272.042000000001</v>
      </c>
      <c r="DC160" s="57">
        <v>1696.915</v>
      </c>
      <c r="DD160" s="61">
        <v>2565.5269242793001</v>
      </c>
      <c r="DE160" s="61">
        <f t="shared" si="882"/>
        <v>41534.483924279302</v>
      </c>
      <c r="DF160" s="110">
        <v>9738.6779999999999</v>
      </c>
      <c r="DG160" s="110">
        <v>54547.411</v>
      </c>
      <c r="DH160" s="57">
        <v>8496</v>
      </c>
      <c r="DI160" s="107">
        <f t="shared" si="883"/>
        <v>63043.411</v>
      </c>
      <c r="DJ160" s="45"/>
      <c r="DK160" s="110">
        <v>899.38</v>
      </c>
      <c r="DL160" s="57">
        <v>10553.7831128091</v>
      </c>
      <c r="DM160" s="57">
        <f t="shared" si="884"/>
        <v>11453.163112809099</v>
      </c>
      <c r="DN160" s="61">
        <v>1639.11874024391</v>
      </c>
      <c r="DO160" s="61">
        <v>2931.2847992178222</v>
      </c>
      <c r="DP160" s="61">
        <v>429.85082277999999</v>
      </c>
      <c r="DQ160" s="57">
        <f t="shared" si="885"/>
        <v>3361.135621997822</v>
      </c>
      <c r="DR160" s="57">
        <v>162.84915551210119</v>
      </c>
      <c r="DS160" s="57">
        <v>162.84915551210119</v>
      </c>
      <c r="DT160" s="5"/>
      <c r="DU160" s="73">
        <v>0</v>
      </c>
      <c r="DV160" s="156">
        <v>6779.6610170000004</v>
      </c>
      <c r="DW160" s="155">
        <v>1447.7400829999999</v>
      </c>
      <c r="DX160" s="155">
        <v>0</v>
      </c>
      <c r="DY160" s="73">
        <v>0</v>
      </c>
      <c r="DZ160" s="156">
        <v>242.98584449000001</v>
      </c>
      <c r="EA160" s="73">
        <v>0</v>
      </c>
      <c r="EB160" s="156">
        <v>1271.1864410000001</v>
      </c>
      <c r="EC160" s="73">
        <v>0</v>
      </c>
      <c r="ED160" s="156">
        <v>847.5</v>
      </c>
      <c r="EE160" s="73">
        <v>0</v>
      </c>
      <c r="EF160" s="156">
        <v>7397.5988710000001</v>
      </c>
      <c r="EG160" s="73">
        <v>0</v>
      </c>
      <c r="EH160" s="156">
        <v>6779.6610170000004</v>
      </c>
      <c r="EI160" s="159">
        <v>242.98584449000001</v>
      </c>
      <c r="EJ160" s="162">
        <v>847.5</v>
      </c>
      <c r="EK160" s="165">
        <v>735.83500000000004</v>
      </c>
      <c r="EL160" s="159">
        <v>429.85082277999999</v>
      </c>
      <c r="EM160" s="159">
        <f t="shared" si="886"/>
        <v>10964.025395000001</v>
      </c>
      <c r="EN160" s="159">
        <f t="shared" si="887"/>
        <v>0</v>
      </c>
      <c r="EP160" s="2">
        <v>20998.500749999999</v>
      </c>
      <c r="EQ160" s="5">
        <f t="shared" si="888"/>
        <v>0.85499999999999987</v>
      </c>
    </row>
    <row r="161" spans="13:147" x14ac:dyDescent="0.35">
      <c r="M161" s="5"/>
      <c r="N161" s="66">
        <f t="shared" si="889"/>
        <v>159</v>
      </c>
      <c r="O161" s="78">
        <v>17347</v>
      </c>
      <c r="P161" s="77">
        <f t="shared" si="856"/>
        <v>0.20899999999999999</v>
      </c>
      <c r="Q161" s="104">
        <v>163.37</v>
      </c>
      <c r="R161" s="77">
        <f t="shared" si="857"/>
        <v>3.4000000000000002E-2</v>
      </c>
      <c r="S161" s="104">
        <v>7920</v>
      </c>
      <c r="T161" s="77">
        <f t="shared" si="858"/>
        <v>0.26400000000000001</v>
      </c>
      <c r="U161" s="104">
        <v>3436.3897999999999</v>
      </c>
      <c r="V161" s="77">
        <f t="shared" si="844"/>
        <v>0.23899999999999999</v>
      </c>
      <c r="W161" s="104">
        <v>2057.5587</v>
      </c>
      <c r="X161" s="77">
        <f t="shared" si="845"/>
        <v>0.21300000000000002</v>
      </c>
      <c r="Y161" s="104">
        <v>14346.18</v>
      </c>
      <c r="Z161" s="77">
        <f t="shared" si="859"/>
        <v>0.27900000000000003</v>
      </c>
      <c r="AA161" s="104">
        <v>10329.538399999999</v>
      </c>
      <c r="AB161" s="77">
        <f t="shared" si="860"/>
        <v>0.22299999999999998</v>
      </c>
      <c r="AC161" s="5"/>
      <c r="AD161" s="66">
        <f t="shared" si="890"/>
        <v>159</v>
      </c>
      <c r="AE161" s="78">
        <v>64168.855799999998</v>
      </c>
      <c r="AF161" s="104">
        <v>2118.3000000000002</v>
      </c>
      <c r="AG161" s="78">
        <v>460.5</v>
      </c>
      <c r="AH161" s="61">
        <f t="shared" si="861"/>
        <v>0.72099999999999997</v>
      </c>
      <c r="AI161" s="61">
        <f t="shared" si="862"/>
        <v>0.92100000000000004</v>
      </c>
      <c r="AJ161" s="61">
        <f t="shared" si="863"/>
        <v>0.92100000000000004</v>
      </c>
      <c r="AK161" s="77">
        <v>214.47200000000001</v>
      </c>
      <c r="AL161" s="104">
        <v>7335.4679999999998</v>
      </c>
      <c r="AM161" s="61">
        <f t="shared" si="846"/>
        <v>0.33200000000000002</v>
      </c>
      <c r="AN161" s="57">
        <f t="shared" si="847"/>
        <v>0.63</v>
      </c>
      <c r="AO161" s="78">
        <v>36259.800000000003</v>
      </c>
      <c r="AP161" s="104">
        <v>22512.525000000001</v>
      </c>
      <c r="AQ161" s="61">
        <f t="shared" si="864"/>
        <v>0.81300000000000006</v>
      </c>
      <c r="AR161" s="57">
        <f t="shared" si="865"/>
        <v>0.95900000000000007</v>
      </c>
      <c r="AS161" s="45"/>
      <c r="AT161" s="78">
        <v>913.64700000000005</v>
      </c>
      <c r="AU161" s="77">
        <f t="shared" si="848"/>
        <v>0.37100005684909815</v>
      </c>
      <c r="AV161" s="78">
        <v>1004.417</v>
      </c>
      <c r="AW161" s="77">
        <f t="shared" si="849"/>
        <v>0.62502613565650278</v>
      </c>
      <c r="AX161" s="78">
        <v>1121.4780000000001</v>
      </c>
      <c r="AY161" s="77">
        <f t="shared" si="866"/>
        <v>0.5784392407674851</v>
      </c>
      <c r="AZ161" s="45"/>
      <c r="BA161" s="75">
        <v>53641.616999999998</v>
      </c>
      <c r="BB161" s="77">
        <f t="shared" si="867"/>
        <v>0.77049180327868849</v>
      </c>
      <c r="BC161" s="45"/>
      <c r="BD161" s="105">
        <v>32600</v>
      </c>
      <c r="BE161" s="45">
        <v>934.54600000000005</v>
      </c>
      <c r="BF161" s="106">
        <v>2844.4479999999999</v>
      </c>
      <c r="BG161" s="107">
        <f t="shared" si="868"/>
        <v>1</v>
      </c>
      <c r="BH161" s="108">
        <f t="shared" si="869"/>
        <v>9.9448047983561966E-2</v>
      </c>
      <c r="BI161" s="106">
        <v>0</v>
      </c>
      <c r="BJ161" s="106">
        <v>0</v>
      </c>
      <c r="BK161" s="106">
        <v>0</v>
      </c>
      <c r="BL161" s="106">
        <v>5844.098</v>
      </c>
      <c r="BM161" s="107">
        <f t="shared" si="870"/>
        <v>0.43360276005342041</v>
      </c>
      <c r="BN161" s="108">
        <f t="shared" si="871"/>
        <v>0</v>
      </c>
      <c r="BO161" s="45">
        <v>7668</v>
      </c>
      <c r="BP161" s="45">
        <v>0</v>
      </c>
      <c r="BQ161" s="45"/>
      <c r="BR161" s="109">
        <v>-700</v>
      </c>
      <c r="BS161" s="45">
        <f t="shared" si="872"/>
        <v>0</v>
      </c>
      <c r="BT161" s="45">
        <v>4485</v>
      </c>
      <c r="BU161" s="45">
        <f t="shared" si="872"/>
        <v>4485</v>
      </c>
      <c r="BV161" s="45">
        <v>0</v>
      </c>
      <c r="BW161" s="45">
        <f t="shared" ref="BW161:BY161" si="1059">IF(BV161&gt;0,BV161,0)</f>
        <v>0</v>
      </c>
      <c r="BX161" s="45">
        <v>-5000</v>
      </c>
      <c r="BY161" s="45">
        <f t="shared" si="1059"/>
        <v>0</v>
      </c>
      <c r="BZ161" s="45">
        <v>-5300</v>
      </c>
      <c r="CA161" s="45">
        <f t="shared" ref="CA161:CC161" si="1060">IF(BZ161&gt;0,BZ161,0)</f>
        <v>0</v>
      </c>
      <c r="CB161" s="45">
        <v>-4000</v>
      </c>
      <c r="CC161" s="45">
        <f t="shared" si="1060"/>
        <v>0</v>
      </c>
      <c r="CD161" s="45">
        <v>-4800</v>
      </c>
      <c r="CE161" s="45">
        <f t="shared" ref="CE161:CG161" si="1061">IF(CD161&gt;0,CD161,0)</f>
        <v>0</v>
      </c>
      <c r="CF161" s="45">
        <v>26310.573710199998</v>
      </c>
      <c r="CG161" s="45">
        <f t="shared" si="1061"/>
        <v>26310.573710199998</v>
      </c>
      <c r="CH161" s="107">
        <f t="shared" si="876"/>
        <v>30795.573710199998</v>
      </c>
      <c r="CI161" s="45"/>
      <c r="CJ161" s="109">
        <v>-700</v>
      </c>
      <c r="CK161" s="45">
        <f t="shared" si="877"/>
        <v>700</v>
      </c>
      <c r="CL161" s="45">
        <v>4485</v>
      </c>
      <c r="CM161" s="45">
        <f t="shared" si="877"/>
        <v>0</v>
      </c>
      <c r="CN161" s="45">
        <v>0</v>
      </c>
      <c r="CO161" s="45">
        <f t="shared" ref="CO161:CQ161" si="1062">IF(CN161&lt;0,-CN161,0)</f>
        <v>0</v>
      </c>
      <c r="CP161" s="45">
        <v>-5000</v>
      </c>
      <c r="CQ161" s="45">
        <f t="shared" si="1062"/>
        <v>5000</v>
      </c>
      <c r="CR161" s="45">
        <v>-5300</v>
      </c>
      <c r="CS161" s="45">
        <f t="shared" ref="CS161:CU161" si="1063">IF(CR161&lt;0,-CR161,0)</f>
        <v>5300</v>
      </c>
      <c r="CT161" s="45">
        <v>-4000</v>
      </c>
      <c r="CU161" s="45">
        <f t="shared" si="1063"/>
        <v>4000</v>
      </c>
      <c r="CV161" s="45">
        <v>-4800</v>
      </c>
      <c r="CW161" s="45">
        <f t="shared" ref="CW161:CY161" si="1064">IF(CV161&lt;0,-CV161,0)</f>
        <v>4800</v>
      </c>
      <c r="CX161" s="45">
        <v>26310.573710199998</v>
      </c>
      <c r="CY161" s="45">
        <f t="shared" si="1064"/>
        <v>0</v>
      </c>
      <c r="CZ161" s="107">
        <f t="shared" si="881"/>
        <v>19800</v>
      </c>
      <c r="DA161" s="45"/>
      <c r="DB161" s="110">
        <v>36194.607000000004</v>
      </c>
      <c r="DC161" s="57">
        <v>1894.8209999999999</v>
      </c>
      <c r="DD161" s="61">
        <v>1930.2141477869</v>
      </c>
      <c r="DE161" s="61">
        <f t="shared" si="882"/>
        <v>40019.642147786901</v>
      </c>
      <c r="DF161" s="110">
        <v>9656.4390000000003</v>
      </c>
      <c r="DG161" s="110">
        <v>53531.411</v>
      </c>
      <c r="DH161" s="57">
        <v>8304</v>
      </c>
      <c r="DI161" s="107">
        <f t="shared" si="883"/>
        <v>61835.411</v>
      </c>
      <c r="DJ161" s="45"/>
      <c r="DK161" s="110">
        <v>895.10900000000004</v>
      </c>
      <c r="DL161" s="57">
        <v>10569.62924658717</v>
      </c>
      <c r="DM161" s="57">
        <f t="shared" si="884"/>
        <v>11464.738246587171</v>
      </c>
      <c r="DN161" s="61">
        <v>1639.11874024391</v>
      </c>
      <c r="DO161" s="61">
        <v>2939.6344044654588</v>
      </c>
      <c r="DP161" s="61">
        <v>421.50121753000002</v>
      </c>
      <c r="DQ161" s="57">
        <f t="shared" si="885"/>
        <v>3361.1356219954587</v>
      </c>
      <c r="DR161" s="57">
        <v>163.31302247030331</v>
      </c>
      <c r="DS161" s="57">
        <v>163.31302247030331</v>
      </c>
      <c r="DT161" s="5"/>
      <c r="DU161" s="73">
        <v>0</v>
      </c>
      <c r="DV161" s="156">
        <v>6779.6610170000004</v>
      </c>
      <c r="DW161" s="155">
        <v>1447.7400829999999</v>
      </c>
      <c r="DX161" s="155">
        <v>0</v>
      </c>
      <c r="DY161" s="73">
        <v>0</v>
      </c>
      <c r="DZ161" s="156">
        <v>242.52197752999999</v>
      </c>
      <c r="EA161" s="73">
        <v>0</v>
      </c>
      <c r="EB161" s="156">
        <v>1271.1864410000001</v>
      </c>
      <c r="EC161" s="73">
        <v>0</v>
      </c>
      <c r="ED161" s="156">
        <v>847.5</v>
      </c>
      <c r="EE161" s="73">
        <v>0</v>
      </c>
      <c r="EF161" s="156">
        <v>7397.5988710000001</v>
      </c>
      <c r="EG161" s="73">
        <v>0</v>
      </c>
      <c r="EH161" s="156">
        <v>6779.6610170000004</v>
      </c>
      <c r="EI161" s="159">
        <v>242.52197752999999</v>
      </c>
      <c r="EJ161" s="162">
        <v>847.5</v>
      </c>
      <c r="EK161" s="165">
        <v>735.83500000000004</v>
      </c>
      <c r="EL161" s="159">
        <v>421.50121753000002</v>
      </c>
      <c r="EM161" s="159">
        <f t="shared" si="886"/>
        <v>10964.025395000001</v>
      </c>
      <c r="EN161" s="159">
        <f t="shared" si="887"/>
        <v>0</v>
      </c>
      <c r="EP161" s="2">
        <v>20998.500749999999</v>
      </c>
      <c r="EQ161" s="5">
        <f t="shared" si="888"/>
        <v>0.85499999999999987</v>
      </c>
    </row>
    <row r="162" spans="13:147" x14ac:dyDescent="0.35">
      <c r="M162" s="5"/>
      <c r="N162" s="66">
        <f t="shared" si="889"/>
        <v>160</v>
      </c>
      <c r="O162" s="78">
        <v>14442</v>
      </c>
      <c r="P162" s="77">
        <f t="shared" si="856"/>
        <v>0.17399999999999999</v>
      </c>
      <c r="Q162" s="104">
        <v>105.71</v>
      </c>
      <c r="R162" s="77">
        <f t="shared" si="857"/>
        <v>2.1999999999999999E-2</v>
      </c>
      <c r="S162" s="104">
        <v>6120</v>
      </c>
      <c r="T162" s="77">
        <f t="shared" si="858"/>
        <v>0.20399999999999999</v>
      </c>
      <c r="U162" s="104">
        <v>3048.1783999999998</v>
      </c>
      <c r="V162" s="77">
        <f t="shared" si="844"/>
        <v>0.21199999999999997</v>
      </c>
      <c r="W162" s="104">
        <v>1680.8226</v>
      </c>
      <c r="X162" s="77">
        <f t="shared" si="845"/>
        <v>0.17400000000000002</v>
      </c>
      <c r="Y162" s="104">
        <v>9821.2199999999993</v>
      </c>
      <c r="Z162" s="77">
        <f t="shared" si="859"/>
        <v>0.19099999999999998</v>
      </c>
      <c r="AA162" s="104">
        <v>6855.4784</v>
      </c>
      <c r="AB162" s="77">
        <f t="shared" si="860"/>
        <v>0.14799999999999999</v>
      </c>
      <c r="AC162" s="5"/>
      <c r="AD162" s="66">
        <f t="shared" si="890"/>
        <v>160</v>
      </c>
      <c r="AE162" s="78">
        <v>65770.852199999994</v>
      </c>
      <c r="AF162" s="104">
        <v>2122.9</v>
      </c>
      <c r="AG162" s="78">
        <v>461.5</v>
      </c>
      <c r="AH162" s="61">
        <f t="shared" si="861"/>
        <v>0.73899999999999988</v>
      </c>
      <c r="AI162" s="61">
        <f t="shared" si="862"/>
        <v>0.92300000000000004</v>
      </c>
      <c r="AJ162" s="61">
        <f t="shared" si="863"/>
        <v>0.92300000000000004</v>
      </c>
      <c r="AK162" s="77">
        <v>220.93199999999999</v>
      </c>
      <c r="AL162" s="104">
        <v>7184.1012000000001</v>
      </c>
      <c r="AM162" s="61">
        <f t="shared" si="846"/>
        <v>0.34199999999999997</v>
      </c>
      <c r="AN162" s="57">
        <f t="shared" si="847"/>
        <v>0.61699999999999999</v>
      </c>
      <c r="AO162" s="78">
        <v>36928.800000000003</v>
      </c>
      <c r="AP162" s="104">
        <v>22536</v>
      </c>
      <c r="AQ162" s="61">
        <f t="shared" si="864"/>
        <v>0.82800000000000007</v>
      </c>
      <c r="AR162" s="57">
        <f t="shared" si="865"/>
        <v>0.96</v>
      </c>
      <c r="AS162" s="45"/>
      <c r="AT162" s="78">
        <v>901.33399999999995</v>
      </c>
      <c r="AU162" s="77">
        <f t="shared" si="848"/>
        <v>0.36600017866859413</v>
      </c>
      <c r="AV162" s="78">
        <v>998.851</v>
      </c>
      <c r="AW162" s="77">
        <f t="shared" si="849"/>
        <v>0.62156253889234603</v>
      </c>
      <c r="AX162" s="78">
        <v>1121.4780000000001</v>
      </c>
      <c r="AY162" s="77">
        <f t="shared" si="866"/>
        <v>0.5784392407674851</v>
      </c>
      <c r="AZ162" s="45"/>
      <c r="BA162" s="75">
        <v>53641.616999999998</v>
      </c>
      <c r="BB162" s="77">
        <f t="shared" si="867"/>
        <v>0.77049180327868849</v>
      </c>
      <c r="BC162" s="45"/>
      <c r="BD162" s="105">
        <v>32600</v>
      </c>
      <c r="BE162" s="45">
        <v>543.82500000000005</v>
      </c>
      <c r="BF162" s="106">
        <v>2128.3090000000002</v>
      </c>
      <c r="BG162" s="107">
        <f t="shared" si="868"/>
        <v>1</v>
      </c>
      <c r="BH162" s="108">
        <f t="shared" si="869"/>
        <v>7.0319907957119648E-2</v>
      </c>
      <c r="BI162" s="106">
        <v>0</v>
      </c>
      <c r="BJ162" s="106">
        <v>0</v>
      </c>
      <c r="BK162" s="106">
        <v>0</v>
      </c>
      <c r="BL162" s="106">
        <v>5522.1390000000001</v>
      </c>
      <c r="BM162" s="107">
        <f t="shared" si="870"/>
        <v>0.40971501706484642</v>
      </c>
      <c r="BN162" s="108">
        <f t="shared" si="871"/>
        <v>0</v>
      </c>
      <c r="BO162" s="45">
        <v>7668</v>
      </c>
      <c r="BP162" s="45">
        <v>0</v>
      </c>
      <c r="BQ162" s="45"/>
      <c r="BR162" s="109">
        <v>-700</v>
      </c>
      <c r="BS162" s="45">
        <f t="shared" si="872"/>
        <v>0</v>
      </c>
      <c r="BT162" s="45">
        <v>4485</v>
      </c>
      <c r="BU162" s="45">
        <f t="shared" si="872"/>
        <v>4485</v>
      </c>
      <c r="BV162" s="45">
        <v>0</v>
      </c>
      <c r="BW162" s="45">
        <f t="shared" ref="BW162:BY162" si="1065">IF(BV162&gt;0,BV162,0)</f>
        <v>0</v>
      </c>
      <c r="BX162" s="45">
        <v>-5000</v>
      </c>
      <c r="BY162" s="45">
        <f t="shared" si="1065"/>
        <v>0</v>
      </c>
      <c r="BZ162" s="45">
        <v>-5300</v>
      </c>
      <c r="CA162" s="45">
        <f t="shared" ref="CA162:CC162" si="1066">IF(BZ162&gt;0,BZ162,0)</f>
        <v>0</v>
      </c>
      <c r="CB162" s="45">
        <v>-4000</v>
      </c>
      <c r="CC162" s="45">
        <f t="shared" si="1066"/>
        <v>0</v>
      </c>
      <c r="CD162" s="45">
        <v>-4800</v>
      </c>
      <c r="CE162" s="45">
        <f t="shared" ref="CE162:CG162" si="1067">IF(CD162&gt;0,CD162,0)</f>
        <v>0</v>
      </c>
      <c r="CF162" s="45">
        <v>25664.110382980001</v>
      </c>
      <c r="CG162" s="45">
        <f t="shared" si="1067"/>
        <v>25664.110382980001</v>
      </c>
      <c r="CH162" s="107">
        <f t="shared" si="876"/>
        <v>30149.110382980001</v>
      </c>
      <c r="CI162" s="45"/>
      <c r="CJ162" s="109">
        <v>-700</v>
      </c>
      <c r="CK162" s="45">
        <f t="shared" si="877"/>
        <v>700</v>
      </c>
      <c r="CL162" s="45">
        <v>4485</v>
      </c>
      <c r="CM162" s="45">
        <f t="shared" si="877"/>
        <v>0</v>
      </c>
      <c r="CN162" s="45">
        <v>0</v>
      </c>
      <c r="CO162" s="45">
        <f t="shared" ref="CO162:CQ162" si="1068">IF(CN162&lt;0,-CN162,0)</f>
        <v>0</v>
      </c>
      <c r="CP162" s="45">
        <v>-5000</v>
      </c>
      <c r="CQ162" s="45">
        <f t="shared" si="1068"/>
        <v>5000</v>
      </c>
      <c r="CR162" s="45">
        <v>-5300</v>
      </c>
      <c r="CS162" s="45">
        <f t="shared" ref="CS162:CU162" si="1069">IF(CR162&lt;0,-CR162,0)</f>
        <v>5300</v>
      </c>
      <c r="CT162" s="45">
        <v>-4000</v>
      </c>
      <c r="CU162" s="45">
        <f t="shared" si="1069"/>
        <v>4000</v>
      </c>
      <c r="CV162" s="45">
        <v>-4800</v>
      </c>
      <c r="CW162" s="45">
        <f t="shared" ref="CW162:CY162" si="1070">IF(CV162&lt;0,-CV162,0)</f>
        <v>4800</v>
      </c>
      <c r="CX162" s="45">
        <v>25664.110382980001</v>
      </c>
      <c r="CY162" s="45">
        <f t="shared" si="1070"/>
        <v>0</v>
      </c>
      <c r="CZ162" s="107">
        <f t="shared" si="881"/>
        <v>19800</v>
      </c>
      <c r="DA162" s="45"/>
      <c r="DB162" s="110">
        <v>35482.705000000002</v>
      </c>
      <c r="DC162" s="57">
        <v>2031.595</v>
      </c>
      <c r="DD162" s="61">
        <v>1637.9073579962001</v>
      </c>
      <c r="DE162" s="61">
        <f t="shared" si="882"/>
        <v>39152.207357996202</v>
      </c>
      <c r="DF162" s="110">
        <v>9420.32</v>
      </c>
      <c r="DG162" s="110">
        <v>53144.411</v>
      </c>
      <c r="DH162" s="57">
        <v>9066</v>
      </c>
      <c r="DI162" s="107">
        <f t="shared" si="883"/>
        <v>62210.411</v>
      </c>
      <c r="DJ162" s="45"/>
      <c r="DK162" s="110">
        <v>901.02599999999995</v>
      </c>
      <c r="DL162" s="57">
        <v>10553.7831128091</v>
      </c>
      <c r="DM162" s="57">
        <f t="shared" si="884"/>
        <v>11454.8091128091</v>
      </c>
      <c r="DN162" s="61">
        <v>1455.3989030504879</v>
      </c>
      <c r="DO162" s="61">
        <v>2931.2847992178222</v>
      </c>
      <c r="DP162" s="61">
        <v>429.85082277999999</v>
      </c>
      <c r="DQ162" s="57">
        <f t="shared" si="885"/>
        <v>3361.135621997822</v>
      </c>
      <c r="DR162" s="57">
        <v>162.84915551210119</v>
      </c>
      <c r="DS162" s="57">
        <v>162.84915551210119</v>
      </c>
      <c r="DT162" s="5"/>
      <c r="DU162" s="73">
        <v>0</v>
      </c>
      <c r="DV162" s="156">
        <v>6779.6610170000004</v>
      </c>
      <c r="DW162" s="155">
        <v>1447.7400829999999</v>
      </c>
      <c r="DX162" s="155">
        <v>0</v>
      </c>
      <c r="DY162" s="73">
        <v>0</v>
      </c>
      <c r="DZ162" s="156">
        <v>242.98584449000001</v>
      </c>
      <c r="EA162" s="73">
        <v>0</v>
      </c>
      <c r="EB162" s="156">
        <v>1271.1864410000001</v>
      </c>
      <c r="EC162" s="73">
        <v>0</v>
      </c>
      <c r="ED162" s="156">
        <v>847.5</v>
      </c>
      <c r="EE162" s="73">
        <v>0</v>
      </c>
      <c r="EF162" s="156">
        <v>7397.5988710000001</v>
      </c>
      <c r="EG162" s="73">
        <v>0</v>
      </c>
      <c r="EH162" s="156">
        <v>6779.6610170000004</v>
      </c>
      <c r="EI162" s="159">
        <v>242.98584449000001</v>
      </c>
      <c r="EJ162" s="162">
        <v>847.5</v>
      </c>
      <c r="EK162" s="165">
        <v>735.83500000000004</v>
      </c>
      <c r="EL162" s="159">
        <v>429.85082277999999</v>
      </c>
      <c r="EM162" s="159">
        <f t="shared" si="886"/>
        <v>10964.025395000001</v>
      </c>
      <c r="EN162" s="159">
        <f t="shared" si="887"/>
        <v>0</v>
      </c>
      <c r="EP162" s="2">
        <v>20998.500749999999</v>
      </c>
      <c r="EQ162" s="5">
        <f t="shared" si="888"/>
        <v>0.85499999999999987</v>
      </c>
    </row>
    <row r="163" spans="13:147" x14ac:dyDescent="0.35">
      <c r="M163" s="5"/>
      <c r="N163" s="66">
        <f t="shared" si="889"/>
        <v>161</v>
      </c>
      <c r="O163" s="78">
        <v>9296</v>
      </c>
      <c r="P163" s="77">
        <f t="shared" si="856"/>
        <v>0.112</v>
      </c>
      <c r="Q163" s="104">
        <v>0</v>
      </c>
      <c r="R163" s="77">
        <f t="shared" si="857"/>
        <v>0</v>
      </c>
      <c r="S163" s="104">
        <v>3570</v>
      </c>
      <c r="T163" s="77">
        <f t="shared" si="858"/>
        <v>0.11899999999999999</v>
      </c>
      <c r="U163" s="104">
        <v>2300.5120000000002</v>
      </c>
      <c r="V163" s="77">
        <f t="shared" ref="V163:V170" si="1071">U163/$B$6</f>
        <v>0.16</v>
      </c>
      <c r="W163" s="104">
        <v>1081.9087999999999</v>
      </c>
      <c r="X163" s="77">
        <f t="shared" ref="X163:X170" si="1072">W163/$B$7</f>
        <v>0.112</v>
      </c>
      <c r="Y163" s="104">
        <v>4473.54</v>
      </c>
      <c r="Z163" s="77">
        <f t="shared" si="859"/>
        <v>8.6999999999999994E-2</v>
      </c>
      <c r="AA163" s="104">
        <v>2918.2103999999999</v>
      </c>
      <c r="AB163" s="77">
        <f t="shared" si="860"/>
        <v>6.3E-2</v>
      </c>
      <c r="AC163" s="5"/>
      <c r="AD163" s="66">
        <f t="shared" si="890"/>
        <v>161</v>
      </c>
      <c r="AE163" s="78">
        <v>69152.844599999997</v>
      </c>
      <c r="AF163" s="104">
        <v>2125.1999999999998</v>
      </c>
      <c r="AG163" s="78">
        <v>462</v>
      </c>
      <c r="AH163" s="61">
        <f t="shared" si="861"/>
        <v>0.77699999999999991</v>
      </c>
      <c r="AI163" s="61">
        <f t="shared" si="862"/>
        <v>0.92399999999999993</v>
      </c>
      <c r="AJ163" s="61">
        <f t="shared" si="863"/>
        <v>0.92400000000000004</v>
      </c>
      <c r="AK163" s="77">
        <v>220.286</v>
      </c>
      <c r="AL163" s="104">
        <v>7125.8832000000002</v>
      </c>
      <c r="AM163" s="61">
        <f t="shared" ref="AM163:AM170" si="1073">AK163/$B$9</f>
        <v>0.34100000000000003</v>
      </c>
      <c r="AN163" s="57">
        <f t="shared" ref="AN163:AN170" si="1074">AL163/$B$8</f>
        <v>0.61199999999999999</v>
      </c>
      <c r="AO163" s="78">
        <v>37241</v>
      </c>
      <c r="AP163" s="104">
        <v>22465.575000000001</v>
      </c>
      <c r="AQ163" s="61">
        <f t="shared" si="864"/>
        <v>0.83499999999999996</v>
      </c>
      <c r="AR163" s="57">
        <f t="shared" si="865"/>
        <v>0.95700000000000007</v>
      </c>
      <c r="AS163" s="45"/>
      <c r="AT163" s="78">
        <v>916.11</v>
      </c>
      <c r="AU163" s="77">
        <f t="shared" ref="AU163:AU170" si="1075">AT163/$B$10</f>
        <v>0.37200019491119363</v>
      </c>
      <c r="AV163" s="78">
        <v>1003.027</v>
      </c>
      <c r="AW163" s="77">
        <f t="shared" ref="AW163:AW170" si="1076">AV163/$B$11</f>
        <v>0.62416116988176729</v>
      </c>
      <c r="AX163" s="78">
        <v>1121.4780000000001</v>
      </c>
      <c r="AY163" s="77">
        <f t="shared" si="866"/>
        <v>0.5784392407674851</v>
      </c>
      <c r="AZ163" s="45"/>
      <c r="BA163" s="75">
        <v>53641.616999999998</v>
      </c>
      <c r="BB163" s="77">
        <f t="shared" si="867"/>
        <v>0.77049180327868849</v>
      </c>
      <c r="BC163" s="45"/>
      <c r="BD163" s="105">
        <v>32600</v>
      </c>
      <c r="BE163" s="45">
        <v>168.40600000000001</v>
      </c>
      <c r="BF163" s="106">
        <v>1135.7719999999999</v>
      </c>
      <c r="BG163" s="107">
        <f t="shared" si="868"/>
        <v>1</v>
      </c>
      <c r="BH163" s="108">
        <f t="shared" si="869"/>
        <v>3.4320762701159586E-2</v>
      </c>
      <c r="BI163" s="106">
        <v>0</v>
      </c>
      <c r="BJ163" s="106">
        <v>0</v>
      </c>
      <c r="BK163" s="106">
        <v>0</v>
      </c>
      <c r="BL163" s="106">
        <v>4794.9759999999997</v>
      </c>
      <c r="BM163" s="107">
        <f t="shared" si="870"/>
        <v>0.35576316960973436</v>
      </c>
      <c r="BN163" s="108">
        <f t="shared" si="871"/>
        <v>0</v>
      </c>
      <c r="BO163" s="45">
        <v>7668</v>
      </c>
      <c r="BP163" s="45">
        <v>0</v>
      </c>
      <c r="BQ163" s="45"/>
      <c r="BR163" s="109">
        <v>-700</v>
      </c>
      <c r="BS163" s="45">
        <f t="shared" si="872"/>
        <v>0</v>
      </c>
      <c r="BT163" s="45">
        <v>4485</v>
      </c>
      <c r="BU163" s="45">
        <f t="shared" si="872"/>
        <v>4485</v>
      </c>
      <c r="BV163" s="45">
        <v>0</v>
      </c>
      <c r="BW163" s="45">
        <f t="shared" ref="BW163:BY163" si="1077">IF(BV163&gt;0,BV163,0)</f>
        <v>0</v>
      </c>
      <c r="BX163" s="45">
        <v>-5000</v>
      </c>
      <c r="BY163" s="45">
        <f t="shared" si="1077"/>
        <v>0</v>
      </c>
      <c r="BZ163" s="45">
        <v>-5300</v>
      </c>
      <c r="CA163" s="45">
        <f t="shared" ref="CA163:CC163" si="1078">IF(BZ163&gt;0,BZ163,0)</f>
        <v>0</v>
      </c>
      <c r="CB163" s="45">
        <v>-4000</v>
      </c>
      <c r="CC163" s="45">
        <f t="shared" si="1078"/>
        <v>0</v>
      </c>
      <c r="CD163" s="45">
        <v>-4800</v>
      </c>
      <c r="CE163" s="45">
        <f t="shared" ref="CE163:CG163" si="1079">IF(CD163&gt;0,CD163,0)</f>
        <v>0</v>
      </c>
      <c r="CF163" s="45">
        <v>21176.456659570002</v>
      </c>
      <c r="CG163" s="45">
        <f t="shared" si="1079"/>
        <v>21176.456659570002</v>
      </c>
      <c r="CH163" s="107">
        <f t="shared" si="876"/>
        <v>25661.456659570002</v>
      </c>
      <c r="CI163" s="45"/>
      <c r="CJ163" s="109">
        <v>-700</v>
      </c>
      <c r="CK163" s="45">
        <f t="shared" si="877"/>
        <v>700</v>
      </c>
      <c r="CL163" s="45">
        <v>4485</v>
      </c>
      <c r="CM163" s="45">
        <f t="shared" si="877"/>
        <v>0</v>
      </c>
      <c r="CN163" s="45">
        <v>0</v>
      </c>
      <c r="CO163" s="45">
        <f t="shared" ref="CO163:CQ163" si="1080">IF(CN163&lt;0,-CN163,0)</f>
        <v>0</v>
      </c>
      <c r="CP163" s="45">
        <v>-5000</v>
      </c>
      <c r="CQ163" s="45">
        <f t="shared" si="1080"/>
        <v>5000</v>
      </c>
      <c r="CR163" s="45">
        <v>-5300</v>
      </c>
      <c r="CS163" s="45">
        <f t="shared" ref="CS163:CU163" si="1081">IF(CR163&lt;0,-CR163,0)</f>
        <v>5300</v>
      </c>
      <c r="CT163" s="45">
        <v>-4000</v>
      </c>
      <c r="CU163" s="45">
        <f t="shared" si="1081"/>
        <v>4000</v>
      </c>
      <c r="CV163" s="45">
        <v>-4800</v>
      </c>
      <c r="CW163" s="45">
        <f t="shared" ref="CW163:CY163" si="1082">IF(CV163&lt;0,-CV163,0)</f>
        <v>4800</v>
      </c>
      <c r="CX163" s="45">
        <v>21176.456659570002</v>
      </c>
      <c r="CY163" s="45">
        <f t="shared" si="1082"/>
        <v>0</v>
      </c>
      <c r="CZ163" s="107">
        <f t="shared" si="881"/>
        <v>19800</v>
      </c>
      <c r="DA163" s="45"/>
      <c r="DB163" s="110">
        <v>35524.81</v>
      </c>
      <c r="DC163" s="57">
        <v>2055.6889999999999</v>
      </c>
      <c r="DD163" s="61">
        <v>1632.8602057942001</v>
      </c>
      <c r="DE163" s="61">
        <f t="shared" si="882"/>
        <v>39213.359205794193</v>
      </c>
      <c r="DF163" s="110">
        <v>9212.3780000000006</v>
      </c>
      <c r="DG163" s="110">
        <v>54704.411</v>
      </c>
      <c r="DH163" s="57">
        <v>9032</v>
      </c>
      <c r="DI163" s="107">
        <f t="shared" si="883"/>
        <v>63736.411</v>
      </c>
      <c r="DJ163" s="45"/>
      <c r="DK163" s="110">
        <v>899.17200000000003</v>
      </c>
      <c r="DL163" s="57">
        <v>10553.7831128091</v>
      </c>
      <c r="DM163" s="57">
        <f t="shared" si="884"/>
        <v>11452.955112809101</v>
      </c>
      <c r="DN163" s="61">
        <v>1455.3989030504879</v>
      </c>
      <c r="DO163" s="61">
        <v>2931.2847992178222</v>
      </c>
      <c r="DP163" s="61">
        <v>429.85082277999999</v>
      </c>
      <c r="DQ163" s="57">
        <f t="shared" si="885"/>
        <v>3361.135621997822</v>
      </c>
      <c r="DR163" s="57">
        <v>162.84915551210119</v>
      </c>
      <c r="DS163" s="57">
        <v>162.84915551210119</v>
      </c>
      <c r="DT163" s="5"/>
      <c r="DU163" s="73">
        <v>0</v>
      </c>
      <c r="DV163" s="156">
        <v>6779.6610170000004</v>
      </c>
      <c r="DW163" s="155">
        <v>1447.7400829999999</v>
      </c>
      <c r="DX163" s="155">
        <v>0</v>
      </c>
      <c r="DY163" s="73">
        <v>0</v>
      </c>
      <c r="DZ163" s="156">
        <v>242.98584449000001</v>
      </c>
      <c r="EA163" s="73">
        <v>0</v>
      </c>
      <c r="EB163" s="156">
        <v>1271.1864410000001</v>
      </c>
      <c r="EC163" s="73">
        <v>0</v>
      </c>
      <c r="ED163" s="156">
        <v>847.5</v>
      </c>
      <c r="EE163" s="73">
        <v>0</v>
      </c>
      <c r="EF163" s="156">
        <v>7397.5988710000001</v>
      </c>
      <c r="EG163" s="73">
        <v>0</v>
      </c>
      <c r="EH163" s="156">
        <v>6779.6610170000004</v>
      </c>
      <c r="EI163" s="159">
        <v>242.98584449000001</v>
      </c>
      <c r="EJ163" s="162">
        <v>847.5</v>
      </c>
      <c r="EK163" s="165">
        <v>735.83500000000004</v>
      </c>
      <c r="EL163" s="159">
        <v>429.85082277999999</v>
      </c>
      <c r="EM163" s="159">
        <f t="shared" si="886"/>
        <v>10964.025395000001</v>
      </c>
      <c r="EN163" s="159">
        <f t="shared" si="887"/>
        <v>0</v>
      </c>
      <c r="EP163" s="2">
        <v>20998.500749999999</v>
      </c>
      <c r="EQ163" s="5">
        <f t="shared" si="888"/>
        <v>0.85499999999999987</v>
      </c>
    </row>
    <row r="164" spans="13:147" x14ac:dyDescent="0.35">
      <c r="M164" s="5"/>
      <c r="N164" s="66">
        <f t="shared" si="889"/>
        <v>162</v>
      </c>
      <c r="O164" s="78">
        <v>2324</v>
      </c>
      <c r="P164" s="77">
        <f t="shared" si="856"/>
        <v>2.8000000000000001E-2</v>
      </c>
      <c r="Q164" s="104">
        <v>0</v>
      </c>
      <c r="R164" s="77">
        <f t="shared" si="857"/>
        <v>0</v>
      </c>
      <c r="S164" s="104">
        <v>960</v>
      </c>
      <c r="T164" s="77">
        <f t="shared" si="858"/>
        <v>3.2000000000000001E-2</v>
      </c>
      <c r="U164" s="104">
        <v>1308.4161999999999</v>
      </c>
      <c r="V164" s="77">
        <f t="shared" si="1071"/>
        <v>9.0999999999999984E-2</v>
      </c>
      <c r="W164" s="104">
        <v>434.69549999999998</v>
      </c>
      <c r="X164" s="77">
        <f t="shared" si="1072"/>
        <v>4.4999999999999998E-2</v>
      </c>
      <c r="Y164" s="104">
        <v>0</v>
      </c>
      <c r="Z164" s="77">
        <f t="shared" si="859"/>
        <v>0</v>
      </c>
      <c r="AA164" s="104">
        <v>0</v>
      </c>
      <c r="AB164" s="77">
        <f t="shared" si="860"/>
        <v>0</v>
      </c>
      <c r="AC164" s="5"/>
      <c r="AD164" s="66">
        <f t="shared" si="890"/>
        <v>162</v>
      </c>
      <c r="AE164" s="78">
        <v>68173.846799999999</v>
      </c>
      <c r="AF164" s="104">
        <v>2122.9</v>
      </c>
      <c r="AG164" s="78">
        <v>461.5</v>
      </c>
      <c r="AH164" s="61">
        <f t="shared" si="861"/>
        <v>0.76600000000000001</v>
      </c>
      <c r="AI164" s="61">
        <f t="shared" si="862"/>
        <v>0.92300000000000004</v>
      </c>
      <c r="AJ164" s="61">
        <f t="shared" si="863"/>
        <v>0.92300000000000004</v>
      </c>
      <c r="AK164" s="77">
        <v>221.578</v>
      </c>
      <c r="AL164" s="104">
        <v>6019.7412000000004</v>
      </c>
      <c r="AM164" s="61">
        <f t="shared" si="1073"/>
        <v>0.34300000000000003</v>
      </c>
      <c r="AN164" s="57">
        <f t="shared" si="1074"/>
        <v>0.51700000000000002</v>
      </c>
      <c r="AO164" s="78">
        <v>35546.199999999997</v>
      </c>
      <c r="AP164" s="104">
        <v>22442.1</v>
      </c>
      <c r="AQ164" s="61">
        <f t="shared" si="864"/>
        <v>0.79699999999999993</v>
      </c>
      <c r="AR164" s="57">
        <f t="shared" si="865"/>
        <v>0.95599999999999996</v>
      </c>
      <c r="AS164" s="45"/>
      <c r="AT164" s="78">
        <v>923.49699999999996</v>
      </c>
      <c r="AU164" s="77">
        <f t="shared" si="1075"/>
        <v>0.37499979696750668</v>
      </c>
      <c r="AV164" s="78">
        <v>1006.4059999999999</v>
      </c>
      <c r="AW164" s="77">
        <f t="shared" si="1076"/>
        <v>0.62626384567517113</v>
      </c>
      <c r="AX164" s="78">
        <v>1121.4780000000001</v>
      </c>
      <c r="AY164" s="77">
        <f t="shared" si="866"/>
        <v>0.5784392407674851</v>
      </c>
      <c r="AZ164" s="45"/>
      <c r="BA164" s="75">
        <v>53641.616999999998</v>
      </c>
      <c r="BB164" s="77">
        <f t="shared" si="867"/>
        <v>0.77049180327868849</v>
      </c>
      <c r="BC164" s="45"/>
      <c r="BD164" s="105">
        <v>30243.231</v>
      </c>
      <c r="BE164" s="45">
        <v>0</v>
      </c>
      <c r="BF164" s="106">
        <v>0</v>
      </c>
      <c r="BG164" s="107">
        <f t="shared" si="868"/>
        <v>0.92770647239263804</v>
      </c>
      <c r="BH164" s="108">
        <f t="shared" si="869"/>
        <v>0</v>
      </c>
      <c r="BI164" s="106">
        <v>0</v>
      </c>
      <c r="BJ164" s="106">
        <v>0</v>
      </c>
      <c r="BK164" s="106">
        <v>0</v>
      </c>
      <c r="BL164" s="106">
        <v>3960.0949999999998</v>
      </c>
      <c r="BM164" s="107">
        <f t="shared" si="870"/>
        <v>0.29381918682297076</v>
      </c>
      <c r="BN164" s="108">
        <f t="shared" si="871"/>
        <v>0</v>
      </c>
      <c r="BO164" s="45">
        <v>7668</v>
      </c>
      <c r="BP164" s="45">
        <v>0</v>
      </c>
      <c r="BQ164" s="45"/>
      <c r="BR164" s="109">
        <v>-700</v>
      </c>
      <c r="BS164" s="45">
        <f t="shared" si="872"/>
        <v>0</v>
      </c>
      <c r="BT164" s="45">
        <v>4485</v>
      </c>
      <c r="BU164" s="45">
        <f t="shared" si="872"/>
        <v>4485</v>
      </c>
      <c r="BV164" s="45">
        <v>0</v>
      </c>
      <c r="BW164" s="45">
        <f t="shared" ref="BW164:BY164" si="1083">IF(BV164&gt;0,BV164,0)</f>
        <v>0</v>
      </c>
      <c r="BX164" s="45">
        <v>-5000</v>
      </c>
      <c r="BY164" s="45">
        <f t="shared" si="1083"/>
        <v>0</v>
      </c>
      <c r="BZ164" s="45">
        <v>-5300</v>
      </c>
      <c r="CA164" s="45">
        <f t="shared" ref="CA164:CC164" si="1084">IF(BZ164&gt;0,BZ164,0)</f>
        <v>0</v>
      </c>
      <c r="CB164" s="45">
        <v>-4000</v>
      </c>
      <c r="CC164" s="45">
        <f t="shared" si="1084"/>
        <v>0</v>
      </c>
      <c r="CD164" s="45">
        <v>-4800</v>
      </c>
      <c r="CE164" s="45">
        <f t="shared" ref="CE164:CG164" si="1085">IF(CD164&gt;0,CD164,0)</f>
        <v>0</v>
      </c>
      <c r="CF164" s="45">
        <v>19961.347404259999</v>
      </c>
      <c r="CG164" s="45">
        <f t="shared" si="1085"/>
        <v>19961.347404259999</v>
      </c>
      <c r="CH164" s="107">
        <f t="shared" si="876"/>
        <v>24446.347404259999</v>
      </c>
      <c r="CI164" s="45"/>
      <c r="CJ164" s="109">
        <v>-700</v>
      </c>
      <c r="CK164" s="45">
        <f t="shared" si="877"/>
        <v>700</v>
      </c>
      <c r="CL164" s="45">
        <v>4485</v>
      </c>
      <c r="CM164" s="45">
        <f t="shared" si="877"/>
        <v>0</v>
      </c>
      <c r="CN164" s="45">
        <v>0</v>
      </c>
      <c r="CO164" s="45">
        <f t="shared" ref="CO164:CQ164" si="1086">IF(CN164&lt;0,-CN164,0)</f>
        <v>0</v>
      </c>
      <c r="CP164" s="45">
        <v>-5000</v>
      </c>
      <c r="CQ164" s="45">
        <f t="shared" si="1086"/>
        <v>5000</v>
      </c>
      <c r="CR164" s="45">
        <v>-5300</v>
      </c>
      <c r="CS164" s="45">
        <f t="shared" ref="CS164:CU164" si="1087">IF(CR164&lt;0,-CR164,0)</f>
        <v>5300</v>
      </c>
      <c r="CT164" s="45">
        <v>-4000</v>
      </c>
      <c r="CU164" s="45">
        <f t="shared" si="1087"/>
        <v>4000</v>
      </c>
      <c r="CV164" s="45">
        <v>-4800</v>
      </c>
      <c r="CW164" s="45">
        <f t="shared" ref="CW164:CY164" si="1088">IF(CV164&lt;0,-CV164,0)</f>
        <v>4800</v>
      </c>
      <c r="CX164" s="45">
        <v>19961.347404259999</v>
      </c>
      <c r="CY164" s="45">
        <f t="shared" si="1088"/>
        <v>0</v>
      </c>
      <c r="CZ164" s="107">
        <f t="shared" si="881"/>
        <v>19800</v>
      </c>
      <c r="DA164" s="45"/>
      <c r="DB164" s="110">
        <v>37301.245999999999</v>
      </c>
      <c r="DC164" s="57">
        <v>2217.5830000000001</v>
      </c>
      <c r="DD164" s="61">
        <v>1706.7498811513999</v>
      </c>
      <c r="DE164" s="61">
        <f t="shared" si="882"/>
        <v>41225.578881151399</v>
      </c>
      <c r="DF164" s="110">
        <v>9355.2849999999999</v>
      </c>
      <c r="DG164" s="110">
        <v>57836.411</v>
      </c>
      <c r="DH164" s="57">
        <v>9500</v>
      </c>
      <c r="DI164" s="107">
        <f t="shared" si="883"/>
        <v>67336.410999999993</v>
      </c>
      <c r="DJ164" s="45"/>
      <c r="DK164" s="110">
        <v>881.50199999999995</v>
      </c>
      <c r="DL164" s="57">
        <v>10553.7831128091</v>
      </c>
      <c r="DM164" s="57">
        <f t="shared" si="884"/>
        <v>11435.285112809101</v>
      </c>
      <c r="DN164" s="61">
        <v>1455.3989030504879</v>
      </c>
      <c r="DO164" s="61">
        <v>2931.2847992178222</v>
      </c>
      <c r="DP164" s="61">
        <v>429.85082277999999</v>
      </c>
      <c r="DQ164" s="57">
        <f t="shared" si="885"/>
        <v>3361.135621997822</v>
      </c>
      <c r="DR164" s="57">
        <v>162.84915551210119</v>
      </c>
      <c r="DS164" s="57">
        <v>162.84915551210119</v>
      </c>
      <c r="DT164" s="5"/>
      <c r="DU164" s="73">
        <v>0</v>
      </c>
      <c r="DV164" s="156">
        <v>6779.6610170000004</v>
      </c>
      <c r="DW164" s="155">
        <v>1447.7400829999999</v>
      </c>
      <c r="DX164" s="155">
        <v>0</v>
      </c>
      <c r="DY164" s="73">
        <v>0</v>
      </c>
      <c r="DZ164" s="156">
        <v>242.98584449000001</v>
      </c>
      <c r="EA164" s="73">
        <v>0</v>
      </c>
      <c r="EB164" s="156">
        <v>1271.1864410000001</v>
      </c>
      <c r="EC164" s="73">
        <v>0</v>
      </c>
      <c r="ED164" s="156">
        <v>847.5</v>
      </c>
      <c r="EE164" s="73">
        <v>0</v>
      </c>
      <c r="EF164" s="156">
        <v>7397.5988710000001</v>
      </c>
      <c r="EG164" s="73">
        <v>0</v>
      </c>
      <c r="EH164" s="156">
        <v>6779.6610170000004</v>
      </c>
      <c r="EI164" s="159">
        <v>242.98584449000001</v>
      </c>
      <c r="EJ164" s="162">
        <v>847.5</v>
      </c>
      <c r="EK164" s="165">
        <v>735.83500000000004</v>
      </c>
      <c r="EL164" s="159">
        <v>429.85082277999999</v>
      </c>
      <c r="EM164" s="159">
        <f t="shared" si="886"/>
        <v>10964.025395000001</v>
      </c>
      <c r="EN164" s="159">
        <f t="shared" si="887"/>
        <v>0</v>
      </c>
      <c r="EP164" s="2">
        <v>21465.134099999999</v>
      </c>
      <c r="EQ164" s="5">
        <f t="shared" si="888"/>
        <v>0.87399999999999989</v>
      </c>
    </row>
    <row r="165" spans="13:147" x14ac:dyDescent="0.35">
      <c r="M165" s="5"/>
      <c r="N165" s="66">
        <f t="shared" si="889"/>
        <v>163</v>
      </c>
      <c r="O165" s="78">
        <v>0</v>
      </c>
      <c r="P165" s="77">
        <f t="shared" si="856"/>
        <v>0</v>
      </c>
      <c r="Q165" s="104">
        <v>0</v>
      </c>
      <c r="R165" s="77">
        <f t="shared" si="857"/>
        <v>0</v>
      </c>
      <c r="S165" s="104">
        <v>0</v>
      </c>
      <c r="T165" s="77">
        <f t="shared" si="858"/>
        <v>0</v>
      </c>
      <c r="U165" s="104">
        <v>0</v>
      </c>
      <c r="V165" s="77">
        <f t="shared" si="1071"/>
        <v>0</v>
      </c>
      <c r="W165" s="104">
        <v>0</v>
      </c>
      <c r="X165" s="77">
        <f t="shared" si="1072"/>
        <v>0</v>
      </c>
      <c r="Y165" s="104">
        <v>0</v>
      </c>
      <c r="Z165" s="77">
        <f t="shared" si="859"/>
        <v>0</v>
      </c>
      <c r="AA165" s="104">
        <v>0</v>
      </c>
      <c r="AB165" s="77">
        <f t="shared" si="860"/>
        <v>0</v>
      </c>
      <c r="AC165" s="5"/>
      <c r="AD165" s="66">
        <f t="shared" si="890"/>
        <v>163</v>
      </c>
      <c r="AE165" s="78">
        <v>63812.856599999999</v>
      </c>
      <c r="AF165" s="104">
        <v>2118.3000000000002</v>
      </c>
      <c r="AG165" s="78">
        <v>460.5</v>
      </c>
      <c r="AH165" s="61">
        <f t="shared" si="861"/>
        <v>0.71699999999999997</v>
      </c>
      <c r="AI165" s="61">
        <f t="shared" si="862"/>
        <v>0.92100000000000004</v>
      </c>
      <c r="AJ165" s="61">
        <f t="shared" si="863"/>
        <v>0.92100000000000004</v>
      </c>
      <c r="AK165" s="77">
        <v>219.64</v>
      </c>
      <c r="AL165" s="104">
        <v>3772.5264000000002</v>
      </c>
      <c r="AM165" s="61">
        <f t="shared" si="1073"/>
        <v>0.33999999999999997</v>
      </c>
      <c r="AN165" s="57">
        <f t="shared" si="1074"/>
        <v>0.32400000000000001</v>
      </c>
      <c r="AO165" s="78">
        <v>34386.6</v>
      </c>
      <c r="AP165" s="104">
        <v>22301.25</v>
      </c>
      <c r="AQ165" s="61">
        <f t="shared" si="864"/>
        <v>0.77100000000000002</v>
      </c>
      <c r="AR165" s="57">
        <f t="shared" si="865"/>
        <v>0.95</v>
      </c>
      <c r="AS165" s="45"/>
      <c r="AT165" s="78">
        <v>925.96</v>
      </c>
      <c r="AU165" s="77">
        <f t="shared" si="1075"/>
        <v>0.37599993502960216</v>
      </c>
      <c r="AV165" s="78">
        <v>1007.8</v>
      </c>
      <c r="AW165" s="77">
        <f t="shared" si="1076"/>
        <v>0.62713130056004973</v>
      </c>
      <c r="AX165" s="78">
        <v>1121.4780000000001</v>
      </c>
      <c r="AY165" s="77">
        <f t="shared" si="866"/>
        <v>0.5784392407674851</v>
      </c>
      <c r="AZ165" s="45"/>
      <c r="BA165" s="75">
        <v>53641.616999999998</v>
      </c>
      <c r="BB165" s="77">
        <f t="shared" si="867"/>
        <v>0.77049180327868849</v>
      </c>
      <c r="BC165" s="45"/>
      <c r="BD165" s="105">
        <v>27240.467000000001</v>
      </c>
      <c r="BE165" s="45">
        <v>0</v>
      </c>
      <c r="BF165" s="106">
        <v>0</v>
      </c>
      <c r="BG165" s="107">
        <f t="shared" si="868"/>
        <v>0.83559714723926382</v>
      </c>
      <c r="BH165" s="108">
        <f t="shared" si="869"/>
        <v>0</v>
      </c>
      <c r="BI165" s="106">
        <v>0</v>
      </c>
      <c r="BJ165" s="106">
        <v>0</v>
      </c>
      <c r="BK165" s="106">
        <v>0</v>
      </c>
      <c r="BL165" s="106">
        <v>3136.3069999999998</v>
      </c>
      <c r="BM165" s="107">
        <f t="shared" si="870"/>
        <v>0.23269824899836769</v>
      </c>
      <c r="BN165" s="108">
        <f t="shared" si="871"/>
        <v>0</v>
      </c>
      <c r="BO165" s="45">
        <v>7668</v>
      </c>
      <c r="BP165" s="45">
        <v>0</v>
      </c>
      <c r="BQ165" s="45"/>
      <c r="BR165" s="109">
        <v>-700</v>
      </c>
      <c r="BS165" s="45">
        <f t="shared" si="872"/>
        <v>0</v>
      </c>
      <c r="BT165" s="45">
        <v>4485</v>
      </c>
      <c r="BU165" s="45">
        <f t="shared" si="872"/>
        <v>4485</v>
      </c>
      <c r="BV165" s="45">
        <v>0</v>
      </c>
      <c r="BW165" s="45">
        <f t="shared" ref="BW165:BY165" si="1089">IF(BV165&gt;0,BV165,0)</f>
        <v>0</v>
      </c>
      <c r="BX165" s="45">
        <v>-5000</v>
      </c>
      <c r="BY165" s="45">
        <f t="shared" si="1089"/>
        <v>0</v>
      </c>
      <c r="BZ165" s="45">
        <v>-5300</v>
      </c>
      <c r="CA165" s="45">
        <f t="shared" ref="CA165:CC165" si="1090">IF(BZ165&gt;0,BZ165,0)</f>
        <v>0</v>
      </c>
      <c r="CB165" s="45">
        <v>-4000</v>
      </c>
      <c r="CC165" s="45">
        <f t="shared" si="1090"/>
        <v>0</v>
      </c>
      <c r="CD165" s="45">
        <v>-4800</v>
      </c>
      <c r="CE165" s="45">
        <f t="shared" ref="CE165:CG165" si="1091">IF(CD165&gt;0,CD165,0)</f>
        <v>0</v>
      </c>
      <c r="CF165" s="45">
        <v>16343.858893619999</v>
      </c>
      <c r="CG165" s="45">
        <f t="shared" si="1091"/>
        <v>16343.858893619999</v>
      </c>
      <c r="CH165" s="107">
        <f t="shared" si="876"/>
        <v>20828.858893619999</v>
      </c>
      <c r="CI165" s="45"/>
      <c r="CJ165" s="109">
        <v>-700</v>
      </c>
      <c r="CK165" s="45">
        <f t="shared" si="877"/>
        <v>700</v>
      </c>
      <c r="CL165" s="45">
        <v>4485</v>
      </c>
      <c r="CM165" s="45">
        <f t="shared" si="877"/>
        <v>0</v>
      </c>
      <c r="CN165" s="45">
        <v>0</v>
      </c>
      <c r="CO165" s="45">
        <f t="shared" ref="CO165:CQ165" si="1092">IF(CN165&lt;0,-CN165,0)</f>
        <v>0</v>
      </c>
      <c r="CP165" s="45">
        <v>-5000</v>
      </c>
      <c r="CQ165" s="45">
        <f t="shared" si="1092"/>
        <v>5000</v>
      </c>
      <c r="CR165" s="45">
        <v>-5300</v>
      </c>
      <c r="CS165" s="45">
        <f t="shared" ref="CS165:CU165" si="1093">IF(CR165&lt;0,-CR165,0)</f>
        <v>5300</v>
      </c>
      <c r="CT165" s="45">
        <v>-4000</v>
      </c>
      <c r="CU165" s="45">
        <f t="shared" si="1093"/>
        <v>4000</v>
      </c>
      <c r="CV165" s="45">
        <v>-4800</v>
      </c>
      <c r="CW165" s="45">
        <f t="shared" ref="CW165:CY165" si="1094">IF(CV165&lt;0,-CV165,0)</f>
        <v>4800</v>
      </c>
      <c r="CX165" s="45">
        <v>16343.858893619999</v>
      </c>
      <c r="CY165" s="45">
        <f t="shared" si="1094"/>
        <v>0</v>
      </c>
      <c r="CZ165" s="107">
        <f t="shared" si="881"/>
        <v>19800</v>
      </c>
      <c r="DA165" s="45"/>
      <c r="DB165" s="110">
        <v>38251.661999999997</v>
      </c>
      <c r="DC165" s="57">
        <v>2316.5680000000002</v>
      </c>
      <c r="DD165" s="61">
        <v>1812.6672722281</v>
      </c>
      <c r="DE165" s="61">
        <f t="shared" si="882"/>
        <v>42380.897272228096</v>
      </c>
      <c r="DF165" s="110">
        <v>9407.5650000000005</v>
      </c>
      <c r="DG165" s="110">
        <v>59335.411</v>
      </c>
      <c r="DH165" s="57">
        <v>9099</v>
      </c>
      <c r="DI165" s="107">
        <f t="shared" si="883"/>
        <v>68434.410999999993</v>
      </c>
      <c r="DJ165" s="45"/>
      <c r="DK165" s="110">
        <v>876.221</v>
      </c>
      <c r="DL165" s="57">
        <v>10569.62924658717</v>
      </c>
      <c r="DM165" s="57">
        <f t="shared" si="884"/>
        <v>11445.85024658717</v>
      </c>
      <c r="DN165" s="61">
        <v>1455.3989030504879</v>
      </c>
      <c r="DO165" s="61">
        <v>2939.6344044654588</v>
      </c>
      <c r="DP165" s="61">
        <v>421.50121753000002</v>
      </c>
      <c r="DQ165" s="57">
        <f t="shared" si="885"/>
        <v>3361.1356219954587</v>
      </c>
      <c r="DR165" s="57">
        <v>163.31302247030331</v>
      </c>
      <c r="DS165" s="57">
        <v>163.31302247030331</v>
      </c>
      <c r="DT165" s="5"/>
      <c r="DU165" s="73">
        <v>0</v>
      </c>
      <c r="DV165" s="156">
        <v>6779.6610170000004</v>
      </c>
      <c r="DW165" s="155">
        <v>1447.7400829999999</v>
      </c>
      <c r="DX165" s="155">
        <v>0</v>
      </c>
      <c r="DY165" s="73">
        <v>0</v>
      </c>
      <c r="DZ165" s="156">
        <v>242.52197752999999</v>
      </c>
      <c r="EA165" s="73">
        <v>0</v>
      </c>
      <c r="EB165" s="156">
        <v>1271.1864410000001</v>
      </c>
      <c r="EC165" s="73">
        <v>0</v>
      </c>
      <c r="ED165" s="156">
        <v>847.5</v>
      </c>
      <c r="EE165" s="73">
        <v>0</v>
      </c>
      <c r="EF165" s="156">
        <v>7397.5988710000001</v>
      </c>
      <c r="EG165" s="73">
        <v>0</v>
      </c>
      <c r="EH165" s="156">
        <v>6779.6610170000004</v>
      </c>
      <c r="EI165" s="159">
        <v>242.52197752999999</v>
      </c>
      <c r="EJ165" s="162">
        <v>847.5</v>
      </c>
      <c r="EK165" s="165">
        <v>735.83500000000004</v>
      </c>
      <c r="EL165" s="159">
        <v>421.50121753000002</v>
      </c>
      <c r="EM165" s="159">
        <f t="shared" si="886"/>
        <v>10964.025395000001</v>
      </c>
      <c r="EN165" s="159">
        <f t="shared" si="887"/>
        <v>0</v>
      </c>
      <c r="EP165" s="2">
        <v>20531.867399999999</v>
      </c>
      <c r="EQ165" s="5">
        <f t="shared" si="888"/>
        <v>0.83599999999999997</v>
      </c>
    </row>
    <row r="166" spans="13:147" x14ac:dyDescent="0.35">
      <c r="M166" s="5"/>
      <c r="N166" s="66">
        <f t="shared" si="889"/>
        <v>164</v>
      </c>
      <c r="O166" s="78">
        <v>0</v>
      </c>
      <c r="P166" s="77">
        <f t="shared" si="856"/>
        <v>0</v>
      </c>
      <c r="Q166" s="104">
        <v>0</v>
      </c>
      <c r="R166" s="77">
        <f t="shared" si="857"/>
        <v>0</v>
      </c>
      <c r="S166" s="104">
        <v>0</v>
      </c>
      <c r="T166" s="77">
        <f t="shared" si="858"/>
        <v>0</v>
      </c>
      <c r="U166" s="104">
        <v>0</v>
      </c>
      <c r="V166" s="77">
        <f t="shared" si="1071"/>
        <v>0</v>
      </c>
      <c r="W166" s="104">
        <v>0</v>
      </c>
      <c r="X166" s="77">
        <f t="shared" si="1072"/>
        <v>0</v>
      </c>
      <c r="Y166" s="104">
        <v>0</v>
      </c>
      <c r="Z166" s="77">
        <f t="shared" si="859"/>
        <v>0</v>
      </c>
      <c r="AA166" s="104">
        <v>0</v>
      </c>
      <c r="AB166" s="77">
        <f t="shared" si="860"/>
        <v>0</v>
      </c>
      <c r="AC166" s="5"/>
      <c r="AD166" s="66">
        <f t="shared" si="890"/>
        <v>164</v>
      </c>
      <c r="AE166" s="78">
        <v>62032.8606</v>
      </c>
      <c r="AF166" s="104">
        <v>2122.9</v>
      </c>
      <c r="AG166" s="78">
        <v>461.5</v>
      </c>
      <c r="AH166" s="61">
        <f t="shared" si="861"/>
        <v>0.69699999999999995</v>
      </c>
      <c r="AI166" s="61">
        <f t="shared" si="862"/>
        <v>0.92300000000000004</v>
      </c>
      <c r="AJ166" s="61">
        <f t="shared" si="863"/>
        <v>0.92300000000000004</v>
      </c>
      <c r="AK166" s="77">
        <v>218.34800000000001</v>
      </c>
      <c r="AL166" s="104">
        <v>2922.5436</v>
      </c>
      <c r="AM166" s="61">
        <f t="shared" si="1073"/>
        <v>0.33800000000000002</v>
      </c>
      <c r="AN166" s="57">
        <f t="shared" si="1074"/>
        <v>0.251</v>
      </c>
      <c r="AO166" s="78">
        <v>34431.199999999997</v>
      </c>
      <c r="AP166" s="104">
        <v>22043.025000000001</v>
      </c>
      <c r="AQ166" s="61">
        <f t="shared" si="864"/>
        <v>0.77199999999999991</v>
      </c>
      <c r="AR166" s="57">
        <f t="shared" si="865"/>
        <v>0.93900000000000006</v>
      </c>
      <c r="AS166" s="45"/>
      <c r="AT166" s="78">
        <v>925.96</v>
      </c>
      <c r="AU166" s="77">
        <f t="shared" si="1075"/>
        <v>0.37599993502960216</v>
      </c>
      <c r="AV166" s="78">
        <v>1012.452</v>
      </c>
      <c r="AW166" s="77">
        <f t="shared" si="1076"/>
        <v>0.63002613565650278</v>
      </c>
      <c r="AX166" s="78">
        <v>1121.4780000000001</v>
      </c>
      <c r="AY166" s="77">
        <f t="shared" si="866"/>
        <v>0.5784392407674851</v>
      </c>
      <c r="AZ166" s="45"/>
      <c r="BA166" s="75">
        <v>53641.616999999998</v>
      </c>
      <c r="BB166" s="77">
        <f t="shared" si="867"/>
        <v>0.77049180327868849</v>
      </c>
      <c r="BC166" s="45"/>
      <c r="BD166" s="105">
        <v>26492.048999999999</v>
      </c>
      <c r="BE166" s="45">
        <v>0</v>
      </c>
      <c r="BF166" s="106">
        <v>0</v>
      </c>
      <c r="BG166" s="107">
        <f t="shared" si="868"/>
        <v>0.81263953987730053</v>
      </c>
      <c r="BH166" s="108">
        <f t="shared" si="869"/>
        <v>0</v>
      </c>
      <c r="BI166" s="106">
        <v>0</v>
      </c>
      <c r="BJ166" s="106">
        <v>0</v>
      </c>
      <c r="BK166" s="106">
        <v>0</v>
      </c>
      <c r="BL166" s="106">
        <v>3067.5390000000002</v>
      </c>
      <c r="BM166" s="107">
        <f t="shared" si="870"/>
        <v>0.22759600830983828</v>
      </c>
      <c r="BN166" s="108">
        <f t="shared" si="871"/>
        <v>0</v>
      </c>
      <c r="BO166" s="45">
        <v>7668</v>
      </c>
      <c r="BP166" s="45">
        <v>0</v>
      </c>
      <c r="BQ166" s="45"/>
      <c r="BR166" s="109">
        <v>-700</v>
      </c>
      <c r="BS166" s="45">
        <f t="shared" si="872"/>
        <v>0</v>
      </c>
      <c r="BT166" s="45">
        <v>4485</v>
      </c>
      <c r="BU166" s="45">
        <f t="shared" si="872"/>
        <v>4485</v>
      </c>
      <c r="BV166" s="45">
        <v>0</v>
      </c>
      <c r="BW166" s="45">
        <f t="shared" ref="BW166:BY166" si="1095">IF(BV166&gt;0,BV166,0)</f>
        <v>0</v>
      </c>
      <c r="BX166" s="45">
        <v>-5000</v>
      </c>
      <c r="BY166" s="45">
        <f t="shared" si="1095"/>
        <v>0</v>
      </c>
      <c r="BZ166" s="45">
        <v>-5300</v>
      </c>
      <c r="CA166" s="45">
        <f t="shared" ref="CA166:CC166" si="1096">IF(BZ166&gt;0,BZ166,0)</f>
        <v>0</v>
      </c>
      <c r="CB166" s="45">
        <v>-4000</v>
      </c>
      <c r="CC166" s="45">
        <f t="shared" si="1096"/>
        <v>0</v>
      </c>
      <c r="CD166" s="45">
        <v>-4800</v>
      </c>
      <c r="CE166" s="45">
        <f t="shared" ref="CE166:CG166" si="1097">IF(CD166&gt;0,CD166,0)</f>
        <v>0</v>
      </c>
      <c r="CF166" s="45">
        <v>26004.059856439999</v>
      </c>
      <c r="CG166" s="45">
        <f t="shared" si="1097"/>
        <v>26004.059856439999</v>
      </c>
      <c r="CH166" s="107">
        <f t="shared" si="876"/>
        <v>30489.059856439999</v>
      </c>
      <c r="CI166" s="45"/>
      <c r="CJ166" s="109">
        <v>-700</v>
      </c>
      <c r="CK166" s="45">
        <f t="shared" si="877"/>
        <v>700</v>
      </c>
      <c r="CL166" s="45">
        <v>4485</v>
      </c>
      <c r="CM166" s="45">
        <f t="shared" si="877"/>
        <v>0</v>
      </c>
      <c r="CN166" s="45">
        <v>0</v>
      </c>
      <c r="CO166" s="45">
        <f t="shared" ref="CO166:CQ166" si="1098">IF(CN166&lt;0,-CN166,0)</f>
        <v>0</v>
      </c>
      <c r="CP166" s="45">
        <v>-5000</v>
      </c>
      <c r="CQ166" s="45">
        <f t="shared" si="1098"/>
        <v>5000</v>
      </c>
      <c r="CR166" s="45">
        <v>-5300</v>
      </c>
      <c r="CS166" s="45">
        <f t="shared" ref="CS166:CU166" si="1099">IF(CR166&lt;0,-CR166,0)</f>
        <v>5300</v>
      </c>
      <c r="CT166" s="45">
        <v>-4000</v>
      </c>
      <c r="CU166" s="45">
        <f t="shared" si="1099"/>
        <v>4000</v>
      </c>
      <c r="CV166" s="45">
        <v>-4800</v>
      </c>
      <c r="CW166" s="45">
        <f t="shared" ref="CW166:CY166" si="1100">IF(CV166&lt;0,-CV166,0)</f>
        <v>4800</v>
      </c>
      <c r="CX166" s="45">
        <v>26004.059856439999</v>
      </c>
      <c r="CY166" s="45">
        <f t="shared" si="1100"/>
        <v>0</v>
      </c>
      <c r="CZ166" s="107">
        <f t="shared" si="881"/>
        <v>19800</v>
      </c>
      <c r="DA166" s="45"/>
      <c r="DB166" s="110">
        <v>38545.404000000002</v>
      </c>
      <c r="DC166" s="57">
        <v>2318.4690000000001</v>
      </c>
      <c r="DD166" s="61">
        <v>1932.657983051</v>
      </c>
      <c r="DE166" s="61">
        <f t="shared" si="882"/>
        <v>42796.530983051001</v>
      </c>
      <c r="DF166" s="110">
        <v>9485.7279999999992</v>
      </c>
      <c r="DG166" s="110">
        <v>59483.411</v>
      </c>
      <c r="DH166" s="57">
        <v>8575</v>
      </c>
      <c r="DI166" s="107">
        <f t="shared" si="883"/>
        <v>68058.410999999993</v>
      </c>
      <c r="DJ166" s="45"/>
      <c r="DK166" s="110">
        <v>865.38099999999997</v>
      </c>
      <c r="DL166" s="57">
        <v>10553.7831128091</v>
      </c>
      <c r="DM166" s="57">
        <f t="shared" si="884"/>
        <v>11419.1641128091</v>
      </c>
      <c r="DN166" s="61">
        <v>1455.3989030504879</v>
      </c>
      <c r="DO166" s="61">
        <v>2931.2847992178222</v>
      </c>
      <c r="DP166" s="61">
        <v>429.85082277999999</v>
      </c>
      <c r="DQ166" s="57">
        <f t="shared" si="885"/>
        <v>3361.135621997822</v>
      </c>
      <c r="DR166" s="57">
        <v>162.84915551210119</v>
      </c>
      <c r="DS166" s="57">
        <v>162.84915551210119</v>
      </c>
      <c r="DT166" s="5"/>
      <c r="DU166" s="73">
        <v>0</v>
      </c>
      <c r="DV166" s="156">
        <v>6779.6610170000004</v>
      </c>
      <c r="DW166" s="155">
        <v>1447.7400829999999</v>
      </c>
      <c r="DX166" s="155">
        <v>0</v>
      </c>
      <c r="DY166" s="73">
        <v>0</v>
      </c>
      <c r="DZ166" s="156">
        <v>242.98584449000001</v>
      </c>
      <c r="EA166" s="73">
        <v>0</v>
      </c>
      <c r="EB166" s="156">
        <v>1271.1864410000001</v>
      </c>
      <c r="EC166" s="73">
        <v>0</v>
      </c>
      <c r="ED166" s="156">
        <v>847.5</v>
      </c>
      <c r="EE166" s="73">
        <v>0</v>
      </c>
      <c r="EF166" s="156">
        <v>7397.5988710000001</v>
      </c>
      <c r="EG166" s="73">
        <v>0</v>
      </c>
      <c r="EH166" s="156">
        <v>6779.6610170000004</v>
      </c>
      <c r="EI166" s="159">
        <v>242.98584449000001</v>
      </c>
      <c r="EJ166" s="162">
        <v>847.5</v>
      </c>
      <c r="EK166" s="165">
        <v>735.83500000000004</v>
      </c>
      <c r="EL166" s="159">
        <v>429.85082277999999</v>
      </c>
      <c r="EM166" s="159">
        <f t="shared" si="886"/>
        <v>10964.025395000001</v>
      </c>
      <c r="EN166" s="159">
        <f t="shared" si="887"/>
        <v>0</v>
      </c>
      <c r="EP166" s="2">
        <v>20531.867399999999</v>
      </c>
      <c r="EQ166" s="5">
        <f t="shared" si="888"/>
        <v>0.83599999999999997</v>
      </c>
    </row>
    <row r="167" spans="13:147" x14ac:dyDescent="0.35">
      <c r="M167" s="5"/>
      <c r="N167" s="66">
        <f t="shared" si="889"/>
        <v>165</v>
      </c>
      <c r="O167" s="78">
        <v>0</v>
      </c>
      <c r="P167" s="77">
        <f t="shared" si="856"/>
        <v>0</v>
      </c>
      <c r="Q167" s="104">
        <v>0</v>
      </c>
      <c r="R167" s="77">
        <f t="shared" si="857"/>
        <v>0</v>
      </c>
      <c r="S167" s="104">
        <v>0</v>
      </c>
      <c r="T167" s="77">
        <f t="shared" si="858"/>
        <v>0</v>
      </c>
      <c r="U167" s="104">
        <v>0</v>
      </c>
      <c r="V167" s="77">
        <f t="shared" si="1071"/>
        <v>0</v>
      </c>
      <c r="W167" s="104">
        <v>0</v>
      </c>
      <c r="X167" s="77">
        <f t="shared" si="1072"/>
        <v>0</v>
      </c>
      <c r="Y167" s="104">
        <v>0</v>
      </c>
      <c r="Z167" s="77">
        <f t="shared" si="859"/>
        <v>0</v>
      </c>
      <c r="AA167" s="104">
        <v>0</v>
      </c>
      <c r="AB167" s="77">
        <f t="shared" si="860"/>
        <v>0</v>
      </c>
      <c r="AC167" s="5"/>
      <c r="AD167" s="66">
        <f t="shared" si="890"/>
        <v>165</v>
      </c>
      <c r="AE167" s="78">
        <v>62566.859400000001</v>
      </c>
      <c r="AF167" s="104">
        <v>2129.8000000000002</v>
      </c>
      <c r="AG167" s="78">
        <v>463</v>
      </c>
      <c r="AH167" s="61">
        <f t="shared" si="861"/>
        <v>0.70299999999999996</v>
      </c>
      <c r="AI167" s="61">
        <f t="shared" si="862"/>
        <v>0.92600000000000005</v>
      </c>
      <c r="AJ167" s="61">
        <f t="shared" si="863"/>
        <v>0.92600000000000005</v>
      </c>
      <c r="AK167" s="77">
        <v>229.976</v>
      </c>
      <c r="AL167" s="104">
        <v>2561.5920000000001</v>
      </c>
      <c r="AM167" s="61">
        <f t="shared" si="1073"/>
        <v>0.35599999999999998</v>
      </c>
      <c r="AN167" s="57">
        <f t="shared" si="1074"/>
        <v>0.22</v>
      </c>
      <c r="AO167" s="78">
        <v>34877.199999999997</v>
      </c>
      <c r="AP167" s="104">
        <v>21831.75</v>
      </c>
      <c r="AQ167" s="61">
        <f t="shared" si="864"/>
        <v>0.78199999999999992</v>
      </c>
      <c r="AR167" s="57">
        <f t="shared" si="865"/>
        <v>0.93</v>
      </c>
      <c r="AS167" s="45"/>
      <c r="AT167" s="78">
        <v>925.96</v>
      </c>
      <c r="AU167" s="77">
        <f t="shared" si="1075"/>
        <v>0.37599993502960216</v>
      </c>
      <c r="AV167" s="78">
        <v>1021.498</v>
      </c>
      <c r="AW167" s="77">
        <f t="shared" si="1076"/>
        <v>0.63565525824517732</v>
      </c>
      <c r="AX167" s="78">
        <v>1121.4780000000001</v>
      </c>
      <c r="AY167" s="77">
        <f t="shared" si="866"/>
        <v>0.5784392407674851</v>
      </c>
      <c r="AZ167" s="45"/>
      <c r="BA167" s="75">
        <v>53641.616999999998</v>
      </c>
      <c r="BB167" s="77">
        <f t="shared" si="867"/>
        <v>0.77049180327868849</v>
      </c>
      <c r="BC167" s="45"/>
      <c r="BD167" s="105">
        <v>26700.264999999999</v>
      </c>
      <c r="BE167" s="45">
        <v>0</v>
      </c>
      <c r="BF167" s="106">
        <v>0</v>
      </c>
      <c r="BG167" s="107">
        <f t="shared" si="868"/>
        <v>0.81902653374233125</v>
      </c>
      <c r="BH167" s="108">
        <f t="shared" si="869"/>
        <v>0</v>
      </c>
      <c r="BI167" s="106">
        <v>0</v>
      </c>
      <c r="BJ167" s="106">
        <v>0</v>
      </c>
      <c r="BK167" s="106">
        <v>0</v>
      </c>
      <c r="BL167" s="106">
        <v>3233.335</v>
      </c>
      <c r="BM167" s="107">
        <f t="shared" si="870"/>
        <v>0.2398972399465796</v>
      </c>
      <c r="BN167" s="108">
        <f t="shared" si="871"/>
        <v>0</v>
      </c>
      <c r="BO167" s="45">
        <v>7668</v>
      </c>
      <c r="BP167" s="45">
        <v>0</v>
      </c>
      <c r="BQ167" s="45"/>
      <c r="BR167" s="109">
        <v>-700</v>
      </c>
      <c r="BS167" s="45">
        <f t="shared" si="872"/>
        <v>0</v>
      </c>
      <c r="BT167" s="45">
        <v>4485</v>
      </c>
      <c r="BU167" s="45">
        <f t="shared" si="872"/>
        <v>4485</v>
      </c>
      <c r="BV167" s="45">
        <v>0</v>
      </c>
      <c r="BW167" s="45">
        <f t="shared" ref="BW167:BY167" si="1101">IF(BV167&gt;0,BV167,0)</f>
        <v>0</v>
      </c>
      <c r="BX167" s="45">
        <v>-5000</v>
      </c>
      <c r="BY167" s="45">
        <f t="shared" si="1101"/>
        <v>0</v>
      </c>
      <c r="BZ167" s="45">
        <v>-5300</v>
      </c>
      <c r="CA167" s="45">
        <f t="shared" ref="CA167:CC167" si="1102">IF(BZ167&gt;0,BZ167,0)</f>
        <v>0</v>
      </c>
      <c r="CB167" s="45">
        <v>-4000</v>
      </c>
      <c r="CC167" s="45">
        <f t="shared" si="1102"/>
        <v>0</v>
      </c>
      <c r="CD167" s="45">
        <v>-4800</v>
      </c>
      <c r="CE167" s="45">
        <f t="shared" ref="CE167:CG167" si="1103">IF(CD167&gt;0,CD167,0)</f>
        <v>0</v>
      </c>
      <c r="CF167" s="45">
        <v>18367.89102128</v>
      </c>
      <c r="CG167" s="45">
        <f t="shared" si="1103"/>
        <v>18367.89102128</v>
      </c>
      <c r="CH167" s="107">
        <f t="shared" si="876"/>
        <v>22852.89102128</v>
      </c>
      <c r="CI167" s="45"/>
      <c r="CJ167" s="109">
        <v>-700</v>
      </c>
      <c r="CK167" s="45">
        <f t="shared" si="877"/>
        <v>700</v>
      </c>
      <c r="CL167" s="45">
        <v>4485</v>
      </c>
      <c r="CM167" s="45">
        <f t="shared" si="877"/>
        <v>0</v>
      </c>
      <c r="CN167" s="45">
        <v>0</v>
      </c>
      <c r="CO167" s="45">
        <f t="shared" ref="CO167:CQ167" si="1104">IF(CN167&lt;0,-CN167,0)</f>
        <v>0</v>
      </c>
      <c r="CP167" s="45">
        <v>-5000</v>
      </c>
      <c r="CQ167" s="45">
        <f t="shared" si="1104"/>
        <v>5000</v>
      </c>
      <c r="CR167" s="45">
        <v>-5300</v>
      </c>
      <c r="CS167" s="45">
        <f t="shared" ref="CS167:CU167" si="1105">IF(CR167&lt;0,-CR167,0)</f>
        <v>5300</v>
      </c>
      <c r="CT167" s="45">
        <v>-4000</v>
      </c>
      <c r="CU167" s="45">
        <f t="shared" si="1105"/>
        <v>4000</v>
      </c>
      <c r="CV167" s="45">
        <v>-4800</v>
      </c>
      <c r="CW167" s="45">
        <f t="shared" ref="CW167:CY167" si="1106">IF(CV167&lt;0,-CV167,0)</f>
        <v>4800</v>
      </c>
      <c r="CX167" s="45">
        <v>18367.89102128</v>
      </c>
      <c r="CY167" s="45">
        <f t="shared" si="1106"/>
        <v>0</v>
      </c>
      <c r="CZ167" s="107">
        <f t="shared" si="881"/>
        <v>19800</v>
      </c>
      <c r="DA167" s="45"/>
      <c r="DB167" s="110">
        <v>38210.756000000001</v>
      </c>
      <c r="DC167" s="57">
        <v>2319.2249999999999</v>
      </c>
      <c r="DD167" s="61">
        <v>1902.0340898625</v>
      </c>
      <c r="DE167" s="61">
        <f t="shared" si="882"/>
        <v>42432.0150898625</v>
      </c>
      <c r="DF167" s="110">
        <v>9216.625</v>
      </c>
      <c r="DG167" s="110">
        <v>57668.411</v>
      </c>
      <c r="DH167" s="57">
        <v>8661</v>
      </c>
      <c r="DI167" s="107">
        <f t="shared" si="883"/>
        <v>66329.410999999993</v>
      </c>
      <c r="DJ167" s="45"/>
      <c r="DK167" s="110">
        <v>816.726</v>
      </c>
      <c r="DL167" s="57">
        <v>10537.936979031019</v>
      </c>
      <c r="DM167" s="57">
        <f t="shared" si="884"/>
        <v>11354.66297903102</v>
      </c>
      <c r="DN167" s="61">
        <v>1455.3989030504879</v>
      </c>
      <c r="DO167" s="61">
        <v>2922.935193970186</v>
      </c>
      <c r="DP167" s="61">
        <v>438.20042803000001</v>
      </c>
      <c r="DQ167" s="57">
        <f t="shared" si="885"/>
        <v>3361.1356220001862</v>
      </c>
      <c r="DR167" s="57">
        <v>162.38528855389919</v>
      </c>
      <c r="DS167" s="57">
        <v>162.38528855389919</v>
      </c>
      <c r="DT167" s="5"/>
      <c r="DU167" s="73">
        <v>0</v>
      </c>
      <c r="DV167" s="156">
        <v>6779.6610170000004</v>
      </c>
      <c r="DW167" s="155">
        <v>1447.7400829999999</v>
      </c>
      <c r="DX167" s="155">
        <v>0</v>
      </c>
      <c r="DY167" s="73">
        <v>0</v>
      </c>
      <c r="DZ167" s="156">
        <v>243.44971145</v>
      </c>
      <c r="EA167" s="73">
        <v>0</v>
      </c>
      <c r="EB167" s="156">
        <v>1271.1864410000001</v>
      </c>
      <c r="EC167" s="73">
        <v>0</v>
      </c>
      <c r="ED167" s="156">
        <v>847.5</v>
      </c>
      <c r="EE167" s="73">
        <v>0</v>
      </c>
      <c r="EF167" s="156">
        <v>7397.5988710000001</v>
      </c>
      <c r="EG167" s="73">
        <v>0</v>
      </c>
      <c r="EH167" s="156">
        <v>6779.6610170000004</v>
      </c>
      <c r="EI167" s="159">
        <v>243.44971145</v>
      </c>
      <c r="EJ167" s="162">
        <v>847.5</v>
      </c>
      <c r="EK167" s="165">
        <v>735.83500000000004</v>
      </c>
      <c r="EL167" s="159">
        <v>438.20042803000001</v>
      </c>
      <c r="EM167" s="159">
        <f t="shared" si="886"/>
        <v>10964.025395000001</v>
      </c>
      <c r="EN167" s="159">
        <f t="shared" si="887"/>
        <v>0</v>
      </c>
      <c r="EP167" s="2">
        <v>20065.234049999999</v>
      </c>
      <c r="EQ167" s="5">
        <f t="shared" si="888"/>
        <v>0.81699999999999995</v>
      </c>
    </row>
    <row r="168" spans="13:147" x14ac:dyDescent="0.35">
      <c r="M168" s="5"/>
      <c r="N168" s="66">
        <f t="shared" si="889"/>
        <v>166</v>
      </c>
      <c r="O168" s="78">
        <v>0</v>
      </c>
      <c r="P168" s="77">
        <f t="shared" si="856"/>
        <v>0</v>
      </c>
      <c r="Q168" s="104">
        <v>0</v>
      </c>
      <c r="R168" s="77">
        <f t="shared" si="857"/>
        <v>0</v>
      </c>
      <c r="S168" s="104">
        <v>0</v>
      </c>
      <c r="T168" s="77">
        <f t="shared" si="858"/>
        <v>0</v>
      </c>
      <c r="U168" s="104">
        <v>0</v>
      </c>
      <c r="V168" s="77">
        <f t="shared" si="1071"/>
        <v>0</v>
      </c>
      <c r="W168" s="104">
        <v>0</v>
      </c>
      <c r="X168" s="77">
        <f t="shared" si="1072"/>
        <v>0</v>
      </c>
      <c r="Y168" s="104">
        <v>0</v>
      </c>
      <c r="Z168" s="77">
        <f t="shared" si="859"/>
        <v>0</v>
      </c>
      <c r="AA168" s="104">
        <v>0</v>
      </c>
      <c r="AB168" s="77">
        <f t="shared" si="860"/>
        <v>0</v>
      </c>
      <c r="AC168" s="5"/>
      <c r="AD168" s="66">
        <f t="shared" si="890"/>
        <v>166</v>
      </c>
      <c r="AE168" s="78">
        <v>63812.856599999999</v>
      </c>
      <c r="AF168" s="104">
        <v>2136.6999999999998</v>
      </c>
      <c r="AG168" s="78">
        <v>464.5</v>
      </c>
      <c r="AH168" s="61">
        <f t="shared" si="861"/>
        <v>0.71699999999999997</v>
      </c>
      <c r="AI168" s="61">
        <f t="shared" si="862"/>
        <v>0.92899999999999994</v>
      </c>
      <c r="AJ168" s="61">
        <f t="shared" si="863"/>
        <v>0.92900000000000005</v>
      </c>
      <c r="AK168" s="77">
        <v>255.17</v>
      </c>
      <c r="AL168" s="104">
        <v>2712.9587999999999</v>
      </c>
      <c r="AM168" s="61">
        <f t="shared" si="1073"/>
        <v>0.39499999999999996</v>
      </c>
      <c r="AN168" s="57">
        <f t="shared" si="1074"/>
        <v>0.23299999999999998</v>
      </c>
      <c r="AO168" s="78">
        <v>35189.4</v>
      </c>
      <c r="AP168" s="104">
        <v>21385.724999999999</v>
      </c>
      <c r="AQ168" s="61">
        <f t="shared" si="864"/>
        <v>0.78900000000000003</v>
      </c>
      <c r="AR168" s="57">
        <f t="shared" si="865"/>
        <v>0.91099999999999992</v>
      </c>
      <c r="AS168" s="45"/>
      <c r="AT168" s="78">
        <v>928.423</v>
      </c>
      <c r="AU168" s="77">
        <f t="shared" si="1075"/>
        <v>0.37700007309169764</v>
      </c>
      <c r="AV168" s="78">
        <v>1023.155</v>
      </c>
      <c r="AW168" s="77">
        <f t="shared" si="1076"/>
        <v>0.63668637212196633</v>
      </c>
      <c r="AX168" s="78">
        <v>1121.4780000000001</v>
      </c>
      <c r="AY168" s="77">
        <f t="shared" si="866"/>
        <v>0.5784392407674851</v>
      </c>
      <c r="AZ168" s="45"/>
      <c r="BA168" s="75">
        <v>53641.616999999998</v>
      </c>
      <c r="BB168" s="77">
        <f t="shared" si="867"/>
        <v>0.77049180327868849</v>
      </c>
      <c r="BC168" s="45"/>
      <c r="BD168" s="105">
        <v>27241.19</v>
      </c>
      <c r="BE168" s="45">
        <v>0</v>
      </c>
      <c r="BF168" s="106">
        <v>0</v>
      </c>
      <c r="BG168" s="107">
        <f t="shared" si="868"/>
        <v>0.83561932515337423</v>
      </c>
      <c r="BH168" s="108">
        <f t="shared" si="869"/>
        <v>0</v>
      </c>
      <c r="BI168" s="106">
        <v>0</v>
      </c>
      <c r="BJ168" s="106">
        <v>0</v>
      </c>
      <c r="BK168" s="106">
        <v>0</v>
      </c>
      <c r="BL168" s="106">
        <v>3574.53</v>
      </c>
      <c r="BM168" s="107">
        <f t="shared" si="870"/>
        <v>0.26521219765543852</v>
      </c>
      <c r="BN168" s="108">
        <f t="shared" si="871"/>
        <v>0</v>
      </c>
      <c r="BO168" s="5">
        <v>7668</v>
      </c>
      <c r="BP168" s="5">
        <v>0</v>
      </c>
      <c r="BQ168" s="45"/>
      <c r="BR168" s="109">
        <v>-700</v>
      </c>
      <c r="BS168" s="45">
        <f t="shared" si="872"/>
        <v>0</v>
      </c>
      <c r="BT168" s="45">
        <v>4485</v>
      </c>
      <c r="BU168" s="45">
        <f t="shared" si="872"/>
        <v>4485</v>
      </c>
      <c r="BV168" s="45">
        <v>0</v>
      </c>
      <c r="BW168" s="45">
        <f t="shared" ref="BW168:BY168" si="1107">IF(BV168&gt;0,BV168,0)</f>
        <v>0</v>
      </c>
      <c r="BX168" s="45">
        <v>-5000</v>
      </c>
      <c r="BY168" s="45">
        <f t="shared" si="1107"/>
        <v>0</v>
      </c>
      <c r="BZ168" s="45">
        <v>-5300</v>
      </c>
      <c r="CA168" s="45">
        <f t="shared" ref="CA168:CC168" si="1108">IF(BZ168&gt;0,BZ168,0)</f>
        <v>0</v>
      </c>
      <c r="CB168" s="45">
        <v>-4000</v>
      </c>
      <c r="CC168" s="45">
        <f t="shared" si="1108"/>
        <v>0</v>
      </c>
      <c r="CD168" s="45">
        <v>-4800</v>
      </c>
      <c r="CE168" s="45">
        <f t="shared" ref="CE168:CG168" si="1109">IF(CD168&gt;0,CD168,0)</f>
        <v>0</v>
      </c>
      <c r="CF168" s="45">
        <v>37664.787803940002</v>
      </c>
      <c r="CG168" s="45">
        <f t="shared" si="1109"/>
        <v>37664.787803940002</v>
      </c>
      <c r="CH168" s="107">
        <f t="shared" si="876"/>
        <v>42149.787803940002</v>
      </c>
      <c r="CI168" s="45"/>
      <c r="CJ168" s="109">
        <v>-700</v>
      </c>
      <c r="CK168" s="45">
        <f t="shared" si="877"/>
        <v>700</v>
      </c>
      <c r="CL168" s="45">
        <v>4485</v>
      </c>
      <c r="CM168" s="45">
        <f t="shared" si="877"/>
        <v>0</v>
      </c>
      <c r="CN168" s="45">
        <v>0</v>
      </c>
      <c r="CO168" s="45">
        <f t="shared" ref="CO168:CQ168" si="1110">IF(CN168&lt;0,-CN168,0)</f>
        <v>0</v>
      </c>
      <c r="CP168" s="45">
        <v>-5000</v>
      </c>
      <c r="CQ168" s="45">
        <f t="shared" si="1110"/>
        <v>5000</v>
      </c>
      <c r="CR168" s="45">
        <v>-5300</v>
      </c>
      <c r="CS168" s="45">
        <f t="shared" ref="CS168:CU168" si="1111">IF(CR168&lt;0,-CR168,0)</f>
        <v>5300</v>
      </c>
      <c r="CT168" s="45">
        <v>-4000</v>
      </c>
      <c r="CU168" s="45">
        <f t="shared" si="1111"/>
        <v>4000</v>
      </c>
      <c r="CV168" s="45">
        <v>-4800</v>
      </c>
      <c r="CW168" s="45">
        <f t="shared" ref="CW168:CY168" si="1112">IF(CV168&lt;0,-CV168,0)</f>
        <v>4800</v>
      </c>
      <c r="CX168" s="45">
        <v>37664.787803940002</v>
      </c>
      <c r="CY168" s="45">
        <f t="shared" si="1112"/>
        <v>0</v>
      </c>
      <c r="CZ168" s="107">
        <f t="shared" si="881"/>
        <v>19800</v>
      </c>
      <c r="DA168" s="45"/>
      <c r="DB168" s="110">
        <v>36905.480000000003</v>
      </c>
      <c r="DC168" s="57">
        <v>2320.0259999999998</v>
      </c>
      <c r="DD168" s="61">
        <v>1827.8689189644001</v>
      </c>
      <c r="DE168" s="61">
        <f t="shared" si="882"/>
        <v>41053.3749189644</v>
      </c>
      <c r="DF168" s="110">
        <v>8756.384</v>
      </c>
      <c r="DG168" s="110">
        <v>55998.411</v>
      </c>
      <c r="DH168" s="57">
        <v>8467</v>
      </c>
      <c r="DI168" s="107">
        <f t="shared" si="883"/>
        <v>64465.411</v>
      </c>
      <c r="DJ168" s="45"/>
      <c r="DK168" s="110">
        <v>703.02700000000004</v>
      </c>
      <c r="DL168" s="57">
        <v>10522.090845252949</v>
      </c>
      <c r="DM168" s="57">
        <f t="shared" si="884"/>
        <v>11225.117845252949</v>
      </c>
      <c r="DN168" s="61">
        <v>1455.3989030504879</v>
      </c>
      <c r="DO168" s="61">
        <v>2914.5855887225489</v>
      </c>
      <c r="DP168" s="61">
        <v>446.55003327999998</v>
      </c>
      <c r="DQ168" s="57">
        <f t="shared" si="885"/>
        <v>3361.1356220025491</v>
      </c>
      <c r="DR168" s="57">
        <v>161.92142159569721</v>
      </c>
      <c r="DS168" s="57">
        <v>161.92142159569721</v>
      </c>
      <c r="DT168" s="5"/>
      <c r="DU168" s="73">
        <v>0</v>
      </c>
      <c r="DV168" s="156">
        <v>6779.6610170000004</v>
      </c>
      <c r="DW168" s="155">
        <v>1447.7400829999999</v>
      </c>
      <c r="DX168" s="155">
        <v>0</v>
      </c>
      <c r="DY168" s="73">
        <v>0</v>
      </c>
      <c r="DZ168" s="156">
        <v>243.91357840000001</v>
      </c>
      <c r="EA168" s="73">
        <v>0</v>
      </c>
      <c r="EB168" s="156">
        <v>1271.1864410000001</v>
      </c>
      <c r="EC168" s="73">
        <v>0</v>
      </c>
      <c r="ED168" s="156">
        <v>847.5</v>
      </c>
      <c r="EE168" s="73">
        <v>0</v>
      </c>
      <c r="EF168" s="156">
        <v>7397.5988710000001</v>
      </c>
      <c r="EG168" s="73">
        <v>0</v>
      </c>
      <c r="EH168" s="156">
        <v>6779.6610170000004</v>
      </c>
      <c r="EI168" s="159">
        <v>243.91357840000001</v>
      </c>
      <c r="EJ168" s="162">
        <v>847.5</v>
      </c>
      <c r="EK168" s="165">
        <v>735.83500000000004</v>
      </c>
      <c r="EL168" s="159">
        <v>446.55003327999998</v>
      </c>
      <c r="EM168" s="159">
        <f t="shared" si="886"/>
        <v>10964.025395000001</v>
      </c>
      <c r="EN168" s="159">
        <f t="shared" si="887"/>
        <v>0</v>
      </c>
      <c r="EP168" s="2">
        <v>20998.500749999999</v>
      </c>
      <c r="EQ168" s="5">
        <f t="shared" si="888"/>
        <v>0.85499999999999987</v>
      </c>
    </row>
    <row r="169" spans="13:147" x14ac:dyDescent="0.35">
      <c r="M169" s="5"/>
      <c r="N169" s="66">
        <f>1+N168</f>
        <v>167</v>
      </c>
      <c r="O169" s="78">
        <v>0</v>
      </c>
      <c r="P169" s="77">
        <f t="shared" si="856"/>
        <v>0</v>
      </c>
      <c r="Q169" s="104">
        <v>0</v>
      </c>
      <c r="R169" s="77">
        <f t="shared" si="857"/>
        <v>0</v>
      </c>
      <c r="S169" s="104">
        <v>0</v>
      </c>
      <c r="T169" s="77">
        <f t="shared" si="858"/>
        <v>0</v>
      </c>
      <c r="U169" s="104">
        <v>0</v>
      </c>
      <c r="V169" s="77">
        <f t="shared" si="1071"/>
        <v>0</v>
      </c>
      <c r="W169" s="104">
        <v>0</v>
      </c>
      <c r="X169" s="77">
        <f t="shared" si="1072"/>
        <v>0</v>
      </c>
      <c r="Y169" s="104">
        <v>0</v>
      </c>
      <c r="Z169" s="77">
        <f t="shared" si="859"/>
        <v>0</v>
      </c>
      <c r="AA169" s="104">
        <v>0</v>
      </c>
      <c r="AB169" s="77">
        <f t="shared" si="860"/>
        <v>0</v>
      </c>
      <c r="AC169" s="5"/>
      <c r="AD169" s="66">
        <f>1+AD168</f>
        <v>167</v>
      </c>
      <c r="AE169" s="78">
        <v>65325.853199999998</v>
      </c>
      <c r="AF169" s="104">
        <v>2141.3000000000002</v>
      </c>
      <c r="AG169" s="78">
        <v>465.5</v>
      </c>
      <c r="AH169" s="61">
        <f t="shared" si="861"/>
        <v>0.73399999999999999</v>
      </c>
      <c r="AI169" s="61">
        <f t="shared" si="862"/>
        <v>0.93100000000000005</v>
      </c>
      <c r="AJ169" s="61">
        <f t="shared" si="863"/>
        <v>0.93100000000000005</v>
      </c>
      <c r="AK169" s="77">
        <v>289.40800000000002</v>
      </c>
      <c r="AL169" s="104">
        <v>3225.2772</v>
      </c>
      <c r="AM169" s="61">
        <f t="shared" si="1073"/>
        <v>0.44800000000000001</v>
      </c>
      <c r="AN169" s="57">
        <f t="shared" si="1074"/>
        <v>0.27699999999999997</v>
      </c>
      <c r="AO169" s="78">
        <v>34788</v>
      </c>
      <c r="AP169" s="104">
        <v>20423.25</v>
      </c>
      <c r="AQ169" s="61">
        <f t="shared" si="864"/>
        <v>0.78</v>
      </c>
      <c r="AR169" s="57">
        <f t="shared" si="865"/>
        <v>0.87</v>
      </c>
      <c r="AS169" s="45"/>
      <c r="AT169" s="78">
        <v>918.572</v>
      </c>
      <c r="AU169" s="77">
        <f t="shared" si="1075"/>
        <v>0.37299992690830241</v>
      </c>
      <c r="AV169" s="78">
        <v>1026.3009999999999</v>
      </c>
      <c r="AW169" s="77">
        <f t="shared" si="1076"/>
        <v>0.63864405724953321</v>
      </c>
      <c r="AX169" s="78">
        <v>1121.4780000000001</v>
      </c>
      <c r="AY169" s="77">
        <f t="shared" si="866"/>
        <v>0.5784392407674851</v>
      </c>
      <c r="AZ169" s="45"/>
      <c r="BA169" s="75">
        <v>53641.616999999998</v>
      </c>
      <c r="BB169" s="77">
        <f t="shared" si="867"/>
        <v>0.77049180327868849</v>
      </c>
      <c r="BC169" s="45"/>
      <c r="BD169" s="105">
        <v>27874.29</v>
      </c>
      <c r="BE169" s="45">
        <v>0</v>
      </c>
      <c r="BF169" s="106">
        <v>0</v>
      </c>
      <c r="BG169" s="107">
        <f t="shared" si="868"/>
        <v>0.8550395705521473</v>
      </c>
      <c r="BH169" s="108">
        <f t="shared" si="869"/>
        <v>0</v>
      </c>
      <c r="BI169" s="106">
        <v>0</v>
      </c>
      <c r="BJ169" s="106">
        <v>0</v>
      </c>
      <c r="BK169" s="106">
        <v>0</v>
      </c>
      <c r="BL169" s="106">
        <v>4051.326</v>
      </c>
      <c r="BM169" s="107">
        <f t="shared" si="870"/>
        <v>0.3005880694465054</v>
      </c>
      <c r="BN169" s="108">
        <f t="shared" si="871"/>
        <v>0</v>
      </c>
      <c r="BO169" s="5">
        <v>7668</v>
      </c>
      <c r="BP169" s="5">
        <v>0</v>
      </c>
      <c r="BQ169" s="45"/>
      <c r="BR169" s="109">
        <v>-700</v>
      </c>
      <c r="BS169" s="45">
        <f t="shared" si="872"/>
        <v>0</v>
      </c>
      <c r="BT169" s="45">
        <v>4485</v>
      </c>
      <c r="BU169" s="45">
        <f t="shared" si="872"/>
        <v>4485</v>
      </c>
      <c r="BV169" s="45">
        <v>0</v>
      </c>
      <c r="BW169" s="45">
        <f t="shared" ref="BW169:BY169" si="1113">IF(BV169&gt;0,BV169,0)</f>
        <v>0</v>
      </c>
      <c r="BX169" s="45">
        <v>-5000</v>
      </c>
      <c r="BY169" s="45">
        <f t="shared" si="1113"/>
        <v>0</v>
      </c>
      <c r="BZ169" s="45">
        <v>-5300</v>
      </c>
      <c r="CA169" s="45">
        <f t="shared" ref="CA169:CC169" si="1114">IF(BZ169&gt;0,BZ169,0)</f>
        <v>0</v>
      </c>
      <c r="CB169" s="45">
        <v>-4000</v>
      </c>
      <c r="CC169" s="45">
        <f t="shared" si="1114"/>
        <v>0</v>
      </c>
      <c r="CD169" s="45">
        <v>-4800</v>
      </c>
      <c r="CE169" s="45">
        <f t="shared" ref="CE169:CG169" si="1115">IF(CD169&gt;0,CD169,0)</f>
        <v>0</v>
      </c>
      <c r="CF169" s="45">
        <v>16650.940186889999</v>
      </c>
      <c r="CG169" s="45">
        <f t="shared" si="1115"/>
        <v>16650.940186889999</v>
      </c>
      <c r="CH169" s="107">
        <f t="shared" si="876"/>
        <v>21135.940186889999</v>
      </c>
      <c r="CI169" s="45"/>
      <c r="CJ169" s="109">
        <v>-700</v>
      </c>
      <c r="CK169" s="45">
        <f t="shared" si="877"/>
        <v>700</v>
      </c>
      <c r="CL169" s="45">
        <v>4485</v>
      </c>
      <c r="CM169" s="45">
        <f t="shared" si="877"/>
        <v>0</v>
      </c>
      <c r="CN169" s="45">
        <v>0</v>
      </c>
      <c r="CO169" s="45">
        <f t="shared" ref="CO169:CQ169" si="1116">IF(CN169&lt;0,-CN169,0)</f>
        <v>0</v>
      </c>
      <c r="CP169" s="45">
        <v>-5000</v>
      </c>
      <c r="CQ169" s="45">
        <f t="shared" si="1116"/>
        <v>5000</v>
      </c>
      <c r="CR169" s="45">
        <v>-5300</v>
      </c>
      <c r="CS169" s="45">
        <f t="shared" ref="CS169:CU169" si="1117">IF(CR169&lt;0,-CR169,0)</f>
        <v>5300</v>
      </c>
      <c r="CT169" s="45">
        <v>-4000</v>
      </c>
      <c r="CU169" s="45">
        <f t="shared" si="1117"/>
        <v>4000</v>
      </c>
      <c r="CV169" s="45">
        <v>-4800</v>
      </c>
      <c r="CW169" s="45">
        <f t="shared" ref="CW169:CY169" si="1118">IF(CV169&lt;0,-CV169,0)</f>
        <v>4800</v>
      </c>
      <c r="CX169" s="45">
        <v>16650.940186889999</v>
      </c>
      <c r="CY169" s="45">
        <f t="shared" si="1118"/>
        <v>0</v>
      </c>
      <c r="CZ169" s="107">
        <f t="shared" si="881"/>
        <v>19800</v>
      </c>
      <c r="DA169" s="45"/>
      <c r="DB169" s="110">
        <v>34947.680999999997</v>
      </c>
      <c r="DC169" s="57">
        <v>2296.6019999999999</v>
      </c>
      <c r="DD169" s="61">
        <v>1840.5668303376999</v>
      </c>
      <c r="DE169" s="61">
        <f t="shared" si="882"/>
        <v>39084.849830337698</v>
      </c>
      <c r="DF169" s="110">
        <v>8761.81</v>
      </c>
      <c r="DG169" s="110">
        <v>62198.411</v>
      </c>
      <c r="DH169" s="57">
        <v>8875</v>
      </c>
      <c r="DI169" s="107">
        <f t="shared" si="883"/>
        <v>71073.410999999993</v>
      </c>
      <c r="DJ169" s="45"/>
      <c r="DK169" s="110">
        <v>628.42600000000004</v>
      </c>
      <c r="DL169" s="57">
        <v>10490.3985776968</v>
      </c>
      <c r="DM169" s="57">
        <f t="shared" si="884"/>
        <v>11118.8245776968</v>
      </c>
      <c r="DN169" s="61">
        <v>1455.3989030504879</v>
      </c>
      <c r="DO169" s="61">
        <v>2897.8863782272761</v>
      </c>
      <c r="DP169" s="61">
        <v>463.24924377000002</v>
      </c>
      <c r="DQ169" s="57">
        <f t="shared" si="885"/>
        <v>3361.1356219972758</v>
      </c>
      <c r="DR169" s="57">
        <v>160.9936876792932</v>
      </c>
      <c r="DS169" s="57">
        <v>160.9936876792932</v>
      </c>
      <c r="DT169" s="5"/>
      <c r="DU169" s="73">
        <v>0</v>
      </c>
      <c r="DV169" s="156">
        <v>6779.6610170000004</v>
      </c>
      <c r="DW169" s="155">
        <v>1447.7400829999999</v>
      </c>
      <c r="DX169" s="155">
        <v>0</v>
      </c>
      <c r="DY169" s="73">
        <v>0</v>
      </c>
      <c r="DZ169" s="156">
        <v>244.84131231999999</v>
      </c>
      <c r="EA169" s="73">
        <v>0</v>
      </c>
      <c r="EB169" s="156">
        <v>1271.1864410000001</v>
      </c>
      <c r="EC169" s="73">
        <v>0</v>
      </c>
      <c r="ED169" s="156">
        <v>847.5</v>
      </c>
      <c r="EE169" s="73">
        <v>0</v>
      </c>
      <c r="EF169" s="156">
        <v>7397.5988710000001</v>
      </c>
      <c r="EG169" s="73">
        <v>0</v>
      </c>
      <c r="EH169" s="156">
        <v>6779.6610170000004</v>
      </c>
      <c r="EI169" s="159">
        <v>244.84131231999999</v>
      </c>
      <c r="EJ169" s="162">
        <v>847.5</v>
      </c>
      <c r="EK169" s="165">
        <v>735.83500000000004</v>
      </c>
      <c r="EL169" s="159">
        <v>463.24924377000002</v>
      </c>
      <c r="EM169" s="159">
        <f t="shared" si="886"/>
        <v>10964.025395000001</v>
      </c>
      <c r="EN169" s="159">
        <f t="shared" si="887"/>
        <v>0</v>
      </c>
      <c r="EP169" s="2">
        <v>20998.500749999999</v>
      </c>
      <c r="EQ169" s="5">
        <f t="shared" si="888"/>
        <v>0.85499999999999987</v>
      </c>
    </row>
    <row r="170" spans="13:147" x14ac:dyDescent="0.35">
      <c r="M170" s="5"/>
      <c r="N170" s="67">
        <f t="shared" ref="N170" si="1119">1+N169</f>
        <v>168</v>
      </c>
      <c r="O170" s="80">
        <v>0</v>
      </c>
      <c r="P170" s="77">
        <f t="shared" si="856"/>
        <v>0</v>
      </c>
      <c r="Q170" s="111">
        <v>0</v>
      </c>
      <c r="R170" s="77">
        <f t="shared" si="857"/>
        <v>0</v>
      </c>
      <c r="S170" s="111">
        <v>0</v>
      </c>
      <c r="T170" s="77">
        <f t="shared" si="858"/>
        <v>0</v>
      </c>
      <c r="U170" s="111">
        <v>0</v>
      </c>
      <c r="V170" s="79">
        <f t="shared" si="1071"/>
        <v>0</v>
      </c>
      <c r="W170" s="111">
        <v>0</v>
      </c>
      <c r="X170" s="79">
        <f t="shared" si="1072"/>
        <v>0</v>
      </c>
      <c r="Y170" s="111">
        <v>0</v>
      </c>
      <c r="Z170" s="79">
        <f t="shared" si="859"/>
        <v>0</v>
      </c>
      <c r="AA170" s="111">
        <v>0</v>
      </c>
      <c r="AB170" s="77">
        <f t="shared" si="860"/>
        <v>0</v>
      </c>
      <c r="AC170" s="5"/>
      <c r="AD170" s="67">
        <f t="shared" ref="AD170" si="1120">1+AD169</f>
        <v>168</v>
      </c>
      <c r="AE170" s="80">
        <v>67016.849400000006</v>
      </c>
      <c r="AF170" s="111">
        <v>2159.6999999999998</v>
      </c>
      <c r="AG170" s="80">
        <v>469.5</v>
      </c>
      <c r="AH170" s="112">
        <f t="shared" si="861"/>
        <v>0.753</v>
      </c>
      <c r="AI170" s="112">
        <f t="shared" si="862"/>
        <v>0.93899999999999995</v>
      </c>
      <c r="AJ170" s="112">
        <f t="shared" si="863"/>
        <v>0.93899999999999995</v>
      </c>
      <c r="AK170" s="79">
        <v>328.81400000000002</v>
      </c>
      <c r="AL170" s="111">
        <v>4063.6163999999999</v>
      </c>
      <c r="AM170" s="112">
        <f t="shared" si="1073"/>
        <v>0.50900000000000001</v>
      </c>
      <c r="AN170" s="113">
        <f t="shared" si="1074"/>
        <v>0.34899999999999998</v>
      </c>
      <c r="AO170" s="80">
        <v>33673</v>
      </c>
      <c r="AP170" s="111">
        <v>18803.474999999999</v>
      </c>
      <c r="AQ170" s="112">
        <f t="shared" si="864"/>
        <v>0.755</v>
      </c>
      <c r="AR170" s="113">
        <f t="shared" si="865"/>
        <v>0.80099999999999993</v>
      </c>
      <c r="AS170" s="45"/>
      <c r="AT170" s="80">
        <v>908.72199999999998</v>
      </c>
      <c r="AU170" s="79">
        <f t="shared" si="1075"/>
        <v>0.36900018678989388</v>
      </c>
      <c r="AV170" s="80">
        <v>1026.0419999999999</v>
      </c>
      <c r="AW170" s="79">
        <f t="shared" si="1076"/>
        <v>0.63848288736776593</v>
      </c>
      <c r="AX170" s="80">
        <v>1121.4780000000001</v>
      </c>
      <c r="AY170" s="79">
        <f t="shared" si="866"/>
        <v>0.5784392407674851</v>
      </c>
      <c r="AZ170" s="45"/>
      <c r="BA170" s="76">
        <v>53641.616999999998</v>
      </c>
      <c r="BB170" s="79">
        <f t="shared" si="867"/>
        <v>0.77049180327868849</v>
      </c>
      <c r="BC170" s="45"/>
      <c r="BD170" s="114">
        <v>28610.690999999999</v>
      </c>
      <c r="BE170" s="115">
        <v>0</v>
      </c>
      <c r="BF170" s="116">
        <v>0</v>
      </c>
      <c r="BG170" s="117">
        <f t="shared" si="868"/>
        <v>0.87762855828220854</v>
      </c>
      <c r="BH170" s="118">
        <f t="shared" si="869"/>
        <v>0</v>
      </c>
      <c r="BI170" s="106">
        <v>0</v>
      </c>
      <c r="BJ170" s="106">
        <v>0</v>
      </c>
      <c r="BK170" s="106">
        <v>0</v>
      </c>
      <c r="BL170" s="106">
        <v>4604.9589999999998</v>
      </c>
      <c r="BM170" s="117">
        <f t="shared" si="870"/>
        <v>0.34166486125537915</v>
      </c>
      <c r="BN170" s="118">
        <f t="shared" si="871"/>
        <v>0</v>
      </c>
      <c r="BO170" s="5">
        <v>7668</v>
      </c>
      <c r="BP170" s="5">
        <v>0</v>
      </c>
      <c r="BQ170" s="45"/>
      <c r="BR170" s="119">
        <v>-700</v>
      </c>
      <c r="BS170" s="115">
        <f t="shared" si="872"/>
        <v>0</v>
      </c>
      <c r="BT170" s="115">
        <v>4485</v>
      </c>
      <c r="BU170" s="115">
        <f t="shared" si="872"/>
        <v>4485</v>
      </c>
      <c r="BV170" s="115">
        <v>0</v>
      </c>
      <c r="BW170" s="115">
        <f t="shared" ref="BW170:BY170" si="1121">IF(BV170&gt;0,BV170,0)</f>
        <v>0</v>
      </c>
      <c r="BX170" s="115">
        <v>-5000</v>
      </c>
      <c r="BY170" s="115">
        <f t="shared" si="1121"/>
        <v>0</v>
      </c>
      <c r="BZ170" s="115">
        <v>-5300</v>
      </c>
      <c r="CA170" s="115">
        <f t="shared" ref="CA170:CC170" si="1122">IF(BZ170&gt;0,BZ170,0)</f>
        <v>0</v>
      </c>
      <c r="CB170" s="115">
        <v>-4000</v>
      </c>
      <c r="CC170" s="115">
        <f t="shared" si="1122"/>
        <v>0</v>
      </c>
      <c r="CD170" s="115">
        <v>-4800</v>
      </c>
      <c r="CE170" s="115">
        <f t="shared" ref="CE170:CG170" si="1123">IF(CD170&gt;0,CD170,0)</f>
        <v>0</v>
      </c>
      <c r="CF170" s="115">
        <v>14539.764416599999</v>
      </c>
      <c r="CG170" s="115">
        <f t="shared" si="1123"/>
        <v>14539.764416599999</v>
      </c>
      <c r="CH170" s="117">
        <f t="shared" si="876"/>
        <v>19024.764416599999</v>
      </c>
      <c r="CI170" s="45"/>
      <c r="CJ170" s="119">
        <v>-700</v>
      </c>
      <c r="CK170" s="45">
        <f t="shared" si="877"/>
        <v>700</v>
      </c>
      <c r="CL170" s="115">
        <v>4485</v>
      </c>
      <c r="CM170" s="45">
        <f t="shared" si="877"/>
        <v>0</v>
      </c>
      <c r="CN170" s="115">
        <v>0</v>
      </c>
      <c r="CO170" s="45">
        <f t="shared" ref="CO170:CQ170" si="1124">IF(CN170&lt;0,-CN170,0)</f>
        <v>0</v>
      </c>
      <c r="CP170" s="115">
        <v>-5000</v>
      </c>
      <c r="CQ170" s="45">
        <f t="shared" si="1124"/>
        <v>5000</v>
      </c>
      <c r="CR170" s="115">
        <v>-5300</v>
      </c>
      <c r="CS170" s="45">
        <f t="shared" ref="CS170:CU170" si="1125">IF(CR170&lt;0,-CR170,0)</f>
        <v>5300</v>
      </c>
      <c r="CT170" s="115">
        <v>-4000</v>
      </c>
      <c r="CU170" s="45">
        <f t="shared" si="1125"/>
        <v>4000</v>
      </c>
      <c r="CV170" s="115">
        <v>-4800</v>
      </c>
      <c r="CW170" s="45">
        <f t="shared" ref="CW170:CY170" si="1126">IF(CV170&lt;0,-CV170,0)</f>
        <v>4800</v>
      </c>
      <c r="CX170" s="115">
        <v>14539.764416599999</v>
      </c>
      <c r="CY170" s="45">
        <f t="shared" si="1126"/>
        <v>0</v>
      </c>
      <c r="CZ170" s="117">
        <f t="shared" si="881"/>
        <v>19800</v>
      </c>
      <c r="DA170" s="45"/>
      <c r="DB170" s="120">
        <v>32664.236000000001</v>
      </c>
      <c r="DC170" s="113">
        <v>2193.31</v>
      </c>
      <c r="DD170" s="112">
        <v>1545.0016245171</v>
      </c>
      <c r="DE170" s="112">
        <f t="shared" si="882"/>
        <v>36402.547624517101</v>
      </c>
      <c r="DF170" s="120">
        <v>8468.3739999999998</v>
      </c>
      <c r="DG170" s="120">
        <v>59099.411</v>
      </c>
      <c r="DH170" s="113">
        <v>9157</v>
      </c>
      <c r="DI170" s="117">
        <f t="shared" si="883"/>
        <v>68256.410999999993</v>
      </c>
      <c r="DJ170" s="45"/>
      <c r="DK170" s="120">
        <v>646.39300000000003</v>
      </c>
      <c r="DL170" s="113">
        <v>10490.3985776968</v>
      </c>
      <c r="DM170" s="113">
        <f t="shared" si="884"/>
        <v>11136.7915776968</v>
      </c>
      <c r="DN170" s="112">
        <v>1455.3989030504879</v>
      </c>
      <c r="DO170" s="112">
        <v>2897.8863782272761</v>
      </c>
      <c r="DP170" s="112">
        <v>463.24924377000002</v>
      </c>
      <c r="DQ170" s="113">
        <f t="shared" si="885"/>
        <v>3361.1356219972758</v>
      </c>
      <c r="DR170" s="57">
        <v>160.9936876792932</v>
      </c>
      <c r="DS170" s="113">
        <v>160.9936876792932</v>
      </c>
      <c r="DT170" s="5"/>
      <c r="DU170" s="74">
        <v>0</v>
      </c>
      <c r="DV170" s="157">
        <v>6779.6610170000004</v>
      </c>
      <c r="DW170" s="93">
        <v>1447.7400829999999</v>
      </c>
      <c r="DX170" s="93">
        <v>0</v>
      </c>
      <c r="DY170" s="74">
        <v>0</v>
      </c>
      <c r="DZ170" s="157">
        <v>244.84131231999999</v>
      </c>
      <c r="EA170" s="74">
        <v>0</v>
      </c>
      <c r="EB170" s="157">
        <v>1271.1864410000001</v>
      </c>
      <c r="EC170" s="74">
        <v>0</v>
      </c>
      <c r="ED170" s="157">
        <v>847.5</v>
      </c>
      <c r="EE170" s="74">
        <v>0</v>
      </c>
      <c r="EF170" s="157">
        <v>7397.5988710000001</v>
      </c>
      <c r="EG170" s="74">
        <v>0</v>
      </c>
      <c r="EH170" s="157">
        <v>6779.6610170000004</v>
      </c>
      <c r="EI170" s="160">
        <v>244.84131231999999</v>
      </c>
      <c r="EJ170" s="163">
        <v>847.5</v>
      </c>
      <c r="EK170" s="166">
        <v>735.83500000000004</v>
      </c>
      <c r="EL170" s="160">
        <v>463.24924377000002</v>
      </c>
      <c r="EM170" s="160">
        <f t="shared" si="886"/>
        <v>10964.025395000001</v>
      </c>
      <c r="EN170" s="160">
        <f t="shared" si="887"/>
        <v>0</v>
      </c>
      <c r="EP170" s="2">
        <v>20998.500749999999</v>
      </c>
      <c r="EQ170" s="5">
        <f t="shared" si="888"/>
        <v>0.85499999999999987</v>
      </c>
    </row>
    <row r="171" spans="13:147" x14ac:dyDescent="0.35">
      <c r="M171" s="5"/>
      <c r="AC171" s="5"/>
      <c r="AZ171" s="39"/>
      <c r="BA171" s="39"/>
      <c r="BC171" s="39"/>
      <c r="DQ171" s="50"/>
      <c r="DR171" s="96"/>
      <c r="DT171" s="5"/>
    </row>
    <row r="172" spans="13:147" x14ac:dyDescent="0.35">
      <c r="AZ172" s="39"/>
      <c r="BA172" s="39"/>
      <c r="BC172" s="39"/>
      <c r="DM172" s="50"/>
      <c r="DQ172" s="50"/>
    </row>
    <row r="173" spans="13:147" x14ac:dyDescent="0.35">
      <c r="DM173" s="50"/>
      <c r="DQ173" s="50"/>
    </row>
    <row r="174" spans="13:147" x14ac:dyDescent="0.35">
      <c r="DM174" s="50"/>
      <c r="DQ174" s="50"/>
    </row>
    <row r="175" spans="13:147" x14ac:dyDescent="0.35">
      <c r="DM175" s="50"/>
      <c r="DQ175" s="50"/>
    </row>
    <row r="176" spans="13:147" x14ac:dyDescent="0.35">
      <c r="DM176" s="50"/>
      <c r="DQ176" s="50"/>
    </row>
    <row r="177" spans="117:121" x14ac:dyDescent="0.35">
      <c r="DM177" s="50"/>
      <c r="DQ177" s="50"/>
    </row>
    <row r="178" spans="117:121" x14ac:dyDescent="0.35">
      <c r="DM178" s="50"/>
      <c r="DQ178" s="50"/>
    </row>
    <row r="179" spans="117:121" x14ac:dyDescent="0.35">
      <c r="DM179" s="50"/>
      <c r="DQ179" s="50"/>
    </row>
    <row r="180" spans="117:121" x14ac:dyDescent="0.35">
      <c r="DM180" s="50"/>
      <c r="DQ180" s="50"/>
    </row>
    <row r="181" spans="117:121" x14ac:dyDescent="0.35">
      <c r="DM181" s="50"/>
      <c r="DQ181" s="50"/>
    </row>
    <row r="182" spans="117:121" x14ac:dyDescent="0.35">
      <c r="DM182" s="50"/>
      <c r="DQ182" s="50"/>
    </row>
    <row r="183" spans="117:121" x14ac:dyDescent="0.35">
      <c r="DM183" s="50"/>
      <c r="DQ183" s="50"/>
    </row>
    <row r="184" spans="117:121" x14ac:dyDescent="0.35">
      <c r="DM184" s="50"/>
      <c r="DQ184" s="50"/>
    </row>
    <row r="185" spans="117:121" x14ac:dyDescent="0.35">
      <c r="DM185" s="50"/>
      <c r="DQ185" s="50"/>
    </row>
    <row r="186" spans="117:121" x14ac:dyDescent="0.35">
      <c r="DM186" s="50"/>
      <c r="DQ186" s="50"/>
    </row>
    <row r="187" spans="117:121" x14ac:dyDescent="0.35">
      <c r="DM187" s="50"/>
      <c r="DQ187" s="50"/>
    </row>
    <row r="188" spans="117:121" x14ac:dyDescent="0.35">
      <c r="DM188" s="50"/>
      <c r="DQ188" s="50"/>
    </row>
    <row r="189" spans="117:121" x14ac:dyDescent="0.35">
      <c r="DM189" s="50"/>
      <c r="DQ189" s="50"/>
    </row>
    <row r="190" spans="117:121" x14ac:dyDescent="0.35">
      <c r="DM190" s="50"/>
      <c r="DQ190" s="50"/>
    </row>
    <row r="191" spans="117:121" x14ac:dyDescent="0.35">
      <c r="DM191" s="50"/>
      <c r="DQ191" s="50"/>
    </row>
    <row r="192" spans="117:121" x14ac:dyDescent="0.35">
      <c r="DM192" s="50"/>
      <c r="DQ192" s="50"/>
    </row>
    <row r="193" spans="117:121" x14ac:dyDescent="0.35">
      <c r="DM193" s="50"/>
      <c r="DQ193" s="50"/>
    </row>
    <row r="194" spans="117:121" x14ac:dyDescent="0.35">
      <c r="DM194" s="50"/>
      <c r="DQ194" s="50"/>
    </row>
    <row r="195" spans="117:121" x14ac:dyDescent="0.35">
      <c r="DM195" s="50"/>
      <c r="DQ195" s="50"/>
    </row>
    <row r="196" spans="117:121" x14ac:dyDescent="0.35">
      <c r="DM196" s="50"/>
      <c r="DQ196" s="50"/>
    </row>
    <row r="197" spans="117:121" x14ac:dyDescent="0.35">
      <c r="DM197" s="50"/>
      <c r="DQ197" s="50"/>
    </row>
    <row r="198" spans="117:121" x14ac:dyDescent="0.35">
      <c r="DM198" s="50"/>
      <c r="DQ198" s="50"/>
    </row>
    <row r="199" spans="117:121" x14ac:dyDescent="0.35">
      <c r="DM199" s="50"/>
      <c r="DQ199" s="50"/>
    </row>
    <row r="200" spans="117:121" x14ac:dyDescent="0.35">
      <c r="DM200" s="50"/>
      <c r="DQ200" s="50"/>
    </row>
    <row r="201" spans="117:121" x14ac:dyDescent="0.35">
      <c r="DM201" s="50"/>
      <c r="DQ201" s="50"/>
    </row>
    <row r="202" spans="117:121" x14ac:dyDescent="0.35">
      <c r="DM202" s="50"/>
      <c r="DQ202" s="50"/>
    </row>
    <row r="203" spans="117:121" x14ac:dyDescent="0.35">
      <c r="DM203" s="50"/>
      <c r="DQ203" s="50"/>
    </row>
    <row r="204" spans="117:121" x14ac:dyDescent="0.35">
      <c r="DM204" s="50"/>
      <c r="DQ204" s="50"/>
    </row>
    <row r="205" spans="117:121" x14ac:dyDescent="0.35">
      <c r="DM205" s="50"/>
      <c r="DQ205" s="50"/>
    </row>
    <row r="206" spans="117:121" x14ac:dyDescent="0.35">
      <c r="DM206" s="50"/>
      <c r="DQ206" s="50"/>
    </row>
    <row r="207" spans="117:121" x14ac:dyDescent="0.35">
      <c r="DM207" s="50"/>
      <c r="DQ207" s="50"/>
    </row>
    <row r="208" spans="117:121" x14ac:dyDescent="0.35">
      <c r="DM208" s="50"/>
      <c r="DQ208" s="50"/>
    </row>
    <row r="209" spans="117:121" x14ac:dyDescent="0.35">
      <c r="DM209" s="50"/>
      <c r="DQ209" s="50"/>
    </row>
    <row r="210" spans="117:121" x14ac:dyDescent="0.35">
      <c r="DM210" s="50"/>
      <c r="DQ210" s="50"/>
    </row>
    <row r="211" spans="117:121" x14ac:dyDescent="0.35">
      <c r="DM211" s="50"/>
      <c r="DQ211" s="50"/>
    </row>
    <row r="212" spans="117:121" x14ac:dyDescent="0.35">
      <c r="DM212" s="50"/>
      <c r="DQ212" s="50"/>
    </row>
    <row r="213" spans="117:121" x14ac:dyDescent="0.35">
      <c r="DM213" s="50"/>
      <c r="DQ213" s="50"/>
    </row>
    <row r="214" spans="117:121" x14ac:dyDescent="0.35">
      <c r="DM214" s="50"/>
      <c r="DQ214" s="50"/>
    </row>
    <row r="215" spans="117:121" x14ac:dyDescent="0.35">
      <c r="DM215" s="50"/>
      <c r="DQ215" s="50"/>
    </row>
    <row r="216" spans="117:121" x14ac:dyDescent="0.35">
      <c r="DM216" s="50"/>
      <c r="DQ216" s="50"/>
    </row>
    <row r="217" spans="117:121" x14ac:dyDescent="0.35">
      <c r="DM217" s="50"/>
      <c r="DQ217" s="50"/>
    </row>
    <row r="218" spans="117:121" x14ac:dyDescent="0.35">
      <c r="DM218" s="50"/>
      <c r="DQ218" s="50"/>
    </row>
    <row r="219" spans="117:121" x14ac:dyDescent="0.35">
      <c r="DM219" s="50"/>
      <c r="DQ219" s="50"/>
    </row>
    <row r="220" spans="117:121" x14ac:dyDescent="0.35">
      <c r="DM220" s="50"/>
      <c r="DQ220" s="50"/>
    </row>
    <row r="221" spans="117:121" x14ac:dyDescent="0.35">
      <c r="DM221" s="50"/>
      <c r="DQ221" s="50"/>
    </row>
    <row r="222" spans="117:121" x14ac:dyDescent="0.35">
      <c r="DM222" s="50"/>
      <c r="DQ222" s="50"/>
    </row>
    <row r="223" spans="117:121" x14ac:dyDescent="0.35">
      <c r="DM223" s="50"/>
      <c r="DQ223" s="50"/>
    </row>
    <row r="224" spans="117:121" x14ac:dyDescent="0.35">
      <c r="DM224" s="50"/>
      <c r="DQ224" s="50"/>
    </row>
    <row r="225" spans="117:121" x14ac:dyDescent="0.35">
      <c r="DM225" s="50"/>
      <c r="DQ225" s="50"/>
    </row>
    <row r="226" spans="117:121" x14ac:dyDescent="0.35">
      <c r="DM226" s="50"/>
      <c r="DQ226" s="50"/>
    </row>
    <row r="227" spans="117:121" x14ac:dyDescent="0.35">
      <c r="DM227" s="50"/>
      <c r="DQ227" s="50"/>
    </row>
    <row r="228" spans="117:121" x14ac:dyDescent="0.35">
      <c r="DM228" s="50"/>
      <c r="DQ228" s="50"/>
    </row>
    <row r="229" spans="117:121" x14ac:dyDescent="0.35">
      <c r="DM229" s="50"/>
      <c r="DQ229" s="50"/>
    </row>
    <row r="230" spans="117:121" x14ac:dyDescent="0.35">
      <c r="DM230" s="50"/>
      <c r="DQ230" s="50"/>
    </row>
    <row r="231" spans="117:121" x14ac:dyDescent="0.35">
      <c r="DM231" s="50"/>
      <c r="DQ231" s="50"/>
    </row>
    <row r="232" spans="117:121" x14ac:dyDescent="0.35">
      <c r="DM232" s="50"/>
      <c r="DQ232" s="50"/>
    </row>
    <row r="233" spans="117:121" x14ac:dyDescent="0.35">
      <c r="DM233" s="50"/>
      <c r="DQ233" s="50"/>
    </row>
    <row r="234" spans="117:121" x14ac:dyDescent="0.35">
      <c r="DM234" s="50"/>
      <c r="DQ234" s="50"/>
    </row>
    <row r="235" spans="117:121" x14ac:dyDescent="0.35">
      <c r="DM235" s="50"/>
      <c r="DQ235" s="50"/>
    </row>
    <row r="236" spans="117:121" x14ac:dyDescent="0.35">
      <c r="DM236" s="50"/>
      <c r="DQ236" s="50"/>
    </row>
    <row r="237" spans="117:121" x14ac:dyDescent="0.35">
      <c r="DM237" s="50"/>
      <c r="DQ237" s="50"/>
    </row>
    <row r="238" spans="117:121" x14ac:dyDescent="0.35">
      <c r="DM238" s="50"/>
      <c r="DQ238" s="50"/>
    </row>
    <row r="239" spans="117:121" x14ac:dyDescent="0.35">
      <c r="DM239" s="50"/>
      <c r="DQ239" s="50"/>
    </row>
    <row r="240" spans="117:121" x14ac:dyDescent="0.35">
      <c r="DM240" s="50"/>
      <c r="DQ240" s="50"/>
    </row>
    <row r="241" spans="117:121" x14ac:dyDescent="0.35">
      <c r="DM241" s="50"/>
      <c r="DQ241" s="50"/>
    </row>
    <row r="242" spans="117:121" x14ac:dyDescent="0.35">
      <c r="DM242" s="50"/>
      <c r="DQ242" s="50"/>
    </row>
    <row r="243" spans="117:121" x14ac:dyDescent="0.35">
      <c r="DM243" s="50"/>
      <c r="DQ243" s="50"/>
    </row>
    <row r="244" spans="117:121" x14ac:dyDescent="0.35">
      <c r="DM244" s="50"/>
      <c r="DQ244" s="50"/>
    </row>
    <row r="245" spans="117:121" x14ac:dyDescent="0.35">
      <c r="DM245" s="50"/>
      <c r="DQ245" s="50"/>
    </row>
    <row r="246" spans="117:121" x14ac:dyDescent="0.35">
      <c r="DM246" s="50"/>
      <c r="DQ246" s="50"/>
    </row>
    <row r="247" spans="117:121" x14ac:dyDescent="0.35">
      <c r="DM247" s="50"/>
      <c r="DQ247" s="50"/>
    </row>
    <row r="248" spans="117:121" x14ac:dyDescent="0.35">
      <c r="DM248" s="50"/>
      <c r="DQ248" s="50"/>
    </row>
    <row r="249" spans="117:121" x14ac:dyDescent="0.35">
      <c r="DM249" s="50"/>
      <c r="DQ249" s="50"/>
    </row>
    <row r="250" spans="117:121" x14ac:dyDescent="0.35">
      <c r="DM250" s="50"/>
      <c r="DQ250" s="50"/>
    </row>
    <row r="251" spans="117:121" x14ac:dyDescent="0.35">
      <c r="DM251" s="50"/>
      <c r="DQ251" s="50"/>
    </row>
    <row r="252" spans="117:121" x14ac:dyDescent="0.35">
      <c r="DM252" s="50"/>
      <c r="DQ252" s="50"/>
    </row>
    <row r="253" spans="117:121" x14ac:dyDescent="0.35">
      <c r="DM253" s="50"/>
      <c r="DQ253" s="50"/>
    </row>
    <row r="254" spans="117:121" x14ac:dyDescent="0.35">
      <c r="DM254" s="50"/>
      <c r="DQ254" s="50"/>
    </row>
    <row r="255" spans="117:121" x14ac:dyDescent="0.35">
      <c r="DM255" s="50"/>
      <c r="DQ255" s="50"/>
    </row>
    <row r="256" spans="117:121" x14ac:dyDescent="0.35">
      <c r="DM256" s="50"/>
      <c r="DQ256" s="50"/>
    </row>
    <row r="257" spans="117:121" x14ac:dyDescent="0.35">
      <c r="DM257" s="50"/>
      <c r="DQ257" s="50"/>
    </row>
    <row r="258" spans="117:121" x14ac:dyDescent="0.35">
      <c r="DM258" s="50"/>
      <c r="DQ258" s="50"/>
    </row>
    <row r="259" spans="117:121" x14ac:dyDescent="0.35">
      <c r="DM259" s="50"/>
      <c r="DQ259" s="50"/>
    </row>
    <row r="260" spans="117:121" x14ac:dyDescent="0.35">
      <c r="DM260" s="50"/>
      <c r="DQ260" s="50"/>
    </row>
    <row r="261" spans="117:121" x14ac:dyDescent="0.35">
      <c r="DM261" s="50"/>
      <c r="DQ261" s="50"/>
    </row>
    <row r="262" spans="117:121" x14ac:dyDescent="0.35">
      <c r="DM262" s="50"/>
      <c r="DQ262" s="50"/>
    </row>
    <row r="263" spans="117:121" x14ac:dyDescent="0.35">
      <c r="DM263" s="50"/>
      <c r="DQ263" s="50"/>
    </row>
    <row r="264" spans="117:121" x14ac:dyDescent="0.35">
      <c r="DM264" s="50"/>
      <c r="DQ264" s="50"/>
    </row>
    <row r="265" spans="117:121" x14ac:dyDescent="0.35">
      <c r="DM265" s="50"/>
      <c r="DQ265" s="50"/>
    </row>
    <row r="266" spans="117:121" x14ac:dyDescent="0.35">
      <c r="DM266" s="50"/>
      <c r="DQ266" s="50"/>
    </row>
    <row r="267" spans="117:121" x14ac:dyDescent="0.35">
      <c r="DM267" s="50"/>
      <c r="DQ267" s="50"/>
    </row>
    <row r="268" spans="117:121" x14ac:dyDescent="0.35">
      <c r="DM268" s="50"/>
      <c r="DQ268" s="50"/>
    </row>
    <row r="269" spans="117:121" x14ac:dyDescent="0.35">
      <c r="DM269" s="50"/>
      <c r="DQ269" s="50"/>
    </row>
    <row r="270" spans="117:121" x14ac:dyDescent="0.35">
      <c r="DM270" s="50"/>
      <c r="DQ270" s="50"/>
    </row>
    <row r="271" spans="117:121" x14ac:dyDescent="0.35">
      <c r="DM271" s="50"/>
      <c r="DQ271" s="50"/>
    </row>
    <row r="272" spans="117:121" x14ac:dyDescent="0.35">
      <c r="DM272" s="50"/>
      <c r="DQ272" s="50"/>
    </row>
    <row r="273" spans="117:121" x14ac:dyDescent="0.35">
      <c r="DM273" s="50"/>
      <c r="DQ273" s="50"/>
    </row>
    <row r="274" spans="117:121" x14ac:dyDescent="0.35">
      <c r="DM274" s="50"/>
      <c r="DQ274" s="50"/>
    </row>
    <row r="275" spans="117:121" x14ac:dyDescent="0.35">
      <c r="DM275" s="50"/>
      <c r="DQ275" s="50"/>
    </row>
    <row r="276" spans="117:121" x14ac:dyDescent="0.35">
      <c r="DM276" s="50"/>
      <c r="DQ276" s="50"/>
    </row>
    <row r="277" spans="117:121" x14ac:dyDescent="0.35">
      <c r="DM277" s="50"/>
      <c r="DQ277" s="50"/>
    </row>
    <row r="278" spans="117:121" x14ac:dyDescent="0.35">
      <c r="DM278" s="50"/>
      <c r="DQ278" s="50"/>
    </row>
    <row r="279" spans="117:121" x14ac:dyDescent="0.35">
      <c r="DM279" s="50"/>
      <c r="DQ279" s="50"/>
    </row>
    <row r="280" spans="117:121" x14ac:dyDescent="0.35">
      <c r="DM280" s="50"/>
      <c r="DQ280" s="50"/>
    </row>
    <row r="281" spans="117:121" x14ac:dyDescent="0.35">
      <c r="DM281" s="50"/>
      <c r="DQ281" s="50"/>
    </row>
    <row r="282" spans="117:121" x14ac:dyDescent="0.35">
      <c r="DM282" s="50"/>
      <c r="DQ282" s="50"/>
    </row>
    <row r="283" spans="117:121" x14ac:dyDescent="0.35">
      <c r="DM283" s="50"/>
      <c r="DQ283" s="50"/>
    </row>
    <row r="284" spans="117:121" x14ac:dyDescent="0.35">
      <c r="DM284" s="50"/>
      <c r="DQ284" s="50"/>
    </row>
    <row r="285" spans="117:121" x14ac:dyDescent="0.35">
      <c r="DM285" s="50"/>
      <c r="DQ285" s="50"/>
    </row>
    <row r="286" spans="117:121" x14ac:dyDescent="0.35">
      <c r="DM286" s="50"/>
      <c r="DQ286" s="50"/>
    </row>
    <row r="287" spans="117:121" x14ac:dyDescent="0.35">
      <c r="DM287" s="50"/>
      <c r="DQ287" s="50"/>
    </row>
    <row r="288" spans="117:121" x14ac:dyDescent="0.35">
      <c r="DM288" s="50"/>
      <c r="DQ288" s="50"/>
    </row>
    <row r="289" spans="117:121" x14ac:dyDescent="0.35">
      <c r="DM289" s="50"/>
      <c r="DQ289" s="50"/>
    </row>
    <row r="290" spans="117:121" x14ac:dyDescent="0.35">
      <c r="DM290" s="50"/>
      <c r="DQ290" s="50"/>
    </row>
    <row r="291" spans="117:121" x14ac:dyDescent="0.35">
      <c r="DM291" s="50"/>
      <c r="DQ291" s="50"/>
    </row>
    <row r="292" spans="117:121" x14ac:dyDescent="0.35">
      <c r="DM292" s="50"/>
      <c r="DQ292" s="50"/>
    </row>
    <row r="293" spans="117:121" x14ac:dyDescent="0.35">
      <c r="DM293" s="50"/>
      <c r="DQ293" s="50"/>
    </row>
    <row r="294" spans="117:121" x14ac:dyDescent="0.35">
      <c r="DM294" s="50"/>
      <c r="DQ294" s="50"/>
    </row>
    <row r="295" spans="117:121" x14ac:dyDescent="0.35">
      <c r="DM295" s="50"/>
      <c r="DQ295" s="50"/>
    </row>
    <row r="296" spans="117:121" x14ac:dyDescent="0.35">
      <c r="DM296" s="50"/>
      <c r="DQ296" s="50"/>
    </row>
    <row r="297" spans="117:121" x14ac:dyDescent="0.35">
      <c r="DM297" s="50"/>
      <c r="DQ297" s="50"/>
    </row>
    <row r="298" spans="117:121" x14ac:dyDescent="0.35">
      <c r="DM298" s="50"/>
      <c r="DQ298" s="50"/>
    </row>
    <row r="299" spans="117:121" x14ac:dyDescent="0.35">
      <c r="DM299" s="50"/>
      <c r="DQ299" s="50"/>
    </row>
    <row r="300" spans="117:121" x14ac:dyDescent="0.35">
      <c r="DM300" s="50"/>
      <c r="DQ300" s="50"/>
    </row>
    <row r="301" spans="117:121" x14ac:dyDescent="0.35">
      <c r="DM301" s="50"/>
      <c r="DQ301" s="50"/>
    </row>
    <row r="302" spans="117:121" x14ac:dyDescent="0.35">
      <c r="DM302" s="50"/>
      <c r="DQ302" s="50"/>
    </row>
    <row r="303" spans="117:121" x14ac:dyDescent="0.35">
      <c r="DM303" s="50"/>
      <c r="DQ303" s="50"/>
    </row>
    <row r="304" spans="117:121" x14ac:dyDescent="0.35">
      <c r="DM304" s="50"/>
      <c r="DQ304" s="50"/>
    </row>
    <row r="305" spans="117:121" x14ac:dyDescent="0.35">
      <c r="DM305" s="50"/>
      <c r="DQ305" s="50"/>
    </row>
    <row r="306" spans="117:121" x14ac:dyDescent="0.35">
      <c r="DM306" s="50"/>
      <c r="DQ306" s="50"/>
    </row>
    <row r="307" spans="117:121" x14ac:dyDescent="0.35">
      <c r="DM307" s="50"/>
      <c r="DQ307" s="50"/>
    </row>
    <row r="308" spans="117:121" x14ac:dyDescent="0.35">
      <c r="DM308" s="50"/>
      <c r="DQ308" s="50"/>
    </row>
    <row r="309" spans="117:121" x14ac:dyDescent="0.35">
      <c r="DM309" s="50"/>
      <c r="DQ309" s="50"/>
    </row>
    <row r="310" spans="117:121" x14ac:dyDescent="0.35">
      <c r="DM310" s="50"/>
      <c r="DQ310" s="50"/>
    </row>
    <row r="311" spans="117:121" x14ac:dyDescent="0.35">
      <c r="DM311" s="50"/>
      <c r="DQ311" s="50"/>
    </row>
    <row r="312" spans="117:121" x14ac:dyDescent="0.35">
      <c r="DM312" s="50"/>
      <c r="DQ312" s="50"/>
    </row>
    <row r="313" spans="117:121" x14ac:dyDescent="0.35">
      <c r="DM313" s="50"/>
      <c r="DQ313" s="50"/>
    </row>
    <row r="314" spans="117:121" x14ac:dyDescent="0.35">
      <c r="DM314" s="50"/>
      <c r="DQ314" s="50"/>
    </row>
    <row r="315" spans="117:121" x14ac:dyDescent="0.35">
      <c r="DM315" s="50"/>
      <c r="DQ315" s="50"/>
    </row>
    <row r="316" spans="117:121" x14ac:dyDescent="0.35">
      <c r="DM316" s="50"/>
      <c r="DQ316" s="50"/>
    </row>
    <row r="317" spans="117:121" x14ac:dyDescent="0.35">
      <c r="DM317" s="50"/>
      <c r="DQ317" s="50"/>
    </row>
    <row r="318" spans="117:121" x14ac:dyDescent="0.35">
      <c r="DM318" s="50"/>
      <c r="DQ318" s="50"/>
    </row>
    <row r="319" spans="117:121" x14ac:dyDescent="0.35">
      <c r="DM319" s="50"/>
      <c r="DQ319" s="50"/>
    </row>
    <row r="320" spans="117:121" x14ac:dyDescent="0.35">
      <c r="DM320" s="50"/>
      <c r="DQ320" s="50"/>
    </row>
    <row r="321" spans="117:121" x14ac:dyDescent="0.35">
      <c r="DM321" s="50"/>
      <c r="DQ321" s="50"/>
    </row>
    <row r="322" spans="117:121" x14ac:dyDescent="0.35">
      <c r="DM322" s="50"/>
      <c r="DQ322" s="50"/>
    </row>
    <row r="323" spans="117:121" x14ac:dyDescent="0.35">
      <c r="DM323" s="50"/>
      <c r="DQ323" s="50"/>
    </row>
    <row r="324" spans="117:121" x14ac:dyDescent="0.35">
      <c r="DM324" s="50"/>
      <c r="DQ324" s="50"/>
    </row>
    <row r="325" spans="117:121" x14ac:dyDescent="0.35">
      <c r="DM325" s="50"/>
      <c r="DQ325" s="50"/>
    </row>
    <row r="326" spans="117:121" x14ac:dyDescent="0.35">
      <c r="DM326" s="50"/>
      <c r="DQ326" s="50"/>
    </row>
    <row r="327" spans="117:121" x14ac:dyDescent="0.35">
      <c r="DM327" s="50"/>
      <c r="DQ327" s="50"/>
    </row>
    <row r="328" spans="117:121" x14ac:dyDescent="0.35">
      <c r="DM328" s="50"/>
      <c r="DQ328" s="50"/>
    </row>
    <row r="329" spans="117:121" x14ac:dyDescent="0.35">
      <c r="DM329" s="50"/>
      <c r="DQ329" s="50"/>
    </row>
    <row r="330" spans="117:121" x14ac:dyDescent="0.35">
      <c r="DM330" s="50"/>
      <c r="DQ330" s="50"/>
    </row>
    <row r="331" spans="117:121" x14ac:dyDescent="0.35">
      <c r="DM331" s="50"/>
      <c r="DQ331" s="50"/>
    </row>
    <row r="332" spans="117:121" x14ac:dyDescent="0.35">
      <c r="DM332" s="50"/>
      <c r="DQ332" s="50"/>
    </row>
    <row r="333" spans="117:121" x14ac:dyDescent="0.35">
      <c r="DM333" s="50"/>
      <c r="DQ333" s="50"/>
    </row>
    <row r="334" spans="117:121" x14ac:dyDescent="0.35">
      <c r="DM334" s="50"/>
      <c r="DQ334" s="50"/>
    </row>
    <row r="335" spans="117:121" x14ac:dyDescent="0.35">
      <c r="DM335" s="50"/>
      <c r="DQ335" s="50"/>
    </row>
    <row r="336" spans="117:121" x14ac:dyDescent="0.35">
      <c r="DM336" s="50"/>
      <c r="DQ336" s="50"/>
    </row>
    <row r="337" spans="117:121" x14ac:dyDescent="0.35">
      <c r="DM337" s="50"/>
      <c r="DQ337" s="50"/>
    </row>
    <row r="338" spans="117:121" x14ac:dyDescent="0.35">
      <c r="DM338" s="50"/>
      <c r="DQ338" s="50"/>
    </row>
    <row r="339" spans="117:121" x14ac:dyDescent="0.35">
      <c r="DM339" s="50"/>
      <c r="DQ339" s="50"/>
    </row>
    <row r="340" spans="117:121" x14ac:dyDescent="0.35">
      <c r="DM340" s="50"/>
      <c r="DQ340" s="50"/>
    </row>
    <row r="341" spans="117:121" x14ac:dyDescent="0.35">
      <c r="DM341" s="50"/>
      <c r="DQ341" s="50"/>
    </row>
    <row r="342" spans="117:121" x14ac:dyDescent="0.35">
      <c r="DM342" s="50"/>
      <c r="DQ342" s="50"/>
    </row>
    <row r="343" spans="117:121" x14ac:dyDescent="0.35">
      <c r="DM343" s="50"/>
      <c r="DQ343" s="50"/>
    </row>
    <row r="344" spans="117:121" x14ac:dyDescent="0.35">
      <c r="DM344" s="50"/>
      <c r="DQ344" s="50"/>
    </row>
    <row r="345" spans="117:121" x14ac:dyDescent="0.35">
      <c r="DM345" s="50"/>
      <c r="DQ345" s="50"/>
    </row>
    <row r="346" spans="117:121" x14ac:dyDescent="0.35">
      <c r="DM346" s="50"/>
      <c r="DQ346" s="50"/>
    </row>
    <row r="347" spans="117:121" x14ac:dyDescent="0.35">
      <c r="DM347" s="50"/>
      <c r="DQ347" s="50"/>
    </row>
    <row r="348" spans="117:121" x14ac:dyDescent="0.35">
      <c r="DM348" s="50"/>
      <c r="DQ348" s="50"/>
    </row>
    <row r="349" spans="117:121" x14ac:dyDescent="0.35">
      <c r="DM349" s="50"/>
      <c r="DQ349" s="50"/>
    </row>
    <row r="350" spans="117:121" x14ac:dyDescent="0.35">
      <c r="DM350" s="50"/>
      <c r="DQ350" s="50"/>
    </row>
    <row r="351" spans="117:121" x14ac:dyDescent="0.35">
      <c r="DM351" s="50"/>
      <c r="DQ351" s="50"/>
    </row>
    <row r="352" spans="117:121" x14ac:dyDescent="0.35">
      <c r="DM352" s="50"/>
      <c r="DQ352" s="50"/>
    </row>
    <row r="353" spans="117:121" x14ac:dyDescent="0.35">
      <c r="DM353" s="50"/>
      <c r="DQ353" s="50"/>
    </row>
    <row r="354" spans="117:121" x14ac:dyDescent="0.35">
      <c r="DM354" s="50"/>
      <c r="DQ354" s="50"/>
    </row>
    <row r="355" spans="117:121" x14ac:dyDescent="0.35">
      <c r="DM355" s="50"/>
      <c r="DQ355" s="50"/>
    </row>
    <row r="356" spans="117:121" x14ac:dyDescent="0.35">
      <c r="DM356" s="50"/>
      <c r="DQ356" s="50"/>
    </row>
    <row r="357" spans="117:121" x14ac:dyDescent="0.35">
      <c r="DM357" s="50"/>
      <c r="DQ357" s="50"/>
    </row>
    <row r="358" spans="117:121" x14ac:dyDescent="0.35">
      <c r="DM358" s="50"/>
      <c r="DQ358" s="50"/>
    </row>
    <row r="359" spans="117:121" x14ac:dyDescent="0.35">
      <c r="DM359" s="50"/>
      <c r="DQ359" s="50"/>
    </row>
    <row r="360" spans="117:121" x14ac:dyDescent="0.35">
      <c r="DM360" s="50"/>
      <c r="DQ360" s="50"/>
    </row>
    <row r="361" spans="117:121" x14ac:dyDescent="0.35">
      <c r="DM361" s="50"/>
      <c r="DQ361" s="50"/>
    </row>
    <row r="362" spans="117:121" x14ac:dyDescent="0.35">
      <c r="DM362" s="50"/>
      <c r="DQ362" s="50"/>
    </row>
    <row r="363" spans="117:121" x14ac:dyDescent="0.35">
      <c r="DM363" s="50"/>
      <c r="DQ363" s="50"/>
    </row>
    <row r="364" spans="117:121" x14ac:dyDescent="0.35">
      <c r="DM364" s="50"/>
      <c r="DQ364" s="50"/>
    </row>
    <row r="365" spans="117:121" x14ac:dyDescent="0.35">
      <c r="DM365" s="50"/>
      <c r="DQ365" s="50"/>
    </row>
    <row r="366" spans="117:121" x14ac:dyDescent="0.35">
      <c r="DM366" s="50"/>
      <c r="DQ366" s="50"/>
    </row>
    <row r="367" spans="117:121" x14ac:dyDescent="0.35">
      <c r="DM367" s="50"/>
      <c r="DQ367" s="50"/>
    </row>
    <row r="368" spans="117:121" x14ac:dyDescent="0.35">
      <c r="DM368" s="50"/>
      <c r="DQ368" s="50"/>
    </row>
    <row r="369" spans="117:121" x14ac:dyDescent="0.35">
      <c r="DM369" s="50"/>
      <c r="DQ369" s="50"/>
    </row>
    <row r="370" spans="117:121" x14ac:dyDescent="0.35">
      <c r="DM370" s="50"/>
      <c r="DQ370" s="50"/>
    </row>
    <row r="371" spans="117:121" x14ac:dyDescent="0.35">
      <c r="DM371" s="50"/>
      <c r="DQ371" s="50"/>
    </row>
    <row r="372" spans="117:121" x14ac:dyDescent="0.35">
      <c r="DM372" s="50"/>
      <c r="DQ372" s="50"/>
    </row>
    <row r="373" spans="117:121" x14ac:dyDescent="0.35">
      <c r="DM373" s="50"/>
      <c r="DQ373" s="50"/>
    </row>
    <row r="374" spans="117:121" x14ac:dyDescent="0.35">
      <c r="DM374" s="50"/>
      <c r="DQ374" s="50"/>
    </row>
    <row r="375" spans="117:121" x14ac:dyDescent="0.35">
      <c r="DM375" s="50"/>
      <c r="DQ375" s="50"/>
    </row>
    <row r="376" spans="117:121" x14ac:dyDescent="0.35">
      <c r="DM376" s="50"/>
      <c r="DQ376" s="50"/>
    </row>
    <row r="377" spans="117:121" x14ac:dyDescent="0.35">
      <c r="DM377" s="50"/>
      <c r="DQ377" s="50"/>
    </row>
    <row r="378" spans="117:121" x14ac:dyDescent="0.35">
      <c r="DM378" s="50"/>
      <c r="DQ378" s="50"/>
    </row>
    <row r="379" spans="117:121" x14ac:dyDescent="0.35">
      <c r="DM379" s="50"/>
      <c r="DQ379" s="50"/>
    </row>
    <row r="380" spans="117:121" x14ac:dyDescent="0.35">
      <c r="DM380" s="50"/>
      <c r="DQ380" s="50"/>
    </row>
    <row r="381" spans="117:121" x14ac:dyDescent="0.35">
      <c r="DM381" s="50"/>
      <c r="DQ381" s="50"/>
    </row>
    <row r="382" spans="117:121" x14ac:dyDescent="0.35">
      <c r="DM382" s="50"/>
      <c r="DQ382" s="50"/>
    </row>
    <row r="383" spans="117:121" x14ac:dyDescent="0.35">
      <c r="DM383" s="50"/>
      <c r="DQ383" s="50"/>
    </row>
    <row r="384" spans="117:121" x14ac:dyDescent="0.35">
      <c r="DM384" s="50"/>
      <c r="DQ384" s="50"/>
    </row>
    <row r="385" spans="117:121" x14ac:dyDescent="0.35">
      <c r="DM385" s="50"/>
      <c r="DQ385" s="50"/>
    </row>
    <row r="386" spans="117:121" x14ac:dyDescent="0.35">
      <c r="DM386" s="50"/>
      <c r="DQ386" s="50"/>
    </row>
    <row r="387" spans="117:121" x14ac:dyDescent="0.35">
      <c r="DM387" s="50"/>
      <c r="DQ387" s="50"/>
    </row>
    <row r="388" spans="117:121" x14ac:dyDescent="0.35">
      <c r="DM388" s="50"/>
      <c r="DQ388" s="50"/>
    </row>
    <row r="389" spans="117:121" x14ac:dyDescent="0.35">
      <c r="DM389" s="50"/>
      <c r="DQ389" s="50"/>
    </row>
    <row r="390" spans="117:121" x14ac:dyDescent="0.35">
      <c r="DM390" s="50"/>
      <c r="DQ390" s="50"/>
    </row>
    <row r="391" spans="117:121" x14ac:dyDescent="0.35">
      <c r="DM391" s="50"/>
      <c r="DQ391" s="50"/>
    </row>
    <row r="392" spans="117:121" x14ac:dyDescent="0.35">
      <c r="DM392" s="50"/>
      <c r="DQ392" s="50"/>
    </row>
    <row r="393" spans="117:121" x14ac:dyDescent="0.35">
      <c r="DM393" s="50"/>
      <c r="DQ393" s="50"/>
    </row>
    <row r="394" spans="117:121" x14ac:dyDescent="0.35">
      <c r="DM394" s="50"/>
      <c r="DQ394" s="50"/>
    </row>
    <row r="395" spans="117:121" x14ac:dyDescent="0.35">
      <c r="DM395" s="50"/>
      <c r="DQ395" s="50"/>
    </row>
    <row r="396" spans="117:121" x14ac:dyDescent="0.35">
      <c r="DM396" s="50"/>
      <c r="DQ396" s="50"/>
    </row>
    <row r="397" spans="117:121" x14ac:dyDescent="0.35">
      <c r="DM397" s="50"/>
      <c r="DQ397" s="50"/>
    </row>
    <row r="398" spans="117:121" x14ac:dyDescent="0.35">
      <c r="DM398" s="50"/>
      <c r="DQ398" s="50"/>
    </row>
    <row r="399" spans="117:121" x14ac:dyDescent="0.35">
      <c r="DM399" s="50"/>
      <c r="DQ399" s="50"/>
    </row>
    <row r="400" spans="117:121" x14ac:dyDescent="0.35">
      <c r="DM400" s="50"/>
      <c r="DQ400" s="50"/>
    </row>
    <row r="401" spans="117:121" x14ac:dyDescent="0.35">
      <c r="DM401" s="50"/>
      <c r="DQ401" s="50"/>
    </row>
    <row r="402" spans="117:121" x14ac:dyDescent="0.35">
      <c r="DM402" s="50"/>
      <c r="DQ402" s="50"/>
    </row>
    <row r="403" spans="117:121" x14ac:dyDescent="0.35">
      <c r="DM403" s="50"/>
      <c r="DQ403" s="50"/>
    </row>
    <row r="404" spans="117:121" x14ac:dyDescent="0.35">
      <c r="DM404" s="50"/>
      <c r="DQ404" s="50"/>
    </row>
    <row r="405" spans="117:121" x14ac:dyDescent="0.35">
      <c r="DM405" s="50"/>
      <c r="DQ405" s="50"/>
    </row>
    <row r="406" spans="117:121" x14ac:dyDescent="0.35">
      <c r="DM406" s="50"/>
      <c r="DQ406" s="50"/>
    </row>
    <row r="407" spans="117:121" x14ac:dyDescent="0.35">
      <c r="DM407" s="50"/>
      <c r="DQ407" s="50"/>
    </row>
    <row r="408" spans="117:121" x14ac:dyDescent="0.35">
      <c r="DM408" s="50"/>
      <c r="DQ408" s="50"/>
    </row>
    <row r="409" spans="117:121" x14ac:dyDescent="0.35">
      <c r="DM409" s="50"/>
      <c r="DQ409" s="50"/>
    </row>
    <row r="410" spans="117:121" x14ac:dyDescent="0.35">
      <c r="DM410" s="50"/>
      <c r="DQ410" s="50"/>
    </row>
    <row r="411" spans="117:121" x14ac:dyDescent="0.35">
      <c r="DM411" s="50"/>
      <c r="DQ411" s="50"/>
    </row>
    <row r="412" spans="117:121" x14ac:dyDescent="0.35">
      <c r="DM412" s="50"/>
      <c r="DQ412" s="50"/>
    </row>
    <row r="413" spans="117:121" x14ac:dyDescent="0.35">
      <c r="DM413" s="50"/>
      <c r="DQ413" s="50"/>
    </row>
    <row r="414" spans="117:121" x14ac:dyDescent="0.35">
      <c r="DM414" s="50"/>
      <c r="DQ414" s="50"/>
    </row>
    <row r="415" spans="117:121" x14ac:dyDescent="0.35">
      <c r="DM415" s="50"/>
      <c r="DQ415" s="50"/>
    </row>
    <row r="416" spans="117:121" x14ac:dyDescent="0.35">
      <c r="DM416" s="50"/>
      <c r="DQ416" s="50"/>
    </row>
    <row r="417" spans="117:121" x14ac:dyDescent="0.35">
      <c r="DM417" s="50"/>
      <c r="DQ417" s="50"/>
    </row>
    <row r="418" spans="117:121" x14ac:dyDescent="0.35">
      <c r="DM418" s="50"/>
      <c r="DQ418" s="50"/>
    </row>
    <row r="419" spans="117:121" x14ac:dyDescent="0.35">
      <c r="DM419" s="50"/>
      <c r="DQ419" s="50"/>
    </row>
    <row r="420" spans="117:121" x14ac:dyDescent="0.35">
      <c r="DM420" s="50"/>
      <c r="DQ420" s="50"/>
    </row>
    <row r="421" spans="117:121" x14ac:dyDescent="0.35">
      <c r="DM421" s="50"/>
      <c r="DQ421" s="50"/>
    </row>
    <row r="422" spans="117:121" x14ac:dyDescent="0.35">
      <c r="DM422" s="50"/>
      <c r="DQ422" s="50"/>
    </row>
    <row r="423" spans="117:121" x14ac:dyDescent="0.35">
      <c r="DM423" s="50"/>
      <c r="DQ423" s="50"/>
    </row>
    <row r="424" spans="117:121" x14ac:dyDescent="0.35">
      <c r="DM424" s="50"/>
      <c r="DQ424" s="50"/>
    </row>
    <row r="425" spans="117:121" x14ac:dyDescent="0.35">
      <c r="DM425" s="50"/>
      <c r="DQ425" s="50"/>
    </row>
    <row r="426" spans="117:121" x14ac:dyDescent="0.35">
      <c r="DM426" s="50"/>
      <c r="DQ426" s="50"/>
    </row>
    <row r="427" spans="117:121" x14ac:dyDescent="0.35">
      <c r="DM427" s="50"/>
      <c r="DQ427" s="50"/>
    </row>
    <row r="428" spans="117:121" x14ac:dyDescent="0.35">
      <c r="DM428" s="50"/>
      <c r="DQ428" s="50"/>
    </row>
    <row r="429" spans="117:121" x14ac:dyDescent="0.35">
      <c r="DM429" s="50"/>
      <c r="DQ429" s="50"/>
    </row>
    <row r="430" spans="117:121" x14ac:dyDescent="0.35">
      <c r="DM430" s="50"/>
      <c r="DQ430" s="50"/>
    </row>
    <row r="431" spans="117:121" x14ac:dyDescent="0.35">
      <c r="DM431" s="50"/>
      <c r="DQ431" s="50"/>
    </row>
    <row r="432" spans="117:121" x14ac:dyDescent="0.35">
      <c r="DM432" s="50"/>
      <c r="DQ432" s="50"/>
    </row>
    <row r="433" spans="117:121" x14ac:dyDescent="0.35">
      <c r="DM433" s="50"/>
      <c r="DQ433" s="50"/>
    </row>
    <row r="434" spans="117:121" x14ac:dyDescent="0.35">
      <c r="DM434" s="50"/>
      <c r="DQ434" s="50"/>
    </row>
    <row r="435" spans="117:121" x14ac:dyDescent="0.35">
      <c r="DM435" s="50"/>
      <c r="DQ435" s="50"/>
    </row>
    <row r="436" spans="117:121" x14ac:dyDescent="0.35">
      <c r="DM436" s="50"/>
      <c r="DQ436" s="50"/>
    </row>
    <row r="437" spans="117:121" x14ac:dyDescent="0.35">
      <c r="DM437" s="50"/>
      <c r="DQ437" s="50"/>
    </row>
    <row r="438" spans="117:121" x14ac:dyDescent="0.35">
      <c r="DM438" s="50"/>
      <c r="DQ438" s="50"/>
    </row>
    <row r="439" spans="117:121" x14ac:dyDescent="0.35">
      <c r="DM439" s="50"/>
      <c r="DQ439" s="50"/>
    </row>
    <row r="440" spans="117:121" x14ac:dyDescent="0.35">
      <c r="DM440" s="50"/>
      <c r="DQ440" s="50"/>
    </row>
    <row r="441" spans="117:121" x14ac:dyDescent="0.35">
      <c r="DM441" s="50"/>
      <c r="DQ441" s="50"/>
    </row>
    <row r="442" spans="117:121" x14ac:dyDescent="0.35">
      <c r="DM442" s="50"/>
      <c r="DQ442" s="50"/>
    </row>
    <row r="443" spans="117:121" x14ac:dyDescent="0.35">
      <c r="DM443" s="50"/>
      <c r="DQ443" s="50"/>
    </row>
    <row r="444" spans="117:121" x14ac:dyDescent="0.35">
      <c r="DM444" s="50"/>
      <c r="DQ444" s="50"/>
    </row>
    <row r="445" spans="117:121" x14ac:dyDescent="0.35">
      <c r="DM445" s="50"/>
      <c r="DQ445" s="50"/>
    </row>
    <row r="446" spans="117:121" x14ac:dyDescent="0.35">
      <c r="DM446" s="50"/>
      <c r="DQ446" s="50"/>
    </row>
    <row r="447" spans="117:121" x14ac:dyDescent="0.35">
      <c r="DM447" s="50"/>
      <c r="DQ447" s="50"/>
    </row>
    <row r="448" spans="117:121" x14ac:dyDescent="0.35">
      <c r="DM448" s="50"/>
      <c r="DQ448" s="50"/>
    </row>
    <row r="449" spans="117:121" x14ac:dyDescent="0.35">
      <c r="DM449" s="50"/>
      <c r="DQ449" s="50"/>
    </row>
    <row r="450" spans="117:121" x14ac:dyDescent="0.35">
      <c r="DM450" s="50"/>
      <c r="DQ450" s="50"/>
    </row>
    <row r="451" spans="117:121" x14ac:dyDescent="0.35">
      <c r="DM451" s="50"/>
      <c r="DQ451" s="50"/>
    </row>
    <row r="452" spans="117:121" x14ac:dyDescent="0.35">
      <c r="DM452" s="50"/>
      <c r="DQ452" s="50"/>
    </row>
    <row r="453" spans="117:121" x14ac:dyDescent="0.35">
      <c r="DM453" s="50"/>
      <c r="DQ453" s="50"/>
    </row>
    <row r="454" spans="117:121" x14ac:dyDescent="0.35">
      <c r="DM454" s="50"/>
      <c r="DQ454" s="50"/>
    </row>
    <row r="455" spans="117:121" x14ac:dyDescent="0.35">
      <c r="DM455" s="50"/>
      <c r="DQ455" s="50"/>
    </row>
    <row r="456" spans="117:121" x14ac:dyDescent="0.35">
      <c r="DM456" s="50"/>
      <c r="DQ456" s="50"/>
    </row>
    <row r="457" spans="117:121" x14ac:dyDescent="0.35">
      <c r="DM457" s="50"/>
      <c r="DQ457" s="50"/>
    </row>
    <row r="458" spans="117:121" x14ac:dyDescent="0.35">
      <c r="DM458" s="50"/>
      <c r="DQ458" s="50"/>
    </row>
    <row r="459" spans="117:121" x14ac:dyDescent="0.35">
      <c r="DM459" s="50"/>
      <c r="DQ459" s="50"/>
    </row>
    <row r="460" spans="117:121" x14ac:dyDescent="0.35">
      <c r="DM460" s="50"/>
      <c r="DQ460" s="50"/>
    </row>
    <row r="461" spans="117:121" x14ac:dyDescent="0.35">
      <c r="DM461" s="50"/>
      <c r="DQ461" s="50"/>
    </row>
    <row r="462" spans="117:121" x14ac:dyDescent="0.35">
      <c r="DM462" s="50"/>
      <c r="DQ462" s="50"/>
    </row>
    <row r="463" spans="117:121" x14ac:dyDescent="0.35">
      <c r="DM463" s="50"/>
      <c r="DQ463" s="50"/>
    </row>
    <row r="464" spans="117:121" x14ac:dyDescent="0.35">
      <c r="DM464" s="50"/>
      <c r="DQ464" s="50"/>
    </row>
    <row r="465" spans="117:121" x14ac:dyDescent="0.35">
      <c r="DM465" s="50"/>
      <c r="DQ465" s="50"/>
    </row>
    <row r="466" spans="117:121" x14ac:dyDescent="0.35">
      <c r="DM466" s="50"/>
      <c r="DQ466" s="50"/>
    </row>
    <row r="467" spans="117:121" x14ac:dyDescent="0.35">
      <c r="DM467" s="50"/>
      <c r="DQ467" s="50"/>
    </row>
    <row r="468" spans="117:121" x14ac:dyDescent="0.35">
      <c r="DM468" s="50"/>
      <c r="DQ468" s="50"/>
    </row>
    <row r="469" spans="117:121" x14ac:dyDescent="0.35">
      <c r="DM469" s="50"/>
      <c r="DQ469" s="50"/>
    </row>
    <row r="470" spans="117:121" x14ac:dyDescent="0.35">
      <c r="DM470" s="50"/>
      <c r="DQ470" s="50"/>
    </row>
    <row r="471" spans="117:121" x14ac:dyDescent="0.35">
      <c r="DM471" s="50"/>
      <c r="DQ471" s="50"/>
    </row>
    <row r="472" spans="117:121" x14ac:dyDescent="0.35">
      <c r="DM472" s="50"/>
      <c r="DQ472" s="50"/>
    </row>
    <row r="473" spans="117:121" x14ac:dyDescent="0.35">
      <c r="DM473" s="50"/>
      <c r="DQ473" s="50"/>
    </row>
    <row r="474" spans="117:121" x14ac:dyDescent="0.35">
      <c r="DM474" s="50"/>
      <c r="DQ474" s="50"/>
    </row>
    <row r="475" spans="117:121" x14ac:dyDescent="0.35">
      <c r="DM475" s="50"/>
      <c r="DQ475" s="50"/>
    </row>
    <row r="476" spans="117:121" x14ac:dyDescent="0.35">
      <c r="DM476" s="50"/>
      <c r="DQ476" s="50"/>
    </row>
    <row r="477" spans="117:121" x14ac:dyDescent="0.35">
      <c r="DM477" s="50"/>
      <c r="DQ477" s="50"/>
    </row>
    <row r="478" spans="117:121" x14ac:dyDescent="0.35">
      <c r="DM478" s="50"/>
      <c r="DQ478" s="50"/>
    </row>
    <row r="479" spans="117:121" x14ac:dyDescent="0.35">
      <c r="DM479" s="50"/>
      <c r="DQ479" s="50"/>
    </row>
    <row r="480" spans="117:121" x14ac:dyDescent="0.35">
      <c r="DM480" s="50"/>
      <c r="DQ480" s="50"/>
    </row>
    <row r="481" spans="117:121" x14ac:dyDescent="0.35">
      <c r="DM481" s="50"/>
      <c r="DQ481" s="50"/>
    </row>
    <row r="482" spans="117:121" x14ac:dyDescent="0.35">
      <c r="DM482" s="50"/>
      <c r="DQ482" s="50"/>
    </row>
    <row r="483" spans="117:121" x14ac:dyDescent="0.35">
      <c r="DM483" s="50"/>
      <c r="DQ483" s="50"/>
    </row>
    <row r="484" spans="117:121" x14ac:dyDescent="0.35">
      <c r="DM484" s="50"/>
      <c r="DQ484" s="50"/>
    </row>
    <row r="485" spans="117:121" x14ac:dyDescent="0.35">
      <c r="DM485" s="50"/>
      <c r="DQ485" s="50"/>
    </row>
    <row r="486" spans="117:121" x14ac:dyDescent="0.35">
      <c r="DM486" s="50"/>
      <c r="DQ486" s="50"/>
    </row>
    <row r="487" spans="117:121" x14ac:dyDescent="0.35">
      <c r="DM487" s="50"/>
      <c r="DQ487" s="50"/>
    </row>
    <row r="488" spans="117:121" x14ac:dyDescent="0.35">
      <c r="DM488" s="50"/>
      <c r="DQ488" s="50"/>
    </row>
    <row r="489" spans="117:121" x14ac:dyDescent="0.35">
      <c r="DM489" s="50"/>
      <c r="DQ489" s="50"/>
    </row>
    <row r="490" spans="117:121" x14ac:dyDescent="0.35">
      <c r="DM490" s="50"/>
      <c r="DQ490" s="50"/>
    </row>
    <row r="491" spans="117:121" x14ac:dyDescent="0.35">
      <c r="DM491" s="50"/>
      <c r="DQ491" s="50"/>
    </row>
    <row r="492" spans="117:121" x14ac:dyDescent="0.35">
      <c r="DM492" s="50"/>
      <c r="DQ492" s="50"/>
    </row>
    <row r="493" spans="117:121" x14ac:dyDescent="0.35">
      <c r="DM493" s="50"/>
      <c r="DQ493" s="50"/>
    </row>
    <row r="494" spans="117:121" x14ac:dyDescent="0.35">
      <c r="DM494" s="50"/>
      <c r="DQ494" s="50"/>
    </row>
    <row r="495" spans="117:121" x14ac:dyDescent="0.35">
      <c r="DM495" s="50"/>
      <c r="DQ495" s="50"/>
    </row>
    <row r="496" spans="117:121" x14ac:dyDescent="0.35">
      <c r="DM496" s="50"/>
      <c r="DQ496" s="50"/>
    </row>
    <row r="497" spans="117:121" x14ac:dyDescent="0.35">
      <c r="DM497" s="50"/>
      <c r="DQ497" s="50"/>
    </row>
    <row r="498" spans="117:121" x14ac:dyDescent="0.35">
      <c r="DM498" s="50"/>
      <c r="DQ498" s="50"/>
    </row>
    <row r="499" spans="117:121" x14ac:dyDescent="0.35">
      <c r="DM499" s="50"/>
      <c r="DQ499" s="50"/>
    </row>
    <row r="500" spans="117:121" x14ac:dyDescent="0.35">
      <c r="DM500" s="50"/>
      <c r="DQ500" s="50"/>
    </row>
    <row r="501" spans="117:121" x14ac:dyDescent="0.35">
      <c r="DM501" s="50"/>
      <c r="DQ501" s="50"/>
    </row>
    <row r="502" spans="117:121" x14ac:dyDescent="0.35">
      <c r="DM502" s="50"/>
      <c r="DQ502" s="50"/>
    </row>
    <row r="503" spans="117:121" x14ac:dyDescent="0.35">
      <c r="DM503" s="50"/>
      <c r="DQ503" s="50"/>
    </row>
    <row r="504" spans="117:121" x14ac:dyDescent="0.35">
      <c r="DM504" s="50"/>
      <c r="DQ504" s="50"/>
    </row>
    <row r="505" spans="117:121" x14ac:dyDescent="0.35">
      <c r="DM505" s="50"/>
      <c r="DQ505" s="50"/>
    </row>
    <row r="506" spans="117:121" x14ac:dyDescent="0.35">
      <c r="DM506" s="50"/>
      <c r="DQ506" s="50"/>
    </row>
    <row r="507" spans="117:121" x14ac:dyDescent="0.35">
      <c r="DM507" s="50"/>
      <c r="DQ507" s="50"/>
    </row>
    <row r="508" spans="117:121" x14ac:dyDescent="0.35">
      <c r="DM508" s="50"/>
      <c r="DQ508" s="50"/>
    </row>
    <row r="509" spans="117:121" x14ac:dyDescent="0.35">
      <c r="DM509" s="50"/>
      <c r="DQ509" s="50"/>
    </row>
    <row r="510" spans="117:121" x14ac:dyDescent="0.35">
      <c r="DM510" s="50"/>
      <c r="DQ510" s="50"/>
    </row>
    <row r="511" spans="117:121" x14ac:dyDescent="0.35">
      <c r="DM511" s="50"/>
      <c r="DQ511" s="50"/>
    </row>
    <row r="512" spans="117:121" x14ac:dyDescent="0.35">
      <c r="DM512" s="50"/>
      <c r="DQ512" s="50"/>
    </row>
    <row r="513" spans="117:121" x14ac:dyDescent="0.35">
      <c r="DM513" s="50"/>
      <c r="DQ513" s="50"/>
    </row>
    <row r="514" spans="117:121" x14ac:dyDescent="0.35">
      <c r="DM514" s="50"/>
      <c r="DQ514" s="50"/>
    </row>
    <row r="515" spans="117:121" x14ac:dyDescent="0.35">
      <c r="DM515" s="50"/>
      <c r="DQ515" s="50"/>
    </row>
    <row r="516" spans="117:121" x14ac:dyDescent="0.35">
      <c r="DM516" s="50"/>
      <c r="DQ516" s="50"/>
    </row>
    <row r="517" spans="117:121" x14ac:dyDescent="0.35">
      <c r="DM517" s="50"/>
      <c r="DQ517" s="50"/>
    </row>
    <row r="518" spans="117:121" x14ac:dyDescent="0.35">
      <c r="DM518" s="50"/>
      <c r="DQ518" s="50"/>
    </row>
    <row r="519" spans="117:121" x14ac:dyDescent="0.35">
      <c r="DM519" s="50"/>
      <c r="DQ519" s="50"/>
    </row>
    <row r="520" spans="117:121" x14ac:dyDescent="0.35">
      <c r="DM520" s="50"/>
      <c r="DQ520" s="50"/>
    </row>
    <row r="521" spans="117:121" x14ac:dyDescent="0.35">
      <c r="DM521" s="50"/>
      <c r="DQ521" s="50"/>
    </row>
    <row r="522" spans="117:121" x14ac:dyDescent="0.35">
      <c r="DM522" s="50"/>
      <c r="DQ522" s="50"/>
    </row>
    <row r="523" spans="117:121" x14ac:dyDescent="0.35">
      <c r="DM523" s="50"/>
      <c r="DQ523" s="50"/>
    </row>
    <row r="524" spans="117:121" x14ac:dyDescent="0.35">
      <c r="DM524" s="50"/>
      <c r="DQ524" s="50"/>
    </row>
    <row r="525" spans="117:121" x14ac:dyDescent="0.35">
      <c r="DM525" s="50"/>
      <c r="DQ525" s="50"/>
    </row>
    <row r="526" spans="117:121" x14ac:dyDescent="0.35">
      <c r="DM526" s="50"/>
      <c r="DQ526" s="50"/>
    </row>
    <row r="527" spans="117:121" x14ac:dyDescent="0.35">
      <c r="DM527" s="50"/>
      <c r="DQ527" s="50"/>
    </row>
    <row r="528" spans="117:121" x14ac:dyDescent="0.35">
      <c r="DM528" s="50"/>
      <c r="DQ528" s="50"/>
    </row>
    <row r="529" spans="117:121" x14ac:dyDescent="0.35">
      <c r="DM529" s="50"/>
      <c r="DQ529" s="50"/>
    </row>
    <row r="530" spans="117:121" x14ac:dyDescent="0.35">
      <c r="DM530" s="50"/>
      <c r="DQ530" s="50"/>
    </row>
    <row r="531" spans="117:121" x14ac:dyDescent="0.35">
      <c r="DM531" s="50"/>
      <c r="DQ531" s="50"/>
    </row>
    <row r="532" spans="117:121" x14ac:dyDescent="0.35">
      <c r="DM532" s="50"/>
      <c r="DQ532" s="50"/>
    </row>
    <row r="533" spans="117:121" x14ac:dyDescent="0.35">
      <c r="DM533" s="50"/>
      <c r="DQ533" s="50"/>
    </row>
    <row r="534" spans="117:121" x14ac:dyDescent="0.35">
      <c r="DM534" s="50"/>
      <c r="DQ534" s="50"/>
    </row>
    <row r="535" spans="117:121" x14ac:dyDescent="0.35">
      <c r="DM535" s="50"/>
      <c r="DQ535" s="50"/>
    </row>
    <row r="536" spans="117:121" x14ac:dyDescent="0.35">
      <c r="DM536" s="50"/>
      <c r="DQ536" s="50"/>
    </row>
    <row r="537" spans="117:121" x14ac:dyDescent="0.35">
      <c r="DM537" s="50"/>
      <c r="DQ537" s="50"/>
    </row>
    <row r="538" spans="117:121" x14ac:dyDescent="0.35">
      <c r="DM538" s="50"/>
      <c r="DQ538" s="50"/>
    </row>
    <row r="539" spans="117:121" x14ac:dyDescent="0.35">
      <c r="DM539" s="50"/>
      <c r="DQ539" s="50"/>
    </row>
    <row r="540" spans="117:121" x14ac:dyDescent="0.35">
      <c r="DM540" s="50"/>
      <c r="DQ540" s="50"/>
    </row>
    <row r="541" spans="117:121" x14ac:dyDescent="0.35">
      <c r="DM541" s="50"/>
      <c r="DQ541" s="50"/>
    </row>
    <row r="542" spans="117:121" x14ac:dyDescent="0.35">
      <c r="DM542" s="50"/>
      <c r="DQ542" s="50"/>
    </row>
    <row r="543" spans="117:121" x14ac:dyDescent="0.35">
      <c r="DM543" s="50"/>
      <c r="DQ543" s="50"/>
    </row>
    <row r="544" spans="117:121" x14ac:dyDescent="0.35">
      <c r="DM544" s="50"/>
      <c r="DQ544" s="50"/>
    </row>
    <row r="545" spans="117:121" x14ac:dyDescent="0.35">
      <c r="DM545" s="50"/>
      <c r="DQ545" s="50"/>
    </row>
    <row r="546" spans="117:121" x14ac:dyDescent="0.35">
      <c r="DM546" s="50"/>
      <c r="DQ546" s="50"/>
    </row>
    <row r="547" spans="117:121" x14ac:dyDescent="0.35">
      <c r="DM547" s="50"/>
      <c r="DQ547" s="50"/>
    </row>
    <row r="548" spans="117:121" x14ac:dyDescent="0.35">
      <c r="DM548" s="50"/>
      <c r="DQ548" s="50"/>
    </row>
    <row r="549" spans="117:121" x14ac:dyDescent="0.35">
      <c r="DM549" s="50"/>
      <c r="DQ549" s="50"/>
    </row>
    <row r="550" spans="117:121" x14ac:dyDescent="0.35">
      <c r="DM550" s="50"/>
      <c r="DQ550" s="50"/>
    </row>
    <row r="551" spans="117:121" x14ac:dyDescent="0.35">
      <c r="DM551" s="50"/>
      <c r="DQ551" s="50"/>
    </row>
    <row r="552" spans="117:121" x14ac:dyDescent="0.35">
      <c r="DM552" s="50"/>
      <c r="DQ552" s="50"/>
    </row>
    <row r="553" spans="117:121" x14ac:dyDescent="0.35">
      <c r="DM553" s="50"/>
      <c r="DQ553" s="50"/>
    </row>
    <row r="554" spans="117:121" x14ac:dyDescent="0.35">
      <c r="DM554" s="50"/>
      <c r="DQ554" s="50"/>
    </row>
    <row r="555" spans="117:121" x14ac:dyDescent="0.35">
      <c r="DM555" s="50"/>
      <c r="DQ555" s="50"/>
    </row>
    <row r="556" spans="117:121" x14ac:dyDescent="0.35">
      <c r="DM556" s="50"/>
      <c r="DQ556" s="50"/>
    </row>
    <row r="557" spans="117:121" x14ac:dyDescent="0.35">
      <c r="DM557" s="50"/>
      <c r="DQ557" s="50"/>
    </row>
    <row r="558" spans="117:121" x14ac:dyDescent="0.35">
      <c r="DM558" s="50"/>
      <c r="DQ558" s="50"/>
    </row>
    <row r="559" spans="117:121" x14ac:dyDescent="0.35">
      <c r="DM559" s="50"/>
      <c r="DQ559" s="50"/>
    </row>
    <row r="560" spans="117:121" x14ac:dyDescent="0.35">
      <c r="DM560" s="50"/>
      <c r="DQ560" s="50"/>
    </row>
    <row r="561" spans="117:121" x14ac:dyDescent="0.35">
      <c r="DM561" s="50"/>
      <c r="DQ561" s="50"/>
    </row>
    <row r="562" spans="117:121" x14ac:dyDescent="0.35">
      <c r="DM562" s="50"/>
      <c r="DQ562" s="50"/>
    </row>
    <row r="563" spans="117:121" x14ac:dyDescent="0.35">
      <c r="DM563" s="50"/>
      <c r="DQ563" s="50"/>
    </row>
    <row r="564" spans="117:121" x14ac:dyDescent="0.35">
      <c r="DM564" s="50"/>
      <c r="DQ564" s="50"/>
    </row>
    <row r="565" spans="117:121" x14ac:dyDescent="0.35">
      <c r="DM565" s="50"/>
      <c r="DQ565" s="50"/>
    </row>
    <row r="566" spans="117:121" x14ac:dyDescent="0.35">
      <c r="DM566" s="50"/>
      <c r="DQ566" s="50"/>
    </row>
    <row r="567" spans="117:121" x14ac:dyDescent="0.35">
      <c r="DM567" s="50"/>
      <c r="DQ567" s="50"/>
    </row>
    <row r="568" spans="117:121" x14ac:dyDescent="0.35">
      <c r="DM568" s="50"/>
      <c r="DQ568" s="50"/>
    </row>
    <row r="569" spans="117:121" x14ac:dyDescent="0.35">
      <c r="DM569" s="50"/>
      <c r="DQ569" s="50"/>
    </row>
    <row r="570" spans="117:121" x14ac:dyDescent="0.35">
      <c r="DM570" s="50"/>
      <c r="DQ570" s="50"/>
    </row>
    <row r="571" spans="117:121" x14ac:dyDescent="0.35">
      <c r="DM571" s="50"/>
      <c r="DQ571" s="50"/>
    </row>
    <row r="572" spans="117:121" x14ac:dyDescent="0.35">
      <c r="DM572" s="50"/>
      <c r="DQ572" s="50"/>
    </row>
    <row r="573" spans="117:121" x14ac:dyDescent="0.35">
      <c r="DM573" s="50"/>
      <c r="DQ573" s="50"/>
    </row>
    <row r="574" spans="117:121" x14ac:dyDescent="0.35">
      <c r="DM574" s="50"/>
      <c r="DQ574" s="50"/>
    </row>
    <row r="575" spans="117:121" x14ac:dyDescent="0.35">
      <c r="DM575" s="50"/>
      <c r="DQ575" s="50"/>
    </row>
    <row r="576" spans="117:121" x14ac:dyDescent="0.35">
      <c r="DM576" s="50"/>
      <c r="DQ576" s="50"/>
    </row>
    <row r="577" spans="117:121" x14ac:dyDescent="0.35">
      <c r="DM577" s="50"/>
      <c r="DQ577" s="50"/>
    </row>
    <row r="578" spans="117:121" x14ac:dyDescent="0.35">
      <c r="DM578" s="50"/>
      <c r="DQ578" s="50"/>
    </row>
    <row r="579" spans="117:121" x14ac:dyDescent="0.35">
      <c r="DM579" s="50"/>
      <c r="DQ579" s="50"/>
    </row>
    <row r="580" spans="117:121" x14ac:dyDescent="0.35">
      <c r="DM580" s="50"/>
      <c r="DQ580" s="50"/>
    </row>
    <row r="581" spans="117:121" x14ac:dyDescent="0.35">
      <c r="DM581" s="50"/>
      <c r="DQ581" s="50"/>
    </row>
    <row r="582" spans="117:121" x14ac:dyDescent="0.35">
      <c r="DM582" s="50"/>
      <c r="DQ582" s="50"/>
    </row>
    <row r="583" spans="117:121" x14ac:dyDescent="0.35">
      <c r="DM583" s="50"/>
      <c r="DQ583" s="50"/>
    </row>
    <row r="584" spans="117:121" x14ac:dyDescent="0.35">
      <c r="DM584" s="50"/>
      <c r="DQ584" s="50"/>
    </row>
    <row r="585" spans="117:121" x14ac:dyDescent="0.35">
      <c r="DM585" s="50"/>
      <c r="DQ585" s="50"/>
    </row>
    <row r="586" spans="117:121" x14ac:dyDescent="0.35">
      <c r="DM586" s="50"/>
      <c r="DQ586" s="50"/>
    </row>
    <row r="587" spans="117:121" x14ac:dyDescent="0.35">
      <c r="DM587" s="50"/>
      <c r="DQ587" s="50"/>
    </row>
    <row r="588" spans="117:121" x14ac:dyDescent="0.35">
      <c r="DM588" s="50"/>
      <c r="DQ588" s="50"/>
    </row>
    <row r="589" spans="117:121" x14ac:dyDescent="0.35">
      <c r="DM589" s="50"/>
      <c r="DQ589" s="50"/>
    </row>
    <row r="590" spans="117:121" x14ac:dyDescent="0.35">
      <c r="DM590" s="50"/>
      <c r="DQ590" s="50"/>
    </row>
    <row r="591" spans="117:121" x14ac:dyDescent="0.35">
      <c r="DM591" s="50"/>
      <c r="DQ591" s="50"/>
    </row>
    <row r="592" spans="117:121" x14ac:dyDescent="0.35">
      <c r="DM592" s="50"/>
      <c r="DQ592" s="50"/>
    </row>
    <row r="593" spans="117:121" x14ac:dyDescent="0.35">
      <c r="DM593" s="50"/>
      <c r="DQ593" s="50"/>
    </row>
    <row r="594" spans="117:121" x14ac:dyDescent="0.35">
      <c r="DM594" s="50"/>
      <c r="DQ594" s="50"/>
    </row>
    <row r="595" spans="117:121" x14ac:dyDescent="0.35">
      <c r="DM595" s="50"/>
      <c r="DQ595" s="50"/>
    </row>
    <row r="596" spans="117:121" x14ac:dyDescent="0.35">
      <c r="DM596" s="50"/>
      <c r="DQ596" s="50"/>
    </row>
    <row r="597" spans="117:121" x14ac:dyDescent="0.35">
      <c r="DM597" s="50"/>
      <c r="DQ597" s="50"/>
    </row>
    <row r="598" spans="117:121" x14ac:dyDescent="0.35">
      <c r="DM598" s="50"/>
      <c r="DQ598" s="50"/>
    </row>
    <row r="599" spans="117:121" x14ac:dyDescent="0.35">
      <c r="DM599" s="50"/>
      <c r="DQ599" s="50"/>
    </row>
    <row r="600" spans="117:121" x14ac:dyDescent="0.35">
      <c r="DM600" s="50"/>
      <c r="DQ600" s="50"/>
    </row>
    <row r="601" spans="117:121" x14ac:dyDescent="0.35">
      <c r="DM601" s="50"/>
      <c r="DQ601" s="50"/>
    </row>
    <row r="602" spans="117:121" x14ac:dyDescent="0.35">
      <c r="DM602" s="50"/>
      <c r="DQ602" s="50"/>
    </row>
    <row r="603" spans="117:121" x14ac:dyDescent="0.35">
      <c r="DM603" s="50"/>
      <c r="DQ603" s="50"/>
    </row>
    <row r="604" spans="117:121" x14ac:dyDescent="0.35">
      <c r="DM604" s="50"/>
      <c r="DQ604" s="50"/>
    </row>
    <row r="605" spans="117:121" x14ac:dyDescent="0.35">
      <c r="DM605" s="50"/>
      <c r="DQ605" s="50"/>
    </row>
    <row r="606" spans="117:121" x14ac:dyDescent="0.35">
      <c r="DM606" s="50"/>
      <c r="DQ606" s="50"/>
    </row>
    <row r="607" spans="117:121" x14ac:dyDescent="0.35">
      <c r="DM607" s="50"/>
      <c r="DQ607" s="50"/>
    </row>
    <row r="608" spans="117:121" x14ac:dyDescent="0.35">
      <c r="DM608" s="50"/>
      <c r="DQ608" s="50"/>
    </row>
    <row r="609" spans="117:121" x14ac:dyDescent="0.35">
      <c r="DM609" s="50"/>
      <c r="DQ609" s="50"/>
    </row>
    <row r="610" spans="117:121" x14ac:dyDescent="0.35">
      <c r="DM610" s="50"/>
      <c r="DQ610" s="50"/>
    </row>
    <row r="611" spans="117:121" x14ac:dyDescent="0.35">
      <c r="DM611" s="50"/>
      <c r="DQ611" s="50"/>
    </row>
    <row r="612" spans="117:121" x14ac:dyDescent="0.35">
      <c r="DM612" s="50"/>
      <c r="DQ612" s="50"/>
    </row>
    <row r="613" spans="117:121" x14ac:dyDescent="0.35">
      <c r="DM613" s="50"/>
      <c r="DQ613" s="50"/>
    </row>
    <row r="614" spans="117:121" x14ac:dyDescent="0.35">
      <c r="DM614" s="50"/>
      <c r="DQ614" s="50"/>
    </row>
    <row r="615" spans="117:121" x14ac:dyDescent="0.35">
      <c r="DM615" s="50"/>
      <c r="DQ615" s="50"/>
    </row>
    <row r="616" spans="117:121" x14ac:dyDescent="0.35">
      <c r="DM616" s="50"/>
      <c r="DQ616" s="50"/>
    </row>
    <row r="617" spans="117:121" x14ac:dyDescent="0.35">
      <c r="DM617" s="50"/>
      <c r="DQ617" s="50"/>
    </row>
    <row r="618" spans="117:121" x14ac:dyDescent="0.35">
      <c r="DM618" s="50"/>
      <c r="DQ618" s="50"/>
    </row>
    <row r="619" spans="117:121" x14ac:dyDescent="0.35">
      <c r="DM619" s="50"/>
      <c r="DQ619" s="50"/>
    </row>
    <row r="620" spans="117:121" x14ac:dyDescent="0.35">
      <c r="DM620" s="50"/>
      <c r="DQ620" s="50"/>
    </row>
    <row r="621" spans="117:121" x14ac:dyDescent="0.35">
      <c r="DM621" s="50"/>
      <c r="DQ621" s="50"/>
    </row>
    <row r="622" spans="117:121" x14ac:dyDescent="0.35">
      <c r="DM622" s="50"/>
      <c r="DQ622" s="50"/>
    </row>
    <row r="623" spans="117:121" x14ac:dyDescent="0.35">
      <c r="DM623" s="50"/>
      <c r="DQ623" s="50"/>
    </row>
    <row r="624" spans="117:121" x14ac:dyDescent="0.35">
      <c r="DM624" s="50"/>
      <c r="DQ624" s="50"/>
    </row>
    <row r="625" spans="117:121" x14ac:dyDescent="0.35">
      <c r="DM625" s="50"/>
      <c r="DQ625" s="50"/>
    </row>
    <row r="626" spans="117:121" x14ac:dyDescent="0.35">
      <c r="DM626" s="50"/>
      <c r="DQ626" s="50"/>
    </row>
    <row r="627" spans="117:121" x14ac:dyDescent="0.35">
      <c r="DM627" s="50"/>
      <c r="DQ627" s="50"/>
    </row>
    <row r="628" spans="117:121" x14ac:dyDescent="0.35">
      <c r="DM628" s="50"/>
      <c r="DQ628" s="50"/>
    </row>
    <row r="629" spans="117:121" x14ac:dyDescent="0.35">
      <c r="DM629" s="50"/>
      <c r="DQ629" s="50"/>
    </row>
    <row r="630" spans="117:121" x14ac:dyDescent="0.35">
      <c r="DM630" s="50"/>
      <c r="DQ630" s="50"/>
    </row>
    <row r="631" spans="117:121" x14ac:dyDescent="0.35">
      <c r="DM631" s="50"/>
      <c r="DQ631" s="50"/>
    </row>
    <row r="632" spans="117:121" x14ac:dyDescent="0.35">
      <c r="DM632" s="50"/>
      <c r="DQ632" s="50"/>
    </row>
    <row r="633" spans="117:121" x14ac:dyDescent="0.35">
      <c r="DM633" s="50"/>
      <c r="DQ633" s="50"/>
    </row>
    <row r="634" spans="117:121" x14ac:dyDescent="0.35">
      <c r="DM634" s="50"/>
      <c r="DQ634" s="50"/>
    </row>
    <row r="635" spans="117:121" x14ac:dyDescent="0.35">
      <c r="DM635" s="50"/>
      <c r="DQ635" s="50"/>
    </row>
    <row r="636" spans="117:121" x14ac:dyDescent="0.35">
      <c r="DM636" s="50"/>
      <c r="DQ636" s="50"/>
    </row>
    <row r="637" spans="117:121" x14ac:dyDescent="0.35">
      <c r="DM637" s="50"/>
      <c r="DQ637" s="50"/>
    </row>
    <row r="638" spans="117:121" x14ac:dyDescent="0.35">
      <c r="DM638" s="50"/>
      <c r="DQ638" s="50"/>
    </row>
    <row r="639" spans="117:121" x14ac:dyDescent="0.35">
      <c r="DM639" s="50"/>
      <c r="DQ639" s="50"/>
    </row>
    <row r="640" spans="117:121" x14ac:dyDescent="0.35">
      <c r="DM640" s="50"/>
      <c r="DQ640" s="50"/>
    </row>
    <row r="641" spans="117:121" x14ac:dyDescent="0.35">
      <c r="DM641" s="50"/>
      <c r="DQ641" s="50"/>
    </row>
    <row r="642" spans="117:121" x14ac:dyDescent="0.35">
      <c r="DM642" s="50"/>
      <c r="DQ642" s="50"/>
    </row>
    <row r="643" spans="117:121" x14ac:dyDescent="0.35">
      <c r="DM643" s="50"/>
      <c r="DQ643" s="50"/>
    </row>
    <row r="644" spans="117:121" x14ac:dyDescent="0.35">
      <c r="DM644" s="50"/>
      <c r="DQ644" s="50"/>
    </row>
    <row r="645" spans="117:121" x14ac:dyDescent="0.35">
      <c r="DM645" s="50"/>
      <c r="DQ645" s="50"/>
    </row>
    <row r="646" spans="117:121" x14ac:dyDescent="0.35">
      <c r="DM646" s="50"/>
      <c r="DQ646" s="50"/>
    </row>
    <row r="647" spans="117:121" x14ac:dyDescent="0.35">
      <c r="DM647" s="50"/>
      <c r="DQ647" s="50"/>
    </row>
    <row r="648" spans="117:121" x14ac:dyDescent="0.35">
      <c r="DM648" s="50"/>
      <c r="DQ648" s="50"/>
    </row>
    <row r="649" spans="117:121" x14ac:dyDescent="0.35">
      <c r="DM649" s="50"/>
      <c r="DQ649" s="50"/>
    </row>
    <row r="650" spans="117:121" x14ac:dyDescent="0.35">
      <c r="DM650" s="50"/>
      <c r="DQ650" s="50"/>
    </row>
    <row r="651" spans="117:121" x14ac:dyDescent="0.35">
      <c r="DM651" s="50"/>
      <c r="DQ651" s="50"/>
    </row>
    <row r="652" spans="117:121" x14ac:dyDescent="0.35">
      <c r="DM652" s="50"/>
      <c r="DQ652" s="50"/>
    </row>
    <row r="653" spans="117:121" x14ac:dyDescent="0.35">
      <c r="DM653" s="50"/>
      <c r="DQ653" s="50"/>
    </row>
    <row r="654" spans="117:121" x14ac:dyDescent="0.35">
      <c r="DM654" s="50"/>
      <c r="DQ654" s="50"/>
    </row>
    <row r="655" spans="117:121" x14ac:dyDescent="0.35">
      <c r="DM655" s="50"/>
      <c r="DQ655" s="50"/>
    </row>
    <row r="656" spans="117:121" x14ac:dyDescent="0.35">
      <c r="DM656" s="50"/>
      <c r="DQ656" s="50"/>
    </row>
    <row r="657" spans="117:121" x14ac:dyDescent="0.35">
      <c r="DM657" s="50"/>
      <c r="DQ657" s="50"/>
    </row>
    <row r="658" spans="117:121" x14ac:dyDescent="0.35">
      <c r="DM658" s="50"/>
      <c r="DQ658" s="50"/>
    </row>
    <row r="659" spans="117:121" x14ac:dyDescent="0.35">
      <c r="DM659" s="50"/>
      <c r="DQ659" s="50"/>
    </row>
    <row r="660" spans="117:121" x14ac:dyDescent="0.35">
      <c r="DM660" s="50"/>
      <c r="DQ660" s="50"/>
    </row>
    <row r="661" spans="117:121" x14ac:dyDescent="0.35">
      <c r="DM661" s="50"/>
      <c r="DQ661" s="50"/>
    </row>
    <row r="662" spans="117:121" x14ac:dyDescent="0.35">
      <c r="DM662" s="50"/>
      <c r="DQ662" s="50"/>
    </row>
    <row r="663" spans="117:121" x14ac:dyDescent="0.35">
      <c r="DM663" s="50"/>
      <c r="DQ663" s="50"/>
    </row>
    <row r="664" spans="117:121" x14ac:dyDescent="0.35">
      <c r="DM664" s="50"/>
      <c r="DQ664" s="50"/>
    </row>
    <row r="665" spans="117:121" x14ac:dyDescent="0.35">
      <c r="DM665" s="50"/>
      <c r="DQ665" s="50"/>
    </row>
    <row r="666" spans="117:121" x14ac:dyDescent="0.35">
      <c r="DM666" s="50"/>
      <c r="DQ666" s="50"/>
    </row>
    <row r="667" spans="117:121" x14ac:dyDescent="0.35">
      <c r="DM667" s="50"/>
      <c r="DQ667" s="50"/>
    </row>
    <row r="668" spans="117:121" x14ac:dyDescent="0.35">
      <c r="DM668" s="50"/>
      <c r="DQ668" s="50"/>
    </row>
    <row r="669" spans="117:121" x14ac:dyDescent="0.35">
      <c r="DM669" s="50"/>
      <c r="DQ669" s="50"/>
    </row>
    <row r="670" spans="117:121" x14ac:dyDescent="0.35">
      <c r="DM670" s="50"/>
      <c r="DQ670" s="50"/>
    </row>
    <row r="671" spans="117:121" x14ac:dyDescent="0.35">
      <c r="DM671" s="50"/>
      <c r="DQ671" s="50"/>
    </row>
    <row r="672" spans="117:121" x14ac:dyDescent="0.35">
      <c r="DM672" s="50"/>
      <c r="DQ672" s="50"/>
    </row>
    <row r="673" spans="117:121" x14ac:dyDescent="0.35">
      <c r="DM673" s="50"/>
      <c r="DQ673" s="50"/>
    </row>
    <row r="674" spans="117:121" x14ac:dyDescent="0.35">
      <c r="DM674" s="50"/>
      <c r="DQ674" s="50"/>
    </row>
    <row r="675" spans="117:121" x14ac:dyDescent="0.35">
      <c r="DM675" s="50"/>
      <c r="DQ675" s="50"/>
    </row>
    <row r="676" spans="117:121" x14ac:dyDescent="0.35">
      <c r="DM676" s="50"/>
      <c r="DQ676" s="50"/>
    </row>
    <row r="677" spans="117:121" x14ac:dyDescent="0.35">
      <c r="DM677" s="50"/>
      <c r="DQ677" s="50"/>
    </row>
    <row r="678" spans="117:121" x14ac:dyDescent="0.35">
      <c r="DM678" s="50"/>
      <c r="DQ678" s="50"/>
    </row>
    <row r="679" spans="117:121" x14ac:dyDescent="0.35">
      <c r="DM679" s="50"/>
      <c r="DQ679" s="50"/>
    </row>
    <row r="680" spans="117:121" x14ac:dyDescent="0.35">
      <c r="DM680" s="50"/>
      <c r="DQ680" s="50"/>
    </row>
    <row r="681" spans="117:121" x14ac:dyDescent="0.35">
      <c r="DM681" s="50"/>
      <c r="DQ681" s="50"/>
    </row>
    <row r="682" spans="117:121" x14ac:dyDescent="0.35">
      <c r="DM682" s="50"/>
      <c r="DQ682" s="50"/>
    </row>
    <row r="683" spans="117:121" x14ac:dyDescent="0.35">
      <c r="DM683" s="50"/>
      <c r="DQ683" s="50"/>
    </row>
    <row r="684" spans="117:121" x14ac:dyDescent="0.35">
      <c r="DM684" s="50"/>
      <c r="DQ684" s="50"/>
    </row>
    <row r="685" spans="117:121" x14ac:dyDescent="0.35">
      <c r="DM685" s="50"/>
      <c r="DQ685" s="50"/>
    </row>
    <row r="686" spans="117:121" x14ac:dyDescent="0.35">
      <c r="DM686" s="50"/>
      <c r="DQ686" s="50"/>
    </row>
    <row r="687" spans="117:121" x14ac:dyDescent="0.35">
      <c r="DM687" s="50"/>
      <c r="DQ687" s="50"/>
    </row>
    <row r="688" spans="117:121" x14ac:dyDescent="0.35">
      <c r="DM688" s="50"/>
      <c r="DQ688" s="50"/>
    </row>
    <row r="689" spans="117:121" x14ac:dyDescent="0.35">
      <c r="DM689" s="50"/>
      <c r="DQ689" s="50"/>
    </row>
    <row r="690" spans="117:121" x14ac:dyDescent="0.35">
      <c r="DM690" s="50"/>
      <c r="DQ690" s="50"/>
    </row>
    <row r="691" spans="117:121" x14ac:dyDescent="0.35">
      <c r="DM691" s="50"/>
      <c r="DQ691" s="50"/>
    </row>
    <row r="692" spans="117:121" x14ac:dyDescent="0.35">
      <c r="DM692" s="50"/>
      <c r="DQ692" s="50"/>
    </row>
    <row r="693" spans="117:121" x14ac:dyDescent="0.35">
      <c r="DM693" s="50"/>
      <c r="DQ693" s="50"/>
    </row>
    <row r="694" spans="117:121" x14ac:dyDescent="0.35">
      <c r="DM694" s="50"/>
      <c r="DQ694" s="50"/>
    </row>
    <row r="695" spans="117:121" x14ac:dyDescent="0.35">
      <c r="DM695" s="50"/>
      <c r="DQ695" s="50"/>
    </row>
    <row r="696" spans="117:121" x14ac:dyDescent="0.35">
      <c r="DM696" s="50"/>
      <c r="DQ696" s="50"/>
    </row>
    <row r="697" spans="117:121" x14ac:dyDescent="0.35">
      <c r="DM697" s="50"/>
      <c r="DQ697" s="50"/>
    </row>
    <row r="698" spans="117:121" x14ac:dyDescent="0.35">
      <c r="DM698" s="50"/>
      <c r="DQ698" s="50"/>
    </row>
    <row r="699" spans="117:121" x14ac:dyDescent="0.35">
      <c r="DM699" s="50"/>
      <c r="DQ699" s="50"/>
    </row>
    <row r="700" spans="117:121" x14ac:dyDescent="0.35">
      <c r="DM700" s="50"/>
      <c r="DQ700" s="50"/>
    </row>
    <row r="701" spans="117:121" x14ac:dyDescent="0.35">
      <c r="DM701" s="50"/>
      <c r="DQ701" s="50"/>
    </row>
    <row r="702" spans="117:121" x14ac:dyDescent="0.35">
      <c r="DM702" s="50"/>
      <c r="DQ702" s="50"/>
    </row>
    <row r="703" spans="117:121" x14ac:dyDescent="0.35">
      <c r="DM703" s="50"/>
      <c r="DQ703" s="50"/>
    </row>
    <row r="704" spans="117:121" x14ac:dyDescent="0.35">
      <c r="DM704" s="50"/>
      <c r="DQ704" s="50"/>
    </row>
    <row r="705" spans="117:121" x14ac:dyDescent="0.35">
      <c r="DM705" s="50"/>
      <c r="DQ705" s="50"/>
    </row>
    <row r="706" spans="117:121" x14ac:dyDescent="0.35">
      <c r="DM706" s="50"/>
      <c r="DQ706" s="50"/>
    </row>
    <row r="707" spans="117:121" x14ac:dyDescent="0.35">
      <c r="DM707" s="50"/>
      <c r="DQ707" s="50"/>
    </row>
    <row r="708" spans="117:121" x14ac:dyDescent="0.35">
      <c r="DM708" s="50"/>
      <c r="DQ708" s="50"/>
    </row>
    <row r="709" spans="117:121" x14ac:dyDescent="0.35">
      <c r="DM709" s="50"/>
      <c r="DQ709" s="50"/>
    </row>
    <row r="710" spans="117:121" x14ac:dyDescent="0.35">
      <c r="DM710" s="50"/>
      <c r="DQ710" s="50"/>
    </row>
    <row r="711" spans="117:121" x14ac:dyDescent="0.35">
      <c r="DM711" s="50"/>
      <c r="DQ711" s="50"/>
    </row>
    <row r="712" spans="117:121" x14ac:dyDescent="0.35">
      <c r="DM712" s="50"/>
      <c r="DQ712" s="50"/>
    </row>
    <row r="713" spans="117:121" x14ac:dyDescent="0.35">
      <c r="DM713" s="50"/>
      <c r="DQ713" s="50"/>
    </row>
    <row r="714" spans="117:121" x14ac:dyDescent="0.35">
      <c r="DM714" s="50"/>
      <c r="DQ714" s="50"/>
    </row>
    <row r="715" spans="117:121" x14ac:dyDescent="0.35">
      <c r="DM715" s="50"/>
      <c r="DQ715" s="50"/>
    </row>
    <row r="716" spans="117:121" x14ac:dyDescent="0.35">
      <c r="DM716" s="50"/>
      <c r="DQ716" s="50"/>
    </row>
    <row r="717" spans="117:121" x14ac:dyDescent="0.35">
      <c r="DM717" s="50"/>
      <c r="DQ717" s="50"/>
    </row>
    <row r="718" spans="117:121" x14ac:dyDescent="0.35">
      <c r="DM718" s="50"/>
      <c r="DQ718" s="50"/>
    </row>
    <row r="719" spans="117:121" x14ac:dyDescent="0.35">
      <c r="DM719" s="50"/>
      <c r="DQ719" s="50"/>
    </row>
    <row r="720" spans="117:121" x14ac:dyDescent="0.35">
      <c r="DM720" s="50"/>
      <c r="DQ720" s="50"/>
    </row>
    <row r="721" spans="117:121" x14ac:dyDescent="0.35">
      <c r="DM721" s="50"/>
      <c r="DQ721" s="50"/>
    </row>
    <row r="722" spans="117:121" x14ac:dyDescent="0.35">
      <c r="DM722" s="50"/>
      <c r="DQ722" s="50"/>
    </row>
    <row r="723" spans="117:121" x14ac:dyDescent="0.35">
      <c r="DM723" s="50"/>
      <c r="DQ723" s="50"/>
    </row>
    <row r="724" spans="117:121" x14ac:dyDescent="0.35">
      <c r="DM724" s="50"/>
      <c r="DQ724" s="50"/>
    </row>
    <row r="725" spans="117:121" x14ac:dyDescent="0.35">
      <c r="DM725" s="50"/>
      <c r="DQ725" s="50"/>
    </row>
    <row r="726" spans="117:121" x14ac:dyDescent="0.35">
      <c r="DM726" s="50"/>
      <c r="DQ726" s="50"/>
    </row>
    <row r="727" spans="117:121" x14ac:dyDescent="0.35">
      <c r="DM727" s="50"/>
      <c r="DQ727" s="50"/>
    </row>
    <row r="728" spans="117:121" x14ac:dyDescent="0.35">
      <c r="DM728" s="50"/>
      <c r="DQ728" s="50"/>
    </row>
    <row r="729" spans="117:121" x14ac:dyDescent="0.35">
      <c r="DM729" s="50"/>
      <c r="DQ729" s="50"/>
    </row>
    <row r="730" spans="117:121" x14ac:dyDescent="0.35">
      <c r="DM730" s="50"/>
      <c r="DQ730" s="50"/>
    </row>
    <row r="731" spans="117:121" x14ac:dyDescent="0.35">
      <c r="DM731" s="50"/>
      <c r="DQ731" s="50"/>
    </row>
    <row r="732" spans="117:121" x14ac:dyDescent="0.35">
      <c r="DM732" s="50"/>
      <c r="DQ732" s="50"/>
    </row>
    <row r="733" spans="117:121" x14ac:dyDescent="0.35">
      <c r="DM733" s="50"/>
      <c r="DQ733" s="50"/>
    </row>
    <row r="734" spans="117:121" x14ac:dyDescent="0.35">
      <c r="DM734" s="50"/>
      <c r="DQ734" s="50"/>
    </row>
    <row r="735" spans="117:121" x14ac:dyDescent="0.35">
      <c r="DM735" s="50"/>
      <c r="DQ735" s="50"/>
    </row>
    <row r="736" spans="117:121" x14ac:dyDescent="0.35">
      <c r="DM736" s="50"/>
      <c r="DQ736" s="50"/>
    </row>
    <row r="737" spans="117:121" x14ac:dyDescent="0.35">
      <c r="DM737" s="50"/>
      <c r="DQ737" s="50"/>
    </row>
    <row r="738" spans="117:121" x14ac:dyDescent="0.35">
      <c r="DM738" s="50"/>
      <c r="DQ738" s="50"/>
    </row>
    <row r="739" spans="117:121" x14ac:dyDescent="0.35">
      <c r="DM739" s="50"/>
      <c r="DQ739" s="50"/>
    </row>
    <row r="740" spans="117:121" x14ac:dyDescent="0.35">
      <c r="DM740" s="50"/>
      <c r="DQ740" s="50"/>
    </row>
    <row r="741" spans="117:121" x14ac:dyDescent="0.35">
      <c r="DM741" s="50"/>
      <c r="DQ741" s="50"/>
    </row>
    <row r="742" spans="117:121" x14ac:dyDescent="0.35">
      <c r="DM742" s="50"/>
      <c r="DQ742" s="50"/>
    </row>
    <row r="743" spans="117:121" x14ac:dyDescent="0.35">
      <c r="DM743" s="50"/>
      <c r="DQ743" s="50"/>
    </row>
    <row r="744" spans="117:121" x14ac:dyDescent="0.35">
      <c r="DM744" s="50"/>
      <c r="DQ744" s="50"/>
    </row>
    <row r="745" spans="117:121" x14ac:dyDescent="0.35">
      <c r="DM745" s="50"/>
      <c r="DQ745" s="50"/>
    </row>
    <row r="746" spans="117:121" x14ac:dyDescent="0.35">
      <c r="DM746" s="50"/>
      <c r="DQ746" s="50"/>
    </row>
    <row r="747" spans="117:121" x14ac:dyDescent="0.35">
      <c r="DM747" s="50"/>
      <c r="DQ747" s="50"/>
    </row>
    <row r="748" spans="117:121" x14ac:dyDescent="0.35">
      <c r="DM748" s="50"/>
      <c r="DQ748" s="50"/>
    </row>
    <row r="749" spans="117:121" x14ac:dyDescent="0.35">
      <c r="DM749" s="50"/>
      <c r="DQ749" s="50"/>
    </row>
    <row r="750" spans="117:121" x14ac:dyDescent="0.35">
      <c r="DM750" s="50"/>
      <c r="DQ750" s="50"/>
    </row>
    <row r="751" spans="117:121" x14ac:dyDescent="0.35">
      <c r="DM751" s="50"/>
      <c r="DQ751" s="50"/>
    </row>
    <row r="752" spans="117:121" x14ac:dyDescent="0.35">
      <c r="DM752" s="50"/>
      <c r="DQ752" s="50"/>
    </row>
    <row r="753" spans="117:121" x14ac:dyDescent="0.35">
      <c r="DM753" s="50"/>
      <c r="DQ753" s="50"/>
    </row>
    <row r="754" spans="117:121" x14ac:dyDescent="0.35">
      <c r="DM754" s="50"/>
      <c r="DQ754" s="50"/>
    </row>
    <row r="755" spans="117:121" x14ac:dyDescent="0.35">
      <c r="DM755" s="50"/>
      <c r="DQ755" s="50"/>
    </row>
    <row r="756" spans="117:121" x14ac:dyDescent="0.35">
      <c r="DM756" s="50"/>
      <c r="DQ756" s="50"/>
    </row>
    <row r="757" spans="117:121" x14ac:dyDescent="0.35">
      <c r="DM757" s="50"/>
      <c r="DQ757" s="50"/>
    </row>
    <row r="758" spans="117:121" x14ac:dyDescent="0.35">
      <c r="DM758" s="50"/>
      <c r="DQ758" s="50"/>
    </row>
    <row r="759" spans="117:121" x14ac:dyDescent="0.35">
      <c r="DM759" s="50"/>
      <c r="DQ759" s="50"/>
    </row>
    <row r="760" spans="117:121" x14ac:dyDescent="0.35">
      <c r="DM760" s="50"/>
      <c r="DQ760" s="50"/>
    </row>
    <row r="761" spans="117:121" x14ac:dyDescent="0.35">
      <c r="DM761" s="50"/>
      <c r="DQ761" s="50"/>
    </row>
    <row r="762" spans="117:121" x14ac:dyDescent="0.35">
      <c r="DM762" s="50"/>
      <c r="DQ762" s="50"/>
    </row>
    <row r="763" spans="117:121" x14ac:dyDescent="0.35">
      <c r="DM763" s="50"/>
      <c r="DQ763" s="50"/>
    </row>
    <row r="764" spans="117:121" x14ac:dyDescent="0.35">
      <c r="DM764" s="50"/>
      <c r="DQ764" s="50"/>
    </row>
    <row r="765" spans="117:121" x14ac:dyDescent="0.35">
      <c r="DM765" s="50"/>
      <c r="DQ765" s="50"/>
    </row>
    <row r="766" spans="117:121" x14ac:dyDescent="0.35">
      <c r="DM766" s="50"/>
      <c r="DQ766" s="50"/>
    </row>
    <row r="767" spans="117:121" x14ac:dyDescent="0.35">
      <c r="DM767" s="50"/>
      <c r="DQ767" s="50"/>
    </row>
    <row r="768" spans="117:121" x14ac:dyDescent="0.35">
      <c r="DM768" s="50"/>
      <c r="DQ768" s="50"/>
    </row>
    <row r="769" spans="117:121" x14ac:dyDescent="0.35">
      <c r="DM769" s="50"/>
      <c r="DQ769" s="50"/>
    </row>
    <row r="770" spans="117:121" x14ac:dyDescent="0.35">
      <c r="DM770" s="50"/>
      <c r="DQ770" s="50"/>
    </row>
    <row r="771" spans="117:121" x14ac:dyDescent="0.35">
      <c r="DM771" s="50"/>
      <c r="DQ771" s="50"/>
    </row>
    <row r="772" spans="117:121" x14ac:dyDescent="0.35">
      <c r="DM772" s="50"/>
      <c r="DQ772" s="50"/>
    </row>
    <row r="773" spans="117:121" x14ac:dyDescent="0.35">
      <c r="DM773" s="50"/>
      <c r="DQ773" s="50"/>
    </row>
    <row r="774" spans="117:121" x14ac:dyDescent="0.35">
      <c r="DM774" s="50"/>
      <c r="DQ774" s="50"/>
    </row>
    <row r="775" spans="117:121" x14ac:dyDescent="0.35">
      <c r="DM775" s="50"/>
      <c r="DQ775" s="50"/>
    </row>
    <row r="776" spans="117:121" x14ac:dyDescent="0.35">
      <c r="DM776" s="50"/>
      <c r="DQ776" s="50"/>
    </row>
    <row r="777" spans="117:121" x14ac:dyDescent="0.35">
      <c r="DM777" s="50"/>
      <c r="DQ777" s="50"/>
    </row>
    <row r="778" spans="117:121" x14ac:dyDescent="0.35">
      <c r="DM778" s="50"/>
      <c r="DQ778" s="50"/>
    </row>
    <row r="779" spans="117:121" x14ac:dyDescent="0.35">
      <c r="DM779" s="50"/>
      <c r="DQ779" s="50"/>
    </row>
    <row r="780" spans="117:121" x14ac:dyDescent="0.35">
      <c r="DM780" s="50"/>
      <c r="DQ780" s="50"/>
    </row>
    <row r="781" spans="117:121" x14ac:dyDescent="0.35">
      <c r="DM781" s="50"/>
      <c r="DQ781" s="50"/>
    </row>
    <row r="782" spans="117:121" x14ac:dyDescent="0.35">
      <c r="DM782" s="50"/>
      <c r="DQ782" s="50"/>
    </row>
    <row r="783" spans="117:121" x14ac:dyDescent="0.35">
      <c r="DM783" s="50"/>
      <c r="DQ783" s="50"/>
    </row>
    <row r="784" spans="117:121" x14ac:dyDescent="0.35">
      <c r="DM784" s="50"/>
      <c r="DQ784" s="50"/>
    </row>
    <row r="785" spans="117:121" x14ac:dyDescent="0.35">
      <c r="DM785" s="50"/>
      <c r="DQ785" s="50"/>
    </row>
    <row r="786" spans="117:121" x14ac:dyDescent="0.35">
      <c r="DM786" s="50"/>
      <c r="DQ786" s="50"/>
    </row>
    <row r="787" spans="117:121" x14ac:dyDescent="0.35">
      <c r="DM787" s="50"/>
      <c r="DQ787" s="50"/>
    </row>
    <row r="788" spans="117:121" x14ac:dyDescent="0.35">
      <c r="DM788" s="50"/>
      <c r="DQ788" s="50"/>
    </row>
    <row r="789" spans="117:121" x14ac:dyDescent="0.35">
      <c r="DM789" s="50"/>
      <c r="DQ789" s="50"/>
    </row>
    <row r="790" spans="117:121" x14ac:dyDescent="0.35">
      <c r="DM790" s="50"/>
      <c r="DQ790" s="50"/>
    </row>
    <row r="791" spans="117:121" x14ac:dyDescent="0.35">
      <c r="DM791" s="50"/>
      <c r="DQ791" s="50"/>
    </row>
    <row r="792" spans="117:121" x14ac:dyDescent="0.35">
      <c r="DM792" s="50"/>
      <c r="DQ792" s="50"/>
    </row>
    <row r="793" spans="117:121" x14ac:dyDescent="0.35">
      <c r="DM793" s="50"/>
      <c r="DQ793" s="50"/>
    </row>
    <row r="794" spans="117:121" x14ac:dyDescent="0.35">
      <c r="DM794" s="50"/>
      <c r="DQ794" s="50"/>
    </row>
    <row r="795" spans="117:121" x14ac:dyDescent="0.35">
      <c r="DM795" s="50"/>
      <c r="DQ795" s="50"/>
    </row>
    <row r="796" spans="117:121" x14ac:dyDescent="0.35">
      <c r="DM796" s="50"/>
      <c r="DQ796" s="50"/>
    </row>
    <row r="797" spans="117:121" x14ac:dyDescent="0.35">
      <c r="DM797" s="50"/>
      <c r="DQ797" s="50"/>
    </row>
    <row r="798" spans="117:121" x14ac:dyDescent="0.35">
      <c r="DM798" s="50"/>
      <c r="DQ798" s="50"/>
    </row>
    <row r="799" spans="117:121" x14ac:dyDescent="0.35">
      <c r="DM799" s="50"/>
      <c r="DQ799" s="50"/>
    </row>
    <row r="800" spans="117:121" x14ac:dyDescent="0.35">
      <c r="DM800" s="50"/>
      <c r="DQ800" s="50"/>
    </row>
    <row r="801" spans="117:121" x14ac:dyDescent="0.35">
      <c r="DM801" s="50"/>
      <c r="DQ801" s="50"/>
    </row>
    <row r="802" spans="117:121" x14ac:dyDescent="0.35">
      <c r="DM802" s="50"/>
      <c r="DQ802" s="50"/>
    </row>
    <row r="803" spans="117:121" x14ac:dyDescent="0.35">
      <c r="DM803" s="50"/>
      <c r="DQ803" s="50"/>
    </row>
    <row r="804" spans="117:121" x14ac:dyDescent="0.35">
      <c r="DM804" s="50"/>
      <c r="DQ804" s="50"/>
    </row>
    <row r="805" spans="117:121" x14ac:dyDescent="0.35">
      <c r="DM805" s="50"/>
      <c r="DQ805" s="50"/>
    </row>
    <row r="806" spans="117:121" x14ac:dyDescent="0.35">
      <c r="DM806" s="50"/>
      <c r="DQ806" s="50"/>
    </row>
    <row r="807" spans="117:121" x14ac:dyDescent="0.35">
      <c r="DM807" s="50"/>
      <c r="DQ807" s="50"/>
    </row>
    <row r="808" spans="117:121" x14ac:dyDescent="0.35">
      <c r="DM808" s="50"/>
      <c r="DQ808" s="50"/>
    </row>
    <row r="809" spans="117:121" x14ac:dyDescent="0.35">
      <c r="DM809" s="50"/>
      <c r="DQ809" s="50"/>
    </row>
    <row r="810" spans="117:121" x14ac:dyDescent="0.35">
      <c r="DM810" s="50"/>
      <c r="DQ810" s="50"/>
    </row>
    <row r="811" spans="117:121" x14ac:dyDescent="0.35">
      <c r="DM811" s="50"/>
      <c r="DQ811" s="50"/>
    </row>
    <row r="812" spans="117:121" x14ac:dyDescent="0.35">
      <c r="DM812" s="50"/>
      <c r="DQ812" s="50"/>
    </row>
    <row r="813" spans="117:121" x14ac:dyDescent="0.35">
      <c r="DM813" s="50"/>
      <c r="DQ813" s="50"/>
    </row>
    <row r="814" spans="117:121" x14ac:dyDescent="0.35">
      <c r="DM814" s="50"/>
      <c r="DQ814" s="50"/>
    </row>
    <row r="815" spans="117:121" x14ac:dyDescent="0.35">
      <c r="DM815" s="50"/>
      <c r="DQ815" s="50"/>
    </row>
    <row r="816" spans="117:121" x14ac:dyDescent="0.35">
      <c r="DM816" s="50"/>
      <c r="DQ816" s="50"/>
    </row>
    <row r="817" spans="117:121" x14ac:dyDescent="0.35">
      <c r="DM817" s="50"/>
      <c r="DQ817" s="50"/>
    </row>
    <row r="818" spans="117:121" x14ac:dyDescent="0.35">
      <c r="DM818" s="50"/>
      <c r="DQ818" s="50"/>
    </row>
    <row r="819" spans="117:121" x14ac:dyDescent="0.35">
      <c r="DM819" s="50"/>
      <c r="DQ819" s="50"/>
    </row>
    <row r="820" spans="117:121" x14ac:dyDescent="0.35">
      <c r="DM820" s="50"/>
      <c r="DQ820" s="50"/>
    </row>
    <row r="821" spans="117:121" x14ac:dyDescent="0.35">
      <c r="DM821" s="50"/>
      <c r="DQ821" s="50"/>
    </row>
    <row r="822" spans="117:121" x14ac:dyDescent="0.35">
      <c r="DM822" s="50"/>
      <c r="DQ822" s="50"/>
    </row>
    <row r="823" spans="117:121" x14ac:dyDescent="0.35">
      <c r="DM823" s="50"/>
      <c r="DQ823" s="50"/>
    </row>
    <row r="824" spans="117:121" x14ac:dyDescent="0.35">
      <c r="DM824" s="50"/>
      <c r="DQ824" s="50"/>
    </row>
    <row r="825" spans="117:121" x14ac:dyDescent="0.35">
      <c r="DM825" s="50"/>
      <c r="DQ825" s="50"/>
    </row>
    <row r="826" spans="117:121" x14ac:dyDescent="0.35">
      <c r="DM826" s="50"/>
      <c r="DQ826" s="50"/>
    </row>
    <row r="827" spans="117:121" x14ac:dyDescent="0.35">
      <c r="DM827" s="50"/>
      <c r="DQ827" s="50"/>
    </row>
    <row r="828" spans="117:121" x14ac:dyDescent="0.35">
      <c r="DM828" s="50"/>
      <c r="DQ828" s="50"/>
    </row>
    <row r="829" spans="117:121" x14ac:dyDescent="0.35">
      <c r="DM829" s="50"/>
      <c r="DQ829" s="50"/>
    </row>
    <row r="830" spans="117:121" x14ac:dyDescent="0.35">
      <c r="DM830" s="50"/>
      <c r="DQ830" s="50"/>
    </row>
    <row r="831" spans="117:121" x14ac:dyDescent="0.35">
      <c r="DM831" s="50"/>
      <c r="DQ831" s="50"/>
    </row>
    <row r="832" spans="117:121" x14ac:dyDescent="0.35">
      <c r="DM832" s="50"/>
      <c r="DQ832" s="50"/>
    </row>
    <row r="833" spans="117:121" x14ac:dyDescent="0.35">
      <c r="DM833" s="50"/>
      <c r="DQ833" s="50"/>
    </row>
    <row r="834" spans="117:121" x14ac:dyDescent="0.35">
      <c r="DM834" s="50"/>
      <c r="DQ834" s="50"/>
    </row>
    <row r="835" spans="117:121" x14ac:dyDescent="0.35">
      <c r="DM835" s="50"/>
      <c r="DQ835" s="50"/>
    </row>
    <row r="836" spans="117:121" x14ac:dyDescent="0.35">
      <c r="DM836" s="50"/>
      <c r="DQ836" s="50"/>
    </row>
    <row r="837" spans="117:121" x14ac:dyDescent="0.35">
      <c r="DM837" s="50"/>
      <c r="DQ837" s="50"/>
    </row>
    <row r="838" spans="117:121" x14ac:dyDescent="0.35">
      <c r="DM838" s="50"/>
      <c r="DQ838" s="50"/>
    </row>
    <row r="839" spans="117:121" x14ac:dyDescent="0.35">
      <c r="DM839" s="50"/>
      <c r="DQ839" s="50"/>
    </row>
    <row r="840" spans="117:121" x14ac:dyDescent="0.35">
      <c r="DM840" s="50"/>
      <c r="DQ840" s="50"/>
    </row>
    <row r="841" spans="117:121" x14ac:dyDescent="0.35">
      <c r="DM841" s="50"/>
      <c r="DQ841" s="50"/>
    </row>
    <row r="842" spans="117:121" x14ac:dyDescent="0.35">
      <c r="DM842" s="50"/>
      <c r="DQ842" s="50"/>
    </row>
    <row r="843" spans="117:121" x14ac:dyDescent="0.35">
      <c r="DM843" s="50"/>
      <c r="DQ843" s="50"/>
    </row>
    <row r="844" spans="117:121" x14ac:dyDescent="0.35">
      <c r="DM844" s="50"/>
      <c r="DQ844" s="50"/>
    </row>
    <row r="845" spans="117:121" x14ac:dyDescent="0.35">
      <c r="DM845" s="50"/>
      <c r="DQ845" s="50"/>
    </row>
    <row r="846" spans="117:121" x14ac:dyDescent="0.35">
      <c r="DM846" s="50"/>
      <c r="DQ846" s="50"/>
    </row>
    <row r="847" spans="117:121" x14ac:dyDescent="0.35">
      <c r="DM847" s="50"/>
      <c r="DQ847" s="50"/>
    </row>
    <row r="848" spans="117:121" x14ac:dyDescent="0.35">
      <c r="DM848" s="50"/>
      <c r="DQ848" s="50"/>
    </row>
    <row r="849" spans="117:121" x14ac:dyDescent="0.35">
      <c r="DM849" s="50"/>
      <c r="DQ849" s="50"/>
    </row>
    <row r="850" spans="117:121" x14ac:dyDescent="0.35">
      <c r="DM850" s="50"/>
      <c r="DQ850" s="50"/>
    </row>
    <row r="851" spans="117:121" x14ac:dyDescent="0.35">
      <c r="DM851" s="50"/>
      <c r="DQ851" s="50"/>
    </row>
    <row r="852" spans="117:121" x14ac:dyDescent="0.35">
      <c r="DM852" s="50"/>
      <c r="DQ852" s="50"/>
    </row>
    <row r="853" spans="117:121" x14ac:dyDescent="0.35">
      <c r="DM853" s="50"/>
      <c r="DQ853" s="50"/>
    </row>
    <row r="854" spans="117:121" x14ac:dyDescent="0.35">
      <c r="DM854" s="50"/>
      <c r="DQ854" s="50"/>
    </row>
    <row r="855" spans="117:121" x14ac:dyDescent="0.35">
      <c r="DM855" s="50"/>
      <c r="DQ855" s="50"/>
    </row>
    <row r="856" spans="117:121" x14ac:dyDescent="0.35">
      <c r="DM856" s="50"/>
      <c r="DQ856" s="50"/>
    </row>
    <row r="857" spans="117:121" x14ac:dyDescent="0.35">
      <c r="DM857" s="50"/>
      <c r="DQ857" s="50"/>
    </row>
    <row r="858" spans="117:121" x14ac:dyDescent="0.35">
      <c r="DM858" s="50"/>
      <c r="DQ858" s="50"/>
    </row>
    <row r="859" spans="117:121" x14ac:dyDescent="0.35">
      <c r="DM859" s="50"/>
      <c r="DQ859" s="50"/>
    </row>
    <row r="860" spans="117:121" x14ac:dyDescent="0.35">
      <c r="DM860" s="50"/>
      <c r="DQ860" s="50"/>
    </row>
    <row r="861" spans="117:121" x14ac:dyDescent="0.35">
      <c r="DM861" s="50"/>
      <c r="DQ861" s="50"/>
    </row>
    <row r="862" spans="117:121" x14ac:dyDescent="0.35">
      <c r="DM862" s="50"/>
      <c r="DQ862" s="50"/>
    </row>
    <row r="863" spans="117:121" x14ac:dyDescent="0.35">
      <c r="DM863" s="50"/>
      <c r="DQ863" s="50"/>
    </row>
    <row r="864" spans="117:121" x14ac:dyDescent="0.35">
      <c r="DM864" s="50"/>
      <c r="DQ864" s="50"/>
    </row>
    <row r="865" spans="117:121" x14ac:dyDescent="0.35">
      <c r="DM865" s="50"/>
      <c r="DQ865" s="50"/>
    </row>
    <row r="866" spans="117:121" x14ac:dyDescent="0.35">
      <c r="DM866" s="50"/>
      <c r="DQ866" s="50"/>
    </row>
    <row r="867" spans="117:121" x14ac:dyDescent="0.35">
      <c r="DM867" s="50"/>
      <c r="DQ867" s="50"/>
    </row>
    <row r="868" spans="117:121" x14ac:dyDescent="0.35">
      <c r="DM868" s="50"/>
      <c r="DQ868" s="50"/>
    </row>
    <row r="869" spans="117:121" x14ac:dyDescent="0.35">
      <c r="DM869" s="50"/>
      <c r="DQ869" s="50"/>
    </row>
    <row r="870" spans="117:121" x14ac:dyDescent="0.35">
      <c r="DM870" s="50"/>
      <c r="DQ870" s="50"/>
    </row>
    <row r="871" spans="117:121" x14ac:dyDescent="0.35">
      <c r="DM871" s="50"/>
      <c r="DQ871" s="50"/>
    </row>
    <row r="872" spans="117:121" x14ac:dyDescent="0.35">
      <c r="DM872" s="50"/>
      <c r="DQ872" s="50"/>
    </row>
    <row r="873" spans="117:121" x14ac:dyDescent="0.35">
      <c r="DM873" s="50"/>
      <c r="DQ873" s="50"/>
    </row>
    <row r="874" spans="117:121" x14ac:dyDescent="0.35">
      <c r="DM874" s="50"/>
      <c r="DQ874" s="50"/>
    </row>
    <row r="875" spans="117:121" x14ac:dyDescent="0.35">
      <c r="DM875" s="50"/>
      <c r="DQ875" s="50"/>
    </row>
    <row r="876" spans="117:121" x14ac:dyDescent="0.35">
      <c r="DM876" s="50"/>
      <c r="DQ876" s="50"/>
    </row>
    <row r="877" spans="117:121" x14ac:dyDescent="0.35">
      <c r="DM877" s="50"/>
      <c r="DQ877" s="50"/>
    </row>
    <row r="878" spans="117:121" x14ac:dyDescent="0.35">
      <c r="DM878" s="50"/>
      <c r="DQ878" s="50"/>
    </row>
    <row r="879" spans="117:121" x14ac:dyDescent="0.35">
      <c r="DM879" s="50"/>
      <c r="DQ879" s="50"/>
    </row>
    <row r="880" spans="117:121" x14ac:dyDescent="0.35">
      <c r="DM880" s="50"/>
      <c r="DQ880" s="50"/>
    </row>
    <row r="881" spans="117:121" x14ac:dyDescent="0.35">
      <c r="DM881" s="50"/>
      <c r="DQ881" s="50"/>
    </row>
    <row r="882" spans="117:121" x14ac:dyDescent="0.35">
      <c r="DM882" s="50"/>
      <c r="DQ882" s="50"/>
    </row>
    <row r="883" spans="117:121" x14ac:dyDescent="0.35">
      <c r="DM883" s="50"/>
      <c r="DQ883" s="50"/>
    </row>
    <row r="884" spans="117:121" x14ac:dyDescent="0.35">
      <c r="DM884" s="50"/>
      <c r="DQ884" s="50"/>
    </row>
    <row r="885" spans="117:121" x14ac:dyDescent="0.35">
      <c r="DM885" s="50"/>
      <c r="DQ885" s="50"/>
    </row>
    <row r="886" spans="117:121" x14ac:dyDescent="0.35">
      <c r="DM886" s="50"/>
      <c r="DQ886" s="50"/>
    </row>
    <row r="887" spans="117:121" x14ac:dyDescent="0.35">
      <c r="DM887" s="50"/>
      <c r="DQ887" s="50"/>
    </row>
    <row r="888" spans="117:121" x14ac:dyDescent="0.35">
      <c r="DM888" s="50"/>
      <c r="DQ888" s="50"/>
    </row>
    <row r="889" spans="117:121" x14ac:dyDescent="0.35">
      <c r="DM889" s="50"/>
      <c r="DQ889" s="50"/>
    </row>
    <row r="890" spans="117:121" x14ac:dyDescent="0.35">
      <c r="DM890" s="50"/>
      <c r="DQ890" s="50"/>
    </row>
    <row r="891" spans="117:121" x14ac:dyDescent="0.35">
      <c r="DM891" s="50"/>
      <c r="DQ891" s="50"/>
    </row>
    <row r="892" spans="117:121" x14ac:dyDescent="0.35">
      <c r="DM892" s="50"/>
      <c r="DQ892" s="50"/>
    </row>
    <row r="893" spans="117:121" x14ac:dyDescent="0.35">
      <c r="DM893" s="50"/>
      <c r="DQ893" s="50"/>
    </row>
    <row r="894" spans="117:121" x14ac:dyDescent="0.35">
      <c r="DM894" s="50"/>
      <c r="DQ894" s="50"/>
    </row>
    <row r="895" spans="117:121" x14ac:dyDescent="0.35">
      <c r="DM895" s="50"/>
      <c r="DQ895" s="50"/>
    </row>
    <row r="896" spans="117:121" x14ac:dyDescent="0.35">
      <c r="DM896" s="50"/>
      <c r="DQ896" s="50"/>
    </row>
    <row r="897" spans="117:121" x14ac:dyDescent="0.35">
      <c r="DM897" s="50"/>
      <c r="DQ897" s="50"/>
    </row>
    <row r="898" spans="117:121" x14ac:dyDescent="0.35">
      <c r="DM898" s="50"/>
      <c r="DQ898" s="50"/>
    </row>
    <row r="899" spans="117:121" x14ac:dyDescent="0.35">
      <c r="DM899" s="50"/>
      <c r="DQ899" s="50"/>
    </row>
    <row r="900" spans="117:121" x14ac:dyDescent="0.35">
      <c r="DM900" s="50"/>
      <c r="DQ900" s="50"/>
    </row>
    <row r="901" spans="117:121" x14ac:dyDescent="0.35">
      <c r="DM901" s="50"/>
      <c r="DQ901" s="50"/>
    </row>
    <row r="902" spans="117:121" x14ac:dyDescent="0.35">
      <c r="DM902" s="50"/>
      <c r="DQ902" s="50"/>
    </row>
    <row r="903" spans="117:121" x14ac:dyDescent="0.35">
      <c r="DM903" s="50"/>
      <c r="DQ903" s="50"/>
    </row>
    <row r="904" spans="117:121" x14ac:dyDescent="0.35">
      <c r="DM904" s="50"/>
      <c r="DQ904" s="50"/>
    </row>
    <row r="905" spans="117:121" x14ac:dyDescent="0.35">
      <c r="DM905" s="50"/>
      <c r="DQ905" s="50"/>
    </row>
    <row r="906" spans="117:121" x14ac:dyDescent="0.35">
      <c r="DM906" s="50"/>
      <c r="DQ906" s="50"/>
    </row>
    <row r="907" spans="117:121" x14ac:dyDescent="0.35">
      <c r="DM907" s="50"/>
      <c r="DQ907" s="50"/>
    </row>
    <row r="908" spans="117:121" x14ac:dyDescent="0.35">
      <c r="DM908" s="50"/>
      <c r="DQ908" s="50"/>
    </row>
    <row r="909" spans="117:121" x14ac:dyDescent="0.35">
      <c r="DM909" s="50"/>
      <c r="DQ909" s="50"/>
    </row>
    <row r="910" spans="117:121" x14ac:dyDescent="0.35">
      <c r="DM910" s="50"/>
      <c r="DQ910" s="50"/>
    </row>
    <row r="911" spans="117:121" x14ac:dyDescent="0.35">
      <c r="DM911" s="50"/>
      <c r="DQ911" s="50"/>
    </row>
    <row r="912" spans="117:121" x14ac:dyDescent="0.35">
      <c r="DM912" s="50"/>
      <c r="DQ912" s="50"/>
    </row>
    <row r="913" spans="117:121" x14ac:dyDescent="0.35">
      <c r="DM913" s="50"/>
      <c r="DQ913" s="50"/>
    </row>
    <row r="914" spans="117:121" x14ac:dyDescent="0.35">
      <c r="DM914" s="50"/>
      <c r="DQ914" s="50"/>
    </row>
    <row r="915" spans="117:121" x14ac:dyDescent="0.35">
      <c r="DM915" s="50"/>
      <c r="DQ915" s="50"/>
    </row>
    <row r="916" spans="117:121" x14ac:dyDescent="0.35">
      <c r="DM916" s="50"/>
      <c r="DQ916" s="50"/>
    </row>
    <row r="917" spans="117:121" x14ac:dyDescent="0.35">
      <c r="DM917" s="50"/>
      <c r="DQ917" s="50"/>
    </row>
    <row r="918" spans="117:121" x14ac:dyDescent="0.35">
      <c r="DM918" s="50"/>
      <c r="DQ918" s="50"/>
    </row>
    <row r="919" spans="117:121" x14ac:dyDescent="0.35">
      <c r="DM919" s="50"/>
      <c r="DQ919" s="50"/>
    </row>
    <row r="920" spans="117:121" x14ac:dyDescent="0.35">
      <c r="DM920" s="50"/>
      <c r="DQ920" s="50"/>
    </row>
    <row r="921" spans="117:121" x14ac:dyDescent="0.35">
      <c r="DM921" s="50"/>
      <c r="DQ921" s="50"/>
    </row>
    <row r="922" spans="117:121" x14ac:dyDescent="0.35">
      <c r="DM922" s="50"/>
      <c r="DQ922" s="50"/>
    </row>
    <row r="923" spans="117:121" x14ac:dyDescent="0.35">
      <c r="DM923" s="50"/>
      <c r="DQ923" s="50"/>
    </row>
    <row r="924" spans="117:121" x14ac:dyDescent="0.35">
      <c r="DM924" s="50"/>
      <c r="DQ924" s="50"/>
    </row>
    <row r="925" spans="117:121" x14ac:dyDescent="0.35">
      <c r="DM925" s="50"/>
      <c r="DQ925" s="50"/>
    </row>
    <row r="926" spans="117:121" x14ac:dyDescent="0.35">
      <c r="DM926" s="50"/>
      <c r="DQ926" s="50"/>
    </row>
    <row r="927" spans="117:121" x14ac:dyDescent="0.35">
      <c r="DM927" s="50"/>
      <c r="DQ927" s="50"/>
    </row>
    <row r="928" spans="117:121" x14ac:dyDescent="0.35">
      <c r="DM928" s="50"/>
      <c r="DQ928" s="50"/>
    </row>
    <row r="929" spans="117:121" x14ac:dyDescent="0.35">
      <c r="DM929" s="50"/>
      <c r="DQ929" s="50"/>
    </row>
    <row r="930" spans="117:121" x14ac:dyDescent="0.35">
      <c r="DM930" s="50"/>
      <c r="DQ930" s="50"/>
    </row>
    <row r="931" spans="117:121" x14ac:dyDescent="0.35">
      <c r="DM931" s="50"/>
      <c r="DQ931" s="50"/>
    </row>
    <row r="932" spans="117:121" x14ac:dyDescent="0.35">
      <c r="DM932" s="50"/>
      <c r="DQ932" s="50"/>
    </row>
    <row r="933" spans="117:121" x14ac:dyDescent="0.35">
      <c r="DM933" s="50"/>
      <c r="DQ933" s="50"/>
    </row>
    <row r="934" spans="117:121" x14ac:dyDescent="0.35">
      <c r="DM934" s="50"/>
      <c r="DQ934" s="50"/>
    </row>
    <row r="935" spans="117:121" x14ac:dyDescent="0.35">
      <c r="DM935" s="50"/>
      <c r="DQ935" s="50"/>
    </row>
    <row r="936" spans="117:121" x14ac:dyDescent="0.35">
      <c r="DM936" s="50"/>
      <c r="DQ936" s="50"/>
    </row>
    <row r="937" spans="117:121" x14ac:dyDescent="0.35">
      <c r="DM937" s="50"/>
      <c r="DQ937" s="50"/>
    </row>
    <row r="938" spans="117:121" x14ac:dyDescent="0.35">
      <c r="DM938" s="50"/>
      <c r="DQ938" s="50"/>
    </row>
    <row r="939" spans="117:121" x14ac:dyDescent="0.35">
      <c r="DM939" s="50"/>
      <c r="DQ939" s="50"/>
    </row>
    <row r="940" spans="117:121" x14ac:dyDescent="0.35">
      <c r="DM940" s="50"/>
      <c r="DQ940" s="50"/>
    </row>
    <row r="941" spans="117:121" x14ac:dyDescent="0.35">
      <c r="DM941" s="50"/>
      <c r="DQ941" s="50"/>
    </row>
    <row r="942" spans="117:121" x14ac:dyDescent="0.35">
      <c r="DM942" s="50"/>
      <c r="DQ942" s="50"/>
    </row>
    <row r="943" spans="117:121" x14ac:dyDescent="0.35">
      <c r="DM943" s="50"/>
      <c r="DQ943" s="50"/>
    </row>
    <row r="944" spans="117:121" x14ac:dyDescent="0.35">
      <c r="DM944" s="50"/>
      <c r="DQ944" s="50"/>
    </row>
    <row r="945" spans="117:121" x14ac:dyDescent="0.35">
      <c r="DM945" s="50"/>
      <c r="DQ945" s="50"/>
    </row>
    <row r="946" spans="117:121" x14ac:dyDescent="0.35">
      <c r="DM946" s="50"/>
      <c r="DQ946" s="50"/>
    </row>
    <row r="947" spans="117:121" x14ac:dyDescent="0.35">
      <c r="DM947" s="50"/>
      <c r="DQ947" s="50"/>
    </row>
    <row r="948" spans="117:121" x14ac:dyDescent="0.35">
      <c r="DM948" s="50"/>
      <c r="DQ948" s="50"/>
    </row>
    <row r="949" spans="117:121" x14ac:dyDescent="0.35">
      <c r="DM949" s="50"/>
      <c r="DQ949" s="50"/>
    </row>
    <row r="950" spans="117:121" x14ac:dyDescent="0.35">
      <c r="DM950" s="50"/>
      <c r="DQ950" s="50"/>
    </row>
    <row r="951" spans="117:121" x14ac:dyDescent="0.35">
      <c r="DM951" s="50"/>
      <c r="DQ951" s="50"/>
    </row>
    <row r="952" spans="117:121" x14ac:dyDescent="0.35">
      <c r="DM952" s="50"/>
      <c r="DQ952" s="50"/>
    </row>
    <row r="953" spans="117:121" x14ac:dyDescent="0.35">
      <c r="DM953" s="50"/>
      <c r="DQ953" s="50"/>
    </row>
    <row r="954" spans="117:121" x14ac:dyDescent="0.35">
      <c r="DM954" s="50"/>
      <c r="DQ954" s="50"/>
    </row>
    <row r="955" spans="117:121" x14ac:dyDescent="0.35">
      <c r="DM955" s="50"/>
      <c r="DQ955" s="50"/>
    </row>
    <row r="956" spans="117:121" x14ac:dyDescent="0.35">
      <c r="DM956" s="50"/>
      <c r="DQ956" s="50"/>
    </row>
    <row r="957" spans="117:121" x14ac:dyDescent="0.35">
      <c r="DM957" s="50"/>
      <c r="DQ957" s="50"/>
    </row>
    <row r="958" spans="117:121" x14ac:dyDescent="0.35">
      <c r="DM958" s="50"/>
      <c r="DQ958" s="50"/>
    </row>
    <row r="959" spans="117:121" x14ac:dyDescent="0.35">
      <c r="DM959" s="50"/>
      <c r="DQ959" s="50"/>
    </row>
    <row r="960" spans="117:121" x14ac:dyDescent="0.35">
      <c r="DM960" s="50"/>
      <c r="DQ960" s="50"/>
    </row>
    <row r="961" spans="117:121" x14ac:dyDescent="0.35">
      <c r="DM961" s="50"/>
      <c r="DQ961" s="50"/>
    </row>
    <row r="962" spans="117:121" x14ac:dyDescent="0.35">
      <c r="DM962" s="50"/>
      <c r="DQ962" s="50"/>
    </row>
    <row r="963" spans="117:121" x14ac:dyDescent="0.35">
      <c r="DM963" s="50"/>
      <c r="DQ963" s="50"/>
    </row>
    <row r="964" spans="117:121" x14ac:dyDescent="0.35">
      <c r="DM964" s="50"/>
      <c r="DQ964" s="50"/>
    </row>
    <row r="965" spans="117:121" x14ac:dyDescent="0.35">
      <c r="DM965" s="50"/>
      <c r="DQ965" s="50"/>
    </row>
    <row r="966" spans="117:121" x14ac:dyDescent="0.35">
      <c r="DM966" s="50"/>
      <c r="DQ966" s="50"/>
    </row>
    <row r="967" spans="117:121" x14ac:dyDescent="0.35">
      <c r="DM967" s="50"/>
      <c r="DQ967" s="50"/>
    </row>
    <row r="968" spans="117:121" x14ac:dyDescent="0.35">
      <c r="DM968" s="50"/>
      <c r="DQ968" s="50"/>
    </row>
    <row r="969" spans="117:121" x14ac:dyDescent="0.35">
      <c r="DM969" s="50"/>
      <c r="DQ969" s="50"/>
    </row>
    <row r="970" spans="117:121" x14ac:dyDescent="0.35">
      <c r="DM970" s="50"/>
      <c r="DQ970" s="50"/>
    </row>
    <row r="971" spans="117:121" x14ac:dyDescent="0.35">
      <c r="DM971" s="50"/>
      <c r="DQ971" s="50"/>
    </row>
    <row r="972" spans="117:121" x14ac:dyDescent="0.35">
      <c r="DM972" s="50"/>
      <c r="DQ972" s="50"/>
    </row>
    <row r="973" spans="117:121" x14ac:dyDescent="0.35">
      <c r="DM973" s="50"/>
      <c r="DQ973" s="50"/>
    </row>
    <row r="974" spans="117:121" x14ac:dyDescent="0.35">
      <c r="DM974" s="50"/>
      <c r="DQ974" s="50"/>
    </row>
    <row r="975" spans="117:121" x14ac:dyDescent="0.35">
      <c r="DM975" s="50"/>
      <c r="DQ975" s="50"/>
    </row>
    <row r="976" spans="117:121" x14ac:dyDescent="0.35">
      <c r="DM976" s="50"/>
      <c r="DQ976" s="50"/>
    </row>
    <row r="977" spans="117:121" x14ac:dyDescent="0.35">
      <c r="DM977" s="50"/>
      <c r="DQ977" s="50"/>
    </row>
    <row r="978" spans="117:121" x14ac:dyDescent="0.35">
      <c r="DM978" s="50"/>
      <c r="DQ978" s="50"/>
    </row>
    <row r="979" spans="117:121" x14ac:dyDescent="0.35">
      <c r="DM979" s="50"/>
      <c r="DQ979" s="50"/>
    </row>
    <row r="980" spans="117:121" x14ac:dyDescent="0.35">
      <c r="DM980" s="50"/>
      <c r="DQ980" s="50"/>
    </row>
    <row r="981" spans="117:121" x14ac:dyDescent="0.35">
      <c r="DM981" s="50"/>
      <c r="DQ981" s="50"/>
    </row>
    <row r="982" spans="117:121" x14ac:dyDescent="0.35">
      <c r="DM982" s="50"/>
      <c r="DQ982" s="50"/>
    </row>
    <row r="983" spans="117:121" x14ac:dyDescent="0.35">
      <c r="DM983" s="50"/>
      <c r="DQ983" s="50"/>
    </row>
    <row r="984" spans="117:121" x14ac:dyDescent="0.35">
      <c r="DM984" s="50"/>
      <c r="DQ984" s="50"/>
    </row>
    <row r="985" spans="117:121" x14ac:dyDescent="0.35">
      <c r="DM985" s="50"/>
      <c r="DQ985" s="50"/>
    </row>
    <row r="986" spans="117:121" x14ac:dyDescent="0.35">
      <c r="DM986" s="50"/>
      <c r="DQ986" s="50"/>
    </row>
    <row r="987" spans="117:121" x14ac:dyDescent="0.35">
      <c r="DM987" s="50"/>
      <c r="DQ987" s="50"/>
    </row>
    <row r="988" spans="117:121" x14ac:dyDescent="0.35">
      <c r="DM988" s="50"/>
      <c r="DQ988" s="50"/>
    </row>
    <row r="989" spans="117:121" x14ac:dyDescent="0.35">
      <c r="DM989" s="50"/>
      <c r="DQ989" s="50"/>
    </row>
    <row r="990" spans="117:121" x14ac:dyDescent="0.35">
      <c r="DM990" s="50"/>
      <c r="DQ990" s="50"/>
    </row>
    <row r="991" spans="117:121" x14ac:dyDescent="0.35">
      <c r="DM991" s="50"/>
      <c r="DQ991" s="50"/>
    </row>
    <row r="992" spans="117:121" x14ac:dyDescent="0.35">
      <c r="DM992" s="50"/>
      <c r="DQ992" s="50"/>
    </row>
    <row r="993" spans="117:121" x14ac:dyDescent="0.35">
      <c r="DM993" s="50"/>
      <c r="DQ993" s="50"/>
    </row>
    <row r="994" spans="117:121" x14ac:dyDescent="0.35">
      <c r="DM994" s="50"/>
      <c r="DQ994" s="50"/>
    </row>
    <row r="995" spans="117:121" x14ac:dyDescent="0.35">
      <c r="DM995" s="50"/>
      <c r="DQ995" s="50"/>
    </row>
    <row r="996" spans="117:121" x14ac:dyDescent="0.35">
      <c r="DM996" s="50"/>
      <c r="DQ996" s="50"/>
    </row>
    <row r="997" spans="117:121" x14ac:dyDescent="0.35">
      <c r="DM997" s="50"/>
      <c r="DQ997" s="50"/>
    </row>
    <row r="998" spans="117:121" x14ac:dyDescent="0.35">
      <c r="DM998" s="50"/>
      <c r="DQ998" s="50"/>
    </row>
    <row r="999" spans="117:121" x14ac:dyDescent="0.35">
      <c r="DM999" s="50"/>
      <c r="DQ999" s="50"/>
    </row>
    <row r="1000" spans="117:121" x14ac:dyDescent="0.35">
      <c r="DM1000" s="50"/>
      <c r="DQ1000" s="50"/>
    </row>
    <row r="1001" spans="117:121" x14ac:dyDescent="0.35">
      <c r="DM1001" s="50"/>
      <c r="DQ1001" s="50"/>
    </row>
    <row r="1002" spans="117:121" x14ac:dyDescent="0.35">
      <c r="DM1002" s="50"/>
      <c r="DQ1002" s="50"/>
    </row>
    <row r="1003" spans="117:121" x14ac:dyDescent="0.35">
      <c r="DM1003" s="50"/>
      <c r="DQ1003" s="50"/>
    </row>
    <row r="1004" spans="117:121" x14ac:dyDescent="0.35">
      <c r="DM1004" s="50"/>
      <c r="DQ1004" s="50"/>
    </row>
    <row r="1005" spans="117:121" x14ac:dyDescent="0.35">
      <c r="DM1005" s="50"/>
      <c r="DQ1005" s="50"/>
    </row>
    <row r="1006" spans="117:121" x14ac:dyDescent="0.35">
      <c r="DM1006" s="50"/>
      <c r="DQ1006" s="50"/>
    </row>
    <row r="1007" spans="117:121" x14ac:dyDescent="0.35">
      <c r="DM1007" s="50"/>
      <c r="DQ1007" s="50"/>
    </row>
    <row r="1008" spans="117:121" x14ac:dyDescent="0.35">
      <c r="DM1008" s="50"/>
      <c r="DQ1008" s="50"/>
    </row>
    <row r="1009" spans="117:121" x14ac:dyDescent="0.35">
      <c r="DM1009" s="50"/>
      <c r="DQ1009" s="50"/>
    </row>
    <row r="1010" spans="117:121" x14ac:dyDescent="0.35">
      <c r="DM1010" s="50"/>
      <c r="DQ1010" s="50"/>
    </row>
    <row r="1011" spans="117:121" x14ac:dyDescent="0.35">
      <c r="DM1011" s="50"/>
      <c r="DQ1011" s="50"/>
    </row>
    <row r="1012" spans="117:121" x14ac:dyDescent="0.35">
      <c r="DM1012" s="50"/>
      <c r="DQ1012" s="50"/>
    </row>
    <row r="1013" spans="117:121" x14ac:dyDescent="0.35">
      <c r="DM1013" s="50"/>
      <c r="DQ1013" s="50"/>
    </row>
    <row r="1014" spans="117:121" x14ac:dyDescent="0.35">
      <c r="DM1014" s="50"/>
      <c r="DQ1014" s="50"/>
    </row>
    <row r="1015" spans="117:121" x14ac:dyDescent="0.35">
      <c r="DM1015" s="50"/>
      <c r="DQ1015" s="50"/>
    </row>
    <row r="1016" spans="117:121" x14ac:dyDescent="0.35">
      <c r="DM1016" s="50"/>
      <c r="DQ1016" s="50"/>
    </row>
    <row r="1017" spans="117:121" x14ac:dyDescent="0.35">
      <c r="DM1017" s="50"/>
      <c r="DQ1017" s="50"/>
    </row>
    <row r="1018" spans="117:121" x14ac:dyDescent="0.35">
      <c r="DM1018" s="50"/>
      <c r="DQ1018" s="50"/>
    </row>
    <row r="1019" spans="117:121" x14ac:dyDescent="0.35">
      <c r="DM1019" s="50"/>
      <c r="DQ1019" s="50"/>
    </row>
    <row r="1020" spans="117:121" x14ac:dyDescent="0.35">
      <c r="DM1020" s="50"/>
      <c r="DQ1020" s="50"/>
    </row>
    <row r="1021" spans="117:121" x14ac:dyDescent="0.35">
      <c r="DM1021" s="50"/>
      <c r="DQ1021" s="50"/>
    </row>
    <row r="1022" spans="117:121" x14ac:dyDescent="0.35">
      <c r="DM1022" s="50"/>
      <c r="DQ1022" s="50"/>
    </row>
    <row r="1023" spans="117:121" x14ac:dyDescent="0.35">
      <c r="DM1023" s="50"/>
      <c r="DQ1023" s="50"/>
    </row>
    <row r="1024" spans="117:121" x14ac:dyDescent="0.35">
      <c r="DM1024" s="50"/>
      <c r="DQ1024" s="50"/>
    </row>
    <row r="1025" spans="117:121" x14ac:dyDescent="0.35">
      <c r="DM1025" s="50"/>
      <c r="DQ1025" s="50"/>
    </row>
    <row r="1026" spans="117:121" x14ac:dyDescent="0.35">
      <c r="DM1026" s="50"/>
      <c r="DQ1026" s="50"/>
    </row>
    <row r="1027" spans="117:121" x14ac:dyDescent="0.35">
      <c r="DM1027" s="50"/>
      <c r="DQ1027" s="50"/>
    </row>
    <row r="1028" spans="117:121" x14ac:dyDescent="0.35">
      <c r="DM1028" s="50"/>
      <c r="DQ1028" s="50"/>
    </row>
    <row r="1029" spans="117:121" x14ac:dyDescent="0.35">
      <c r="DM1029" s="50"/>
      <c r="DQ1029" s="50"/>
    </row>
    <row r="1030" spans="117:121" x14ac:dyDescent="0.35">
      <c r="DM1030" s="50"/>
      <c r="DQ1030" s="50"/>
    </row>
    <row r="1031" spans="117:121" x14ac:dyDescent="0.35">
      <c r="DM1031" s="50"/>
      <c r="DQ1031" s="50"/>
    </row>
    <row r="1032" spans="117:121" x14ac:dyDescent="0.35">
      <c r="DM1032" s="50"/>
      <c r="DQ1032" s="50"/>
    </row>
    <row r="1033" spans="117:121" x14ac:dyDescent="0.35">
      <c r="DM1033" s="50"/>
      <c r="DQ1033" s="50"/>
    </row>
    <row r="1034" spans="117:121" x14ac:dyDescent="0.35">
      <c r="DM1034" s="50"/>
      <c r="DQ1034" s="50"/>
    </row>
    <row r="1035" spans="117:121" x14ac:dyDescent="0.35">
      <c r="DM1035" s="50"/>
      <c r="DQ1035" s="50"/>
    </row>
    <row r="1036" spans="117:121" x14ac:dyDescent="0.35">
      <c r="DM1036" s="50"/>
      <c r="DQ1036" s="50"/>
    </row>
    <row r="1037" spans="117:121" x14ac:dyDescent="0.35">
      <c r="DM1037" s="50"/>
      <c r="DQ1037" s="50"/>
    </row>
    <row r="1038" spans="117:121" x14ac:dyDescent="0.35">
      <c r="DM1038" s="50"/>
      <c r="DQ1038" s="50"/>
    </row>
    <row r="1039" spans="117:121" x14ac:dyDescent="0.35">
      <c r="DM1039" s="50"/>
      <c r="DQ1039" s="50"/>
    </row>
    <row r="1040" spans="117:121" x14ac:dyDescent="0.35">
      <c r="DM1040" s="50"/>
      <c r="DQ1040" s="50"/>
    </row>
    <row r="1041" spans="117:121" x14ac:dyDescent="0.35">
      <c r="DM1041" s="50"/>
      <c r="DQ1041" s="50"/>
    </row>
    <row r="1042" spans="117:121" x14ac:dyDescent="0.35">
      <c r="DM1042" s="50"/>
      <c r="DQ1042" s="50"/>
    </row>
    <row r="1043" spans="117:121" x14ac:dyDescent="0.35">
      <c r="DM1043" s="50"/>
      <c r="DQ1043" s="50"/>
    </row>
    <row r="1044" spans="117:121" x14ac:dyDescent="0.35">
      <c r="DM1044" s="50"/>
      <c r="DQ1044" s="50"/>
    </row>
    <row r="1045" spans="117:121" x14ac:dyDescent="0.35">
      <c r="DM1045" s="50"/>
      <c r="DQ1045" s="50"/>
    </row>
    <row r="1046" spans="117:121" x14ac:dyDescent="0.35">
      <c r="DM1046" s="50"/>
      <c r="DQ1046" s="50"/>
    </row>
    <row r="1047" spans="117:121" x14ac:dyDescent="0.35">
      <c r="DM1047" s="50"/>
      <c r="DQ1047" s="50"/>
    </row>
    <row r="1048" spans="117:121" x14ac:dyDescent="0.35">
      <c r="DM1048" s="50"/>
      <c r="DQ1048" s="50"/>
    </row>
    <row r="1049" spans="117:121" x14ac:dyDescent="0.35">
      <c r="DM1049" s="50"/>
      <c r="DQ1049" s="50"/>
    </row>
    <row r="1050" spans="117:121" x14ac:dyDescent="0.35">
      <c r="DM1050" s="50"/>
      <c r="DQ1050" s="50"/>
    </row>
    <row r="1051" spans="117:121" x14ac:dyDescent="0.35">
      <c r="DM1051" s="50"/>
      <c r="DQ1051" s="50"/>
    </row>
    <row r="1052" spans="117:121" x14ac:dyDescent="0.35">
      <c r="DM1052" s="50"/>
      <c r="DQ1052" s="50"/>
    </row>
    <row r="1053" spans="117:121" x14ac:dyDescent="0.35">
      <c r="DM1053" s="50"/>
      <c r="DQ1053" s="50"/>
    </row>
    <row r="1054" spans="117:121" x14ac:dyDescent="0.35">
      <c r="DM1054" s="50"/>
      <c r="DQ1054" s="50"/>
    </row>
    <row r="1055" spans="117:121" x14ac:dyDescent="0.35">
      <c r="DM1055" s="50"/>
      <c r="DQ1055" s="50"/>
    </row>
    <row r="1056" spans="117:121" x14ac:dyDescent="0.35">
      <c r="DM1056" s="50"/>
      <c r="DQ1056" s="50"/>
    </row>
    <row r="1057" spans="117:121" x14ac:dyDescent="0.35">
      <c r="DM1057" s="50"/>
      <c r="DQ1057" s="50"/>
    </row>
    <row r="1058" spans="117:121" x14ac:dyDescent="0.35">
      <c r="DM1058" s="50"/>
      <c r="DQ1058" s="50"/>
    </row>
    <row r="1059" spans="117:121" x14ac:dyDescent="0.35">
      <c r="DM1059" s="50"/>
      <c r="DQ1059" s="50"/>
    </row>
    <row r="1060" spans="117:121" x14ac:dyDescent="0.35">
      <c r="DM1060" s="50"/>
      <c r="DQ1060" s="50"/>
    </row>
    <row r="1061" spans="117:121" x14ac:dyDescent="0.35">
      <c r="DM1061" s="50"/>
      <c r="DQ1061" s="50"/>
    </row>
    <row r="1062" spans="117:121" x14ac:dyDescent="0.35">
      <c r="DM1062" s="50"/>
      <c r="DQ1062" s="50"/>
    </row>
    <row r="1063" spans="117:121" x14ac:dyDescent="0.35">
      <c r="DM1063" s="50"/>
      <c r="DQ1063" s="50"/>
    </row>
    <row r="1064" spans="117:121" x14ac:dyDescent="0.35">
      <c r="DM1064" s="50"/>
      <c r="DQ1064" s="50"/>
    </row>
    <row r="1065" spans="117:121" x14ac:dyDescent="0.35">
      <c r="DM1065" s="50"/>
      <c r="DQ1065" s="50"/>
    </row>
    <row r="1066" spans="117:121" x14ac:dyDescent="0.35">
      <c r="DM1066" s="50"/>
      <c r="DQ1066" s="50"/>
    </row>
    <row r="1067" spans="117:121" x14ac:dyDescent="0.35">
      <c r="DM1067" s="50"/>
      <c r="DQ1067" s="50"/>
    </row>
    <row r="1068" spans="117:121" x14ac:dyDescent="0.35">
      <c r="DM1068" s="50"/>
      <c r="DQ1068" s="50"/>
    </row>
    <row r="1069" spans="117:121" x14ac:dyDescent="0.35">
      <c r="DM1069" s="50"/>
      <c r="DQ1069" s="50"/>
    </row>
    <row r="1070" spans="117:121" x14ac:dyDescent="0.35">
      <c r="DM1070" s="50"/>
      <c r="DQ1070" s="50"/>
    </row>
    <row r="1071" spans="117:121" x14ac:dyDescent="0.35">
      <c r="DM1071" s="50"/>
      <c r="DQ1071" s="50"/>
    </row>
    <row r="1072" spans="117:121" x14ac:dyDescent="0.35">
      <c r="DM1072" s="50"/>
      <c r="DQ1072" s="50"/>
    </row>
    <row r="1073" spans="117:121" x14ac:dyDescent="0.35">
      <c r="DM1073" s="50"/>
      <c r="DQ1073" s="50"/>
    </row>
    <row r="1074" spans="117:121" x14ac:dyDescent="0.35">
      <c r="DM1074" s="50"/>
      <c r="DQ1074" s="50"/>
    </row>
    <row r="1075" spans="117:121" x14ac:dyDescent="0.35">
      <c r="DM1075" s="50"/>
      <c r="DQ1075" s="50"/>
    </row>
    <row r="1076" spans="117:121" x14ac:dyDescent="0.35">
      <c r="DM1076" s="50"/>
      <c r="DQ1076" s="50"/>
    </row>
    <row r="1077" spans="117:121" x14ac:dyDescent="0.35">
      <c r="DM1077" s="50"/>
      <c r="DQ1077" s="50"/>
    </row>
    <row r="1078" spans="117:121" x14ac:dyDescent="0.35">
      <c r="DM1078" s="50"/>
      <c r="DQ1078" s="50"/>
    </row>
    <row r="1079" spans="117:121" x14ac:dyDescent="0.35">
      <c r="DM1079" s="50"/>
      <c r="DQ1079" s="50"/>
    </row>
    <row r="1080" spans="117:121" x14ac:dyDescent="0.35">
      <c r="DM1080" s="50"/>
      <c r="DQ1080" s="50"/>
    </row>
    <row r="1081" spans="117:121" x14ac:dyDescent="0.35">
      <c r="DM1081" s="50"/>
      <c r="DQ1081" s="50"/>
    </row>
    <row r="1082" spans="117:121" x14ac:dyDescent="0.35">
      <c r="DM1082" s="50"/>
      <c r="DQ1082" s="50"/>
    </row>
    <row r="1083" spans="117:121" x14ac:dyDescent="0.35">
      <c r="DM1083" s="50"/>
      <c r="DQ1083" s="50"/>
    </row>
    <row r="1084" spans="117:121" x14ac:dyDescent="0.35">
      <c r="DM1084" s="50"/>
      <c r="DQ1084" s="50"/>
    </row>
    <row r="1085" spans="117:121" x14ac:dyDescent="0.35">
      <c r="DM1085" s="50"/>
      <c r="DQ1085" s="50"/>
    </row>
    <row r="1086" spans="117:121" x14ac:dyDescent="0.35">
      <c r="DM1086" s="50"/>
      <c r="DQ1086" s="50"/>
    </row>
    <row r="1087" spans="117:121" x14ac:dyDescent="0.35">
      <c r="DM1087" s="50"/>
      <c r="DQ1087" s="50"/>
    </row>
    <row r="1088" spans="117:121" x14ac:dyDescent="0.35">
      <c r="DM1088" s="50"/>
      <c r="DQ1088" s="50"/>
    </row>
    <row r="1089" spans="117:121" x14ac:dyDescent="0.35">
      <c r="DM1089" s="50"/>
      <c r="DQ1089" s="50"/>
    </row>
    <row r="1090" spans="117:121" x14ac:dyDescent="0.35">
      <c r="DM1090" s="50"/>
      <c r="DQ1090" s="50"/>
    </row>
    <row r="1091" spans="117:121" x14ac:dyDescent="0.35">
      <c r="DM1091" s="50"/>
      <c r="DQ1091" s="50"/>
    </row>
    <row r="1092" spans="117:121" x14ac:dyDescent="0.35">
      <c r="DM1092" s="50"/>
      <c r="DQ1092" s="50"/>
    </row>
    <row r="1093" spans="117:121" x14ac:dyDescent="0.35">
      <c r="DM1093" s="50"/>
      <c r="DQ1093" s="50"/>
    </row>
    <row r="1094" spans="117:121" x14ac:dyDescent="0.35">
      <c r="DM1094" s="50"/>
      <c r="DQ1094" s="50"/>
    </row>
    <row r="1095" spans="117:121" x14ac:dyDescent="0.35">
      <c r="DM1095" s="50"/>
      <c r="DQ1095" s="50"/>
    </row>
    <row r="1096" spans="117:121" x14ac:dyDescent="0.35">
      <c r="DM1096" s="50"/>
      <c r="DQ1096" s="50"/>
    </row>
    <row r="1097" spans="117:121" x14ac:dyDescent="0.35">
      <c r="DM1097" s="50"/>
      <c r="DQ1097" s="50"/>
    </row>
    <row r="1098" spans="117:121" x14ac:dyDescent="0.35">
      <c r="DM1098" s="50"/>
      <c r="DQ1098" s="50"/>
    </row>
    <row r="1099" spans="117:121" x14ac:dyDescent="0.35">
      <c r="DM1099" s="50"/>
      <c r="DQ1099" s="50"/>
    </row>
    <row r="1100" spans="117:121" x14ac:dyDescent="0.35">
      <c r="DM1100" s="50"/>
      <c r="DQ1100" s="50"/>
    </row>
    <row r="1101" spans="117:121" x14ac:dyDescent="0.35">
      <c r="DM1101" s="50"/>
      <c r="DQ1101" s="50"/>
    </row>
    <row r="1102" spans="117:121" x14ac:dyDescent="0.35">
      <c r="DM1102" s="50"/>
      <c r="DQ1102" s="50"/>
    </row>
    <row r="1103" spans="117:121" x14ac:dyDescent="0.35">
      <c r="DM1103" s="50"/>
      <c r="DQ1103" s="50"/>
    </row>
    <row r="1104" spans="117:121" x14ac:dyDescent="0.35">
      <c r="DM1104" s="50"/>
      <c r="DQ1104" s="50"/>
    </row>
    <row r="1105" spans="117:121" x14ac:dyDescent="0.35">
      <c r="DM1105" s="50"/>
      <c r="DQ1105" s="50"/>
    </row>
    <row r="1106" spans="117:121" x14ac:dyDescent="0.35">
      <c r="DM1106" s="50"/>
      <c r="DQ1106" s="50"/>
    </row>
    <row r="1107" spans="117:121" x14ac:dyDescent="0.35">
      <c r="DM1107" s="50"/>
      <c r="DQ1107" s="50"/>
    </row>
    <row r="1108" spans="117:121" x14ac:dyDescent="0.35">
      <c r="DM1108" s="50"/>
      <c r="DQ1108" s="50"/>
    </row>
    <row r="1109" spans="117:121" x14ac:dyDescent="0.35">
      <c r="DM1109" s="50"/>
      <c r="DQ1109" s="50"/>
    </row>
    <row r="1110" spans="117:121" x14ac:dyDescent="0.35">
      <c r="DM1110" s="50"/>
      <c r="DQ1110" s="50"/>
    </row>
    <row r="1111" spans="117:121" x14ac:dyDescent="0.35">
      <c r="DM1111" s="50"/>
      <c r="DQ1111" s="50"/>
    </row>
    <row r="1112" spans="117:121" x14ac:dyDescent="0.35">
      <c r="DM1112" s="50"/>
      <c r="DQ1112" s="50"/>
    </row>
    <row r="1113" spans="117:121" x14ac:dyDescent="0.35">
      <c r="DM1113" s="50"/>
      <c r="DQ1113" s="50"/>
    </row>
    <row r="1114" spans="117:121" x14ac:dyDescent="0.35">
      <c r="DM1114" s="50"/>
      <c r="DQ1114" s="50"/>
    </row>
    <row r="1115" spans="117:121" x14ac:dyDescent="0.35">
      <c r="DM1115" s="50"/>
      <c r="DQ1115" s="50"/>
    </row>
    <row r="1116" spans="117:121" x14ac:dyDescent="0.35">
      <c r="DM1116" s="50"/>
      <c r="DQ1116" s="50"/>
    </row>
    <row r="1117" spans="117:121" x14ac:dyDescent="0.35">
      <c r="DM1117" s="50"/>
      <c r="DQ1117" s="50"/>
    </row>
    <row r="1118" spans="117:121" x14ac:dyDescent="0.35">
      <c r="DM1118" s="50"/>
      <c r="DQ1118" s="50"/>
    </row>
    <row r="1119" spans="117:121" x14ac:dyDescent="0.35">
      <c r="DM1119" s="50"/>
      <c r="DQ1119" s="50"/>
    </row>
    <row r="1120" spans="117:121" x14ac:dyDescent="0.35">
      <c r="DM1120" s="50"/>
      <c r="DQ1120" s="50"/>
    </row>
    <row r="1121" spans="117:121" x14ac:dyDescent="0.35">
      <c r="DM1121" s="50"/>
      <c r="DQ1121" s="50"/>
    </row>
    <row r="1122" spans="117:121" x14ac:dyDescent="0.35">
      <c r="DM1122" s="50"/>
      <c r="DQ1122" s="50"/>
    </row>
    <row r="1123" spans="117:121" x14ac:dyDescent="0.35">
      <c r="DM1123" s="50"/>
      <c r="DQ1123" s="50"/>
    </row>
    <row r="1124" spans="117:121" x14ac:dyDescent="0.35">
      <c r="DM1124" s="50"/>
      <c r="DQ1124" s="50"/>
    </row>
    <row r="1125" spans="117:121" x14ac:dyDescent="0.35">
      <c r="DM1125" s="50"/>
      <c r="DQ1125" s="50"/>
    </row>
    <row r="1126" spans="117:121" x14ac:dyDescent="0.35">
      <c r="DM1126" s="50"/>
      <c r="DQ1126" s="50"/>
    </row>
    <row r="1127" spans="117:121" x14ac:dyDescent="0.35">
      <c r="DM1127" s="50"/>
      <c r="DQ1127" s="50"/>
    </row>
    <row r="1128" spans="117:121" x14ac:dyDescent="0.35">
      <c r="DM1128" s="50"/>
      <c r="DQ1128" s="50"/>
    </row>
    <row r="1129" spans="117:121" x14ac:dyDescent="0.35">
      <c r="DM1129" s="50"/>
      <c r="DQ1129" s="50"/>
    </row>
    <row r="1130" spans="117:121" x14ac:dyDescent="0.35">
      <c r="DM1130" s="50"/>
      <c r="DQ1130" s="50"/>
    </row>
    <row r="1131" spans="117:121" x14ac:dyDescent="0.35">
      <c r="DM1131" s="50"/>
      <c r="DQ1131" s="50"/>
    </row>
    <row r="1132" spans="117:121" x14ac:dyDescent="0.35">
      <c r="DM1132" s="50"/>
      <c r="DQ1132" s="50"/>
    </row>
    <row r="1133" spans="117:121" x14ac:dyDescent="0.35">
      <c r="DM1133" s="50"/>
      <c r="DQ1133" s="50"/>
    </row>
    <row r="1134" spans="117:121" x14ac:dyDescent="0.35">
      <c r="DM1134" s="50"/>
      <c r="DQ1134" s="50"/>
    </row>
    <row r="1135" spans="117:121" x14ac:dyDescent="0.35">
      <c r="DM1135" s="50"/>
      <c r="DQ1135" s="50"/>
    </row>
    <row r="1136" spans="117:121" x14ac:dyDescent="0.35">
      <c r="DM1136" s="50"/>
      <c r="DQ1136" s="50"/>
    </row>
    <row r="1137" spans="117:121" x14ac:dyDescent="0.35">
      <c r="DM1137" s="50"/>
      <c r="DQ1137" s="50"/>
    </row>
    <row r="1138" spans="117:121" x14ac:dyDescent="0.35">
      <c r="DM1138" s="50"/>
      <c r="DQ1138" s="50"/>
    </row>
    <row r="1139" spans="117:121" x14ac:dyDescent="0.35">
      <c r="DM1139" s="50"/>
      <c r="DQ1139" s="50"/>
    </row>
    <row r="1140" spans="117:121" x14ac:dyDescent="0.35">
      <c r="DM1140" s="50"/>
      <c r="DQ1140" s="50"/>
    </row>
    <row r="1141" spans="117:121" x14ac:dyDescent="0.35">
      <c r="DM1141" s="50"/>
      <c r="DQ1141" s="50"/>
    </row>
    <row r="1142" spans="117:121" x14ac:dyDescent="0.35">
      <c r="DM1142" s="50"/>
      <c r="DQ1142" s="50"/>
    </row>
    <row r="1143" spans="117:121" x14ac:dyDescent="0.35">
      <c r="DM1143" s="50"/>
      <c r="DQ1143" s="50"/>
    </row>
    <row r="1144" spans="117:121" x14ac:dyDescent="0.35">
      <c r="DM1144" s="50"/>
      <c r="DQ1144" s="50"/>
    </row>
    <row r="1145" spans="117:121" x14ac:dyDescent="0.35">
      <c r="DM1145" s="50"/>
      <c r="DQ1145" s="50"/>
    </row>
    <row r="1146" spans="117:121" x14ac:dyDescent="0.35">
      <c r="DM1146" s="50"/>
      <c r="DQ1146" s="50"/>
    </row>
    <row r="1147" spans="117:121" x14ac:dyDescent="0.35">
      <c r="DM1147" s="50"/>
      <c r="DQ1147" s="50"/>
    </row>
    <row r="1148" spans="117:121" x14ac:dyDescent="0.35">
      <c r="DM1148" s="50"/>
      <c r="DQ1148" s="50"/>
    </row>
    <row r="1149" spans="117:121" x14ac:dyDescent="0.35">
      <c r="DM1149" s="50"/>
      <c r="DQ1149" s="50"/>
    </row>
    <row r="1150" spans="117:121" x14ac:dyDescent="0.35">
      <c r="DM1150" s="50"/>
      <c r="DQ1150" s="50"/>
    </row>
    <row r="1151" spans="117:121" x14ac:dyDescent="0.35">
      <c r="DM1151" s="50"/>
      <c r="DQ1151" s="50"/>
    </row>
    <row r="1152" spans="117:121" x14ac:dyDescent="0.35">
      <c r="DM1152" s="50"/>
      <c r="DQ1152" s="50"/>
    </row>
    <row r="1153" spans="117:121" x14ac:dyDescent="0.35">
      <c r="DM1153" s="50"/>
      <c r="DQ1153" s="50"/>
    </row>
    <row r="1154" spans="117:121" x14ac:dyDescent="0.35">
      <c r="DM1154" s="50"/>
      <c r="DQ1154" s="50"/>
    </row>
    <row r="1155" spans="117:121" x14ac:dyDescent="0.35">
      <c r="DM1155" s="50"/>
      <c r="DQ1155" s="50"/>
    </row>
    <row r="1156" spans="117:121" x14ac:dyDescent="0.35">
      <c r="DM1156" s="50"/>
      <c r="DQ1156" s="50"/>
    </row>
    <row r="1157" spans="117:121" x14ac:dyDescent="0.35">
      <c r="DM1157" s="50"/>
      <c r="DQ1157" s="50"/>
    </row>
    <row r="1158" spans="117:121" x14ac:dyDescent="0.35">
      <c r="DM1158" s="50"/>
      <c r="DQ1158" s="50"/>
    </row>
    <row r="1159" spans="117:121" x14ac:dyDescent="0.35">
      <c r="DM1159" s="50"/>
      <c r="DQ1159" s="50"/>
    </row>
    <row r="1160" spans="117:121" x14ac:dyDescent="0.35">
      <c r="DM1160" s="50"/>
      <c r="DQ1160" s="50"/>
    </row>
    <row r="1161" spans="117:121" x14ac:dyDescent="0.35">
      <c r="DM1161" s="50"/>
      <c r="DQ1161" s="50"/>
    </row>
    <row r="1162" spans="117:121" x14ac:dyDescent="0.35">
      <c r="DM1162" s="50"/>
      <c r="DQ1162" s="50"/>
    </row>
    <row r="1163" spans="117:121" x14ac:dyDescent="0.35">
      <c r="DM1163" s="50"/>
      <c r="DQ1163" s="50"/>
    </row>
    <row r="1164" spans="117:121" x14ac:dyDescent="0.35">
      <c r="DM1164" s="50"/>
      <c r="DQ1164" s="50"/>
    </row>
    <row r="1165" spans="117:121" x14ac:dyDescent="0.35">
      <c r="DM1165" s="50"/>
      <c r="DQ1165" s="50"/>
    </row>
    <row r="1166" spans="117:121" x14ac:dyDescent="0.35">
      <c r="DM1166" s="50"/>
      <c r="DQ1166" s="50"/>
    </row>
    <row r="1167" spans="117:121" x14ac:dyDescent="0.35">
      <c r="DM1167" s="50"/>
      <c r="DQ1167" s="50"/>
    </row>
    <row r="1168" spans="117:121" x14ac:dyDescent="0.35">
      <c r="DM1168" s="50"/>
      <c r="DQ1168" s="50"/>
    </row>
    <row r="1169" spans="117:121" x14ac:dyDescent="0.35">
      <c r="DM1169" s="50"/>
      <c r="DQ1169" s="50"/>
    </row>
    <row r="1170" spans="117:121" x14ac:dyDescent="0.35">
      <c r="DM1170" s="50"/>
      <c r="DQ1170" s="50"/>
    </row>
    <row r="1171" spans="117:121" x14ac:dyDescent="0.35">
      <c r="DM1171" s="50"/>
      <c r="DQ1171" s="50"/>
    </row>
    <row r="1172" spans="117:121" x14ac:dyDescent="0.35">
      <c r="DM1172" s="50"/>
      <c r="DQ1172" s="50"/>
    </row>
    <row r="1173" spans="117:121" x14ac:dyDescent="0.35">
      <c r="DM1173" s="50"/>
      <c r="DQ1173" s="50"/>
    </row>
    <row r="1174" spans="117:121" x14ac:dyDescent="0.35">
      <c r="DM1174" s="50"/>
      <c r="DQ1174" s="50"/>
    </row>
    <row r="1175" spans="117:121" x14ac:dyDescent="0.35">
      <c r="DM1175" s="50"/>
      <c r="DQ1175" s="50"/>
    </row>
    <row r="1176" spans="117:121" x14ac:dyDescent="0.35">
      <c r="DM1176" s="50"/>
      <c r="DQ1176" s="50"/>
    </row>
    <row r="1177" spans="117:121" x14ac:dyDescent="0.35">
      <c r="DM1177" s="50"/>
      <c r="DQ1177" s="50"/>
    </row>
    <row r="1178" spans="117:121" x14ac:dyDescent="0.35">
      <c r="DM1178" s="50"/>
      <c r="DQ1178" s="50"/>
    </row>
    <row r="1179" spans="117:121" x14ac:dyDescent="0.35">
      <c r="DM1179" s="50"/>
      <c r="DQ1179" s="50"/>
    </row>
    <row r="1180" spans="117:121" x14ac:dyDescent="0.35">
      <c r="DM1180" s="50"/>
      <c r="DQ1180" s="50"/>
    </row>
    <row r="1181" spans="117:121" x14ac:dyDescent="0.35">
      <c r="DM1181" s="50"/>
      <c r="DQ1181" s="50"/>
    </row>
    <row r="1182" spans="117:121" x14ac:dyDescent="0.35">
      <c r="DM1182" s="50"/>
      <c r="DQ1182" s="50"/>
    </row>
    <row r="1183" spans="117:121" x14ac:dyDescent="0.35">
      <c r="DM1183" s="50"/>
      <c r="DQ1183" s="50"/>
    </row>
    <row r="1184" spans="117:121" x14ac:dyDescent="0.35">
      <c r="DM1184" s="50"/>
      <c r="DQ1184" s="50"/>
    </row>
    <row r="1185" spans="117:121" x14ac:dyDescent="0.35">
      <c r="DM1185" s="50"/>
      <c r="DQ1185" s="50"/>
    </row>
    <row r="1186" spans="117:121" x14ac:dyDescent="0.35">
      <c r="DM1186" s="50"/>
      <c r="DQ1186" s="50"/>
    </row>
    <row r="1187" spans="117:121" x14ac:dyDescent="0.35">
      <c r="DM1187" s="50"/>
      <c r="DQ1187" s="50"/>
    </row>
    <row r="1188" spans="117:121" x14ac:dyDescent="0.35">
      <c r="DM1188" s="50"/>
      <c r="DQ1188" s="50"/>
    </row>
    <row r="1189" spans="117:121" x14ac:dyDescent="0.35">
      <c r="DM1189" s="50"/>
      <c r="DQ1189" s="50"/>
    </row>
    <row r="1190" spans="117:121" x14ac:dyDescent="0.35">
      <c r="DM1190" s="50"/>
      <c r="DQ1190" s="50"/>
    </row>
    <row r="1191" spans="117:121" x14ac:dyDescent="0.35">
      <c r="DM1191" s="50"/>
      <c r="DQ1191" s="50"/>
    </row>
    <row r="1192" spans="117:121" x14ac:dyDescent="0.35">
      <c r="DM1192" s="50"/>
      <c r="DQ1192" s="50"/>
    </row>
    <row r="1193" spans="117:121" x14ac:dyDescent="0.35">
      <c r="DM1193" s="50"/>
      <c r="DQ1193" s="50"/>
    </row>
    <row r="1194" spans="117:121" x14ac:dyDescent="0.35">
      <c r="DM1194" s="50"/>
      <c r="DQ1194" s="50"/>
    </row>
    <row r="1195" spans="117:121" x14ac:dyDescent="0.35">
      <c r="DM1195" s="50"/>
      <c r="DQ1195" s="50"/>
    </row>
    <row r="1196" spans="117:121" x14ac:dyDescent="0.35">
      <c r="DM1196" s="50"/>
      <c r="DQ1196" s="50"/>
    </row>
    <row r="1197" spans="117:121" x14ac:dyDescent="0.35">
      <c r="DM1197" s="50"/>
      <c r="DQ1197" s="50"/>
    </row>
    <row r="1198" spans="117:121" x14ac:dyDescent="0.35">
      <c r="DM1198" s="50"/>
      <c r="DQ1198" s="50"/>
    </row>
    <row r="1199" spans="117:121" x14ac:dyDescent="0.35">
      <c r="DM1199" s="50"/>
      <c r="DQ1199" s="50"/>
    </row>
    <row r="1200" spans="117:121" x14ac:dyDescent="0.35">
      <c r="DM1200" s="50"/>
      <c r="DQ1200" s="50"/>
    </row>
    <row r="1201" spans="117:121" x14ac:dyDescent="0.35">
      <c r="DM1201" s="50"/>
      <c r="DQ1201" s="50"/>
    </row>
    <row r="1202" spans="117:121" x14ac:dyDescent="0.35">
      <c r="DM1202" s="50"/>
      <c r="DQ1202" s="50"/>
    </row>
    <row r="1203" spans="117:121" x14ac:dyDescent="0.35">
      <c r="DM1203" s="50"/>
      <c r="DQ1203" s="50"/>
    </row>
    <row r="1204" spans="117:121" x14ac:dyDescent="0.35">
      <c r="DM1204" s="50"/>
      <c r="DQ1204" s="50"/>
    </row>
    <row r="1205" spans="117:121" x14ac:dyDescent="0.35">
      <c r="DM1205" s="50"/>
      <c r="DQ1205" s="50"/>
    </row>
    <row r="1206" spans="117:121" x14ac:dyDescent="0.35">
      <c r="DM1206" s="50"/>
      <c r="DQ1206" s="50"/>
    </row>
    <row r="1207" spans="117:121" x14ac:dyDescent="0.35">
      <c r="DM1207" s="50"/>
      <c r="DQ1207" s="50"/>
    </row>
    <row r="1208" spans="117:121" x14ac:dyDescent="0.35">
      <c r="DM1208" s="50"/>
      <c r="DQ1208" s="50"/>
    </row>
    <row r="1209" spans="117:121" x14ac:dyDescent="0.35">
      <c r="DM1209" s="50"/>
      <c r="DQ1209" s="50"/>
    </row>
    <row r="1210" spans="117:121" x14ac:dyDescent="0.35">
      <c r="DM1210" s="50"/>
      <c r="DQ1210" s="50"/>
    </row>
    <row r="1211" spans="117:121" x14ac:dyDescent="0.35">
      <c r="DM1211" s="50"/>
      <c r="DQ1211" s="50"/>
    </row>
    <row r="1212" spans="117:121" x14ac:dyDescent="0.35">
      <c r="DM1212" s="50"/>
      <c r="DQ1212" s="50"/>
    </row>
    <row r="1213" spans="117:121" x14ac:dyDescent="0.35">
      <c r="DM1213" s="50"/>
      <c r="DQ1213" s="50"/>
    </row>
    <row r="1214" spans="117:121" x14ac:dyDescent="0.35">
      <c r="DM1214" s="50"/>
      <c r="DQ1214" s="50"/>
    </row>
    <row r="1215" spans="117:121" x14ac:dyDescent="0.35">
      <c r="DM1215" s="50"/>
      <c r="DQ1215" s="50"/>
    </row>
    <row r="1216" spans="117:121" x14ac:dyDescent="0.35">
      <c r="DM1216" s="50"/>
      <c r="DQ1216" s="50"/>
    </row>
    <row r="1217" spans="117:121" x14ac:dyDescent="0.35">
      <c r="DM1217" s="50"/>
      <c r="DQ1217" s="50"/>
    </row>
    <row r="1218" spans="117:121" x14ac:dyDescent="0.35">
      <c r="DM1218" s="50"/>
      <c r="DQ1218" s="50"/>
    </row>
    <row r="1219" spans="117:121" x14ac:dyDescent="0.35">
      <c r="DM1219" s="50"/>
      <c r="DQ1219" s="50"/>
    </row>
    <row r="1220" spans="117:121" x14ac:dyDescent="0.35">
      <c r="DM1220" s="50"/>
      <c r="DQ1220" s="50"/>
    </row>
    <row r="1221" spans="117:121" x14ac:dyDescent="0.35">
      <c r="DM1221" s="50"/>
      <c r="DQ1221" s="50"/>
    </row>
    <row r="1222" spans="117:121" x14ac:dyDescent="0.35">
      <c r="DM1222" s="50"/>
      <c r="DQ1222" s="50"/>
    </row>
    <row r="1223" spans="117:121" x14ac:dyDescent="0.35">
      <c r="DM1223" s="50"/>
      <c r="DQ1223" s="50"/>
    </row>
    <row r="1224" spans="117:121" x14ac:dyDescent="0.35">
      <c r="DM1224" s="50"/>
      <c r="DQ1224" s="50"/>
    </row>
    <row r="1225" spans="117:121" x14ac:dyDescent="0.35">
      <c r="DM1225" s="50"/>
      <c r="DQ1225" s="50"/>
    </row>
    <row r="1226" spans="117:121" x14ac:dyDescent="0.35">
      <c r="DM1226" s="50"/>
      <c r="DQ1226" s="50"/>
    </row>
    <row r="1227" spans="117:121" x14ac:dyDescent="0.35">
      <c r="DM1227" s="50"/>
      <c r="DQ1227" s="50"/>
    </row>
    <row r="1228" spans="117:121" x14ac:dyDescent="0.35">
      <c r="DM1228" s="50"/>
      <c r="DQ1228" s="50"/>
    </row>
    <row r="1229" spans="117:121" x14ac:dyDescent="0.35">
      <c r="DM1229" s="50"/>
      <c r="DQ1229" s="50"/>
    </row>
    <row r="1230" spans="117:121" x14ac:dyDescent="0.35">
      <c r="DM1230" s="50"/>
      <c r="DQ1230" s="50"/>
    </row>
    <row r="1231" spans="117:121" x14ac:dyDescent="0.35">
      <c r="DM1231" s="50"/>
      <c r="DQ1231" s="50"/>
    </row>
    <row r="1232" spans="117:121" x14ac:dyDescent="0.35">
      <c r="DM1232" s="50"/>
      <c r="DQ1232" s="50"/>
    </row>
    <row r="1233" spans="117:121" x14ac:dyDescent="0.35">
      <c r="DM1233" s="50"/>
      <c r="DQ1233" s="50"/>
    </row>
    <row r="1234" spans="117:121" x14ac:dyDescent="0.35">
      <c r="DM1234" s="50"/>
      <c r="DQ1234" s="50"/>
    </row>
    <row r="1235" spans="117:121" x14ac:dyDescent="0.35">
      <c r="DM1235" s="50"/>
      <c r="DQ1235" s="50"/>
    </row>
    <row r="1236" spans="117:121" x14ac:dyDescent="0.35">
      <c r="DM1236" s="50"/>
      <c r="DQ1236" s="50"/>
    </row>
    <row r="1237" spans="117:121" x14ac:dyDescent="0.35">
      <c r="DM1237" s="50"/>
      <c r="DQ1237" s="50"/>
    </row>
    <row r="1238" spans="117:121" x14ac:dyDescent="0.35">
      <c r="DM1238" s="50"/>
      <c r="DQ1238" s="50"/>
    </row>
    <row r="1239" spans="117:121" x14ac:dyDescent="0.35">
      <c r="DM1239" s="50"/>
      <c r="DQ1239" s="50"/>
    </row>
    <row r="1240" spans="117:121" x14ac:dyDescent="0.35">
      <c r="DM1240" s="50"/>
      <c r="DQ1240" s="50"/>
    </row>
    <row r="1241" spans="117:121" x14ac:dyDescent="0.35">
      <c r="DM1241" s="50"/>
      <c r="DQ1241" s="50"/>
    </row>
    <row r="1242" spans="117:121" x14ac:dyDescent="0.35">
      <c r="DM1242" s="50"/>
      <c r="DQ1242" s="50"/>
    </row>
    <row r="1243" spans="117:121" x14ac:dyDescent="0.35">
      <c r="DM1243" s="50"/>
      <c r="DQ1243" s="50"/>
    </row>
    <row r="1244" spans="117:121" x14ac:dyDescent="0.35">
      <c r="DM1244" s="50"/>
      <c r="DQ1244" s="50"/>
    </row>
    <row r="1245" spans="117:121" x14ac:dyDescent="0.35">
      <c r="DM1245" s="50"/>
      <c r="DQ1245" s="50"/>
    </row>
    <row r="1246" spans="117:121" x14ac:dyDescent="0.35">
      <c r="DM1246" s="50"/>
      <c r="DQ1246" s="50"/>
    </row>
    <row r="1247" spans="117:121" x14ac:dyDescent="0.35">
      <c r="DM1247" s="50"/>
      <c r="DQ1247" s="50"/>
    </row>
    <row r="1248" spans="117:121" x14ac:dyDescent="0.35">
      <c r="DM1248" s="50"/>
      <c r="DQ1248" s="50"/>
    </row>
    <row r="1249" spans="117:121" x14ac:dyDescent="0.35">
      <c r="DM1249" s="50"/>
      <c r="DQ1249" s="50"/>
    </row>
    <row r="1250" spans="117:121" x14ac:dyDescent="0.35">
      <c r="DM1250" s="50"/>
      <c r="DQ1250" s="50"/>
    </row>
    <row r="1251" spans="117:121" x14ac:dyDescent="0.35">
      <c r="DM1251" s="50"/>
      <c r="DQ1251" s="50"/>
    </row>
    <row r="1252" spans="117:121" x14ac:dyDescent="0.35">
      <c r="DM1252" s="50"/>
      <c r="DQ1252" s="50"/>
    </row>
    <row r="1253" spans="117:121" x14ac:dyDescent="0.35">
      <c r="DM1253" s="50"/>
      <c r="DQ1253" s="50"/>
    </row>
    <row r="1254" spans="117:121" x14ac:dyDescent="0.35">
      <c r="DM1254" s="50"/>
      <c r="DQ1254" s="50"/>
    </row>
    <row r="1255" spans="117:121" x14ac:dyDescent="0.35">
      <c r="DM1255" s="50"/>
      <c r="DQ1255" s="50"/>
    </row>
    <row r="1256" spans="117:121" x14ac:dyDescent="0.35">
      <c r="DM1256" s="50"/>
      <c r="DQ1256" s="50"/>
    </row>
    <row r="1257" spans="117:121" x14ac:dyDescent="0.35">
      <c r="DM1257" s="50"/>
      <c r="DQ1257" s="50"/>
    </row>
    <row r="1258" spans="117:121" x14ac:dyDescent="0.35">
      <c r="DM1258" s="50"/>
      <c r="DQ1258" s="50"/>
    </row>
    <row r="1259" spans="117:121" x14ac:dyDescent="0.35">
      <c r="DM1259" s="50"/>
      <c r="DQ1259" s="50"/>
    </row>
    <row r="1260" spans="117:121" x14ac:dyDescent="0.35">
      <c r="DM1260" s="50"/>
      <c r="DQ1260" s="50"/>
    </row>
    <row r="1261" spans="117:121" x14ac:dyDescent="0.35">
      <c r="DM1261" s="50"/>
      <c r="DQ1261" s="50"/>
    </row>
    <row r="1262" spans="117:121" x14ac:dyDescent="0.35">
      <c r="DM1262" s="50"/>
      <c r="DQ1262" s="50"/>
    </row>
    <row r="1263" spans="117:121" x14ac:dyDescent="0.35">
      <c r="DM1263" s="50"/>
      <c r="DQ1263" s="50"/>
    </row>
    <row r="1264" spans="117:121" x14ac:dyDescent="0.35">
      <c r="DM1264" s="50"/>
      <c r="DQ1264" s="50"/>
    </row>
    <row r="1265" spans="117:121" x14ac:dyDescent="0.35">
      <c r="DM1265" s="50"/>
      <c r="DQ1265" s="50"/>
    </row>
    <row r="1266" spans="117:121" x14ac:dyDescent="0.35">
      <c r="DM1266" s="50"/>
      <c r="DQ1266" s="50"/>
    </row>
    <row r="1267" spans="117:121" x14ac:dyDescent="0.35">
      <c r="DM1267" s="50"/>
      <c r="DQ1267" s="50"/>
    </row>
    <row r="1268" spans="117:121" x14ac:dyDescent="0.35">
      <c r="DM1268" s="50"/>
      <c r="DQ1268" s="50"/>
    </row>
    <row r="1269" spans="117:121" x14ac:dyDescent="0.35">
      <c r="DM1269" s="50"/>
      <c r="DQ1269" s="50"/>
    </row>
    <row r="1270" spans="117:121" x14ac:dyDescent="0.35">
      <c r="DM1270" s="50"/>
      <c r="DQ1270" s="50"/>
    </row>
    <row r="1271" spans="117:121" x14ac:dyDescent="0.35">
      <c r="DM1271" s="50"/>
      <c r="DQ1271" s="50"/>
    </row>
    <row r="1272" spans="117:121" x14ac:dyDescent="0.35">
      <c r="DM1272" s="50"/>
      <c r="DQ1272" s="50"/>
    </row>
    <row r="1273" spans="117:121" x14ac:dyDescent="0.35">
      <c r="DM1273" s="50"/>
      <c r="DQ1273" s="50"/>
    </row>
    <row r="1274" spans="117:121" x14ac:dyDescent="0.35">
      <c r="DM1274" s="50"/>
      <c r="DQ1274" s="50"/>
    </row>
    <row r="1275" spans="117:121" x14ac:dyDescent="0.35">
      <c r="DM1275" s="50"/>
      <c r="DQ1275" s="50"/>
    </row>
    <row r="1276" spans="117:121" x14ac:dyDescent="0.35">
      <c r="DM1276" s="50"/>
      <c r="DQ1276" s="50"/>
    </row>
    <row r="1277" spans="117:121" x14ac:dyDescent="0.35">
      <c r="DM1277" s="50"/>
      <c r="DQ1277" s="50"/>
    </row>
    <row r="1278" spans="117:121" x14ac:dyDescent="0.35">
      <c r="DM1278" s="50"/>
      <c r="DQ1278" s="50"/>
    </row>
    <row r="1279" spans="117:121" x14ac:dyDescent="0.35">
      <c r="DM1279" s="50"/>
      <c r="DQ1279" s="50"/>
    </row>
    <row r="1280" spans="117:121" x14ac:dyDescent="0.35">
      <c r="DM1280" s="50"/>
      <c r="DQ1280" s="50"/>
    </row>
    <row r="1281" spans="117:121" x14ac:dyDescent="0.35">
      <c r="DM1281" s="50"/>
      <c r="DQ1281" s="50"/>
    </row>
    <row r="1282" spans="117:121" x14ac:dyDescent="0.35">
      <c r="DM1282" s="50"/>
      <c r="DQ1282" s="50"/>
    </row>
    <row r="1283" spans="117:121" x14ac:dyDescent="0.35">
      <c r="DM1283" s="50"/>
      <c r="DQ1283" s="50"/>
    </row>
    <row r="1284" spans="117:121" x14ac:dyDescent="0.35">
      <c r="DM1284" s="50"/>
      <c r="DQ1284" s="50"/>
    </row>
    <row r="1285" spans="117:121" x14ac:dyDescent="0.35">
      <c r="DM1285" s="50"/>
      <c r="DQ1285" s="50"/>
    </row>
    <row r="1286" spans="117:121" x14ac:dyDescent="0.35">
      <c r="DM1286" s="50"/>
      <c r="DQ1286" s="50"/>
    </row>
    <row r="1287" spans="117:121" x14ac:dyDescent="0.35">
      <c r="DM1287" s="50"/>
      <c r="DQ1287" s="50"/>
    </row>
    <row r="1288" spans="117:121" x14ac:dyDescent="0.35">
      <c r="DM1288" s="50"/>
      <c r="DQ1288" s="50"/>
    </row>
    <row r="1289" spans="117:121" x14ac:dyDescent="0.35">
      <c r="DM1289" s="50"/>
      <c r="DQ1289" s="50"/>
    </row>
    <row r="1290" spans="117:121" x14ac:dyDescent="0.35">
      <c r="DM1290" s="50"/>
      <c r="DQ1290" s="50"/>
    </row>
    <row r="1291" spans="117:121" x14ac:dyDescent="0.35">
      <c r="DM1291" s="50"/>
      <c r="DQ1291" s="50"/>
    </row>
    <row r="1292" spans="117:121" x14ac:dyDescent="0.35">
      <c r="DM1292" s="50"/>
      <c r="DQ1292" s="50"/>
    </row>
    <row r="1293" spans="117:121" x14ac:dyDescent="0.35">
      <c r="DM1293" s="50"/>
      <c r="DQ1293" s="50"/>
    </row>
    <row r="1294" spans="117:121" x14ac:dyDescent="0.35">
      <c r="DM1294" s="50"/>
      <c r="DQ1294" s="50"/>
    </row>
    <row r="1295" spans="117:121" x14ac:dyDescent="0.35">
      <c r="DM1295" s="50"/>
      <c r="DQ1295" s="50"/>
    </row>
    <row r="1296" spans="117:121" x14ac:dyDescent="0.35">
      <c r="DM1296" s="50"/>
      <c r="DQ1296" s="50"/>
    </row>
    <row r="1297" spans="117:121" x14ac:dyDescent="0.35">
      <c r="DM1297" s="50"/>
      <c r="DQ1297" s="50"/>
    </row>
    <row r="1298" spans="117:121" x14ac:dyDescent="0.35">
      <c r="DM1298" s="50"/>
      <c r="DQ1298" s="50"/>
    </row>
    <row r="1299" spans="117:121" x14ac:dyDescent="0.35">
      <c r="DM1299" s="50"/>
      <c r="DQ1299" s="50"/>
    </row>
    <row r="1300" spans="117:121" x14ac:dyDescent="0.35">
      <c r="DM1300" s="50"/>
      <c r="DQ1300" s="50"/>
    </row>
    <row r="1301" spans="117:121" x14ac:dyDescent="0.35">
      <c r="DM1301" s="50"/>
      <c r="DQ1301" s="50"/>
    </row>
    <row r="1302" spans="117:121" x14ac:dyDescent="0.35">
      <c r="DM1302" s="50"/>
      <c r="DQ1302" s="50"/>
    </row>
    <row r="1303" spans="117:121" x14ac:dyDescent="0.35">
      <c r="DM1303" s="50"/>
      <c r="DQ1303" s="50"/>
    </row>
    <row r="1304" spans="117:121" x14ac:dyDescent="0.35">
      <c r="DM1304" s="50"/>
      <c r="DQ1304" s="50"/>
    </row>
    <row r="1305" spans="117:121" x14ac:dyDescent="0.35">
      <c r="DM1305" s="50"/>
      <c r="DQ1305" s="50"/>
    </row>
    <row r="1306" spans="117:121" x14ac:dyDescent="0.35">
      <c r="DM1306" s="50"/>
      <c r="DQ1306" s="50"/>
    </row>
    <row r="1307" spans="117:121" x14ac:dyDescent="0.35">
      <c r="DM1307" s="50"/>
      <c r="DQ1307" s="50"/>
    </row>
    <row r="1308" spans="117:121" x14ac:dyDescent="0.35">
      <c r="DM1308" s="50"/>
      <c r="DQ1308" s="50"/>
    </row>
    <row r="1309" spans="117:121" x14ac:dyDescent="0.35">
      <c r="DM1309" s="50"/>
      <c r="DQ1309" s="50"/>
    </row>
    <row r="1310" spans="117:121" x14ac:dyDescent="0.35">
      <c r="DM1310" s="50"/>
      <c r="DQ1310" s="50"/>
    </row>
    <row r="1311" spans="117:121" x14ac:dyDescent="0.35">
      <c r="DM1311" s="50"/>
      <c r="DQ1311" s="50"/>
    </row>
    <row r="1312" spans="117:121" x14ac:dyDescent="0.35">
      <c r="DM1312" s="50"/>
      <c r="DQ1312" s="50"/>
    </row>
    <row r="1313" spans="117:121" x14ac:dyDescent="0.35">
      <c r="DM1313" s="50"/>
      <c r="DQ1313" s="50"/>
    </row>
    <row r="1314" spans="117:121" x14ac:dyDescent="0.35">
      <c r="DM1314" s="50"/>
      <c r="DQ1314" s="50"/>
    </row>
    <row r="1315" spans="117:121" x14ac:dyDescent="0.35">
      <c r="DM1315" s="50"/>
      <c r="DQ1315" s="50"/>
    </row>
    <row r="1316" spans="117:121" x14ac:dyDescent="0.35">
      <c r="DM1316" s="50"/>
      <c r="DQ1316" s="50"/>
    </row>
    <row r="1317" spans="117:121" x14ac:dyDescent="0.35">
      <c r="DM1317" s="50"/>
      <c r="DQ1317" s="50"/>
    </row>
    <row r="1318" spans="117:121" x14ac:dyDescent="0.35">
      <c r="DM1318" s="50"/>
      <c r="DQ1318" s="50"/>
    </row>
    <row r="1319" spans="117:121" x14ac:dyDescent="0.35">
      <c r="DM1319" s="50"/>
      <c r="DQ1319" s="50"/>
    </row>
    <row r="1320" spans="117:121" x14ac:dyDescent="0.35">
      <c r="DM1320" s="50"/>
      <c r="DQ1320" s="50"/>
    </row>
    <row r="1321" spans="117:121" x14ac:dyDescent="0.35">
      <c r="DM1321" s="50"/>
      <c r="DQ1321" s="50"/>
    </row>
    <row r="1322" spans="117:121" x14ac:dyDescent="0.35">
      <c r="DM1322" s="50"/>
      <c r="DQ1322" s="50"/>
    </row>
    <row r="1323" spans="117:121" x14ac:dyDescent="0.35">
      <c r="DM1323" s="50"/>
      <c r="DQ1323" s="50"/>
    </row>
    <row r="1324" spans="117:121" x14ac:dyDescent="0.35">
      <c r="DM1324" s="50"/>
      <c r="DQ1324" s="50"/>
    </row>
    <row r="1325" spans="117:121" x14ac:dyDescent="0.35">
      <c r="DM1325" s="50"/>
      <c r="DQ1325" s="50"/>
    </row>
    <row r="1326" spans="117:121" x14ac:dyDescent="0.35">
      <c r="DM1326" s="50"/>
      <c r="DQ1326" s="50"/>
    </row>
    <row r="1327" spans="117:121" x14ac:dyDescent="0.35">
      <c r="DM1327" s="50"/>
      <c r="DQ1327" s="50"/>
    </row>
    <row r="1328" spans="117:121" x14ac:dyDescent="0.35">
      <c r="DM1328" s="50"/>
      <c r="DQ1328" s="50"/>
    </row>
    <row r="1329" spans="117:121" x14ac:dyDescent="0.35">
      <c r="DM1329" s="50"/>
      <c r="DQ1329" s="50"/>
    </row>
    <row r="1330" spans="117:121" x14ac:dyDescent="0.35">
      <c r="DM1330" s="50"/>
      <c r="DQ1330" s="50"/>
    </row>
    <row r="1331" spans="117:121" x14ac:dyDescent="0.35">
      <c r="DM1331" s="50"/>
      <c r="DQ1331" s="50"/>
    </row>
    <row r="1332" spans="117:121" x14ac:dyDescent="0.35">
      <c r="DM1332" s="50"/>
      <c r="DQ1332" s="50"/>
    </row>
    <row r="1333" spans="117:121" x14ac:dyDescent="0.35">
      <c r="DM1333" s="50"/>
      <c r="DQ1333" s="50"/>
    </row>
    <row r="1334" spans="117:121" x14ac:dyDescent="0.35">
      <c r="DM1334" s="50"/>
      <c r="DQ1334" s="50"/>
    </row>
    <row r="1335" spans="117:121" x14ac:dyDescent="0.35">
      <c r="DM1335" s="50"/>
      <c r="DQ1335" s="50"/>
    </row>
    <row r="1336" spans="117:121" x14ac:dyDescent="0.35">
      <c r="DM1336" s="50"/>
      <c r="DQ1336" s="50"/>
    </row>
    <row r="1337" spans="117:121" x14ac:dyDescent="0.35">
      <c r="DM1337" s="50"/>
      <c r="DQ1337" s="50"/>
    </row>
    <row r="1338" spans="117:121" x14ac:dyDescent="0.35">
      <c r="DM1338" s="50"/>
      <c r="DQ1338" s="50"/>
    </row>
    <row r="1339" spans="117:121" x14ac:dyDescent="0.35">
      <c r="DM1339" s="50"/>
      <c r="DQ1339" s="50"/>
    </row>
    <row r="1340" spans="117:121" x14ac:dyDescent="0.35">
      <c r="DM1340" s="50"/>
      <c r="DQ1340" s="50"/>
    </row>
    <row r="1341" spans="117:121" x14ac:dyDescent="0.35">
      <c r="DM1341" s="50"/>
      <c r="DQ1341" s="50"/>
    </row>
    <row r="1342" spans="117:121" x14ac:dyDescent="0.35">
      <c r="DM1342" s="50"/>
      <c r="DQ1342" s="50"/>
    </row>
    <row r="1343" spans="117:121" x14ac:dyDescent="0.35">
      <c r="DM1343" s="50"/>
      <c r="DQ1343" s="50"/>
    </row>
    <row r="1344" spans="117:121" x14ac:dyDescent="0.35">
      <c r="DM1344" s="50"/>
      <c r="DQ1344" s="50"/>
    </row>
    <row r="1345" spans="117:121" x14ac:dyDescent="0.35">
      <c r="DM1345" s="50"/>
      <c r="DQ1345" s="50"/>
    </row>
    <row r="1346" spans="117:121" x14ac:dyDescent="0.35">
      <c r="DM1346" s="50"/>
      <c r="DQ1346" s="50"/>
    </row>
    <row r="1347" spans="117:121" x14ac:dyDescent="0.35">
      <c r="DM1347" s="50"/>
      <c r="DQ1347" s="50"/>
    </row>
    <row r="1348" spans="117:121" x14ac:dyDescent="0.35">
      <c r="DM1348" s="50"/>
      <c r="DQ1348" s="50"/>
    </row>
    <row r="1349" spans="117:121" x14ac:dyDescent="0.35">
      <c r="DM1349" s="50"/>
      <c r="DQ1349" s="50"/>
    </row>
    <row r="1350" spans="117:121" x14ac:dyDescent="0.35">
      <c r="DM1350" s="50"/>
      <c r="DQ1350" s="50"/>
    </row>
    <row r="1351" spans="117:121" x14ac:dyDescent="0.35">
      <c r="DM1351" s="50"/>
      <c r="DQ1351" s="50"/>
    </row>
    <row r="1352" spans="117:121" x14ac:dyDescent="0.35">
      <c r="DM1352" s="50"/>
      <c r="DQ1352" s="50"/>
    </row>
    <row r="1353" spans="117:121" x14ac:dyDescent="0.35">
      <c r="DM1353" s="50"/>
      <c r="DQ1353" s="50"/>
    </row>
    <row r="1354" spans="117:121" x14ac:dyDescent="0.35">
      <c r="DM1354" s="50"/>
      <c r="DQ1354" s="50"/>
    </row>
    <row r="1355" spans="117:121" x14ac:dyDescent="0.35">
      <c r="DM1355" s="50"/>
      <c r="DQ1355" s="50"/>
    </row>
    <row r="1356" spans="117:121" x14ac:dyDescent="0.35">
      <c r="DM1356" s="50"/>
      <c r="DQ1356" s="50"/>
    </row>
    <row r="1357" spans="117:121" x14ac:dyDescent="0.35">
      <c r="DM1357" s="50"/>
      <c r="DQ1357" s="50"/>
    </row>
    <row r="1358" spans="117:121" x14ac:dyDescent="0.35">
      <c r="DM1358" s="50"/>
      <c r="DQ1358" s="50"/>
    </row>
    <row r="1359" spans="117:121" x14ac:dyDescent="0.35">
      <c r="DM1359" s="50"/>
      <c r="DQ1359" s="50"/>
    </row>
    <row r="1360" spans="117:121" x14ac:dyDescent="0.35">
      <c r="DM1360" s="50"/>
      <c r="DQ1360" s="50"/>
    </row>
    <row r="1361" spans="117:121" x14ac:dyDescent="0.35">
      <c r="DM1361" s="50"/>
      <c r="DQ1361" s="50"/>
    </row>
    <row r="1362" spans="117:121" x14ac:dyDescent="0.35">
      <c r="DM1362" s="50"/>
      <c r="DQ1362" s="50"/>
    </row>
    <row r="1363" spans="117:121" x14ac:dyDescent="0.35">
      <c r="DM1363" s="50"/>
      <c r="DQ1363" s="50"/>
    </row>
    <row r="1364" spans="117:121" x14ac:dyDescent="0.35">
      <c r="DM1364" s="50"/>
      <c r="DQ1364" s="50"/>
    </row>
    <row r="1365" spans="117:121" x14ac:dyDescent="0.35">
      <c r="DM1365" s="50"/>
      <c r="DQ1365" s="50"/>
    </row>
    <row r="1366" spans="117:121" x14ac:dyDescent="0.35">
      <c r="DM1366" s="50"/>
      <c r="DQ1366" s="50"/>
    </row>
    <row r="1367" spans="117:121" x14ac:dyDescent="0.35">
      <c r="DM1367" s="50"/>
      <c r="DQ1367" s="50"/>
    </row>
    <row r="1368" spans="117:121" x14ac:dyDescent="0.35">
      <c r="DM1368" s="50"/>
      <c r="DQ1368" s="50"/>
    </row>
    <row r="1369" spans="117:121" x14ac:dyDescent="0.35">
      <c r="DM1369" s="50"/>
      <c r="DQ1369" s="50"/>
    </row>
    <row r="1370" spans="117:121" x14ac:dyDescent="0.35">
      <c r="DM1370" s="50"/>
      <c r="DQ1370" s="50"/>
    </row>
    <row r="1371" spans="117:121" x14ac:dyDescent="0.35">
      <c r="DM1371" s="50"/>
      <c r="DQ1371" s="50"/>
    </row>
    <row r="1372" spans="117:121" x14ac:dyDescent="0.35">
      <c r="DM1372" s="50"/>
      <c r="DQ1372" s="50"/>
    </row>
    <row r="1373" spans="117:121" x14ac:dyDescent="0.35">
      <c r="DM1373" s="50"/>
      <c r="DQ1373" s="50"/>
    </row>
    <row r="1374" spans="117:121" x14ac:dyDescent="0.35">
      <c r="DM1374" s="50"/>
      <c r="DQ1374" s="50"/>
    </row>
    <row r="1375" spans="117:121" x14ac:dyDescent="0.35">
      <c r="DM1375" s="50"/>
      <c r="DQ1375" s="50"/>
    </row>
    <row r="1376" spans="117:121" x14ac:dyDescent="0.35">
      <c r="DM1376" s="50"/>
      <c r="DQ1376" s="50"/>
    </row>
    <row r="1377" spans="117:121" x14ac:dyDescent="0.35">
      <c r="DM1377" s="50"/>
      <c r="DQ1377" s="50"/>
    </row>
    <row r="1378" spans="117:121" x14ac:dyDescent="0.35">
      <c r="DM1378" s="50"/>
      <c r="DQ1378" s="50"/>
    </row>
    <row r="1379" spans="117:121" x14ac:dyDescent="0.35">
      <c r="DM1379" s="50"/>
      <c r="DQ1379" s="50"/>
    </row>
    <row r="1380" spans="117:121" x14ac:dyDescent="0.35">
      <c r="DM1380" s="50"/>
      <c r="DQ1380" s="50"/>
    </row>
    <row r="1381" spans="117:121" x14ac:dyDescent="0.35">
      <c r="DM1381" s="50"/>
      <c r="DQ1381" s="50"/>
    </row>
    <row r="1382" spans="117:121" x14ac:dyDescent="0.35">
      <c r="DM1382" s="50"/>
      <c r="DQ1382" s="50"/>
    </row>
    <row r="1383" spans="117:121" x14ac:dyDescent="0.35">
      <c r="DM1383" s="50"/>
      <c r="DQ1383" s="50"/>
    </row>
    <row r="1384" spans="117:121" x14ac:dyDescent="0.35">
      <c r="DM1384" s="50"/>
      <c r="DQ1384" s="50"/>
    </row>
    <row r="1385" spans="117:121" x14ac:dyDescent="0.35">
      <c r="DM1385" s="50"/>
      <c r="DQ1385" s="50"/>
    </row>
    <row r="1386" spans="117:121" x14ac:dyDescent="0.35">
      <c r="DM1386" s="50"/>
      <c r="DQ1386" s="50"/>
    </row>
    <row r="1387" spans="117:121" x14ac:dyDescent="0.35">
      <c r="DM1387" s="50"/>
      <c r="DQ1387" s="50"/>
    </row>
    <row r="1388" spans="117:121" x14ac:dyDescent="0.35">
      <c r="DM1388" s="50"/>
      <c r="DQ1388" s="50"/>
    </row>
    <row r="1389" spans="117:121" x14ac:dyDescent="0.35">
      <c r="DM1389" s="50"/>
      <c r="DQ1389" s="50"/>
    </row>
    <row r="1390" spans="117:121" x14ac:dyDescent="0.35">
      <c r="DM1390" s="50"/>
      <c r="DQ1390" s="50"/>
    </row>
    <row r="1391" spans="117:121" x14ac:dyDescent="0.35">
      <c r="DM1391" s="50"/>
      <c r="DQ1391" s="50"/>
    </row>
    <row r="1392" spans="117:121" x14ac:dyDescent="0.35">
      <c r="DM1392" s="50"/>
      <c r="DQ1392" s="50"/>
    </row>
    <row r="1393" spans="117:121" x14ac:dyDescent="0.35">
      <c r="DM1393" s="50"/>
      <c r="DQ1393" s="50"/>
    </row>
    <row r="1394" spans="117:121" x14ac:dyDescent="0.35">
      <c r="DM1394" s="50"/>
      <c r="DQ1394" s="50"/>
    </row>
    <row r="1395" spans="117:121" x14ac:dyDescent="0.35">
      <c r="DM1395" s="50"/>
      <c r="DQ1395" s="50"/>
    </row>
    <row r="1396" spans="117:121" x14ac:dyDescent="0.35">
      <c r="DM1396" s="50"/>
      <c r="DQ1396" s="50"/>
    </row>
    <row r="1397" spans="117:121" x14ac:dyDescent="0.35">
      <c r="DM1397" s="50"/>
      <c r="DQ1397" s="50"/>
    </row>
    <row r="1398" spans="117:121" x14ac:dyDescent="0.35">
      <c r="DM1398" s="50"/>
      <c r="DQ1398" s="50"/>
    </row>
    <row r="1399" spans="117:121" x14ac:dyDescent="0.35">
      <c r="DM1399" s="50"/>
      <c r="DQ1399" s="50"/>
    </row>
    <row r="1400" spans="117:121" x14ac:dyDescent="0.35">
      <c r="DM1400" s="50"/>
      <c r="DQ1400" s="50"/>
    </row>
    <row r="1401" spans="117:121" x14ac:dyDescent="0.35">
      <c r="DM1401" s="50"/>
      <c r="DQ1401" s="50"/>
    </row>
    <row r="1402" spans="117:121" x14ac:dyDescent="0.35">
      <c r="DM1402" s="50"/>
      <c r="DQ1402" s="50"/>
    </row>
    <row r="1403" spans="117:121" x14ac:dyDescent="0.35">
      <c r="DM1403" s="50"/>
      <c r="DQ1403" s="50"/>
    </row>
    <row r="1404" spans="117:121" x14ac:dyDescent="0.35">
      <c r="DM1404" s="50"/>
      <c r="DQ1404" s="50"/>
    </row>
    <row r="1405" spans="117:121" x14ac:dyDescent="0.35">
      <c r="DM1405" s="50"/>
      <c r="DQ1405" s="50"/>
    </row>
    <row r="1406" spans="117:121" x14ac:dyDescent="0.35">
      <c r="DM1406" s="50"/>
      <c r="DQ1406" s="50"/>
    </row>
    <row r="1407" spans="117:121" x14ac:dyDescent="0.35">
      <c r="DM1407" s="50"/>
      <c r="DQ1407" s="50"/>
    </row>
    <row r="1408" spans="117:121" x14ac:dyDescent="0.35">
      <c r="DM1408" s="50"/>
      <c r="DQ1408" s="50"/>
    </row>
    <row r="1409" spans="117:121" x14ac:dyDescent="0.35">
      <c r="DM1409" s="50"/>
      <c r="DQ1409" s="50"/>
    </row>
    <row r="1410" spans="117:121" x14ac:dyDescent="0.35">
      <c r="DM1410" s="50"/>
      <c r="DQ1410" s="50"/>
    </row>
    <row r="1411" spans="117:121" x14ac:dyDescent="0.35">
      <c r="DM1411" s="50"/>
      <c r="DQ1411" s="50"/>
    </row>
    <row r="1412" spans="117:121" x14ac:dyDescent="0.35">
      <c r="DM1412" s="50"/>
      <c r="DQ1412" s="50"/>
    </row>
    <row r="1413" spans="117:121" x14ac:dyDescent="0.35">
      <c r="DM1413" s="50"/>
      <c r="DQ1413" s="50"/>
    </row>
    <row r="1414" spans="117:121" x14ac:dyDescent="0.35">
      <c r="DM1414" s="50"/>
      <c r="DQ1414" s="50"/>
    </row>
    <row r="1415" spans="117:121" x14ac:dyDescent="0.35">
      <c r="DM1415" s="50"/>
      <c r="DQ1415" s="50"/>
    </row>
    <row r="1416" spans="117:121" x14ac:dyDescent="0.35">
      <c r="DM1416" s="50"/>
      <c r="DQ1416" s="50"/>
    </row>
    <row r="1417" spans="117:121" x14ac:dyDescent="0.35">
      <c r="DM1417" s="50"/>
      <c r="DQ1417" s="50"/>
    </row>
    <row r="1418" spans="117:121" x14ac:dyDescent="0.35">
      <c r="DM1418" s="50"/>
      <c r="DQ1418" s="50"/>
    </row>
    <row r="1419" spans="117:121" x14ac:dyDescent="0.35">
      <c r="DM1419" s="50"/>
      <c r="DQ1419" s="50"/>
    </row>
    <row r="1420" spans="117:121" x14ac:dyDescent="0.35">
      <c r="DM1420" s="50"/>
      <c r="DQ1420" s="50"/>
    </row>
    <row r="1421" spans="117:121" x14ac:dyDescent="0.35">
      <c r="DM1421" s="50"/>
      <c r="DQ1421" s="50"/>
    </row>
    <row r="1422" spans="117:121" x14ac:dyDescent="0.35">
      <c r="DM1422" s="50"/>
      <c r="DQ1422" s="50"/>
    </row>
    <row r="1423" spans="117:121" x14ac:dyDescent="0.35">
      <c r="DM1423" s="50"/>
      <c r="DQ1423" s="50"/>
    </row>
    <row r="1424" spans="117:121" x14ac:dyDescent="0.35">
      <c r="DM1424" s="50"/>
      <c r="DQ1424" s="50"/>
    </row>
    <row r="1425" spans="117:121" x14ac:dyDescent="0.35">
      <c r="DM1425" s="50"/>
      <c r="DQ1425" s="50"/>
    </row>
    <row r="1426" spans="117:121" x14ac:dyDescent="0.35">
      <c r="DM1426" s="50"/>
      <c r="DQ1426" s="50"/>
    </row>
    <row r="1427" spans="117:121" x14ac:dyDescent="0.35">
      <c r="DM1427" s="50"/>
      <c r="DQ1427" s="50"/>
    </row>
    <row r="1428" spans="117:121" x14ac:dyDescent="0.35">
      <c r="DM1428" s="50"/>
      <c r="DQ1428" s="50"/>
    </row>
    <row r="1429" spans="117:121" x14ac:dyDescent="0.35">
      <c r="DM1429" s="50"/>
      <c r="DQ1429" s="50"/>
    </row>
    <row r="1430" spans="117:121" x14ac:dyDescent="0.35">
      <c r="DM1430" s="50"/>
      <c r="DQ1430" s="50"/>
    </row>
    <row r="1431" spans="117:121" x14ac:dyDescent="0.35">
      <c r="DM1431" s="50"/>
      <c r="DQ1431" s="50"/>
    </row>
    <row r="1432" spans="117:121" x14ac:dyDescent="0.35">
      <c r="DM1432" s="50"/>
      <c r="DQ1432" s="50"/>
    </row>
    <row r="1433" spans="117:121" x14ac:dyDescent="0.35">
      <c r="DM1433" s="50"/>
      <c r="DQ1433" s="50"/>
    </row>
    <row r="1434" spans="117:121" x14ac:dyDescent="0.35">
      <c r="DM1434" s="50"/>
      <c r="DQ1434" s="50"/>
    </row>
    <row r="1435" spans="117:121" x14ac:dyDescent="0.35">
      <c r="DM1435" s="50"/>
      <c r="DQ1435" s="50"/>
    </row>
    <row r="1436" spans="117:121" x14ac:dyDescent="0.35">
      <c r="DM1436" s="50"/>
      <c r="DQ1436" s="50"/>
    </row>
    <row r="1437" spans="117:121" x14ac:dyDescent="0.35">
      <c r="DM1437" s="50"/>
      <c r="DQ1437" s="50"/>
    </row>
    <row r="1438" spans="117:121" x14ac:dyDescent="0.35">
      <c r="DM1438" s="50"/>
      <c r="DQ1438" s="50"/>
    </row>
    <row r="1439" spans="117:121" x14ac:dyDescent="0.35">
      <c r="DM1439" s="50"/>
      <c r="DQ1439" s="50"/>
    </row>
    <row r="1440" spans="117:121" x14ac:dyDescent="0.35">
      <c r="DM1440" s="50"/>
      <c r="DQ1440" s="50"/>
    </row>
    <row r="1441" spans="117:121" x14ac:dyDescent="0.35">
      <c r="DM1441" s="50"/>
      <c r="DQ1441" s="50"/>
    </row>
    <row r="1442" spans="117:121" x14ac:dyDescent="0.35">
      <c r="DM1442" s="50"/>
      <c r="DQ1442" s="50"/>
    </row>
    <row r="1443" spans="117:121" x14ac:dyDescent="0.35">
      <c r="DM1443" s="50"/>
      <c r="DQ1443" s="50"/>
    </row>
    <row r="1444" spans="117:121" x14ac:dyDescent="0.35">
      <c r="DM1444" s="50"/>
      <c r="DQ1444" s="50"/>
    </row>
    <row r="1445" spans="117:121" x14ac:dyDescent="0.35">
      <c r="DM1445" s="50"/>
      <c r="DQ1445" s="50"/>
    </row>
    <row r="1446" spans="117:121" x14ac:dyDescent="0.35">
      <c r="DM1446" s="50"/>
      <c r="DQ1446" s="50"/>
    </row>
    <row r="1447" spans="117:121" x14ac:dyDescent="0.35">
      <c r="DM1447" s="50"/>
      <c r="DQ1447" s="50"/>
    </row>
    <row r="1448" spans="117:121" x14ac:dyDescent="0.35">
      <c r="DM1448" s="50"/>
      <c r="DQ1448" s="50"/>
    </row>
    <row r="1449" spans="117:121" x14ac:dyDescent="0.35">
      <c r="DM1449" s="50"/>
      <c r="DQ1449" s="50"/>
    </row>
    <row r="1450" spans="117:121" x14ac:dyDescent="0.35">
      <c r="DM1450" s="50"/>
      <c r="DQ1450" s="50"/>
    </row>
    <row r="1451" spans="117:121" x14ac:dyDescent="0.35">
      <c r="DM1451" s="50"/>
      <c r="DQ1451" s="50"/>
    </row>
    <row r="1452" spans="117:121" x14ac:dyDescent="0.35">
      <c r="DM1452" s="50"/>
      <c r="DQ1452" s="50"/>
    </row>
    <row r="1453" spans="117:121" x14ac:dyDescent="0.35">
      <c r="DM1453" s="50"/>
      <c r="DQ1453" s="50"/>
    </row>
    <row r="1454" spans="117:121" x14ac:dyDescent="0.35">
      <c r="DM1454" s="50"/>
      <c r="DQ1454" s="50"/>
    </row>
    <row r="1455" spans="117:121" x14ac:dyDescent="0.35">
      <c r="DM1455" s="50"/>
      <c r="DQ1455" s="50"/>
    </row>
    <row r="1456" spans="117:121" x14ac:dyDescent="0.35">
      <c r="DM1456" s="50"/>
      <c r="DQ1456" s="50"/>
    </row>
    <row r="1457" spans="117:121" x14ac:dyDescent="0.35">
      <c r="DM1457" s="50"/>
      <c r="DQ1457" s="50"/>
    </row>
    <row r="1458" spans="117:121" x14ac:dyDescent="0.35">
      <c r="DM1458" s="50"/>
      <c r="DQ1458" s="50"/>
    </row>
    <row r="1459" spans="117:121" x14ac:dyDescent="0.35">
      <c r="DM1459" s="50"/>
      <c r="DQ1459" s="50"/>
    </row>
    <row r="1460" spans="117:121" x14ac:dyDescent="0.35">
      <c r="DM1460" s="50"/>
      <c r="DQ1460" s="50"/>
    </row>
    <row r="1461" spans="117:121" x14ac:dyDescent="0.35">
      <c r="DM1461" s="50"/>
      <c r="DQ1461" s="50"/>
    </row>
    <row r="1462" spans="117:121" x14ac:dyDescent="0.35">
      <c r="DM1462" s="50"/>
      <c r="DQ1462" s="50"/>
    </row>
    <row r="1463" spans="117:121" x14ac:dyDescent="0.35">
      <c r="DM1463" s="50"/>
      <c r="DQ1463" s="50"/>
    </row>
    <row r="1464" spans="117:121" x14ac:dyDescent="0.35">
      <c r="DM1464" s="50"/>
      <c r="DQ1464" s="50"/>
    </row>
    <row r="1465" spans="117:121" x14ac:dyDescent="0.35">
      <c r="DM1465" s="50"/>
      <c r="DQ1465" s="50"/>
    </row>
    <row r="1466" spans="117:121" x14ac:dyDescent="0.35">
      <c r="DM1466" s="50"/>
      <c r="DQ1466" s="50"/>
    </row>
    <row r="1467" spans="117:121" x14ac:dyDescent="0.35">
      <c r="DM1467" s="50"/>
      <c r="DQ1467" s="50"/>
    </row>
    <row r="1468" spans="117:121" x14ac:dyDescent="0.35">
      <c r="DM1468" s="50"/>
      <c r="DQ1468" s="50"/>
    </row>
    <row r="1469" spans="117:121" x14ac:dyDescent="0.35">
      <c r="DM1469" s="50"/>
      <c r="DQ1469" s="50"/>
    </row>
    <row r="1470" spans="117:121" x14ac:dyDescent="0.35">
      <c r="DM1470" s="50"/>
      <c r="DQ1470" s="50"/>
    </row>
    <row r="1471" spans="117:121" x14ac:dyDescent="0.35">
      <c r="DM1471" s="50"/>
      <c r="DQ1471" s="50"/>
    </row>
    <row r="1472" spans="117:121" x14ac:dyDescent="0.35">
      <c r="DM1472" s="50"/>
      <c r="DQ1472" s="50"/>
    </row>
    <row r="1473" spans="117:121" x14ac:dyDescent="0.35">
      <c r="DM1473" s="50"/>
      <c r="DQ1473" s="50"/>
    </row>
    <row r="1474" spans="117:121" x14ac:dyDescent="0.35">
      <c r="DM1474" s="50"/>
      <c r="DQ1474" s="50"/>
    </row>
    <row r="1475" spans="117:121" x14ac:dyDescent="0.35">
      <c r="DM1475" s="50"/>
      <c r="DQ1475" s="50"/>
    </row>
    <row r="1476" spans="117:121" x14ac:dyDescent="0.35">
      <c r="DM1476" s="50"/>
      <c r="DQ1476" s="50"/>
    </row>
    <row r="1477" spans="117:121" x14ac:dyDescent="0.35">
      <c r="DM1477" s="50"/>
      <c r="DQ1477" s="50"/>
    </row>
    <row r="1478" spans="117:121" x14ac:dyDescent="0.35">
      <c r="DM1478" s="50"/>
      <c r="DQ1478" s="50"/>
    </row>
    <row r="1479" spans="117:121" x14ac:dyDescent="0.35">
      <c r="DM1479" s="50"/>
      <c r="DQ1479" s="50"/>
    </row>
    <row r="1480" spans="117:121" x14ac:dyDescent="0.35">
      <c r="DM1480" s="50"/>
      <c r="DQ1480" s="50"/>
    </row>
    <row r="1481" spans="117:121" x14ac:dyDescent="0.35">
      <c r="DM1481" s="50"/>
      <c r="DQ1481" s="50"/>
    </row>
    <row r="1482" spans="117:121" x14ac:dyDescent="0.35">
      <c r="DM1482" s="50"/>
      <c r="DQ1482" s="50"/>
    </row>
    <row r="1483" spans="117:121" x14ac:dyDescent="0.35">
      <c r="DM1483" s="50"/>
      <c r="DQ1483" s="50"/>
    </row>
    <row r="1484" spans="117:121" x14ac:dyDescent="0.35">
      <c r="DM1484" s="50"/>
      <c r="DQ1484" s="50"/>
    </row>
    <row r="1485" spans="117:121" x14ac:dyDescent="0.35">
      <c r="DM1485" s="50"/>
      <c r="DQ1485" s="50"/>
    </row>
    <row r="1486" spans="117:121" x14ac:dyDescent="0.35">
      <c r="DM1486" s="50"/>
      <c r="DQ1486" s="50"/>
    </row>
    <row r="1487" spans="117:121" x14ac:dyDescent="0.35">
      <c r="DM1487" s="50"/>
      <c r="DQ1487" s="50"/>
    </row>
    <row r="1488" spans="117:121" x14ac:dyDescent="0.35">
      <c r="DM1488" s="50"/>
      <c r="DQ1488" s="50"/>
    </row>
    <row r="1489" spans="117:121" x14ac:dyDescent="0.35">
      <c r="DM1489" s="50"/>
      <c r="DQ1489" s="50"/>
    </row>
    <row r="1490" spans="117:121" x14ac:dyDescent="0.35">
      <c r="DM1490" s="50"/>
      <c r="DQ1490" s="50"/>
    </row>
    <row r="1491" spans="117:121" x14ac:dyDescent="0.35">
      <c r="DM1491" s="50"/>
      <c r="DQ1491" s="50"/>
    </row>
    <row r="1492" spans="117:121" x14ac:dyDescent="0.35">
      <c r="DM1492" s="50"/>
      <c r="DQ1492" s="50"/>
    </row>
    <row r="1493" spans="117:121" x14ac:dyDescent="0.35">
      <c r="DM1493" s="50"/>
      <c r="DQ1493" s="50"/>
    </row>
    <row r="1494" spans="117:121" x14ac:dyDescent="0.35">
      <c r="DM1494" s="50"/>
      <c r="DQ1494" s="50"/>
    </row>
    <row r="1495" spans="117:121" x14ac:dyDescent="0.35">
      <c r="DM1495" s="50"/>
      <c r="DQ1495" s="50"/>
    </row>
    <row r="1496" spans="117:121" x14ac:dyDescent="0.35">
      <c r="DM1496" s="50"/>
      <c r="DQ1496" s="50"/>
    </row>
    <row r="1497" spans="117:121" x14ac:dyDescent="0.35">
      <c r="DM1497" s="50"/>
      <c r="DQ1497" s="50"/>
    </row>
    <row r="1498" spans="117:121" x14ac:dyDescent="0.35">
      <c r="DM1498" s="50"/>
      <c r="DQ1498" s="50"/>
    </row>
    <row r="1499" spans="117:121" x14ac:dyDescent="0.35">
      <c r="DM1499" s="50"/>
      <c r="DQ1499" s="50"/>
    </row>
    <row r="1500" spans="117:121" x14ac:dyDescent="0.35">
      <c r="DM1500" s="50"/>
      <c r="DQ1500" s="50"/>
    </row>
    <row r="1501" spans="117:121" x14ac:dyDescent="0.35">
      <c r="DM1501" s="50"/>
      <c r="DQ1501" s="50"/>
    </row>
    <row r="1502" spans="117:121" x14ac:dyDescent="0.35">
      <c r="DM1502" s="50"/>
      <c r="DQ1502" s="50"/>
    </row>
    <row r="1503" spans="117:121" x14ac:dyDescent="0.35">
      <c r="DM1503" s="50"/>
      <c r="DQ1503" s="50"/>
    </row>
    <row r="1504" spans="117:121" x14ac:dyDescent="0.35">
      <c r="DM1504" s="50"/>
      <c r="DQ1504" s="50"/>
    </row>
    <row r="1505" spans="117:121" x14ac:dyDescent="0.35">
      <c r="DM1505" s="50"/>
      <c r="DQ1505" s="50"/>
    </row>
    <row r="1506" spans="117:121" x14ac:dyDescent="0.35">
      <c r="DM1506" s="50"/>
      <c r="DQ1506" s="50"/>
    </row>
    <row r="1507" spans="117:121" x14ac:dyDescent="0.35">
      <c r="DM1507" s="50"/>
      <c r="DQ1507" s="50"/>
    </row>
    <row r="1508" spans="117:121" x14ac:dyDescent="0.35">
      <c r="DM1508" s="50"/>
      <c r="DQ1508" s="50"/>
    </row>
    <row r="1509" spans="117:121" x14ac:dyDescent="0.35">
      <c r="DM1509" s="50"/>
      <c r="DQ1509" s="50"/>
    </row>
    <row r="1510" spans="117:121" x14ac:dyDescent="0.35">
      <c r="DM1510" s="50"/>
      <c r="DQ1510" s="50"/>
    </row>
    <row r="1511" spans="117:121" x14ac:dyDescent="0.35">
      <c r="DM1511" s="50"/>
      <c r="DQ1511" s="50"/>
    </row>
    <row r="1512" spans="117:121" x14ac:dyDescent="0.35">
      <c r="DM1512" s="50"/>
      <c r="DQ1512" s="50"/>
    </row>
    <row r="1513" spans="117:121" x14ac:dyDescent="0.35">
      <c r="DM1513" s="50"/>
      <c r="DQ1513" s="50"/>
    </row>
    <row r="1514" spans="117:121" x14ac:dyDescent="0.35">
      <c r="DM1514" s="50"/>
      <c r="DQ1514" s="50"/>
    </row>
    <row r="1515" spans="117:121" x14ac:dyDescent="0.35">
      <c r="DM1515" s="50"/>
      <c r="DQ1515" s="50"/>
    </row>
    <row r="1516" spans="117:121" x14ac:dyDescent="0.35">
      <c r="DM1516" s="50"/>
      <c r="DQ1516" s="50"/>
    </row>
    <row r="1517" spans="117:121" x14ac:dyDescent="0.35">
      <c r="DM1517" s="50"/>
      <c r="DQ1517" s="50"/>
    </row>
    <row r="1518" spans="117:121" x14ac:dyDescent="0.35">
      <c r="DM1518" s="50"/>
      <c r="DQ1518" s="50"/>
    </row>
    <row r="1519" spans="117:121" x14ac:dyDescent="0.35">
      <c r="DM1519" s="50"/>
      <c r="DQ1519" s="50"/>
    </row>
    <row r="1520" spans="117:121" x14ac:dyDescent="0.35">
      <c r="DM1520" s="50"/>
      <c r="DQ1520" s="50"/>
    </row>
    <row r="1521" spans="117:121" x14ac:dyDescent="0.35">
      <c r="DM1521" s="50"/>
      <c r="DQ1521" s="50"/>
    </row>
    <row r="1522" spans="117:121" x14ac:dyDescent="0.35">
      <c r="DM1522" s="50"/>
      <c r="DQ1522" s="50"/>
    </row>
    <row r="1523" spans="117:121" x14ac:dyDescent="0.35">
      <c r="DM1523" s="50"/>
      <c r="DQ1523" s="50"/>
    </row>
    <row r="1524" spans="117:121" x14ac:dyDescent="0.35">
      <c r="DM1524" s="50"/>
      <c r="DQ1524" s="50"/>
    </row>
    <row r="1525" spans="117:121" x14ac:dyDescent="0.35">
      <c r="DM1525" s="50"/>
      <c r="DQ1525" s="50"/>
    </row>
    <row r="1526" spans="117:121" x14ac:dyDescent="0.35">
      <c r="DM1526" s="50"/>
      <c r="DQ1526" s="50"/>
    </row>
    <row r="1527" spans="117:121" x14ac:dyDescent="0.35">
      <c r="DM1527" s="50"/>
      <c r="DQ1527" s="50"/>
    </row>
    <row r="1528" spans="117:121" x14ac:dyDescent="0.35">
      <c r="DM1528" s="50"/>
      <c r="DQ1528" s="50"/>
    </row>
    <row r="1529" spans="117:121" x14ac:dyDescent="0.35">
      <c r="DM1529" s="50"/>
      <c r="DQ1529" s="50"/>
    </row>
    <row r="1530" spans="117:121" x14ac:dyDescent="0.35">
      <c r="DM1530" s="50"/>
      <c r="DQ1530" s="50"/>
    </row>
    <row r="1531" spans="117:121" x14ac:dyDescent="0.35">
      <c r="DM1531" s="50"/>
      <c r="DQ1531" s="50"/>
    </row>
    <row r="1532" spans="117:121" x14ac:dyDescent="0.35">
      <c r="DM1532" s="50"/>
      <c r="DQ1532" s="50"/>
    </row>
    <row r="1533" spans="117:121" x14ac:dyDescent="0.35">
      <c r="DM1533" s="50"/>
      <c r="DQ1533" s="50"/>
    </row>
    <row r="1534" spans="117:121" x14ac:dyDescent="0.35">
      <c r="DM1534" s="50"/>
      <c r="DQ1534" s="50"/>
    </row>
    <row r="1535" spans="117:121" x14ac:dyDescent="0.35">
      <c r="DM1535" s="50"/>
      <c r="DQ1535" s="50"/>
    </row>
    <row r="1536" spans="117:121" x14ac:dyDescent="0.35">
      <c r="DM1536" s="50"/>
      <c r="DQ1536" s="50"/>
    </row>
    <row r="1537" spans="117:121" x14ac:dyDescent="0.35">
      <c r="DM1537" s="50"/>
      <c r="DQ1537" s="50"/>
    </row>
    <row r="1538" spans="117:121" x14ac:dyDescent="0.35">
      <c r="DM1538" s="50"/>
      <c r="DQ1538" s="50"/>
    </row>
    <row r="1539" spans="117:121" x14ac:dyDescent="0.35">
      <c r="DM1539" s="50"/>
      <c r="DQ1539" s="50"/>
    </row>
    <row r="1540" spans="117:121" x14ac:dyDescent="0.35">
      <c r="DM1540" s="50"/>
      <c r="DQ1540" s="50"/>
    </row>
    <row r="1541" spans="117:121" x14ac:dyDescent="0.35">
      <c r="DM1541" s="50"/>
      <c r="DQ1541" s="50"/>
    </row>
    <row r="1542" spans="117:121" x14ac:dyDescent="0.35">
      <c r="DM1542" s="50"/>
      <c r="DQ1542" s="50"/>
    </row>
    <row r="1543" spans="117:121" x14ac:dyDescent="0.35">
      <c r="DM1543" s="50"/>
      <c r="DQ1543" s="50"/>
    </row>
    <row r="1544" spans="117:121" x14ac:dyDescent="0.35">
      <c r="DM1544" s="50"/>
      <c r="DQ1544" s="50"/>
    </row>
    <row r="1545" spans="117:121" x14ac:dyDescent="0.35">
      <c r="DM1545" s="50"/>
      <c r="DQ1545" s="50"/>
    </row>
    <row r="1546" spans="117:121" x14ac:dyDescent="0.35">
      <c r="DM1546" s="50"/>
      <c r="DQ1546" s="50"/>
    </row>
    <row r="1547" spans="117:121" x14ac:dyDescent="0.35">
      <c r="DM1547" s="50"/>
      <c r="DQ1547" s="50"/>
    </row>
    <row r="1548" spans="117:121" x14ac:dyDescent="0.35">
      <c r="DM1548" s="50"/>
      <c r="DQ1548" s="50"/>
    </row>
    <row r="1549" spans="117:121" x14ac:dyDescent="0.35">
      <c r="DM1549" s="50"/>
      <c r="DQ1549" s="50"/>
    </row>
    <row r="1550" spans="117:121" x14ac:dyDescent="0.35">
      <c r="DM1550" s="50"/>
      <c r="DQ1550" s="50"/>
    </row>
    <row r="1551" spans="117:121" x14ac:dyDescent="0.35">
      <c r="DM1551" s="50"/>
      <c r="DQ1551" s="50"/>
    </row>
    <row r="1552" spans="117:121" x14ac:dyDescent="0.35">
      <c r="DM1552" s="50"/>
      <c r="DQ1552" s="50"/>
    </row>
    <row r="1553" spans="117:121" x14ac:dyDescent="0.35">
      <c r="DM1553" s="50"/>
      <c r="DQ1553" s="50"/>
    </row>
    <row r="1554" spans="117:121" x14ac:dyDescent="0.35">
      <c r="DM1554" s="50"/>
      <c r="DQ1554" s="50"/>
    </row>
    <row r="1555" spans="117:121" x14ac:dyDescent="0.35">
      <c r="DM1555" s="50"/>
      <c r="DQ1555" s="50"/>
    </row>
    <row r="1556" spans="117:121" x14ac:dyDescent="0.35">
      <c r="DM1556" s="50"/>
      <c r="DQ1556" s="50"/>
    </row>
    <row r="1557" spans="117:121" x14ac:dyDescent="0.35">
      <c r="DM1557" s="50"/>
      <c r="DQ1557" s="50"/>
    </row>
    <row r="1558" spans="117:121" x14ac:dyDescent="0.35">
      <c r="DM1558" s="50"/>
      <c r="DQ1558" s="50"/>
    </row>
    <row r="1559" spans="117:121" x14ac:dyDescent="0.35">
      <c r="DM1559" s="50"/>
      <c r="DQ1559" s="50"/>
    </row>
    <row r="1560" spans="117:121" x14ac:dyDescent="0.35">
      <c r="DM1560" s="50"/>
      <c r="DQ1560" s="50"/>
    </row>
    <row r="1561" spans="117:121" x14ac:dyDescent="0.35">
      <c r="DM1561" s="50"/>
      <c r="DQ1561" s="50"/>
    </row>
    <row r="1562" spans="117:121" x14ac:dyDescent="0.35">
      <c r="DM1562" s="50"/>
      <c r="DQ1562" s="50"/>
    </row>
    <row r="1563" spans="117:121" x14ac:dyDescent="0.35">
      <c r="DM1563" s="50"/>
      <c r="DQ1563" s="50"/>
    </row>
    <row r="1564" spans="117:121" x14ac:dyDescent="0.35">
      <c r="DM1564" s="50"/>
      <c r="DQ1564" s="50"/>
    </row>
    <row r="1565" spans="117:121" x14ac:dyDescent="0.35">
      <c r="DM1565" s="50"/>
      <c r="DQ1565" s="50"/>
    </row>
    <row r="1566" spans="117:121" x14ac:dyDescent="0.35">
      <c r="DM1566" s="50"/>
      <c r="DQ1566" s="50"/>
    </row>
    <row r="1567" spans="117:121" x14ac:dyDescent="0.35">
      <c r="DM1567" s="50"/>
      <c r="DQ1567" s="50"/>
    </row>
    <row r="1568" spans="117:121" x14ac:dyDescent="0.35">
      <c r="DM1568" s="50"/>
      <c r="DQ1568" s="50"/>
    </row>
    <row r="1569" spans="117:121" x14ac:dyDescent="0.35">
      <c r="DM1569" s="50"/>
      <c r="DQ1569" s="50"/>
    </row>
    <row r="1570" spans="117:121" x14ac:dyDescent="0.35">
      <c r="DM1570" s="50"/>
      <c r="DQ1570" s="50"/>
    </row>
    <row r="1571" spans="117:121" x14ac:dyDescent="0.35">
      <c r="DM1571" s="50"/>
      <c r="DQ1571" s="50"/>
    </row>
    <row r="1572" spans="117:121" x14ac:dyDescent="0.35">
      <c r="DM1572" s="50"/>
      <c r="DQ1572" s="50"/>
    </row>
    <row r="1573" spans="117:121" x14ac:dyDescent="0.35">
      <c r="DM1573" s="50"/>
      <c r="DQ1573" s="50"/>
    </row>
    <row r="1574" spans="117:121" x14ac:dyDescent="0.35">
      <c r="DM1574" s="50"/>
      <c r="DQ1574" s="50"/>
    </row>
    <row r="1575" spans="117:121" x14ac:dyDescent="0.35">
      <c r="DM1575" s="50"/>
      <c r="DQ1575" s="50"/>
    </row>
    <row r="1576" spans="117:121" x14ac:dyDescent="0.35">
      <c r="DM1576" s="50"/>
      <c r="DQ1576" s="50"/>
    </row>
    <row r="1577" spans="117:121" x14ac:dyDescent="0.35">
      <c r="DM1577" s="50"/>
      <c r="DQ1577" s="50"/>
    </row>
    <row r="1578" spans="117:121" x14ac:dyDescent="0.35">
      <c r="DM1578" s="50"/>
      <c r="DQ1578" s="50"/>
    </row>
    <row r="1579" spans="117:121" x14ac:dyDescent="0.35">
      <c r="DM1579" s="50"/>
      <c r="DQ1579" s="50"/>
    </row>
    <row r="1580" spans="117:121" x14ac:dyDescent="0.35">
      <c r="DM1580" s="50"/>
      <c r="DQ1580" s="50"/>
    </row>
    <row r="1581" spans="117:121" x14ac:dyDescent="0.35">
      <c r="DM1581" s="50"/>
      <c r="DQ1581" s="50"/>
    </row>
    <row r="1582" spans="117:121" x14ac:dyDescent="0.35">
      <c r="DM1582" s="50"/>
      <c r="DQ1582" s="50"/>
    </row>
    <row r="1583" spans="117:121" x14ac:dyDescent="0.35">
      <c r="DM1583" s="50"/>
      <c r="DQ1583" s="50"/>
    </row>
    <row r="1584" spans="117:121" x14ac:dyDescent="0.35">
      <c r="DM1584" s="50"/>
      <c r="DQ1584" s="50"/>
    </row>
    <row r="1585" spans="117:121" x14ac:dyDescent="0.35">
      <c r="DM1585" s="50"/>
      <c r="DQ1585" s="50"/>
    </row>
    <row r="1586" spans="117:121" x14ac:dyDescent="0.35">
      <c r="DM1586" s="50"/>
      <c r="DQ1586" s="50"/>
    </row>
    <row r="1587" spans="117:121" x14ac:dyDescent="0.35">
      <c r="DM1587" s="50"/>
      <c r="DQ1587" s="50"/>
    </row>
    <row r="1588" spans="117:121" x14ac:dyDescent="0.35">
      <c r="DM1588" s="50"/>
      <c r="DQ1588" s="50"/>
    </row>
    <row r="1589" spans="117:121" x14ac:dyDescent="0.35">
      <c r="DM1589" s="50"/>
      <c r="DQ1589" s="50"/>
    </row>
    <row r="1590" spans="117:121" x14ac:dyDescent="0.35">
      <c r="DM1590" s="50"/>
      <c r="DQ1590" s="50"/>
    </row>
    <row r="1591" spans="117:121" x14ac:dyDescent="0.35">
      <c r="DM1591" s="50"/>
      <c r="DQ1591" s="50"/>
    </row>
    <row r="1592" spans="117:121" x14ac:dyDescent="0.35">
      <c r="DM1592" s="50"/>
      <c r="DQ1592" s="50"/>
    </row>
    <row r="1593" spans="117:121" x14ac:dyDescent="0.35">
      <c r="DM1593" s="50"/>
      <c r="DQ1593" s="50"/>
    </row>
    <row r="1594" spans="117:121" x14ac:dyDescent="0.35">
      <c r="DM1594" s="50"/>
      <c r="DQ1594" s="50"/>
    </row>
    <row r="1595" spans="117:121" x14ac:dyDescent="0.35">
      <c r="DM1595" s="50"/>
      <c r="DQ1595" s="50"/>
    </row>
    <row r="1596" spans="117:121" x14ac:dyDescent="0.35">
      <c r="DM1596" s="50"/>
      <c r="DQ1596" s="50"/>
    </row>
    <row r="1597" spans="117:121" x14ac:dyDescent="0.35">
      <c r="DM1597" s="50"/>
      <c r="DQ1597" s="50"/>
    </row>
    <row r="1598" spans="117:121" x14ac:dyDescent="0.35">
      <c r="DM1598" s="50"/>
      <c r="DQ1598" s="50"/>
    </row>
    <row r="1599" spans="117:121" x14ac:dyDescent="0.35">
      <c r="DM1599" s="50"/>
      <c r="DQ1599" s="50"/>
    </row>
    <row r="1600" spans="117:121" x14ac:dyDescent="0.35">
      <c r="DM1600" s="50"/>
      <c r="DQ1600" s="50"/>
    </row>
    <row r="1601" spans="117:121" x14ac:dyDescent="0.35">
      <c r="DM1601" s="50"/>
      <c r="DQ1601" s="50"/>
    </row>
    <row r="1602" spans="117:121" x14ac:dyDescent="0.35">
      <c r="DM1602" s="50"/>
      <c r="DQ1602" s="50"/>
    </row>
    <row r="1603" spans="117:121" x14ac:dyDescent="0.35">
      <c r="DM1603" s="50"/>
      <c r="DQ1603" s="50"/>
    </row>
    <row r="1604" spans="117:121" x14ac:dyDescent="0.35">
      <c r="DM1604" s="50"/>
      <c r="DQ1604" s="50"/>
    </row>
    <row r="1605" spans="117:121" x14ac:dyDescent="0.35">
      <c r="DM1605" s="50"/>
      <c r="DQ1605" s="50"/>
    </row>
    <row r="1606" spans="117:121" x14ac:dyDescent="0.35">
      <c r="DM1606" s="50"/>
      <c r="DQ1606" s="50"/>
    </row>
    <row r="1607" spans="117:121" x14ac:dyDescent="0.35">
      <c r="DM1607" s="50"/>
      <c r="DQ1607" s="50"/>
    </row>
    <row r="1608" spans="117:121" x14ac:dyDescent="0.35">
      <c r="DM1608" s="50"/>
      <c r="DQ1608" s="50"/>
    </row>
    <row r="1609" spans="117:121" x14ac:dyDescent="0.35">
      <c r="DM1609" s="50"/>
      <c r="DQ1609" s="50"/>
    </row>
    <row r="1610" spans="117:121" x14ac:dyDescent="0.35">
      <c r="DM1610" s="50"/>
      <c r="DQ1610" s="50"/>
    </row>
    <row r="1611" spans="117:121" x14ac:dyDescent="0.35">
      <c r="DM1611" s="50"/>
      <c r="DQ1611" s="50"/>
    </row>
    <row r="1612" spans="117:121" x14ac:dyDescent="0.35">
      <c r="DM1612" s="50"/>
      <c r="DQ1612" s="50"/>
    </row>
    <row r="1613" spans="117:121" x14ac:dyDescent="0.35">
      <c r="DM1613" s="50"/>
      <c r="DQ1613" s="50"/>
    </row>
    <row r="1614" spans="117:121" x14ac:dyDescent="0.35">
      <c r="DM1614" s="50"/>
      <c r="DQ1614" s="50"/>
    </row>
    <row r="1615" spans="117:121" x14ac:dyDescent="0.35">
      <c r="DM1615" s="50"/>
      <c r="DQ1615" s="50"/>
    </row>
    <row r="1616" spans="117:121" x14ac:dyDescent="0.35">
      <c r="DM1616" s="50"/>
      <c r="DQ1616" s="50"/>
    </row>
    <row r="1617" spans="117:121" x14ac:dyDescent="0.35">
      <c r="DM1617" s="50"/>
      <c r="DQ1617" s="50"/>
    </row>
    <row r="1618" spans="117:121" x14ac:dyDescent="0.35">
      <c r="DM1618" s="50"/>
      <c r="DQ1618" s="50"/>
    </row>
    <row r="1619" spans="117:121" x14ac:dyDescent="0.35">
      <c r="DM1619" s="50"/>
      <c r="DQ1619" s="50"/>
    </row>
    <row r="1620" spans="117:121" x14ac:dyDescent="0.35">
      <c r="DM1620" s="50"/>
      <c r="DQ1620" s="50"/>
    </row>
    <row r="1621" spans="117:121" x14ac:dyDescent="0.35">
      <c r="DM1621" s="50"/>
      <c r="DQ1621" s="50"/>
    </row>
    <row r="1622" spans="117:121" x14ac:dyDescent="0.35">
      <c r="DM1622" s="50"/>
      <c r="DQ1622" s="50"/>
    </row>
    <row r="1623" spans="117:121" x14ac:dyDescent="0.35">
      <c r="DM1623" s="50"/>
      <c r="DQ1623" s="50"/>
    </row>
    <row r="1624" spans="117:121" x14ac:dyDescent="0.35">
      <c r="DM1624" s="50"/>
      <c r="DQ1624" s="50"/>
    </row>
    <row r="1625" spans="117:121" x14ac:dyDescent="0.35">
      <c r="DM1625" s="50"/>
      <c r="DQ1625" s="50"/>
    </row>
    <row r="1626" spans="117:121" x14ac:dyDescent="0.35">
      <c r="DM1626" s="50"/>
      <c r="DQ1626" s="50"/>
    </row>
    <row r="1627" spans="117:121" x14ac:dyDescent="0.35">
      <c r="DM1627" s="50"/>
      <c r="DQ1627" s="50"/>
    </row>
    <row r="1628" spans="117:121" x14ac:dyDescent="0.35">
      <c r="DM1628" s="50"/>
      <c r="DQ1628" s="50"/>
    </row>
    <row r="1629" spans="117:121" x14ac:dyDescent="0.35">
      <c r="DM1629" s="50"/>
      <c r="DQ1629" s="50"/>
    </row>
    <row r="1630" spans="117:121" x14ac:dyDescent="0.35">
      <c r="DM1630" s="50"/>
      <c r="DQ1630" s="50"/>
    </row>
    <row r="1631" spans="117:121" x14ac:dyDescent="0.35">
      <c r="DM1631" s="50"/>
      <c r="DQ1631" s="50"/>
    </row>
    <row r="1632" spans="117:121" x14ac:dyDescent="0.35">
      <c r="DM1632" s="50"/>
      <c r="DQ1632" s="50"/>
    </row>
    <row r="1633" spans="117:121" x14ac:dyDescent="0.35">
      <c r="DM1633" s="50"/>
      <c r="DQ1633" s="50"/>
    </row>
    <row r="1634" spans="117:121" x14ac:dyDescent="0.35">
      <c r="DM1634" s="50"/>
      <c r="DQ1634" s="50"/>
    </row>
    <row r="1635" spans="117:121" x14ac:dyDescent="0.35">
      <c r="DM1635" s="50"/>
      <c r="DQ1635" s="50"/>
    </row>
    <row r="1636" spans="117:121" x14ac:dyDescent="0.35">
      <c r="DM1636" s="50"/>
      <c r="DQ1636" s="50"/>
    </row>
    <row r="1637" spans="117:121" x14ac:dyDescent="0.35">
      <c r="DM1637" s="50"/>
      <c r="DQ1637" s="50"/>
    </row>
    <row r="1638" spans="117:121" x14ac:dyDescent="0.35">
      <c r="DM1638" s="50"/>
      <c r="DQ1638" s="50"/>
    </row>
    <row r="1639" spans="117:121" x14ac:dyDescent="0.35">
      <c r="DM1639" s="50"/>
      <c r="DQ1639" s="50"/>
    </row>
    <row r="1640" spans="117:121" x14ac:dyDescent="0.35">
      <c r="DM1640" s="50"/>
      <c r="DQ1640" s="50"/>
    </row>
    <row r="1641" spans="117:121" x14ac:dyDescent="0.35">
      <c r="DM1641" s="50"/>
      <c r="DQ1641" s="50"/>
    </row>
    <row r="1642" spans="117:121" x14ac:dyDescent="0.35">
      <c r="DM1642" s="50"/>
      <c r="DQ1642" s="50"/>
    </row>
    <row r="1643" spans="117:121" x14ac:dyDescent="0.35">
      <c r="DM1643" s="50"/>
      <c r="DQ1643" s="50"/>
    </row>
    <row r="1644" spans="117:121" x14ac:dyDescent="0.35">
      <c r="DM1644" s="50"/>
      <c r="DQ1644" s="50"/>
    </row>
    <row r="1645" spans="117:121" x14ac:dyDescent="0.35">
      <c r="DM1645" s="50"/>
      <c r="DQ1645" s="50"/>
    </row>
    <row r="1646" spans="117:121" x14ac:dyDescent="0.35">
      <c r="DM1646" s="50"/>
      <c r="DQ1646" s="50"/>
    </row>
    <row r="1647" spans="117:121" x14ac:dyDescent="0.35">
      <c r="DM1647" s="50"/>
      <c r="DQ1647" s="50"/>
    </row>
    <row r="1648" spans="117:121" x14ac:dyDescent="0.35">
      <c r="DM1648" s="50"/>
      <c r="DQ1648" s="50"/>
    </row>
    <row r="1649" spans="117:121" x14ac:dyDescent="0.35">
      <c r="DM1649" s="50"/>
      <c r="DQ1649" s="50"/>
    </row>
    <row r="1650" spans="117:121" x14ac:dyDescent="0.35">
      <c r="DM1650" s="50"/>
      <c r="DQ1650" s="50"/>
    </row>
    <row r="1651" spans="117:121" x14ac:dyDescent="0.35">
      <c r="DM1651" s="50"/>
      <c r="DQ1651" s="50"/>
    </row>
    <row r="1652" spans="117:121" x14ac:dyDescent="0.35">
      <c r="DM1652" s="50"/>
      <c r="DQ1652" s="50"/>
    </row>
    <row r="1653" spans="117:121" x14ac:dyDescent="0.35">
      <c r="DM1653" s="50"/>
      <c r="DQ1653" s="50"/>
    </row>
    <row r="1654" spans="117:121" x14ac:dyDescent="0.35">
      <c r="DM1654" s="50"/>
      <c r="DQ1654" s="50"/>
    </row>
    <row r="1655" spans="117:121" x14ac:dyDescent="0.35">
      <c r="DM1655" s="50"/>
      <c r="DQ1655" s="50"/>
    </row>
    <row r="1656" spans="117:121" x14ac:dyDescent="0.35">
      <c r="DM1656" s="50"/>
      <c r="DQ1656" s="50"/>
    </row>
    <row r="1657" spans="117:121" x14ac:dyDescent="0.35">
      <c r="DM1657" s="50"/>
      <c r="DQ1657" s="50"/>
    </row>
    <row r="1658" spans="117:121" x14ac:dyDescent="0.35">
      <c r="DM1658" s="50"/>
      <c r="DQ1658" s="50"/>
    </row>
    <row r="1659" spans="117:121" x14ac:dyDescent="0.35">
      <c r="DM1659" s="50"/>
      <c r="DQ1659" s="50"/>
    </row>
    <row r="1660" spans="117:121" x14ac:dyDescent="0.35">
      <c r="DM1660" s="50"/>
      <c r="DQ1660" s="50"/>
    </row>
    <row r="1661" spans="117:121" x14ac:dyDescent="0.35">
      <c r="DM1661" s="50"/>
      <c r="DQ1661" s="50"/>
    </row>
    <row r="1662" spans="117:121" x14ac:dyDescent="0.35">
      <c r="DM1662" s="50"/>
      <c r="DQ1662" s="50"/>
    </row>
    <row r="1663" spans="117:121" x14ac:dyDescent="0.35">
      <c r="DM1663" s="50"/>
      <c r="DQ1663" s="50"/>
    </row>
    <row r="1664" spans="117:121" x14ac:dyDescent="0.35">
      <c r="DM1664" s="50"/>
      <c r="DQ1664" s="50"/>
    </row>
    <row r="1665" spans="117:121" x14ac:dyDescent="0.35">
      <c r="DM1665" s="50"/>
      <c r="DQ1665" s="50"/>
    </row>
    <row r="1666" spans="117:121" x14ac:dyDescent="0.35">
      <c r="DM1666" s="50"/>
      <c r="DQ1666" s="50"/>
    </row>
    <row r="1667" spans="117:121" x14ac:dyDescent="0.35">
      <c r="DM1667" s="50"/>
      <c r="DQ1667" s="50"/>
    </row>
    <row r="1668" spans="117:121" x14ac:dyDescent="0.35">
      <c r="DM1668" s="50"/>
      <c r="DQ1668" s="50"/>
    </row>
    <row r="1669" spans="117:121" x14ac:dyDescent="0.35">
      <c r="DM1669" s="50"/>
      <c r="DQ1669" s="50"/>
    </row>
    <row r="1670" spans="117:121" x14ac:dyDescent="0.35">
      <c r="DM1670" s="50"/>
      <c r="DQ1670" s="50"/>
    </row>
    <row r="1671" spans="117:121" x14ac:dyDescent="0.35">
      <c r="DM1671" s="50"/>
      <c r="DQ1671" s="50"/>
    </row>
    <row r="1672" spans="117:121" x14ac:dyDescent="0.35">
      <c r="DM1672" s="50"/>
      <c r="DQ1672" s="50"/>
    </row>
    <row r="1673" spans="117:121" x14ac:dyDescent="0.35">
      <c r="DM1673" s="50"/>
      <c r="DQ1673" s="50"/>
    </row>
    <row r="1674" spans="117:121" x14ac:dyDescent="0.35">
      <c r="DM1674" s="50"/>
      <c r="DQ1674" s="50"/>
    </row>
    <row r="1675" spans="117:121" x14ac:dyDescent="0.35">
      <c r="DM1675" s="50"/>
      <c r="DQ1675" s="50"/>
    </row>
    <row r="1676" spans="117:121" x14ac:dyDescent="0.35">
      <c r="DM1676" s="50"/>
      <c r="DQ1676" s="50"/>
    </row>
    <row r="1677" spans="117:121" x14ac:dyDescent="0.35">
      <c r="DM1677" s="50"/>
      <c r="DQ1677" s="50"/>
    </row>
    <row r="1678" spans="117:121" x14ac:dyDescent="0.35">
      <c r="DM1678" s="50"/>
      <c r="DQ1678" s="50"/>
    </row>
    <row r="1679" spans="117:121" x14ac:dyDescent="0.35">
      <c r="DM1679" s="50"/>
      <c r="DQ1679" s="50"/>
    </row>
    <row r="1680" spans="117:121" x14ac:dyDescent="0.35">
      <c r="DM1680" s="50"/>
      <c r="DQ1680" s="50"/>
    </row>
    <row r="1681" spans="117:121" x14ac:dyDescent="0.35">
      <c r="DM1681" s="50"/>
      <c r="DQ1681" s="50"/>
    </row>
    <row r="1682" spans="117:121" x14ac:dyDescent="0.35">
      <c r="DM1682" s="50"/>
      <c r="DQ1682" s="50"/>
    </row>
    <row r="1683" spans="117:121" x14ac:dyDescent="0.35">
      <c r="DM1683" s="50"/>
      <c r="DQ1683" s="50"/>
    </row>
    <row r="1684" spans="117:121" x14ac:dyDescent="0.35">
      <c r="DM1684" s="50"/>
      <c r="DQ1684" s="50"/>
    </row>
    <row r="1685" spans="117:121" x14ac:dyDescent="0.35">
      <c r="DM1685" s="50"/>
      <c r="DQ1685" s="50"/>
    </row>
    <row r="1686" spans="117:121" x14ac:dyDescent="0.35">
      <c r="DM1686" s="50"/>
      <c r="DQ1686" s="50"/>
    </row>
    <row r="1687" spans="117:121" x14ac:dyDescent="0.35">
      <c r="DM1687" s="50"/>
      <c r="DQ1687" s="50"/>
    </row>
    <row r="1688" spans="117:121" x14ac:dyDescent="0.35">
      <c r="DM1688" s="50"/>
      <c r="DQ1688" s="50"/>
    </row>
    <row r="1689" spans="117:121" x14ac:dyDescent="0.35">
      <c r="DM1689" s="50"/>
      <c r="DQ1689" s="50"/>
    </row>
    <row r="1690" spans="117:121" x14ac:dyDescent="0.35">
      <c r="DM1690" s="50"/>
      <c r="DQ1690" s="50"/>
    </row>
    <row r="1691" spans="117:121" x14ac:dyDescent="0.35">
      <c r="DM1691" s="50"/>
      <c r="DQ1691" s="50"/>
    </row>
    <row r="1692" spans="117:121" x14ac:dyDescent="0.35">
      <c r="DM1692" s="50"/>
      <c r="DQ1692" s="50"/>
    </row>
    <row r="1693" spans="117:121" x14ac:dyDescent="0.35">
      <c r="DM1693" s="50"/>
      <c r="DQ1693" s="50"/>
    </row>
    <row r="1694" spans="117:121" x14ac:dyDescent="0.35">
      <c r="DM1694" s="50"/>
      <c r="DQ1694" s="50"/>
    </row>
    <row r="1695" spans="117:121" x14ac:dyDescent="0.35">
      <c r="DM1695" s="50"/>
      <c r="DQ1695" s="50"/>
    </row>
    <row r="1696" spans="117:121" x14ac:dyDescent="0.35">
      <c r="DM1696" s="50"/>
      <c r="DQ1696" s="50"/>
    </row>
    <row r="1697" spans="117:121" x14ac:dyDescent="0.35">
      <c r="DM1697" s="50"/>
      <c r="DQ1697" s="50"/>
    </row>
    <row r="1698" spans="117:121" x14ac:dyDescent="0.35">
      <c r="DM1698" s="50"/>
      <c r="DQ1698" s="50"/>
    </row>
    <row r="1699" spans="117:121" x14ac:dyDescent="0.35">
      <c r="DM1699" s="50"/>
      <c r="DQ1699" s="50"/>
    </row>
    <row r="1700" spans="117:121" x14ac:dyDescent="0.35">
      <c r="DM1700" s="50"/>
      <c r="DQ1700" s="50"/>
    </row>
    <row r="1701" spans="117:121" x14ac:dyDescent="0.35">
      <c r="DM1701" s="50"/>
      <c r="DQ1701" s="50"/>
    </row>
    <row r="1702" spans="117:121" x14ac:dyDescent="0.35">
      <c r="DM1702" s="50"/>
      <c r="DQ1702" s="50"/>
    </row>
    <row r="1703" spans="117:121" x14ac:dyDescent="0.35">
      <c r="DM1703" s="50"/>
      <c r="DQ1703" s="50"/>
    </row>
    <row r="1704" spans="117:121" x14ac:dyDescent="0.35">
      <c r="DM1704" s="50"/>
      <c r="DQ1704" s="50"/>
    </row>
    <row r="1705" spans="117:121" x14ac:dyDescent="0.35">
      <c r="DM1705" s="50"/>
      <c r="DQ1705" s="50"/>
    </row>
    <row r="1706" spans="117:121" x14ac:dyDescent="0.35">
      <c r="DM1706" s="50"/>
      <c r="DQ1706" s="50"/>
    </row>
    <row r="1707" spans="117:121" x14ac:dyDescent="0.35">
      <c r="DM1707" s="50"/>
      <c r="DQ1707" s="50"/>
    </row>
    <row r="1708" spans="117:121" x14ac:dyDescent="0.35">
      <c r="DM1708" s="50"/>
      <c r="DQ1708" s="50"/>
    </row>
    <row r="1709" spans="117:121" x14ac:dyDescent="0.35">
      <c r="DM1709" s="50"/>
      <c r="DQ1709" s="50"/>
    </row>
    <row r="1710" spans="117:121" x14ac:dyDescent="0.35">
      <c r="DM1710" s="50"/>
      <c r="DQ1710" s="50"/>
    </row>
    <row r="1711" spans="117:121" x14ac:dyDescent="0.35">
      <c r="DM1711" s="50"/>
      <c r="DQ1711" s="50"/>
    </row>
    <row r="1712" spans="117:121" x14ac:dyDescent="0.35">
      <c r="DM1712" s="50"/>
      <c r="DQ1712" s="50"/>
    </row>
    <row r="1713" spans="117:121" x14ac:dyDescent="0.35">
      <c r="DM1713" s="50"/>
      <c r="DQ1713" s="50"/>
    </row>
    <row r="1714" spans="117:121" x14ac:dyDescent="0.35">
      <c r="DM1714" s="50"/>
      <c r="DQ1714" s="50"/>
    </row>
    <row r="1715" spans="117:121" x14ac:dyDescent="0.35">
      <c r="DM1715" s="50"/>
      <c r="DQ1715" s="50"/>
    </row>
    <row r="1716" spans="117:121" x14ac:dyDescent="0.35">
      <c r="DM1716" s="50"/>
      <c r="DQ1716" s="50"/>
    </row>
    <row r="1717" spans="117:121" x14ac:dyDescent="0.35">
      <c r="DM1717" s="50"/>
      <c r="DQ1717" s="50"/>
    </row>
    <row r="1718" spans="117:121" x14ac:dyDescent="0.35">
      <c r="DM1718" s="50"/>
      <c r="DQ1718" s="50"/>
    </row>
    <row r="1719" spans="117:121" x14ac:dyDescent="0.35">
      <c r="DM1719" s="50"/>
      <c r="DQ1719" s="50"/>
    </row>
    <row r="1720" spans="117:121" x14ac:dyDescent="0.35">
      <c r="DM1720" s="50"/>
      <c r="DQ1720" s="50"/>
    </row>
    <row r="1721" spans="117:121" x14ac:dyDescent="0.35">
      <c r="DM1721" s="50"/>
      <c r="DQ1721" s="50"/>
    </row>
    <row r="1722" spans="117:121" x14ac:dyDescent="0.35">
      <c r="DM1722" s="50"/>
      <c r="DQ1722" s="50"/>
    </row>
    <row r="1723" spans="117:121" x14ac:dyDescent="0.35">
      <c r="DM1723" s="50"/>
      <c r="DQ1723" s="50"/>
    </row>
    <row r="1724" spans="117:121" x14ac:dyDescent="0.35">
      <c r="DM1724" s="50"/>
      <c r="DQ1724" s="50"/>
    </row>
    <row r="1725" spans="117:121" x14ac:dyDescent="0.35">
      <c r="DM1725" s="50"/>
      <c r="DQ1725" s="50"/>
    </row>
    <row r="1726" spans="117:121" x14ac:dyDescent="0.35">
      <c r="DM1726" s="50"/>
      <c r="DQ1726" s="50"/>
    </row>
    <row r="1727" spans="117:121" x14ac:dyDescent="0.35">
      <c r="DM1727" s="50"/>
      <c r="DQ1727" s="50"/>
    </row>
    <row r="1728" spans="117:121" x14ac:dyDescent="0.35">
      <c r="DM1728" s="50"/>
      <c r="DQ1728" s="50"/>
    </row>
    <row r="1729" spans="117:121" x14ac:dyDescent="0.35">
      <c r="DM1729" s="50"/>
      <c r="DQ1729" s="50"/>
    </row>
    <row r="1730" spans="117:121" x14ac:dyDescent="0.35">
      <c r="DM1730" s="50"/>
      <c r="DQ1730" s="50"/>
    </row>
    <row r="1731" spans="117:121" x14ac:dyDescent="0.35">
      <c r="DM1731" s="50"/>
      <c r="DQ1731" s="50"/>
    </row>
    <row r="1732" spans="117:121" x14ac:dyDescent="0.35">
      <c r="DM1732" s="50"/>
      <c r="DQ1732" s="50"/>
    </row>
    <row r="1733" spans="117:121" x14ac:dyDescent="0.35">
      <c r="DM1733" s="50"/>
      <c r="DQ1733" s="50"/>
    </row>
    <row r="1734" spans="117:121" x14ac:dyDescent="0.35">
      <c r="DM1734" s="50"/>
      <c r="DQ1734" s="50"/>
    </row>
    <row r="1735" spans="117:121" x14ac:dyDescent="0.35">
      <c r="DM1735" s="50"/>
      <c r="DQ1735" s="50"/>
    </row>
    <row r="1736" spans="117:121" x14ac:dyDescent="0.35">
      <c r="DM1736" s="50"/>
      <c r="DQ1736" s="50"/>
    </row>
    <row r="1737" spans="117:121" x14ac:dyDescent="0.35">
      <c r="DM1737" s="50"/>
      <c r="DQ1737" s="50"/>
    </row>
    <row r="1738" spans="117:121" x14ac:dyDescent="0.35">
      <c r="DM1738" s="50"/>
      <c r="DQ1738" s="50"/>
    </row>
    <row r="1739" spans="117:121" x14ac:dyDescent="0.35">
      <c r="DM1739" s="50"/>
      <c r="DQ1739" s="50"/>
    </row>
    <row r="1740" spans="117:121" x14ac:dyDescent="0.35">
      <c r="DM1740" s="50"/>
      <c r="DQ1740" s="50"/>
    </row>
    <row r="1741" spans="117:121" x14ac:dyDescent="0.35">
      <c r="DM1741" s="50"/>
      <c r="DQ1741" s="50"/>
    </row>
    <row r="1742" spans="117:121" x14ac:dyDescent="0.35">
      <c r="DM1742" s="50"/>
      <c r="DQ1742" s="50"/>
    </row>
    <row r="1743" spans="117:121" x14ac:dyDescent="0.35">
      <c r="DM1743" s="50"/>
      <c r="DQ1743" s="50"/>
    </row>
    <row r="1744" spans="117:121" x14ac:dyDescent="0.35">
      <c r="DM1744" s="50"/>
      <c r="DQ1744" s="50"/>
    </row>
    <row r="1745" spans="117:121" x14ac:dyDescent="0.35">
      <c r="DM1745" s="50"/>
      <c r="DQ1745" s="50"/>
    </row>
    <row r="1746" spans="117:121" x14ac:dyDescent="0.35">
      <c r="DM1746" s="50"/>
      <c r="DQ1746" s="50"/>
    </row>
    <row r="1747" spans="117:121" x14ac:dyDescent="0.35">
      <c r="DM1747" s="50"/>
      <c r="DQ1747" s="50"/>
    </row>
    <row r="1748" spans="117:121" x14ac:dyDescent="0.35">
      <c r="DM1748" s="50"/>
      <c r="DQ1748" s="50"/>
    </row>
    <row r="1749" spans="117:121" x14ac:dyDescent="0.35">
      <c r="DM1749" s="50"/>
      <c r="DQ1749" s="50"/>
    </row>
    <row r="1750" spans="117:121" x14ac:dyDescent="0.35">
      <c r="DM1750" s="50"/>
      <c r="DQ1750" s="50"/>
    </row>
    <row r="1751" spans="117:121" x14ac:dyDescent="0.35">
      <c r="DM1751" s="50"/>
      <c r="DQ1751" s="50"/>
    </row>
    <row r="1752" spans="117:121" x14ac:dyDescent="0.35">
      <c r="DM1752" s="50"/>
      <c r="DQ1752" s="50"/>
    </row>
    <row r="1753" spans="117:121" x14ac:dyDescent="0.35">
      <c r="DM1753" s="50"/>
      <c r="DQ1753" s="50"/>
    </row>
    <row r="1754" spans="117:121" x14ac:dyDescent="0.35">
      <c r="DM1754" s="50"/>
      <c r="DQ1754" s="50"/>
    </row>
    <row r="1755" spans="117:121" x14ac:dyDescent="0.35">
      <c r="DM1755" s="50"/>
      <c r="DQ1755" s="50"/>
    </row>
    <row r="1756" spans="117:121" x14ac:dyDescent="0.35">
      <c r="DM1756" s="50"/>
      <c r="DQ1756" s="50"/>
    </row>
    <row r="1757" spans="117:121" x14ac:dyDescent="0.35">
      <c r="DM1757" s="50"/>
      <c r="DQ1757" s="50"/>
    </row>
    <row r="1758" spans="117:121" x14ac:dyDescent="0.35">
      <c r="DM1758" s="50"/>
      <c r="DQ1758" s="50"/>
    </row>
    <row r="1759" spans="117:121" x14ac:dyDescent="0.35">
      <c r="DM1759" s="50"/>
      <c r="DQ1759" s="50"/>
    </row>
    <row r="1760" spans="117:121" x14ac:dyDescent="0.35">
      <c r="DM1760" s="50"/>
      <c r="DQ1760" s="50"/>
    </row>
    <row r="1761" spans="117:121" x14ac:dyDescent="0.35">
      <c r="DM1761" s="50"/>
      <c r="DQ1761" s="50"/>
    </row>
    <row r="1762" spans="117:121" x14ac:dyDescent="0.35">
      <c r="DM1762" s="50"/>
      <c r="DQ1762" s="50"/>
    </row>
    <row r="1763" spans="117:121" x14ac:dyDescent="0.35">
      <c r="DM1763" s="50"/>
      <c r="DQ1763" s="50"/>
    </row>
    <row r="1764" spans="117:121" x14ac:dyDescent="0.35">
      <c r="DM1764" s="50"/>
      <c r="DQ1764" s="50"/>
    </row>
    <row r="1765" spans="117:121" x14ac:dyDescent="0.35">
      <c r="DM1765" s="50"/>
      <c r="DQ1765" s="50"/>
    </row>
    <row r="1766" spans="117:121" x14ac:dyDescent="0.35">
      <c r="DM1766" s="50"/>
      <c r="DQ1766" s="50"/>
    </row>
    <row r="1767" spans="117:121" x14ac:dyDescent="0.35">
      <c r="DM1767" s="50"/>
      <c r="DQ1767" s="50"/>
    </row>
    <row r="1768" spans="117:121" x14ac:dyDescent="0.35">
      <c r="DM1768" s="50"/>
      <c r="DQ1768" s="50"/>
    </row>
    <row r="1769" spans="117:121" x14ac:dyDescent="0.35">
      <c r="DM1769" s="50"/>
      <c r="DQ1769" s="50"/>
    </row>
    <row r="1770" spans="117:121" x14ac:dyDescent="0.35">
      <c r="DM1770" s="50"/>
      <c r="DQ1770" s="50"/>
    </row>
    <row r="1771" spans="117:121" x14ac:dyDescent="0.35">
      <c r="DM1771" s="50"/>
      <c r="DQ1771" s="50"/>
    </row>
    <row r="1772" spans="117:121" x14ac:dyDescent="0.35">
      <c r="DM1772" s="50"/>
      <c r="DQ1772" s="50"/>
    </row>
    <row r="1773" spans="117:121" x14ac:dyDescent="0.35">
      <c r="DM1773" s="50"/>
      <c r="DQ1773" s="50"/>
    </row>
    <row r="1774" spans="117:121" x14ac:dyDescent="0.35">
      <c r="DM1774" s="50"/>
      <c r="DQ1774" s="50"/>
    </row>
    <row r="1775" spans="117:121" x14ac:dyDescent="0.35">
      <c r="DM1775" s="50"/>
      <c r="DQ1775" s="50"/>
    </row>
    <row r="1776" spans="117:121" x14ac:dyDescent="0.35">
      <c r="DM1776" s="50"/>
      <c r="DQ1776" s="50"/>
    </row>
    <row r="1777" spans="117:121" x14ac:dyDescent="0.35">
      <c r="DM1777" s="50"/>
      <c r="DQ1777" s="50"/>
    </row>
    <row r="1778" spans="117:121" x14ac:dyDescent="0.35">
      <c r="DM1778" s="50"/>
      <c r="DQ1778" s="50"/>
    </row>
    <row r="1779" spans="117:121" x14ac:dyDescent="0.35">
      <c r="DM1779" s="50"/>
      <c r="DQ1779" s="50"/>
    </row>
    <row r="1780" spans="117:121" x14ac:dyDescent="0.35">
      <c r="DM1780" s="50"/>
      <c r="DQ1780" s="50"/>
    </row>
    <row r="1781" spans="117:121" x14ac:dyDescent="0.35">
      <c r="DM1781" s="50"/>
      <c r="DQ1781" s="50"/>
    </row>
    <row r="1782" spans="117:121" x14ac:dyDescent="0.35">
      <c r="DM1782" s="50"/>
      <c r="DQ1782" s="50"/>
    </row>
    <row r="1783" spans="117:121" x14ac:dyDescent="0.35">
      <c r="DM1783" s="50"/>
      <c r="DQ1783" s="50"/>
    </row>
    <row r="1784" spans="117:121" x14ac:dyDescent="0.35">
      <c r="DM1784" s="50"/>
      <c r="DQ1784" s="50"/>
    </row>
    <row r="1785" spans="117:121" x14ac:dyDescent="0.35">
      <c r="DM1785" s="50"/>
      <c r="DQ1785" s="50"/>
    </row>
    <row r="1786" spans="117:121" x14ac:dyDescent="0.35">
      <c r="DM1786" s="50"/>
      <c r="DQ1786" s="50"/>
    </row>
    <row r="1787" spans="117:121" x14ac:dyDescent="0.35">
      <c r="DM1787" s="50"/>
      <c r="DQ1787" s="50"/>
    </row>
    <row r="1788" spans="117:121" x14ac:dyDescent="0.35">
      <c r="DM1788" s="50"/>
      <c r="DQ1788" s="50"/>
    </row>
    <row r="1789" spans="117:121" x14ac:dyDescent="0.35">
      <c r="DM1789" s="50"/>
      <c r="DQ1789" s="50"/>
    </row>
    <row r="1790" spans="117:121" x14ac:dyDescent="0.35">
      <c r="DM1790" s="50"/>
      <c r="DQ1790" s="50"/>
    </row>
    <row r="1791" spans="117:121" x14ac:dyDescent="0.35">
      <c r="DM1791" s="50"/>
      <c r="DQ1791" s="50"/>
    </row>
    <row r="1792" spans="117:121" x14ac:dyDescent="0.35">
      <c r="DM1792" s="50"/>
      <c r="DQ1792" s="50"/>
    </row>
    <row r="1793" spans="117:121" x14ac:dyDescent="0.35">
      <c r="DM1793" s="50"/>
      <c r="DQ1793" s="50"/>
    </row>
    <row r="1794" spans="117:121" x14ac:dyDescent="0.35">
      <c r="DM1794" s="50"/>
      <c r="DQ1794" s="50"/>
    </row>
    <row r="1795" spans="117:121" x14ac:dyDescent="0.35">
      <c r="DM1795" s="50"/>
      <c r="DQ1795" s="50"/>
    </row>
    <row r="1796" spans="117:121" x14ac:dyDescent="0.35">
      <c r="DM1796" s="50"/>
      <c r="DQ1796" s="50"/>
    </row>
    <row r="1797" spans="117:121" x14ac:dyDescent="0.35">
      <c r="DM1797" s="50"/>
      <c r="DQ1797" s="50"/>
    </row>
    <row r="1798" spans="117:121" x14ac:dyDescent="0.35">
      <c r="DM1798" s="50"/>
      <c r="DQ1798" s="50"/>
    </row>
    <row r="1799" spans="117:121" x14ac:dyDescent="0.35">
      <c r="DM1799" s="50"/>
      <c r="DQ1799" s="50"/>
    </row>
    <row r="1800" spans="117:121" x14ac:dyDescent="0.35">
      <c r="DM1800" s="50"/>
      <c r="DQ1800" s="50"/>
    </row>
    <row r="1801" spans="117:121" x14ac:dyDescent="0.35">
      <c r="DM1801" s="50"/>
      <c r="DQ1801" s="50"/>
    </row>
    <row r="1802" spans="117:121" x14ac:dyDescent="0.35">
      <c r="DM1802" s="50"/>
      <c r="DQ1802" s="50"/>
    </row>
    <row r="1803" spans="117:121" x14ac:dyDescent="0.35">
      <c r="DM1803" s="50"/>
      <c r="DQ1803" s="50"/>
    </row>
    <row r="1804" spans="117:121" x14ac:dyDescent="0.35">
      <c r="DM1804" s="50"/>
      <c r="DQ1804" s="50"/>
    </row>
    <row r="1805" spans="117:121" x14ac:dyDescent="0.35">
      <c r="DM1805" s="50"/>
      <c r="DQ1805" s="50"/>
    </row>
    <row r="1806" spans="117:121" x14ac:dyDescent="0.35">
      <c r="DM1806" s="50"/>
      <c r="DQ1806" s="50"/>
    </row>
    <row r="1807" spans="117:121" x14ac:dyDescent="0.35">
      <c r="DM1807" s="50"/>
      <c r="DQ1807" s="50"/>
    </row>
    <row r="1808" spans="117:121" x14ac:dyDescent="0.35">
      <c r="DM1808" s="50"/>
      <c r="DQ1808" s="50"/>
    </row>
    <row r="1809" spans="117:121" x14ac:dyDescent="0.35">
      <c r="DM1809" s="50"/>
      <c r="DQ1809" s="50"/>
    </row>
    <row r="1810" spans="117:121" x14ac:dyDescent="0.35">
      <c r="DM1810" s="50"/>
      <c r="DQ1810" s="50"/>
    </row>
    <row r="1811" spans="117:121" x14ac:dyDescent="0.35">
      <c r="DM1811" s="50"/>
      <c r="DQ1811" s="50"/>
    </row>
    <row r="1812" spans="117:121" x14ac:dyDescent="0.35">
      <c r="DM1812" s="50"/>
      <c r="DQ1812" s="50"/>
    </row>
    <row r="1813" spans="117:121" x14ac:dyDescent="0.35">
      <c r="DM1813" s="50"/>
      <c r="DQ1813" s="50"/>
    </row>
    <row r="1814" spans="117:121" x14ac:dyDescent="0.35">
      <c r="DM1814" s="50"/>
      <c r="DQ1814" s="50"/>
    </row>
    <row r="1815" spans="117:121" x14ac:dyDescent="0.35">
      <c r="DM1815" s="50"/>
      <c r="DQ1815" s="50"/>
    </row>
    <row r="1816" spans="117:121" x14ac:dyDescent="0.35">
      <c r="DM1816" s="50"/>
      <c r="DQ1816" s="50"/>
    </row>
    <row r="1817" spans="117:121" x14ac:dyDescent="0.35">
      <c r="DM1817" s="50"/>
      <c r="DQ1817" s="50"/>
    </row>
    <row r="1818" spans="117:121" x14ac:dyDescent="0.35">
      <c r="DM1818" s="50"/>
      <c r="DQ1818" s="50"/>
    </row>
    <row r="1819" spans="117:121" x14ac:dyDescent="0.35">
      <c r="DM1819" s="50"/>
      <c r="DQ1819" s="50"/>
    </row>
    <row r="1820" spans="117:121" x14ac:dyDescent="0.35">
      <c r="DM1820" s="50"/>
      <c r="DQ1820" s="50"/>
    </row>
    <row r="1821" spans="117:121" x14ac:dyDescent="0.35">
      <c r="DM1821" s="50"/>
      <c r="DQ1821" s="50"/>
    </row>
    <row r="1822" spans="117:121" x14ac:dyDescent="0.35">
      <c r="DM1822" s="50"/>
      <c r="DQ1822" s="50"/>
    </row>
    <row r="1823" spans="117:121" x14ac:dyDescent="0.35">
      <c r="DM1823" s="50"/>
      <c r="DQ1823" s="50"/>
    </row>
    <row r="1824" spans="117:121" x14ac:dyDescent="0.35">
      <c r="DM1824" s="50"/>
      <c r="DQ1824" s="50"/>
    </row>
    <row r="1825" spans="117:121" x14ac:dyDescent="0.35">
      <c r="DM1825" s="50"/>
      <c r="DQ1825" s="50"/>
    </row>
    <row r="1826" spans="117:121" x14ac:dyDescent="0.35">
      <c r="DM1826" s="50"/>
      <c r="DQ1826" s="50"/>
    </row>
    <row r="1827" spans="117:121" x14ac:dyDescent="0.35">
      <c r="DM1827" s="50"/>
      <c r="DQ1827" s="50"/>
    </row>
    <row r="1828" spans="117:121" x14ac:dyDescent="0.35">
      <c r="DM1828" s="50"/>
      <c r="DQ1828" s="50"/>
    </row>
    <row r="1829" spans="117:121" x14ac:dyDescent="0.35">
      <c r="DM1829" s="50"/>
      <c r="DQ1829" s="50"/>
    </row>
    <row r="1830" spans="117:121" x14ac:dyDescent="0.35">
      <c r="DM1830" s="50"/>
      <c r="DQ1830" s="50"/>
    </row>
    <row r="1831" spans="117:121" x14ac:dyDescent="0.35">
      <c r="DM1831" s="50"/>
      <c r="DQ1831" s="50"/>
    </row>
    <row r="1832" spans="117:121" x14ac:dyDescent="0.35">
      <c r="DM1832" s="50"/>
      <c r="DQ1832" s="50"/>
    </row>
    <row r="1833" spans="117:121" x14ac:dyDescent="0.35">
      <c r="DM1833" s="50"/>
      <c r="DQ1833" s="50"/>
    </row>
    <row r="1834" spans="117:121" x14ac:dyDescent="0.35">
      <c r="DM1834" s="50"/>
      <c r="DQ1834" s="50"/>
    </row>
    <row r="1835" spans="117:121" x14ac:dyDescent="0.35">
      <c r="DM1835" s="50"/>
      <c r="DQ1835" s="50"/>
    </row>
    <row r="1836" spans="117:121" x14ac:dyDescent="0.35">
      <c r="DM1836" s="50"/>
      <c r="DQ1836" s="50"/>
    </row>
    <row r="1837" spans="117:121" x14ac:dyDescent="0.35">
      <c r="DM1837" s="50"/>
      <c r="DQ1837" s="50"/>
    </row>
    <row r="1838" spans="117:121" x14ac:dyDescent="0.35">
      <c r="DM1838" s="50"/>
      <c r="DQ1838" s="50"/>
    </row>
    <row r="1839" spans="117:121" x14ac:dyDescent="0.35">
      <c r="DM1839" s="50"/>
      <c r="DQ1839" s="50"/>
    </row>
    <row r="1840" spans="117:121" x14ac:dyDescent="0.35">
      <c r="DM1840" s="50"/>
      <c r="DQ1840" s="50"/>
    </row>
    <row r="1841" spans="117:121" x14ac:dyDescent="0.35">
      <c r="DM1841" s="50"/>
      <c r="DQ1841" s="50"/>
    </row>
    <row r="1842" spans="117:121" x14ac:dyDescent="0.35">
      <c r="DM1842" s="50"/>
      <c r="DQ1842" s="50"/>
    </row>
    <row r="1843" spans="117:121" x14ac:dyDescent="0.35">
      <c r="DM1843" s="50"/>
      <c r="DQ1843" s="50"/>
    </row>
    <row r="1844" spans="117:121" x14ac:dyDescent="0.35">
      <c r="DM1844" s="50"/>
      <c r="DQ1844" s="50"/>
    </row>
    <row r="1845" spans="117:121" x14ac:dyDescent="0.35">
      <c r="DM1845" s="50"/>
      <c r="DQ1845" s="50"/>
    </row>
    <row r="1846" spans="117:121" x14ac:dyDescent="0.35">
      <c r="DM1846" s="50"/>
      <c r="DQ1846" s="50"/>
    </row>
    <row r="1847" spans="117:121" x14ac:dyDescent="0.35">
      <c r="DM1847" s="50"/>
      <c r="DQ1847" s="50"/>
    </row>
    <row r="1848" spans="117:121" x14ac:dyDescent="0.35">
      <c r="DM1848" s="50"/>
      <c r="DQ1848" s="50"/>
    </row>
    <row r="1849" spans="117:121" x14ac:dyDescent="0.35">
      <c r="DM1849" s="50"/>
      <c r="DQ1849" s="50"/>
    </row>
    <row r="1850" spans="117:121" x14ac:dyDescent="0.35">
      <c r="DM1850" s="50"/>
      <c r="DQ1850" s="50"/>
    </row>
    <row r="1851" spans="117:121" x14ac:dyDescent="0.35">
      <c r="DM1851" s="50"/>
      <c r="DQ1851" s="50"/>
    </row>
    <row r="1852" spans="117:121" x14ac:dyDescent="0.35">
      <c r="DM1852" s="50"/>
      <c r="DQ1852" s="50"/>
    </row>
    <row r="1853" spans="117:121" x14ac:dyDescent="0.35">
      <c r="DM1853" s="50"/>
      <c r="DQ1853" s="50"/>
    </row>
    <row r="1854" spans="117:121" x14ac:dyDescent="0.35">
      <c r="DM1854" s="50"/>
      <c r="DQ1854" s="50"/>
    </row>
    <row r="1855" spans="117:121" x14ac:dyDescent="0.35">
      <c r="DM1855" s="50"/>
      <c r="DQ1855" s="50"/>
    </row>
    <row r="1856" spans="117:121" x14ac:dyDescent="0.35">
      <c r="DM1856" s="50"/>
      <c r="DQ1856" s="50"/>
    </row>
    <row r="1857" spans="117:121" x14ac:dyDescent="0.35">
      <c r="DM1857" s="50"/>
      <c r="DQ1857" s="50"/>
    </row>
    <row r="1858" spans="117:121" x14ac:dyDescent="0.35">
      <c r="DM1858" s="50"/>
      <c r="DQ1858" s="50"/>
    </row>
    <row r="1859" spans="117:121" x14ac:dyDescent="0.35">
      <c r="DM1859" s="50"/>
      <c r="DQ1859" s="50"/>
    </row>
    <row r="1860" spans="117:121" x14ac:dyDescent="0.35">
      <c r="DM1860" s="50"/>
      <c r="DQ1860" s="50"/>
    </row>
    <row r="1861" spans="117:121" x14ac:dyDescent="0.35">
      <c r="DM1861" s="50"/>
      <c r="DQ1861" s="50"/>
    </row>
    <row r="1862" spans="117:121" x14ac:dyDescent="0.35">
      <c r="DM1862" s="50"/>
      <c r="DQ1862" s="50"/>
    </row>
    <row r="1863" spans="117:121" x14ac:dyDescent="0.35">
      <c r="DM1863" s="50"/>
      <c r="DQ1863" s="50"/>
    </row>
    <row r="1864" spans="117:121" x14ac:dyDescent="0.35">
      <c r="DM1864" s="50"/>
      <c r="DQ1864" s="50"/>
    </row>
    <row r="1865" spans="117:121" x14ac:dyDescent="0.35">
      <c r="DM1865" s="50"/>
      <c r="DQ1865" s="50"/>
    </row>
    <row r="1866" spans="117:121" x14ac:dyDescent="0.35">
      <c r="DM1866" s="50"/>
      <c r="DQ1866" s="50"/>
    </row>
    <row r="1867" spans="117:121" x14ac:dyDescent="0.35">
      <c r="DM1867" s="50"/>
      <c r="DQ1867" s="50"/>
    </row>
    <row r="1868" spans="117:121" x14ac:dyDescent="0.35">
      <c r="DM1868" s="50"/>
      <c r="DQ1868" s="50"/>
    </row>
    <row r="1869" spans="117:121" x14ac:dyDescent="0.35">
      <c r="DM1869" s="50"/>
      <c r="DQ1869" s="50"/>
    </row>
    <row r="1870" spans="117:121" x14ac:dyDescent="0.35">
      <c r="DM1870" s="50"/>
      <c r="DQ1870" s="50"/>
    </row>
    <row r="1871" spans="117:121" x14ac:dyDescent="0.35">
      <c r="DM1871" s="50"/>
      <c r="DQ1871" s="50"/>
    </row>
    <row r="1872" spans="117:121" x14ac:dyDescent="0.35">
      <c r="DM1872" s="50"/>
      <c r="DQ1872" s="50"/>
    </row>
    <row r="1873" spans="117:121" x14ac:dyDescent="0.35">
      <c r="DM1873" s="50"/>
      <c r="DQ1873" s="50"/>
    </row>
    <row r="1874" spans="117:121" x14ac:dyDescent="0.35">
      <c r="DM1874" s="50"/>
      <c r="DQ1874" s="50"/>
    </row>
    <row r="1875" spans="117:121" x14ac:dyDescent="0.35">
      <c r="DM1875" s="50"/>
      <c r="DQ1875" s="50"/>
    </row>
    <row r="1876" spans="117:121" x14ac:dyDescent="0.35">
      <c r="DM1876" s="50"/>
      <c r="DQ1876" s="50"/>
    </row>
    <row r="1877" spans="117:121" x14ac:dyDescent="0.35">
      <c r="DM1877" s="50"/>
      <c r="DQ1877" s="50"/>
    </row>
    <row r="1878" spans="117:121" x14ac:dyDescent="0.35">
      <c r="DM1878" s="50"/>
      <c r="DQ1878" s="50"/>
    </row>
    <row r="1879" spans="117:121" x14ac:dyDescent="0.35">
      <c r="DM1879" s="50"/>
      <c r="DQ1879" s="50"/>
    </row>
    <row r="1880" spans="117:121" x14ac:dyDescent="0.35">
      <c r="DM1880" s="50"/>
      <c r="DQ1880" s="50"/>
    </row>
    <row r="1881" spans="117:121" x14ac:dyDescent="0.35">
      <c r="DM1881" s="50"/>
      <c r="DQ1881" s="50"/>
    </row>
    <row r="1882" spans="117:121" x14ac:dyDescent="0.35">
      <c r="DM1882" s="50"/>
      <c r="DQ1882" s="50"/>
    </row>
    <row r="1883" spans="117:121" x14ac:dyDescent="0.35">
      <c r="DM1883" s="50"/>
      <c r="DQ1883" s="50"/>
    </row>
    <row r="1884" spans="117:121" x14ac:dyDescent="0.35">
      <c r="DM1884" s="50"/>
      <c r="DQ1884" s="50"/>
    </row>
    <row r="1885" spans="117:121" x14ac:dyDescent="0.35">
      <c r="DM1885" s="50"/>
      <c r="DQ1885" s="50"/>
    </row>
    <row r="1886" spans="117:121" x14ac:dyDescent="0.35">
      <c r="DM1886" s="50"/>
      <c r="DQ1886" s="50"/>
    </row>
    <row r="1887" spans="117:121" x14ac:dyDescent="0.35">
      <c r="DM1887" s="50"/>
      <c r="DQ1887" s="50"/>
    </row>
    <row r="1888" spans="117:121" x14ac:dyDescent="0.35">
      <c r="DM1888" s="50"/>
      <c r="DQ1888" s="50"/>
    </row>
    <row r="1889" spans="117:121" x14ac:dyDescent="0.35">
      <c r="DM1889" s="50"/>
      <c r="DQ1889" s="50"/>
    </row>
    <row r="1890" spans="117:121" x14ac:dyDescent="0.35">
      <c r="DM1890" s="50"/>
      <c r="DQ1890" s="50"/>
    </row>
    <row r="1891" spans="117:121" x14ac:dyDescent="0.35">
      <c r="DM1891" s="50"/>
      <c r="DQ1891" s="50"/>
    </row>
    <row r="1892" spans="117:121" x14ac:dyDescent="0.35">
      <c r="DM1892" s="50"/>
      <c r="DQ1892" s="50"/>
    </row>
    <row r="1893" spans="117:121" x14ac:dyDescent="0.35">
      <c r="DM1893" s="50"/>
      <c r="DQ1893" s="50"/>
    </row>
    <row r="1894" spans="117:121" x14ac:dyDescent="0.35">
      <c r="DM1894" s="50"/>
      <c r="DQ1894" s="50"/>
    </row>
    <row r="1895" spans="117:121" x14ac:dyDescent="0.35">
      <c r="DM1895" s="50"/>
      <c r="DQ1895" s="50"/>
    </row>
    <row r="1896" spans="117:121" x14ac:dyDescent="0.35">
      <c r="DM1896" s="50"/>
      <c r="DQ1896" s="50"/>
    </row>
    <row r="1897" spans="117:121" x14ac:dyDescent="0.35">
      <c r="DM1897" s="50"/>
      <c r="DQ1897" s="50"/>
    </row>
    <row r="1898" spans="117:121" x14ac:dyDescent="0.35">
      <c r="DM1898" s="50"/>
      <c r="DQ1898" s="50"/>
    </row>
    <row r="1899" spans="117:121" x14ac:dyDescent="0.35">
      <c r="DM1899" s="50"/>
      <c r="DQ1899" s="50"/>
    </row>
    <row r="1900" spans="117:121" x14ac:dyDescent="0.35">
      <c r="DM1900" s="50"/>
      <c r="DQ1900" s="50"/>
    </row>
    <row r="1901" spans="117:121" x14ac:dyDescent="0.35">
      <c r="DM1901" s="50"/>
      <c r="DQ1901" s="50"/>
    </row>
    <row r="1902" spans="117:121" x14ac:dyDescent="0.35">
      <c r="DM1902" s="50"/>
      <c r="DQ1902" s="50"/>
    </row>
    <row r="1903" spans="117:121" x14ac:dyDescent="0.35">
      <c r="DM1903" s="50"/>
      <c r="DQ1903" s="50"/>
    </row>
    <row r="1904" spans="117:121" x14ac:dyDescent="0.35">
      <c r="DM1904" s="50"/>
      <c r="DQ1904" s="50"/>
    </row>
    <row r="1905" spans="117:121" x14ac:dyDescent="0.35">
      <c r="DM1905" s="50"/>
      <c r="DQ1905" s="50"/>
    </row>
    <row r="1906" spans="117:121" x14ac:dyDescent="0.35">
      <c r="DM1906" s="50"/>
      <c r="DQ1906" s="50"/>
    </row>
    <row r="1907" spans="117:121" x14ac:dyDescent="0.35">
      <c r="DM1907" s="50"/>
      <c r="DQ1907" s="50"/>
    </row>
    <row r="1908" spans="117:121" x14ac:dyDescent="0.35">
      <c r="DM1908" s="50"/>
      <c r="DQ1908" s="50"/>
    </row>
    <row r="1909" spans="117:121" x14ac:dyDescent="0.35">
      <c r="DM1909" s="50"/>
      <c r="DQ1909" s="50"/>
    </row>
    <row r="1910" spans="117:121" x14ac:dyDescent="0.35">
      <c r="DM1910" s="50"/>
      <c r="DQ1910" s="50"/>
    </row>
    <row r="1911" spans="117:121" x14ac:dyDescent="0.35">
      <c r="DM1911" s="50"/>
      <c r="DQ1911" s="50"/>
    </row>
    <row r="1912" spans="117:121" x14ac:dyDescent="0.35">
      <c r="DM1912" s="50"/>
      <c r="DQ1912" s="50"/>
    </row>
    <row r="1913" spans="117:121" x14ac:dyDescent="0.35">
      <c r="DM1913" s="50"/>
      <c r="DQ1913" s="50"/>
    </row>
    <row r="1914" spans="117:121" x14ac:dyDescent="0.35">
      <c r="DM1914" s="50"/>
      <c r="DQ1914" s="50"/>
    </row>
    <row r="1915" spans="117:121" x14ac:dyDescent="0.35">
      <c r="DM1915" s="50"/>
      <c r="DQ1915" s="50"/>
    </row>
    <row r="1916" spans="117:121" x14ac:dyDescent="0.35">
      <c r="DM1916" s="50"/>
      <c r="DQ1916" s="50"/>
    </row>
    <row r="1917" spans="117:121" x14ac:dyDescent="0.35">
      <c r="DM1917" s="50"/>
      <c r="DQ1917" s="50"/>
    </row>
    <row r="1918" spans="117:121" x14ac:dyDescent="0.35">
      <c r="DM1918" s="50"/>
      <c r="DQ1918" s="50"/>
    </row>
    <row r="1919" spans="117:121" x14ac:dyDescent="0.35">
      <c r="DM1919" s="50"/>
      <c r="DQ1919" s="50"/>
    </row>
    <row r="1920" spans="117:121" x14ac:dyDescent="0.35">
      <c r="DM1920" s="50"/>
      <c r="DQ1920" s="50"/>
    </row>
    <row r="1921" spans="117:121" x14ac:dyDescent="0.35">
      <c r="DM1921" s="50"/>
      <c r="DQ1921" s="50"/>
    </row>
    <row r="1922" spans="117:121" x14ac:dyDescent="0.35">
      <c r="DM1922" s="50"/>
      <c r="DQ1922" s="50"/>
    </row>
    <row r="1923" spans="117:121" x14ac:dyDescent="0.35">
      <c r="DM1923" s="50"/>
      <c r="DQ1923" s="50"/>
    </row>
    <row r="1924" spans="117:121" x14ac:dyDescent="0.35">
      <c r="DM1924" s="50"/>
      <c r="DQ1924" s="50"/>
    </row>
    <row r="1925" spans="117:121" x14ac:dyDescent="0.35">
      <c r="DM1925" s="50"/>
      <c r="DQ1925" s="50"/>
    </row>
    <row r="1926" spans="117:121" x14ac:dyDescent="0.35">
      <c r="DM1926" s="50"/>
      <c r="DQ1926" s="50"/>
    </row>
    <row r="1927" spans="117:121" x14ac:dyDescent="0.35">
      <c r="DM1927" s="50"/>
      <c r="DQ1927" s="50"/>
    </row>
    <row r="1928" spans="117:121" x14ac:dyDescent="0.35">
      <c r="DM1928" s="50"/>
      <c r="DQ1928" s="50"/>
    </row>
    <row r="1929" spans="117:121" x14ac:dyDescent="0.35">
      <c r="DM1929" s="50"/>
      <c r="DQ1929" s="50"/>
    </row>
    <row r="1930" spans="117:121" x14ac:dyDescent="0.35">
      <c r="DM1930" s="50"/>
      <c r="DQ1930" s="50"/>
    </row>
    <row r="1931" spans="117:121" x14ac:dyDescent="0.35">
      <c r="DM1931" s="50"/>
      <c r="DQ1931" s="50"/>
    </row>
    <row r="1932" spans="117:121" x14ac:dyDescent="0.35">
      <c r="DM1932" s="50"/>
      <c r="DQ1932" s="50"/>
    </row>
    <row r="1933" spans="117:121" x14ac:dyDescent="0.35">
      <c r="DM1933" s="50"/>
      <c r="DQ1933" s="50"/>
    </row>
    <row r="1934" spans="117:121" x14ac:dyDescent="0.35">
      <c r="DM1934" s="50"/>
      <c r="DQ1934" s="50"/>
    </row>
    <row r="1935" spans="117:121" x14ac:dyDescent="0.35">
      <c r="DM1935" s="50"/>
      <c r="DQ1935" s="50"/>
    </row>
    <row r="1936" spans="117:121" x14ac:dyDescent="0.35">
      <c r="DM1936" s="50"/>
      <c r="DQ1936" s="50"/>
    </row>
    <row r="1937" spans="117:121" x14ac:dyDescent="0.35">
      <c r="DM1937" s="50"/>
      <c r="DQ1937" s="50"/>
    </row>
    <row r="1938" spans="117:121" x14ac:dyDescent="0.35">
      <c r="DM1938" s="50"/>
      <c r="DQ1938" s="50"/>
    </row>
    <row r="1939" spans="117:121" x14ac:dyDescent="0.35">
      <c r="DM1939" s="50"/>
      <c r="DQ1939" s="50"/>
    </row>
    <row r="1940" spans="117:121" x14ac:dyDescent="0.35">
      <c r="DM1940" s="50"/>
      <c r="DQ1940" s="50"/>
    </row>
    <row r="1941" spans="117:121" x14ac:dyDescent="0.35">
      <c r="DM1941" s="50"/>
      <c r="DQ1941" s="50"/>
    </row>
    <row r="1942" spans="117:121" x14ac:dyDescent="0.35">
      <c r="DM1942" s="50"/>
      <c r="DQ1942" s="50"/>
    </row>
    <row r="1943" spans="117:121" x14ac:dyDescent="0.35">
      <c r="DM1943" s="50"/>
      <c r="DQ1943" s="50"/>
    </row>
    <row r="1944" spans="117:121" x14ac:dyDescent="0.35">
      <c r="DM1944" s="50"/>
      <c r="DQ1944" s="50"/>
    </row>
    <row r="1945" spans="117:121" x14ac:dyDescent="0.35">
      <c r="DM1945" s="50"/>
      <c r="DQ1945" s="50"/>
    </row>
    <row r="1946" spans="117:121" x14ac:dyDescent="0.35">
      <c r="DM1946" s="50"/>
      <c r="DQ1946" s="50"/>
    </row>
    <row r="1947" spans="117:121" x14ac:dyDescent="0.35">
      <c r="DM1947" s="50"/>
      <c r="DQ1947" s="50"/>
    </row>
    <row r="1948" spans="117:121" x14ac:dyDescent="0.35">
      <c r="DM1948" s="50"/>
      <c r="DQ1948" s="50"/>
    </row>
    <row r="1949" spans="117:121" x14ac:dyDescent="0.35">
      <c r="DM1949" s="50"/>
      <c r="DQ1949" s="50"/>
    </row>
    <row r="1950" spans="117:121" x14ac:dyDescent="0.35">
      <c r="DM1950" s="50"/>
      <c r="DQ1950" s="50"/>
    </row>
    <row r="1951" spans="117:121" x14ac:dyDescent="0.35">
      <c r="DM1951" s="50"/>
      <c r="DQ1951" s="50"/>
    </row>
    <row r="1952" spans="117:121" x14ac:dyDescent="0.35">
      <c r="DM1952" s="50"/>
      <c r="DQ1952" s="50"/>
    </row>
    <row r="1953" spans="117:121" x14ac:dyDescent="0.35">
      <c r="DM1953" s="50"/>
      <c r="DQ1953" s="50"/>
    </row>
    <row r="1954" spans="117:121" x14ac:dyDescent="0.35">
      <c r="DM1954" s="50"/>
      <c r="DQ1954" s="50"/>
    </row>
    <row r="1955" spans="117:121" x14ac:dyDescent="0.35">
      <c r="DM1955" s="50"/>
      <c r="DQ1955" s="50"/>
    </row>
    <row r="1956" spans="117:121" x14ac:dyDescent="0.35">
      <c r="DM1956" s="50"/>
      <c r="DQ1956" s="50"/>
    </row>
    <row r="1957" spans="117:121" x14ac:dyDescent="0.35">
      <c r="DM1957" s="50"/>
      <c r="DQ1957" s="50"/>
    </row>
    <row r="1958" spans="117:121" x14ac:dyDescent="0.35">
      <c r="DM1958" s="50"/>
      <c r="DQ1958" s="50"/>
    </row>
    <row r="1959" spans="117:121" x14ac:dyDescent="0.35">
      <c r="DM1959" s="50"/>
      <c r="DQ1959" s="50"/>
    </row>
    <row r="1960" spans="117:121" x14ac:dyDescent="0.35">
      <c r="DM1960" s="50"/>
      <c r="DQ1960" s="50"/>
    </row>
    <row r="1961" spans="117:121" x14ac:dyDescent="0.35">
      <c r="DM1961" s="50"/>
      <c r="DQ1961" s="50"/>
    </row>
    <row r="1962" spans="117:121" x14ac:dyDescent="0.35">
      <c r="DM1962" s="50"/>
      <c r="DQ1962" s="50"/>
    </row>
    <row r="1963" spans="117:121" x14ac:dyDescent="0.35">
      <c r="DM1963" s="50"/>
      <c r="DQ1963" s="50"/>
    </row>
    <row r="1964" spans="117:121" x14ac:dyDescent="0.35">
      <c r="DM1964" s="50"/>
      <c r="DQ1964" s="50"/>
    </row>
    <row r="1965" spans="117:121" x14ac:dyDescent="0.35">
      <c r="DM1965" s="50"/>
      <c r="DQ1965" s="50"/>
    </row>
    <row r="1966" spans="117:121" x14ac:dyDescent="0.35">
      <c r="DM1966" s="50"/>
      <c r="DQ1966" s="50"/>
    </row>
    <row r="1967" spans="117:121" x14ac:dyDescent="0.35">
      <c r="DM1967" s="50"/>
      <c r="DQ1967" s="50"/>
    </row>
    <row r="1968" spans="117:121" x14ac:dyDescent="0.35">
      <c r="DM1968" s="50"/>
      <c r="DQ1968" s="50"/>
    </row>
    <row r="1969" spans="117:121" x14ac:dyDescent="0.35">
      <c r="DM1969" s="50"/>
      <c r="DQ1969" s="50"/>
    </row>
    <row r="1970" spans="117:121" x14ac:dyDescent="0.35">
      <c r="DM1970" s="50"/>
      <c r="DQ1970" s="50"/>
    </row>
    <row r="1971" spans="117:121" x14ac:dyDescent="0.35">
      <c r="DM1971" s="50"/>
      <c r="DQ1971" s="50"/>
    </row>
    <row r="1972" spans="117:121" x14ac:dyDescent="0.35">
      <c r="DM1972" s="50"/>
      <c r="DQ1972" s="50"/>
    </row>
    <row r="1973" spans="117:121" x14ac:dyDescent="0.35">
      <c r="DM1973" s="50"/>
      <c r="DQ1973" s="50"/>
    </row>
    <row r="1974" spans="117:121" x14ac:dyDescent="0.35">
      <c r="DM1974" s="50"/>
      <c r="DQ1974" s="50"/>
    </row>
    <row r="1975" spans="117:121" x14ac:dyDescent="0.35">
      <c r="DM1975" s="50"/>
      <c r="DQ1975" s="50"/>
    </row>
    <row r="1976" spans="117:121" x14ac:dyDescent="0.35">
      <c r="DM1976" s="50"/>
      <c r="DQ1976" s="50"/>
    </row>
    <row r="1977" spans="117:121" x14ac:dyDescent="0.35">
      <c r="DM1977" s="50"/>
      <c r="DQ1977" s="50"/>
    </row>
    <row r="1978" spans="117:121" x14ac:dyDescent="0.35">
      <c r="DM1978" s="50"/>
      <c r="DQ1978" s="50"/>
    </row>
    <row r="1979" spans="117:121" x14ac:dyDescent="0.35">
      <c r="DM1979" s="50"/>
      <c r="DQ1979" s="50"/>
    </row>
    <row r="1980" spans="117:121" x14ac:dyDescent="0.35">
      <c r="DM1980" s="50"/>
      <c r="DQ1980" s="50"/>
    </row>
    <row r="1981" spans="117:121" x14ac:dyDescent="0.35">
      <c r="DM1981" s="50"/>
      <c r="DQ1981" s="50"/>
    </row>
    <row r="1982" spans="117:121" x14ac:dyDescent="0.35">
      <c r="DM1982" s="50"/>
      <c r="DQ1982" s="50"/>
    </row>
    <row r="1983" spans="117:121" x14ac:dyDescent="0.35">
      <c r="DM1983" s="50"/>
      <c r="DQ1983" s="50"/>
    </row>
    <row r="1984" spans="117:121" x14ac:dyDescent="0.35">
      <c r="DM1984" s="50"/>
      <c r="DQ1984" s="50"/>
    </row>
    <row r="1985" spans="117:121" x14ac:dyDescent="0.35">
      <c r="DM1985" s="50"/>
      <c r="DQ1985" s="50"/>
    </row>
    <row r="1986" spans="117:121" x14ac:dyDescent="0.35">
      <c r="DM1986" s="50"/>
      <c r="DQ1986" s="50"/>
    </row>
    <row r="1987" spans="117:121" x14ac:dyDescent="0.35">
      <c r="DM1987" s="50"/>
      <c r="DQ1987" s="50"/>
    </row>
    <row r="1988" spans="117:121" x14ac:dyDescent="0.35">
      <c r="DM1988" s="50"/>
      <c r="DQ1988" s="50"/>
    </row>
    <row r="1989" spans="117:121" x14ac:dyDescent="0.35">
      <c r="DM1989" s="50"/>
      <c r="DQ1989" s="50"/>
    </row>
    <row r="1990" spans="117:121" x14ac:dyDescent="0.35">
      <c r="DM1990" s="50"/>
      <c r="DQ1990" s="50"/>
    </row>
    <row r="1991" spans="117:121" x14ac:dyDescent="0.35">
      <c r="DM1991" s="50"/>
      <c r="DQ1991" s="50"/>
    </row>
    <row r="1992" spans="117:121" x14ac:dyDescent="0.35">
      <c r="DM1992" s="50"/>
      <c r="DQ1992" s="50"/>
    </row>
    <row r="1993" spans="117:121" x14ac:dyDescent="0.35">
      <c r="DM1993" s="50"/>
      <c r="DQ1993" s="50"/>
    </row>
    <row r="1994" spans="117:121" x14ac:dyDescent="0.35">
      <c r="DM1994" s="50"/>
      <c r="DQ1994" s="50"/>
    </row>
    <row r="1995" spans="117:121" x14ac:dyDescent="0.35">
      <c r="DM1995" s="50"/>
      <c r="DQ1995" s="50"/>
    </row>
    <row r="1996" spans="117:121" x14ac:dyDescent="0.35">
      <c r="DM1996" s="50"/>
      <c r="DQ1996" s="50"/>
    </row>
    <row r="1997" spans="117:121" x14ac:dyDescent="0.35">
      <c r="DM1997" s="50"/>
      <c r="DQ1997" s="50"/>
    </row>
    <row r="1998" spans="117:121" x14ac:dyDescent="0.35">
      <c r="DM1998" s="50"/>
      <c r="DQ1998" s="50"/>
    </row>
    <row r="1999" spans="117:121" x14ac:dyDescent="0.35">
      <c r="DM1999" s="50"/>
      <c r="DQ1999" s="50"/>
    </row>
    <row r="2000" spans="117:121" x14ac:dyDescent="0.35">
      <c r="DM2000" s="50"/>
      <c r="DQ2000" s="50"/>
    </row>
    <row r="2001" spans="117:121" x14ac:dyDescent="0.35">
      <c r="DM2001" s="50"/>
      <c r="DQ2001" s="50"/>
    </row>
    <row r="2002" spans="117:121" x14ac:dyDescent="0.35">
      <c r="DM2002" s="50"/>
      <c r="DQ2002" s="50"/>
    </row>
    <row r="2003" spans="117:121" x14ac:dyDescent="0.35">
      <c r="DM2003" s="50"/>
      <c r="DQ2003" s="50"/>
    </row>
    <row r="2004" spans="117:121" x14ac:dyDescent="0.35">
      <c r="DM2004" s="50"/>
      <c r="DQ2004" s="50"/>
    </row>
    <row r="2005" spans="117:121" x14ac:dyDescent="0.35">
      <c r="DM2005" s="50"/>
      <c r="DQ2005" s="50"/>
    </row>
    <row r="2006" spans="117:121" x14ac:dyDescent="0.35">
      <c r="DM2006" s="50"/>
      <c r="DQ2006" s="50"/>
    </row>
    <row r="2007" spans="117:121" x14ac:dyDescent="0.35">
      <c r="DM2007" s="50"/>
      <c r="DQ2007" s="50"/>
    </row>
    <row r="2008" spans="117:121" x14ac:dyDescent="0.35">
      <c r="DM2008" s="50"/>
      <c r="DQ2008" s="50"/>
    </row>
    <row r="2009" spans="117:121" x14ac:dyDescent="0.35">
      <c r="DM2009" s="50"/>
      <c r="DQ2009" s="50"/>
    </row>
    <row r="2010" spans="117:121" x14ac:dyDescent="0.35">
      <c r="DM2010" s="50"/>
      <c r="DQ2010" s="50"/>
    </row>
    <row r="2011" spans="117:121" x14ac:dyDescent="0.35">
      <c r="DM2011" s="50"/>
      <c r="DQ2011" s="50"/>
    </row>
    <row r="2012" spans="117:121" x14ac:dyDescent="0.35">
      <c r="DM2012" s="50"/>
      <c r="DQ2012" s="50"/>
    </row>
    <row r="2013" spans="117:121" x14ac:dyDescent="0.35">
      <c r="DM2013" s="50"/>
      <c r="DQ2013" s="50"/>
    </row>
    <row r="2014" spans="117:121" x14ac:dyDescent="0.35">
      <c r="DM2014" s="50"/>
      <c r="DQ2014" s="50"/>
    </row>
    <row r="2015" spans="117:121" x14ac:dyDescent="0.35">
      <c r="DM2015" s="50"/>
      <c r="DQ2015" s="50"/>
    </row>
    <row r="2016" spans="117:121" x14ac:dyDescent="0.35">
      <c r="DM2016" s="50"/>
      <c r="DQ2016" s="50"/>
    </row>
    <row r="2017" spans="117:121" x14ac:dyDescent="0.35">
      <c r="DM2017" s="50"/>
      <c r="DQ2017" s="50"/>
    </row>
    <row r="2018" spans="117:121" x14ac:dyDescent="0.35">
      <c r="DM2018" s="50"/>
      <c r="DQ2018" s="50"/>
    </row>
    <row r="2019" spans="117:121" x14ac:dyDescent="0.35">
      <c r="DM2019" s="50"/>
      <c r="DQ2019" s="50"/>
    </row>
    <row r="2020" spans="117:121" x14ac:dyDescent="0.35">
      <c r="DM2020" s="50"/>
      <c r="DQ2020" s="50"/>
    </row>
    <row r="2021" spans="117:121" x14ac:dyDescent="0.35">
      <c r="DM2021" s="50"/>
      <c r="DQ2021" s="50"/>
    </row>
    <row r="2022" spans="117:121" x14ac:dyDescent="0.35">
      <c r="DM2022" s="50"/>
      <c r="DQ2022" s="50"/>
    </row>
    <row r="2023" spans="117:121" x14ac:dyDescent="0.35">
      <c r="DM2023" s="50"/>
      <c r="DQ2023" s="50"/>
    </row>
    <row r="2024" spans="117:121" x14ac:dyDescent="0.35">
      <c r="DM2024" s="50"/>
      <c r="DQ2024" s="50"/>
    </row>
    <row r="2025" spans="117:121" x14ac:dyDescent="0.35">
      <c r="DM2025" s="50"/>
      <c r="DQ2025" s="50"/>
    </row>
    <row r="2026" spans="117:121" x14ac:dyDescent="0.35">
      <c r="DM2026" s="50"/>
      <c r="DQ2026" s="50"/>
    </row>
    <row r="2027" spans="117:121" x14ac:dyDescent="0.35">
      <c r="DM2027" s="50"/>
      <c r="DQ2027" s="50"/>
    </row>
    <row r="2028" spans="117:121" x14ac:dyDescent="0.35">
      <c r="DM2028" s="50"/>
      <c r="DQ2028" s="50"/>
    </row>
    <row r="2029" spans="117:121" x14ac:dyDescent="0.35">
      <c r="DM2029" s="50"/>
      <c r="DQ2029" s="50"/>
    </row>
    <row r="2030" spans="117:121" x14ac:dyDescent="0.35">
      <c r="DM2030" s="50"/>
      <c r="DQ2030" s="50"/>
    </row>
    <row r="2031" spans="117:121" x14ac:dyDescent="0.35">
      <c r="DM2031" s="50"/>
      <c r="DQ2031" s="50"/>
    </row>
    <row r="2032" spans="117:121" x14ac:dyDescent="0.35">
      <c r="DM2032" s="50"/>
      <c r="DQ2032" s="50"/>
    </row>
    <row r="2033" spans="117:121" x14ac:dyDescent="0.35">
      <c r="DM2033" s="50"/>
      <c r="DQ2033" s="50"/>
    </row>
    <row r="2034" spans="117:121" x14ac:dyDescent="0.35">
      <c r="DM2034" s="50"/>
      <c r="DQ2034" s="50"/>
    </row>
    <row r="2035" spans="117:121" x14ac:dyDescent="0.35">
      <c r="DM2035" s="50"/>
      <c r="DQ2035" s="50"/>
    </row>
    <row r="2036" spans="117:121" x14ac:dyDescent="0.35">
      <c r="DM2036" s="50"/>
      <c r="DQ2036" s="50"/>
    </row>
    <row r="2037" spans="117:121" x14ac:dyDescent="0.35">
      <c r="DM2037" s="50"/>
      <c r="DQ2037" s="50"/>
    </row>
    <row r="2038" spans="117:121" x14ac:dyDescent="0.35">
      <c r="DM2038" s="50"/>
      <c r="DQ2038" s="50"/>
    </row>
    <row r="2039" spans="117:121" x14ac:dyDescent="0.35">
      <c r="DM2039" s="50"/>
      <c r="DQ2039" s="50"/>
    </row>
    <row r="2040" spans="117:121" x14ac:dyDescent="0.35">
      <c r="DM2040" s="50"/>
      <c r="DQ2040" s="50"/>
    </row>
    <row r="2041" spans="117:121" x14ac:dyDescent="0.35">
      <c r="DM2041" s="50"/>
      <c r="DQ2041" s="50"/>
    </row>
    <row r="2042" spans="117:121" x14ac:dyDescent="0.35">
      <c r="DM2042" s="50"/>
      <c r="DQ2042" s="50"/>
    </row>
    <row r="2043" spans="117:121" x14ac:dyDescent="0.35">
      <c r="DM2043" s="50"/>
      <c r="DQ2043" s="50"/>
    </row>
    <row r="2044" spans="117:121" x14ac:dyDescent="0.35">
      <c r="DM2044" s="50"/>
      <c r="DQ2044" s="50"/>
    </row>
    <row r="2045" spans="117:121" x14ac:dyDescent="0.35">
      <c r="DM2045" s="50"/>
      <c r="DQ2045" s="50"/>
    </row>
    <row r="2046" spans="117:121" x14ac:dyDescent="0.35">
      <c r="DM2046" s="50"/>
      <c r="DQ2046" s="50"/>
    </row>
    <row r="2047" spans="117:121" x14ac:dyDescent="0.35">
      <c r="DM2047" s="50"/>
      <c r="DQ2047" s="50"/>
    </row>
    <row r="2048" spans="117:121" x14ac:dyDescent="0.35">
      <c r="DM2048" s="50"/>
      <c r="DQ2048" s="50"/>
    </row>
    <row r="2049" spans="117:121" x14ac:dyDescent="0.35">
      <c r="DM2049" s="50"/>
      <c r="DQ2049" s="50"/>
    </row>
    <row r="2050" spans="117:121" x14ac:dyDescent="0.35">
      <c r="DM2050" s="50"/>
      <c r="DQ2050" s="50"/>
    </row>
    <row r="2051" spans="117:121" x14ac:dyDescent="0.35">
      <c r="DM2051" s="50"/>
      <c r="DQ2051" s="50"/>
    </row>
    <row r="2052" spans="117:121" x14ac:dyDescent="0.35">
      <c r="DM2052" s="50"/>
      <c r="DQ2052" s="50"/>
    </row>
    <row r="2053" spans="117:121" x14ac:dyDescent="0.35">
      <c r="DM2053" s="50"/>
      <c r="DQ2053" s="50"/>
    </row>
    <row r="2054" spans="117:121" x14ac:dyDescent="0.35">
      <c r="DM2054" s="50"/>
      <c r="DQ2054" s="50"/>
    </row>
    <row r="2055" spans="117:121" x14ac:dyDescent="0.35">
      <c r="DM2055" s="50"/>
      <c r="DQ2055" s="50"/>
    </row>
    <row r="2056" spans="117:121" x14ac:dyDescent="0.35">
      <c r="DM2056" s="50"/>
      <c r="DQ2056" s="50"/>
    </row>
    <row r="2057" spans="117:121" x14ac:dyDescent="0.35">
      <c r="DM2057" s="50"/>
      <c r="DQ2057" s="50"/>
    </row>
    <row r="2058" spans="117:121" x14ac:dyDescent="0.35">
      <c r="DM2058" s="50"/>
      <c r="DQ2058" s="50"/>
    </row>
    <row r="2059" spans="117:121" x14ac:dyDescent="0.35">
      <c r="DM2059" s="50"/>
      <c r="DQ2059" s="50"/>
    </row>
    <row r="2060" spans="117:121" x14ac:dyDescent="0.35">
      <c r="DM2060" s="50"/>
      <c r="DQ2060" s="50"/>
    </row>
    <row r="2061" spans="117:121" x14ac:dyDescent="0.35">
      <c r="DM2061" s="50"/>
      <c r="DQ2061" s="50"/>
    </row>
    <row r="2062" spans="117:121" x14ac:dyDescent="0.35">
      <c r="DM2062" s="50"/>
      <c r="DQ2062" s="50"/>
    </row>
    <row r="2063" spans="117:121" x14ac:dyDescent="0.35">
      <c r="DM2063" s="50"/>
      <c r="DQ2063" s="50"/>
    </row>
    <row r="2064" spans="117:121" x14ac:dyDescent="0.35">
      <c r="DM2064" s="50"/>
      <c r="DQ2064" s="50"/>
    </row>
    <row r="2065" spans="117:121" x14ac:dyDescent="0.35">
      <c r="DM2065" s="50"/>
      <c r="DQ2065" s="50"/>
    </row>
    <row r="2066" spans="117:121" x14ac:dyDescent="0.35">
      <c r="DM2066" s="50"/>
      <c r="DQ2066" s="50"/>
    </row>
    <row r="2067" spans="117:121" x14ac:dyDescent="0.35">
      <c r="DM2067" s="50"/>
      <c r="DQ2067" s="50"/>
    </row>
    <row r="2068" spans="117:121" x14ac:dyDescent="0.35">
      <c r="DM2068" s="50"/>
      <c r="DQ2068" s="50"/>
    </row>
    <row r="2069" spans="117:121" x14ac:dyDescent="0.35">
      <c r="DM2069" s="50"/>
      <c r="DQ2069" s="50"/>
    </row>
    <row r="2070" spans="117:121" x14ac:dyDescent="0.35">
      <c r="DM2070" s="50"/>
      <c r="DQ2070" s="50"/>
    </row>
    <row r="2071" spans="117:121" x14ac:dyDescent="0.35">
      <c r="DM2071" s="50"/>
      <c r="DQ2071" s="50"/>
    </row>
    <row r="2072" spans="117:121" x14ac:dyDescent="0.35">
      <c r="DM2072" s="50"/>
      <c r="DQ2072" s="50"/>
    </row>
    <row r="2073" spans="117:121" x14ac:dyDescent="0.35">
      <c r="DM2073" s="50"/>
      <c r="DQ2073" s="50"/>
    </row>
    <row r="2074" spans="117:121" x14ac:dyDescent="0.35">
      <c r="DM2074" s="50"/>
      <c r="DQ2074" s="50"/>
    </row>
    <row r="2075" spans="117:121" x14ac:dyDescent="0.35">
      <c r="DM2075" s="50"/>
      <c r="DQ2075" s="50"/>
    </row>
    <row r="2076" spans="117:121" x14ac:dyDescent="0.35">
      <c r="DM2076" s="50"/>
      <c r="DQ2076" s="50"/>
    </row>
    <row r="2077" spans="117:121" x14ac:dyDescent="0.35">
      <c r="DM2077" s="50"/>
      <c r="DQ2077" s="50"/>
    </row>
    <row r="2078" spans="117:121" x14ac:dyDescent="0.35">
      <c r="DM2078" s="50"/>
      <c r="DQ2078" s="50"/>
    </row>
    <row r="2079" spans="117:121" x14ac:dyDescent="0.35">
      <c r="DM2079" s="50"/>
      <c r="DQ2079" s="50"/>
    </row>
    <row r="2080" spans="117:121" x14ac:dyDescent="0.35">
      <c r="DM2080" s="50"/>
      <c r="DQ2080" s="50"/>
    </row>
    <row r="2081" spans="117:121" x14ac:dyDescent="0.35">
      <c r="DM2081" s="50"/>
      <c r="DQ2081" s="50"/>
    </row>
    <row r="2082" spans="117:121" x14ac:dyDescent="0.35">
      <c r="DM2082" s="50"/>
      <c r="DQ2082" s="50"/>
    </row>
    <row r="2083" spans="117:121" x14ac:dyDescent="0.35">
      <c r="DM2083" s="50"/>
      <c r="DQ2083" s="50"/>
    </row>
    <row r="2084" spans="117:121" x14ac:dyDescent="0.35">
      <c r="DM2084" s="50"/>
      <c r="DQ2084" s="50"/>
    </row>
    <row r="2085" spans="117:121" x14ac:dyDescent="0.35">
      <c r="DM2085" s="50"/>
      <c r="DQ2085" s="50"/>
    </row>
    <row r="2086" spans="117:121" x14ac:dyDescent="0.35">
      <c r="DM2086" s="50"/>
      <c r="DQ2086" s="50"/>
    </row>
    <row r="2087" spans="117:121" x14ac:dyDescent="0.35">
      <c r="DM2087" s="50"/>
      <c r="DQ2087" s="50"/>
    </row>
    <row r="2088" spans="117:121" x14ac:dyDescent="0.35">
      <c r="DM2088" s="50"/>
      <c r="DQ2088" s="50"/>
    </row>
    <row r="2089" spans="117:121" x14ac:dyDescent="0.35">
      <c r="DM2089" s="50"/>
      <c r="DQ2089" s="50"/>
    </row>
    <row r="2090" spans="117:121" x14ac:dyDescent="0.35">
      <c r="DM2090" s="50"/>
      <c r="DQ2090" s="50"/>
    </row>
    <row r="2091" spans="117:121" x14ac:dyDescent="0.35">
      <c r="DM2091" s="50"/>
      <c r="DQ2091" s="50"/>
    </row>
    <row r="2092" spans="117:121" x14ac:dyDescent="0.35">
      <c r="DM2092" s="50"/>
      <c r="DQ2092" s="50"/>
    </row>
    <row r="2093" spans="117:121" x14ac:dyDescent="0.35">
      <c r="DM2093" s="50"/>
      <c r="DQ2093" s="50"/>
    </row>
    <row r="2094" spans="117:121" x14ac:dyDescent="0.35">
      <c r="DM2094" s="50"/>
      <c r="DQ2094" s="50"/>
    </row>
    <row r="2095" spans="117:121" x14ac:dyDescent="0.35">
      <c r="DM2095" s="50"/>
      <c r="DQ2095" s="50"/>
    </row>
    <row r="2096" spans="117:121" x14ac:dyDescent="0.35">
      <c r="DM2096" s="50"/>
      <c r="DQ2096" s="50"/>
    </row>
    <row r="2097" spans="117:121" x14ac:dyDescent="0.35">
      <c r="DM2097" s="50"/>
      <c r="DQ2097" s="50"/>
    </row>
    <row r="2098" spans="117:121" x14ac:dyDescent="0.35">
      <c r="DM2098" s="50"/>
      <c r="DQ2098" s="50"/>
    </row>
    <row r="2099" spans="117:121" x14ac:dyDescent="0.35">
      <c r="DM2099" s="50"/>
      <c r="DQ2099" s="50"/>
    </row>
    <row r="2100" spans="117:121" x14ac:dyDescent="0.35">
      <c r="DM2100" s="50"/>
      <c r="DQ2100" s="50"/>
    </row>
    <row r="2101" spans="117:121" x14ac:dyDescent="0.35">
      <c r="DM2101" s="50"/>
      <c r="DQ2101" s="50"/>
    </row>
    <row r="2102" spans="117:121" x14ac:dyDescent="0.35">
      <c r="DM2102" s="50"/>
      <c r="DQ2102" s="50"/>
    </row>
    <row r="2103" spans="117:121" x14ac:dyDescent="0.35">
      <c r="DM2103" s="50"/>
      <c r="DQ2103" s="50"/>
    </row>
    <row r="2104" spans="117:121" x14ac:dyDescent="0.35">
      <c r="DM2104" s="50"/>
      <c r="DQ2104" s="50"/>
    </row>
    <row r="2105" spans="117:121" x14ac:dyDescent="0.35">
      <c r="DM2105" s="50"/>
      <c r="DQ2105" s="50"/>
    </row>
    <row r="2106" spans="117:121" x14ac:dyDescent="0.35">
      <c r="DM2106" s="50"/>
      <c r="DQ2106" s="50"/>
    </row>
    <row r="2107" spans="117:121" x14ac:dyDescent="0.35">
      <c r="DM2107" s="50"/>
      <c r="DQ2107" s="50"/>
    </row>
    <row r="2108" spans="117:121" x14ac:dyDescent="0.35">
      <c r="DM2108" s="50"/>
      <c r="DQ2108" s="50"/>
    </row>
    <row r="2109" spans="117:121" x14ac:dyDescent="0.35">
      <c r="DM2109" s="50"/>
      <c r="DQ2109" s="50"/>
    </row>
    <row r="2110" spans="117:121" x14ac:dyDescent="0.35">
      <c r="DM2110" s="50"/>
      <c r="DQ2110" s="50"/>
    </row>
    <row r="2111" spans="117:121" x14ac:dyDescent="0.35">
      <c r="DM2111" s="50"/>
      <c r="DQ2111" s="50"/>
    </row>
    <row r="2112" spans="117:121" x14ac:dyDescent="0.35">
      <c r="DM2112" s="50"/>
      <c r="DQ2112" s="50"/>
    </row>
    <row r="2113" spans="117:121" x14ac:dyDescent="0.35">
      <c r="DM2113" s="50"/>
      <c r="DQ2113" s="50"/>
    </row>
    <row r="2114" spans="117:121" x14ac:dyDescent="0.35">
      <c r="DM2114" s="50"/>
      <c r="DQ2114" s="50"/>
    </row>
    <row r="2115" spans="117:121" x14ac:dyDescent="0.35">
      <c r="DM2115" s="50"/>
      <c r="DQ2115" s="50"/>
    </row>
    <row r="2116" spans="117:121" x14ac:dyDescent="0.35">
      <c r="DM2116" s="50"/>
      <c r="DQ2116" s="50"/>
    </row>
    <row r="2117" spans="117:121" x14ac:dyDescent="0.35">
      <c r="DM2117" s="50"/>
      <c r="DQ2117" s="50"/>
    </row>
    <row r="2118" spans="117:121" x14ac:dyDescent="0.35">
      <c r="DM2118" s="50"/>
      <c r="DQ2118" s="50"/>
    </row>
    <row r="2119" spans="117:121" x14ac:dyDescent="0.35">
      <c r="DM2119" s="50"/>
      <c r="DQ2119" s="50"/>
    </row>
    <row r="2120" spans="117:121" x14ac:dyDescent="0.35">
      <c r="DM2120" s="50"/>
      <c r="DQ2120" s="50"/>
    </row>
    <row r="2121" spans="117:121" x14ac:dyDescent="0.35">
      <c r="DM2121" s="50"/>
      <c r="DQ2121" s="50"/>
    </row>
    <row r="2122" spans="117:121" x14ac:dyDescent="0.35">
      <c r="DM2122" s="50"/>
      <c r="DQ2122" s="50"/>
    </row>
    <row r="2123" spans="117:121" x14ac:dyDescent="0.35">
      <c r="DM2123" s="50"/>
      <c r="DQ2123" s="50"/>
    </row>
    <row r="2124" spans="117:121" x14ac:dyDescent="0.35">
      <c r="DM2124" s="50"/>
      <c r="DQ2124" s="50"/>
    </row>
    <row r="2125" spans="117:121" x14ac:dyDescent="0.35">
      <c r="DM2125" s="50"/>
      <c r="DQ2125" s="50"/>
    </row>
    <row r="2126" spans="117:121" x14ac:dyDescent="0.35">
      <c r="DM2126" s="50"/>
      <c r="DQ2126" s="50"/>
    </row>
    <row r="2127" spans="117:121" x14ac:dyDescent="0.35">
      <c r="DM2127" s="50"/>
      <c r="DQ2127" s="50"/>
    </row>
    <row r="2128" spans="117:121" x14ac:dyDescent="0.35">
      <c r="DM2128" s="50"/>
      <c r="DQ2128" s="50"/>
    </row>
    <row r="2129" spans="117:121" x14ac:dyDescent="0.35">
      <c r="DM2129" s="50"/>
      <c r="DQ2129" s="50"/>
    </row>
    <row r="2130" spans="117:121" x14ac:dyDescent="0.35">
      <c r="DM2130" s="50"/>
      <c r="DQ2130" s="50"/>
    </row>
    <row r="2131" spans="117:121" x14ac:dyDescent="0.35">
      <c r="DM2131" s="50"/>
      <c r="DQ2131" s="50"/>
    </row>
    <row r="2132" spans="117:121" x14ac:dyDescent="0.35">
      <c r="DM2132" s="50"/>
      <c r="DQ2132" s="50"/>
    </row>
    <row r="2133" spans="117:121" x14ac:dyDescent="0.35">
      <c r="DM2133" s="50"/>
      <c r="DQ2133" s="50"/>
    </row>
    <row r="2134" spans="117:121" x14ac:dyDescent="0.35">
      <c r="DM2134" s="50"/>
      <c r="DQ2134" s="50"/>
    </row>
    <row r="2135" spans="117:121" x14ac:dyDescent="0.35">
      <c r="DM2135" s="50"/>
      <c r="DQ2135" s="50"/>
    </row>
    <row r="2136" spans="117:121" x14ac:dyDescent="0.35">
      <c r="DM2136" s="50"/>
      <c r="DQ2136" s="50"/>
    </row>
    <row r="2137" spans="117:121" x14ac:dyDescent="0.35">
      <c r="DM2137" s="50"/>
      <c r="DQ2137" s="50"/>
    </row>
    <row r="2138" spans="117:121" x14ac:dyDescent="0.35">
      <c r="DM2138" s="50"/>
      <c r="DQ2138" s="50"/>
    </row>
    <row r="2139" spans="117:121" x14ac:dyDescent="0.35">
      <c r="DM2139" s="50"/>
      <c r="DQ2139" s="50"/>
    </row>
    <row r="2140" spans="117:121" x14ac:dyDescent="0.35">
      <c r="DM2140" s="50"/>
      <c r="DQ2140" s="50"/>
    </row>
    <row r="2141" spans="117:121" x14ac:dyDescent="0.35">
      <c r="DM2141" s="50"/>
      <c r="DQ2141" s="50"/>
    </row>
    <row r="2142" spans="117:121" x14ac:dyDescent="0.35">
      <c r="DM2142" s="50"/>
      <c r="DQ2142" s="50"/>
    </row>
    <row r="2143" spans="117:121" x14ac:dyDescent="0.35">
      <c r="DM2143" s="50"/>
      <c r="DQ2143" s="50"/>
    </row>
    <row r="2144" spans="117:121" x14ac:dyDescent="0.35">
      <c r="DM2144" s="50"/>
      <c r="DQ2144" s="50"/>
    </row>
    <row r="2145" spans="117:121" x14ac:dyDescent="0.35">
      <c r="DM2145" s="50"/>
      <c r="DQ2145" s="50"/>
    </row>
    <row r="2146" spans="117:121" x14ac:dyDescent="0.35">
      <c r="DM2146" s="50"/>
      <c r="DQ2146" s="50"/>
    </row>
    <row r="2147" spans="117:121" x14ac:dyDescent="0.35">
      <c r="DM2147" s="50"/>
      <c r="DQ2147" s="50"/>
    </row>
    <row r="2148" spans="117:121" x14ac:dyDescent="0.35">
      <c r="DM2148" s="50"/>
      <c r="DQ2148" s="50"/>
    </row>
    <row r="2149" spans="117:121" x14ac:dyDescent="0.35">
      <c r="DM2149" s="50"/>
      <c r="DQ2149" s="50"/>
    </row>
    <row r="2150" spans="117:121" x14ac:dyDescent="0.35">
      <c r="DM2150" s="50"/>
      <c r="DQ2150" s="50"/>
    </row>
    <row r="2151" spans="117:121" x14ac:dyDescent="0.35">
      <c r="DM2151" s="50"/>
      <c r="DQ2151" s="50"/>
    </row>
    <row r="2152" spans="117:121" x14ac:dyDescent="0.35">
      <c r="DM2152" s="50"/>
      <c r="DQ2152" s="50"/>
    </row>
    <row r="2153" spans="117:121" x14ac:dyDescent="0.35">
      <c r="DM2153" s="50"/>
      <c r="DQ2153" s="50"/>
    </row>
    <row r="2154" spans="117:121" x14ac:dyDescent="0.35">
      <c r="DM2154" s="50"/>
      <c r="DQ2154" s="50"/>
    </row>
    <row r="2155" spans="117:121" x14ac:dyDescent="0.35">
      <c r="DM2155" s="50"/>
      <c r="DQ2155" s="50"/>
    </row>
    <row r="2156" spans="117:121" x14ac:dyDescent="0.35">
      <c r="DM2156" s="50"/>
      <c r="DQ2156" s="50"/>
    </row>
    <row r="2157" spans="117:121" x14ac:dyDescent="0.35">
      <c r="DM2157" s="50"/>
      <c r="DQ2157" s="50"/>
    </row>
    <row r="2158" spans="117:121" x14ac:dyDescent="0.35">
      <c r="DM2158" s="50"/>
      <c r="DQ2158" s="50"/>
    </row>
    <row r="2159" spans="117:121" x14ac:dyDescent="0.35">
      <c r="DM2159" s="50"/>
      <c r="DQ2159" s="50"/>
    </row>
    <row r="2160" spans="117:121" x14ac:dyDescent="0.35">
      <c r="DM2160" s="50"/>
      <c r="DQ2160" s="50"/>
    </row>
    <row r="2161" spans="117:121" x14ac:dyDescent="0.35">
      <c r="DM2161" s="50"/>
      <c r="DQ2161" s="50"/>
    </row>
    <row r="2162" spans="117:121" x14ac:dyDescent="0.35">
      <c r="DM2162" s="50"/>
      <c r="DQ2162" s="50"/>
    </row>
    <row r="2163" spans="117:121" x14ac:dyDescent="0.35">
      <c r="DM2163" s="50"/>
      <c r="DQ2163" s="50"/>
    </row>
    <row r="2164" spans="117:121" x14ac:dyDescent="0.35">
      <c r="DM2164" s="50"/>
      <c r="DQ2164" s="50"/>
    </row>
    <row r="2165" spans="117:121" x14ac:dyDescent="0.35">
      <c r="DM2165" s="50"/>
      <c r="DQ2165" s="50"/>
    </row>
    <row r="2166" spans="117:121" x14ac:dyDescent="0.35">
      <c r="DM2166" s="50"/>
      <c r="DQ2166" s="50"/>
    </row>
    <row r="2167" spans="117:121" x14ac:dyDescent="0.35">
      <c r="DM2167" s="50"/>
      <c r="DQ2167" s="50"/>
    </row>
    <row r="2168" spans="117:121" x14ac:dyDescent="0.35">
      <c r="DM2168" s="50"/>
      <c r="DQ2168" s="50"/>
    </row>
    <row r="2169" spans="117:121" x14ac:dyDescent="0.35">
      <c r="DM2169" s="50"/>
      <c r="DQ2169" s="50"/>
    </row>
    <row r="2170" spans="117:121" x14ac:dyDescent="0.35">
      <c r="DM2170" s="50"/>
      <c r="DQ2170" s="50"/>
    </row>
    <row r="2171" spans="117:121" x14ac:dyDescent="0.35">
      <c r="DM2171" s="50"/>
      <c r="DQ2171" s="50"/>
    </row>
    <row r="2172" spans="117:121" x14ac:dyDescent="0.35">
      <c r="DM2172" s="50"/>
      <c r="DQ2172" s="50"/>
    </row>
    <row r="2173" spans="117:121" x14ac:dyDescent="0.35">
      <c r="DM2173" s="50"/>
      <c r="DQ2173" s="50"/>
    </row>
    <row r="2174" spans="117:121" x14ac:dyDescent="0.35">
      <c r="DM2174" s="50"/>
      <c r="DQ2174" s="50"/>
    </row>
    <row r="2175" spans="117:121" x14ac:dyDescent="0.35">
      <c r="DM2175" s="50"/>
      <c r="DQ2175" s="50"/>
    </row>
    <row r="2176" spans="117:121" x14ac:dyDescent="0.35">
      <c r="DM2176" s="50"/>
      <c r="DQ2176" s="50"/>
    </row>
    <row r="2177" spans="117:121" x14ac:dyDescent="0.35">
      <c r="DM2177" s="50"/>
      <c r="DQ2177" s="50"/>
    </row>
    <row r="2178" spans="117:121" x14ac:dyDescent="0.35">
      <c r="DM2178" s="50"/>
      <c r="DQ2178" s="50"/>
    </row>
    <row r="2179" spans="117:121" x14ac:dyDescent="0.35">
      <c r="DM2179" s="50"/>
      <c r="DQ2179" s="50"/>
    </row>
    <row r="2180" spans="117:121" x14ac:dyDescent="0.35">
      <c r="DM2180" s="50"/>
      <c r="DQ2180" s="50"/>
    </row>
    <row r="2181" spans="117:121" x14ac:dyDescent="0.35">
      <c r="DM2181" s="50"/>
      <c r="DQ2181" s="50"/>
    </row>
    <row r="2182" spans="117:121" x14ac:dyDescent="0.35">
      <c r="DM2182" s="50"/>
      <c r="DQ2182" s="50"/>
    </row>
    <row r="2183" spans="117:121" x14ac:dyDescent="0.35">
      <c r="DM2183" s="50"/>
      <c r="DQ2183" s="50"/>
    </row>
    <row r="2184" spans="117:121" x14ac:dyDescent="0.35">
      <c r="DM2184" s="50"/>
      <c r="DQ2184" s="50"/>
    </row>
    <row r="2185" spans="117:121" x14ac:dyDescent="0.35">
      <c r="DM2185" s="50"/>
      <c r="DQ2185" s="50"/>
    </row>
    <row r="2186" spans="117:121" x14ac:dyDescent="0.35">
      <c r="DM2186" s="50"/>
      <c r="DQ2186" s="50"/>
    </row>
    <row r="2187" spans="117:121" x14ac:dyDescent="0.35">
      <c r="DM2187" s="50"/>
      <c r="DQ2187" s="50"/>
    </row>
    <row r="2188" spans="117:121" x14ac:dyDescent="0.35">
      <c r="DM2188" s="50"/>
      <c r="DQ2188" s="50"/>
    </row>
    <row r="2189" spans="117:121" x14ac:dyDescent="0.35">
      <c r="DM2189" s="50"/>
      <c r="DQ2189" s="50"/>
    </row>
    <row r="2190" spans="117:121" x14ac:dyDescent="0.35">
      <c r="DM2190" s="50"/>
      <c r="DQ2190" s="50"/>
    </row>
    <row r="2191" spans="117:121" x14ac:dyDescent="0.35">
      <c r="DM2191" s="50"/>
      <c r="DQ2191" s="50"/>
    </row>
    <row r="2192" spans="117:121" x14ac:dyDescent="0.35">
      <c r="DM2192" s="50"/>
      <c r="DQ2192" s="50"/>
    </row>
    <row r="2193" spans="117:121" x14ac:dyDescent="0.35">
      <c r="DM2193" s="50"/>
      <c r="DQ2193" s="50"/>
    </row>
    <row r="2194" spans="117:121" x14ac:dyDescent="0.35">
      <c r="DM2194" s="50"/>
      <c r="DQ2194" s="50"/>
    </row>
    <row r="2195" spans="117:121" x14ac:dyDescent="0.35">
      <c r="DM2195" s="50"/>
      <c r="DQ2195" s="50"/>
    </row>
    <row r="2196" spans="117:121" x14ac:dyDescent="0.35">
      <c r="DM2196" s="50"/>
      <c r="DQ2196" s="50"/>
    </row>
    <row r="2197" spans="117:121" x14ac:dyDescent="0.35">
      <c r="DM2197" s="50"/>
      <c r="DQ2197" s="50"/>
    </row>
    <row r="2198" spans="117:121" x14ac:dyDescent="0.35">
      <c r="DM2198" s="50"/>
      <c r="DQ2198" s="50"/>
    </row>
    <row r="2199" spans="117:121" x14ac:dyDescent="0.35">
      <c r="DM2199" s="50"/>
      <c r="DQ2199" s="50"/>
    </row>
    <row r="2200" spans="117:121" x14ac:dyDescent="0.35">
      <c r="DM2200" s="50"/>
      <c r="DQ2200" s="50"/>
    </row>
    <row r="2201" spans="117:121" x14ac:dyDescent="0.35">
      <c r="DM2201" s="50"/>
      <c r="DQ2201" s="50"/>
    </row>
    <row r="2202" spans="117:121" x14ac:dyDescent="0.35">
      <c r="DM2202" s="50"/>
      <c r="DQ2202" s="50"/>
    </row>
    <row r="2203" spans="117:121" x14ac:dyDescent="0.35">
      <c r="DM2203" s="50"/>
      <c r="DQ2203" s="50"/>
    </row>
    <row r="2204" spans="117:121" x14ac:dyDescent="0.35">
      <c r="DM2204" s="50"/>
      <c r="DQ2204" s="50"/>
    </row>
    <row r="2205" spans="117:121" x14ac:dyDescent="0.35">
      <c r="DM2205" s="50"/>
      <c r="DQ2205" s="50"/>
    </row>
    <row r="2206" spans="117:121" x14ac:dyDescent="0.35">
      <c r="DM2206" s="50"/>
      <c r="DQ2206" s="50"/>
    </row>
    <row r="2207" spans="117:121" x14ac:dyDescent="0.35">
      <c r="DM2207" s="50"/>
      <c r="DQ2207" s="50"/>
    </row>
    <row r="2208" spans="117:121" x14ac:dyDescent="0.35">
      <c r="DM2208" s="50"/>
      <c r="DQ2208" s="50"/>
    </row>
    <row r="2209" spans="117:121" x14ac:dyDescent="0.35">
      <c r="DM2209" s="50"/>
      <c r="DQ2209" s="50"/>
    </row>
    <row r="2210" spans="117:121" x14ac:dyDescent="0.35">
      <c r="DM2210" s="50"/>
      <c r="DQ2210" s="50"/>
    </row>
    <row r="2211" spans="117:121" x14ac:dyDescent="0.35">
      <c r="DM2211" s="50"/>
      <c r="DQ2211" s="50"/>
    </row>
    <row r="2212" spans="117:121" x14ac:dyDescent="0.35">
      <c r="DM2212" s="50"/>
      <c r="DQ2212" s="50"/>
    </row>
    <row r="2213" spans="117:121" x14ac:dyDescent="0.35">
      <c r="DM2213" s="50"/>
      <c r="DQ2213" s="50"/>
    </row>
    <row r="2214" spans="117:121" x14ac:dyDescent="0.35">
      <c r="DM2214" s="50"/>
      <c r="DQ2214" s="50"/>
    </row>
    <row r="2215" spans="117:121" x14ac:dyDescent="0.35">
      <c r="DM2215" s="50"/>
      <c r="DQ2215" s="50"/>
    </row>
    <row r="2216" spans="117:121" x14ac:dyDescent="0.35">
      <c r="DM2216" s="50"/>
      <c r="DQ2216" s="50"/>
    </row>
    <row r="2217" spans="117:121" x14ac:dyDescent="0.35">
      <c r="DM2217" s="50"/>
      <c r="DQ2217" s="50"/>
    </row>
    <row r="2218" spans="117:121" x14ac:dyDescent="0.35">
      <c r="DM2218" s="50"/>
      <c r="DQ2218" s="50"/>
    </row>
    <row r="2219" spans="117:121" x14ac:dyDescent="0.35">
      <c r="DM2219" s="50"/>
      <c r="DQ2219" s="50"/>
    </row>
    <row r="2220" spans="117:121" x14ac:dyDescent="0.35">
      <c r="DM2220" s="50"/>
      <c r="DQ2220" s="50"/>
    </row>
    <row r="2221" spans="117:121" x14ac:dyDescent="0.35">
      <c r="DM2221" s="50"/>
      <c r="DQ2221" s="50"/>
    </row>
    <row r="2222" spans="117:121" x14ac:dyDescent="0.35">
      <c r="DM2222" s="50"/>
      <c r="DQ2222" s="50"/>
    </row>
    <row r="2223" spans="117:121" x14ac:dyDescent="0.35">
      <c r="DM2223" s="50"/>
      <c r="DQ2223" s="50"/>
    </row>
    <row r="2224" spans="117:121" x14ac:dyDescent="0.35">
      <c r="DM2224" s="50"/>
      <c r="DQ2224" s="50"/>
    </row>
    <row r="2225" spans="117:121" x14ac:dyDescent="0.35">
      <c r="DM2225" s="50"/>
      <c r="DQ2225" s="50"/>
    </row>
    <row r="2226" spans="117:121" x14ac:dyDescent="0.35">
      <c r="DM2226" s="50"/>
      <c r="DQ2226" s="50"/>
    </row>
    <row r="2227" spans="117:121" x14ac:dyDescent="0.35">
      <c r="DM2227" s="50"/>
      <c r="DQ2227" s="50"/>
    </row>
    <row r="2228" spans="117:121" x14ac:dyDescent="0.35">
      <c r="DM2228" s="50"/>
      <c r="DQ2228" s="50"/>
    </row>
    <row r="2229" spans="117:121" x14ac:dyDescent="0.35">
      <c r="DM2229" s="50"/>
      <c r="DQ2229" s="50"/>
    </row>
    <row r="2230" spans="117:121" x14ac:dyDescent="0.35">
      <c r="DM2230" s="50"/>
      <c r="DQ2230" s="50"/>
    </row>
    <row r="2231" spans="117:121" x14ac:dyDescent="0.35">
      <c r="DM2231" s="50"/>
      <c r="DQ2231" s="50"/>
    </row>
    <row r="2232" spans="117:121" x14ac:dyDescent="0.35">
      <c r="DM2232" s="50"/>
      <c r="DQ2232" s="50"/>
    </row>
    <row r="2233" spans="117:121" x14ac:dyDescent="0.35">
      <c r="DM2233" s="50"/>
      <c r="DQ2233" s="50"/>
    </row>
    <row r="2234" spans="117:121" x14ac:dyDescent="0.35">
      <c r="DM2234" s="50"/>
      <c r="DQ2234" s="50"/>
    </row>
    <row r="2235" spans="117:121" x14ac:dyDescent="0.35">
      <c r="DM2235" s="50"/>
      <c r="DQ2235" s="50"/>
    </row>
    <row r="2236" spans="117:121" x14ac:dyDescent="0.35">
      <c r="DM2236" s="50"/>
      <c r="DQ2236" s="50"/>
    </row>
    <row r="2237" spans="117:121" x14ac:dyDescent="0.35">
      <c r="DM2237" s="50"/>
      <c r="DQ2237" s="50"/>
    </row>
    <row r="2238" spans="117:121" x14ac:dyDescent="0.35">
      <c r="DM2238" s="50"/>
      <c r="DQ2238" s="50"/>
    </row>
    <row r="2239" spans="117:121" x14ac:dyDescent="0.35">
      <c r="DM2239" s="50"/>
      <c r="DQ2239" s="50"/>
    </row>
    <row r="2240" spans="117:121" x14ac:dyDescent="0.35">
      <c r="DM2240" s="50"/>
      <c r="DQ2240" s="50"/>
    </row>
    <row r="2241" spans="117:121" x14ac:dyDescent="0.35">
      <c r="DM2241" s="50"/>
      <c r="DQ2241" s="50"/>
    </row>
    <row r="2242" spans="117:121" x14ac:dyDescent="0.35">
      <c r="DM2242" s="50"/>
      <c r="DQ2242" s="50"/>
    </row>
    <row r="2243" spans="117:121" x14ac:dyDescent="0.35">
      <c r="DM2243" s="50"/>
      <c r="DQ2243" s="50"/>
    </row>
    <row r="2244" spans="117:121" x14ac:dyDescent="0.35">
      <c r="DM2244" s="50"/>
      <c r="DQ2244" s="50"/>
    </row>
    <row r="2245" spans="117:121" x14ac:dyDescent="0.35">
      <c r="DM2245" s="50"/>
      <c r="DQ2245" s="50"/>
    </row>
    <row r="2246" spans="117:121" x14ac:dyDescent="0.35">
      <c r="DM2246" s="50"/>
      <c r="DQ2246" s="50"/>
    </row>
    <row r="2247" spans="117:121" x14ac:dyDescent="0.35">
      <c r="DM2247" s="50"/>
      <c r="DQ2247" s="50"/>
    </row>
    <row r="2248" spans="117:121" x14ac:dyDescent="0.35">
      <c r="DM2248" s="50"/>
      <c r="DQ2248" s="50"/>
    </row>
    <row r="2249" spans="117:121" x14ac:dyDescent="0.35">
      <c r="DM2249" s="50"/>
      <c r="DQ2249" s="50"/>
    </row>
    <row r="2250" spans="117:121" x14ac:dyDescent="0.35">
      <c r="DM2250" s="50"/>
      <c r="DQ2250" s="50"/>
    </row>
    <row r="2251" spans="117:121" x14ac:dyDescent="0.35">
      <c r="DM2251" s="50"/>
      <c r="DQ2251" s="50"/>
    </row>
    <row r="2252" spans="117:121" x14ac:dyDescent="0.35">
      <c r="DM2252" s="50"/>
      <c r="DQ2252" s="50"/>
    </row>
    <row r="2253" spans="117:121" x14ac:dyDescent="0.35">
      <c r="DM2253" s="50"/>
      <c r="DQ2253" s="50"/>
    </row>
    <row r="2254" spans="117:121" x14ac:dyDescent="0.35">
      <c r="DM2254" s="50"/>
      <c r="DQ2254" s="50"/>
    </row>
    <row r="2255" spans="117:121" x14ac:dyDescent="0.35">
      <c r="DM2255" s="50"/>
      <c r="DQ2255" s="50"/>
    </row>
    <row r="2256" spans="117:121" x14ac:dyDescent="0.35">
      <c r="DM2256" s="50"/>
      <c r="DQ2256" s="50"/>
    </row>
    <row r="2257" spans="117:121" x14ac:dyDescent="0.35">
      <c r="DM2257" s="50"/>
      <c r="DQ2257" s="50"/>
    </row>
    <row r="2258" spans="117:121" x14ac:dyDescent="0.35">
      <c r="DM2258" s="50"/>
      <c r="DQ2258" s="50"/>
    </row>
    <row r="2259" spans="117:121" x14ac:dyDescent="0.35">
      <c r="DM2259" s="50"/>
      <c r="DQ2259" s="50"/>
    </row>
    <row r="2260" spans="117:121" x14ac:dyDescent="0.35">
      <c r="DM2260" s="50"/>
      <c r="DQ2260" s="50"/>
    </row>
    <row r="2261" spans="117:121" x14ac:dyDescent="0.35">
      <c r="DM2261" s="50"/>
      <c r="DQ2261" s="50"/>
    </row>
    <row r="2262" spans="117:121" x14ac:dyDescent="0.35">
      <c r="DM2262" s="50"/>
      <c r="DQ2262" s="50"/>
    </row>
    <row r="2263" spans="117:121" x14ac:dyDescent="0.35">
      <c r="DM2263" s="50"/>
      <c r="DQ2263" s="50"/>
    </row>
    <row r="2264" spans="117:121" x14ac:dyDescent="0.35">
      <c r="DM2264" s="50"/>
      <c r="DQ2264" s="50"/>
    </row>
    <row r="2265" spans="117:121" x14ac:dyDescent="0.35">
      <c r="DM2265" s="50"/>
      <c r="DQ2265" s="50"/>
    </row>
    <row r="2266" spans="117:121" x14ac:dyDescent="0.35">
      <c r="DM2266" s="50"/>
      <c r="DQ2266" s="50"/>
    </row>
    <row r="2267" spans="117:121" x14ac:dyDescent="0.35">
      <c r="DM2267" s="50"/>
      <c r="DQ2267" s="50"/>
    </row>
    <row r="2268" spans="117:121" x14ac:dyDescent="0.35">
      <c r="DM2268" s="50"/>
      <c r="DQ2268" s="50"/>
    </row>
    <row r="2269" spans="117:121" x14ac:dyDescent="0.35">
      <c r="DM2269" s="50"/>
      <c r="DQ2269" s="50"/>
    </row>
    <row r="2270" spans="117:121" x14ac:dyDescent="0.35">
      <c r="DM2270" s="50"/>
      <c r="DQ2270" s="50"/>
    </row>
    <row r="2271" spans="117:121" x14ac:dyDescent="0.35">
      <c r="DM2271" s="50"/>
      <c r="DQ2271" s="50"/>
    </row>
    <row r="2272" spans="117:121" x14ac:dyDescent="0.35">
      <c r="DM2272" s="50"/>
      <c r="DQ2272" s="50"/>
    </row>
    <row r="2273" spans="117:121" x14ac:dyDescent="0.35">
      <c r="DM2273" s="50"/>
      <c r="DQ2273" s="50"/>
    </row>
    <row r="2274" spans="117:121" x14ac:dyDescent="0.35">
      <c r="DM2274" s="50"/>
      <c r="DQ2274" s="50"/>
    </row>
    <row r="2275" spans="117:121" x14ac:dyDescent="0.35">
      <c r="DM2275" s="50"/>
      <c r="DQ2275" s="50"/>
    </row>
    <row r="2276" spans="117:121" x14ac:dyDescent="0.35">
      <c r="DM2276" s="50"/>
      <c r="DQ2276" s="50"/>
    </row>
    <row r="2277" spans="117:121" x14ac:dyDescent="0.35">
      <c r="DM2277" s="50"/>
      <c r="DQ2277" s="50"/>
    </row>
    <row r="2278" spans="117:121" x14ac:dyDescent="0.35">
      <c r="DM2278" s="50"/>
      <c r="DQ2278" s="50"/>
    </row>
    <row r="2279" spans="117:121" x14ac:dyDescent="0.35">
      <c r="DM2279" s="50"/>
      <c r="DQ2279" s="50"/>
    </row>
    <row r="2280" spans="117:121" x14ac:dyDescent="0.35">
      <c r="DM2280" s="50"/>
      <c r="DQ2280" s="50"/>
    </row>
    <row r="2281" spans="117:121" x14ac:dyDescent="0.35">
      <c r="DM2281" s="50"/>
      <c r="DQ2281" s="50"/>
    </row>
    <row r="2282" spans="117:121" x14ac:dyDescent="0.35">
      <c r="DM2282" s="50"/>
      <c r="DQ2282" s="50"/>
    </row>
    <row r="2283" spans="117:121" x14ac:dyDescent="0.35">
      <c r="DM2283" s="50"/>
      <c r="DQ2283" s="50"/>
    </row>
    <row r="2284" spans="117:121" x14ac:dyDescent="0.35">
      <c r="DM2284" s="50"/>
      <c r="DQ2284" s="50"/>
    </row>
    <row r="2285" spans="117:121" x14ac:dyDescent="0.35">
      <c r="DM2285" s="50"/>
      <c r="DQ2285" s="50"/>
    </row>
    <row r="2286" spans="117:121" x14ac:dyDescent="0.35">
      <c r="DM2286" s="50"/>
      <c r="DQ2286" s="50"/>
    </row>
    <row r="2287" spans="117:121" x14ac:dyDescent="0.35">
      <c r="DM2287" s="50"/>
      <c r="DQ2287" s="50"/>
    </row>
    <row r="2288" spans="117:121" x14ac:dyDescent="0.35">
      <c r="DM2288" s="50"/>
      <c r="DQ2288" s="50"/>
    </row>
    <row r="2289" spans="117:121" x14ac:dyDescent="0.35">
      <c r="DM2289" s="50"/>
      <c r="DQ2289" s="50"/>
    </row>
    <row r="2290" spans="117:121" x14ac:dyDescent="0.35">
      <c r="DM2290" s="50"/>
      <c r="DQ2290" s="50"/>
    </row>
    <row r="2291" spans="117:121" x14ac:dyDescent="0.35">
      <c r="DM2291" s="50"/>
      <c r="DQ2291" s="50"/>
    </row>
    <row r="2292" spans="117:121" x14ac:dyDescent="0.35">
      <c r="DM2292" s="50"/>
      <c r="DQ2292" s="50"/>
    </row>
    <row r="2293" spans="117:121" x14ac:dyDescent="0.35">
      <c r="DM2293" s="50"/>
      <c r="DQ2293" s="50"/>
    </row>
    <row r="2294" spans="117:121" x14ac:dyDescent="0.35">
      <c r="DM2294" s="50"/>
      <c r="DQ2294" s="50"/>
    </row>
    <row r="2295" spans="117:121" x14ac:dyDescent="0.35">
      <c r="DM2295" s="50"/>
      <c r="DQ2295" s="50"/>
    </row>
    <row r="2296" spans="117:121" x14ac:dyDescent="0.35">
      <c r="DM2296" s="50"/>
      <c r="DQ2296" s="50"/>
    </row>
    <row r="2297" spans="117:121" x14ac:dyDescent="0.35">
      <c r="DM2297" s="50"/>
      <c r="DQ2297" s="50"/>
    </row>
    <row r="2298" spans="117:121" x14ac:dyDescent="0.35">
      <c r="DM2298" s="50"/>
      <c r="DQ2298" s="50"/>
    </row>
    <row r="2299" spans="117:121" x14ac:dyDescent="0.35">
      <c r="DM2299" s="50"/>
      <c r="DQ2299" s="50"/>
    </row>
    <row r="2300" spans="117:121" x14ac:dyDescent="0.35">
      <c r="DM2300" s="50"/>
      <c r="DQ2300" s="50"/>
    </row>
    <row r="2301" spans="117:121" x14ac:dyDescent="0.35">
      <c r="DM2301" s="50"/>
      <c r="DQ2301" s="50"/>
    </row>
    <row r="2302" spans="117:121" x14ac:dyDescent="0.35">
      <c r="DM2302" s="50"/>
      <c r="DQ2302" s="50"/>
    </row>
    <row r="2303" spans="117:121" x14ac:dyDescent="0.35">
      <c r="DM2303" s="50"/>
      <c r="DQ2303" s="50"/>
    </row>
    <row r="2304" spans="117:121" x14ac:dyDescent="0.35">
      <c r="DM2304" s="50"/>
      <c r="DQ2304" s="50"/>
    </row>
    <row r="2305" spans="117:121" x14ac:dyDescent="0.35">
      <c r="DM2305" s="50"/>
      <c r="DQ2305" s="50"/>
    </row>
    <row r="2306" spans="117:121" x14ac:dyDescent="0.35">
      <c r="DM2306" s="50"/>
      <c r="DQ2306" s="50"/>
    </row>
    <row r="2307" spans="117:121" x14ac:dyDescent="0.35">
      <c r="DM2307" s="50"/>
      <c r="DQ2307" s="50"/>
    </row>
    <row r="2308" spans="117:121" x14ac:dyDescent="0.35">
      <c r="DM2308" s="50"/>
      <c r="DQ2308" s="50"/>
    </row>
    <row r="2309" spans="117:121" x14ac:dyDescent="0.35">
      <c r="DM2309" s="50"/>
      <c r="DQ2309" s="50"/>
    </row>
    <row r="2310" spans="117:121" x14ac:dyDescent="0.35">
      <c r="DM2310" s="50"/>
      <c r="DQ2310" s="50"/>
    </row>
    <row r="2311" spans="117:121" x14ac:dyDescent="0.35">
      <c r="DM2311" s="50"/>
      <c r="DQ2311" s="50"/>
    </row>
    <row r="2312" spans="117:121" x14ac:dyDescent="0.35">
      <c r="DM2312" s="50"/>
      <c r="DQ2312" s="50"/>
    </row>
    <row r="2313" spans="117:121" x14ac:dyDescent="0.35">
      <c r="DM2313" s="50"/>
      <c r="DQ2313" s="50"/>
    </row>
    <row r="2314" spans="117:121" x14ac:dyDescent="0.35">
      <c r="DM2314" s="50"/>
      <c r="DQ2314" s="50"/>
    </row>
    <row r="2315" spans="117:121" x14ac:dyDescent="0.35">
      <c r="DM2315" s="50"/>
      <c r="DQ2315" s="50"/>
    </row>
    <row r="2316" spans="117:121" x14ac:dyDescent="0.35">
      <c r="DM2316" s="50"/>
      <c r="DQ2316" s="50"/>
    </row>
    <row r="2317" spans="117:121" x14ac:dyDescent="0.35">
      <c r="DM2317" s="50"/>
      <c r="DQ2317" s="50"/>
    </row>
    <row r="2318" spans="117:121" x14ac:dyDescent="0.35">
      <c r="DM2318" s="50"/>
      <c r="DQ2318" s="50"/>
    </row>
    <row r="2319" spans="117:121" x14ac:dyDescent="0.35">
      <c r="DM2319" s="50"/>
      <c r="DQ2319" s="50"/>
    </row>
    <row r="2320" spans="117:121" x14ac:dyDescent="0.35">
      <c r="DM2320" s="50"/>
      <c r="DQ2320" s="50"/>
    </row>
    <row r="2321" spans="117:121" x14ac:dyDescent="0.35">
      <c r="DM2321" s="50"/>
      <c r="DQ2321" s="50"/>
    </row>
    <row r="2322" spans="117:121" x14ac:dyDescent="0.35">
      <c r="DM2322" s="50"/>
      <c r="DQ2322" s="50"/>
    </row>
    <row r="2323" spans="117:121" x14ac:dyDescent="0.35">
      <c r="DM2323" s="50"/>
      <c r="DQ2323" s="50"/>
    </row>
    <row r="2324" spans="117:121" x14ac:dyDescent="0.35">
      <c r="DM2324" s="50"/>
      <c r="DQ2324" s="50"/>
    </row>
    <row r="2325" spans="117:121" x14ac:dyDescent="0.35">
      <c r="DM2325" s="50"/>
      <c r="DQ2325" s="50"/>
    </row>
    <row r="2326" spans="117:121" x14ac:dyDescent="0.35">
      <c r="DM2326" s="50"/>
      <c r="DQ2326" s="50"/>
    </row>
    <row r="2327" spans="117:121" x14ac:dyDescent="0.35">
      <c r="DM2327" s="50"/>
      <c r="DQ2327" s="50"/>
    </row>
    <row r="2328" spans="117:121" x14ac:dyDescent="0.35">
      <c r="DM2328" s="50"/>
      <c r="DQ2328" s="50"/>
    </row>
    <row r="2329" spans="117:121" x14ac:dyDescent="0.35">
      <c r="DM2329" s="50"/>
      <c r="DQ2329" s="50"/>
    </row>
    <row r="2330" spans="117:121" x14ac:dyDescent="0.35">
      <c r="DM2330" s="50"/>
      <c r="DQ2330" s="50"/>
    </row>
    <row r="2331" spans="117:121" x14ac:dyDescent="0.35">
      <c r="DM2331" s="50"/>
      <c r="DQ2331" s="50"/>
    </row>
    <row r="2332" spans="117:121" x14ac:dyDescent="0.35">
      <c r="DM2332" s="50"/>
      <c r="DQ2332" s="50"/>
    </row>
    <row r="2333" spans="117:121" x14ac:dyDescent="0.35">
      <c r="DM2333" s="50"/>
      <c r="DQ2333" s="50"/>
    </row>
    <row r="2334" spans="117:121" x14ac:dyDescent="0.35">
      <c r="DM2334" s="50"/>
      <c r="DQ2334" s="50"/>
    </row>
    <row r="2335" spans="117:121" x14ac:dyDescent="0.35">
      <c r="DM2335" s="50"/>
      <c r="DQ2335" s="50"/>
    </row>
    <row r="2336" spans="117:121" x14ac:dyDescent="0.35">
      <c r="DM2336" s="50"/>
      <c r="DQ2336" s="50"/>
    </row>
    <row r="2337" spans="117:121" x14ac:dyDescent="0.35">
      <c r="DM2337" s="50"/>
      <c r="DQ2337" s="50"/>
    </row>
    <row r="2338" spans="117:121" x14ac:dyDescent="0.35">
      <c r="DM2338" s="50"/>
      <c r="DQ2338" s="50"/>
    </row>
    <row r="2339" spans="117:121" x14ac:dyDescent="0.35">
      <c r="DM2339" s="50"/>
      <c r="DQ2339" s="50"/>
    </row>
    <row r="2340" spans="117:121" x14ac:dyDescent="0.35">
      <c r="DM2340" s="50"/>
      <c r="DQ2340" s="50"/>
    </row>
    <row r="2341" spans="117:121" x14ac:dyDescent="0.35">
      <c r="DM2341" s="50"/>
      <c r="DQ2341" s="50"/>
    </row>
    <row r="2342" spans="117:121" x14ac:dyDescent="0.35">
      <c r="DM2342" s="50"/>
      <c r="DQ2342" s="50"/>
    </row>
    <row r="2343" spans="117:121" x14ac:dyDescent="0.35">
      <c r="DM2343" s="50"/>
      <c r="DQ2343" s="50"/>
    </row>
    <row r="2344" spans="117:121" x14ac:dyDescent="0.35">
      <c r="DM2344" s="50"/>
      <c r="DQ2344" s="50"/>
    </row>
    <row r="2345" spans="117:121" x14ac:dyDescent="0.35">
      <c r="DM2345" s="50"/>
      <c r="DQ2345" s="50"/>
    </row>
    <row r="2346" spans="117:121" x14ac:dyDescent="0.35">
      <c r="DM2346" s="50"/>
      <c r="DQ2346" s="50"/>
    </row>
    <row r="2347" spans="117:121" x14ac:dyDescent="0.35">
      <c r="DM2347" s="50"/>
      <c r="DQ2347" s="50"/>
    </row>
    <row r="2348" spans="117:121" x14ac:dyDescent="0.35">
      <c r="DM2348" s="50"/>
      <c r="DQ2348" s="50"/>
    </row>
    <row r="2349" spans="117:121" x14ac:dyDescent="0.35">
      <c r="DM2349" s="50"/>
      <c r="DQ2349" s="50"/>
    </row>
    <row r="2350" spans="117:121" x14ac:dyDescent="0.35">
      <c r="DM2350" s="50"/>
      <c r="DQ2350" s="50"/>
    </row>
    <row r="2351" spans="117:121" x14ac:dyDescent="0.35">
      <c r="DM2351" s="50"/>
      <c r="DQ2351" s="50"/>
    </row>
    <row r="2352" spans="117:121" x14ac:dyDescent="0.35">
      <c r="DM2352" s="50"/>
      <c r="DQ2352" s="50"/>
    </row>
    <row r="2353" spans="117:121" x14ac:dyDescent="0.35">
      <c r="DM2353" s="50"/>
      <c r="DQ2353" s="50"/>
    </row>
    <row r="2354" spans="117:121" x14ac:dyDescent="0.35">
      <c r="DM2354" s="50"/>
      <c r="DQ2354" s="50"/>
    </row>
    <row r="2355" spans="117:121" x14ac:dyDescent="0.35">
      <c r="DM2355" s="50"/>
      <c r="DQ2355" s="50"/>
    </row>
    <row r="2356" spans="117:121" x14ac:dyDescent="0.35">
      <c r="DM2356" s="50"/>
      <c r="DQ2356" s="50"/>
    </row>
    <row r="2357" spans="117:121" x14ac:dyDescent="0.35">
      <c r="DM2357" s="50"/>
      <c r="DQ2357" s="50"/>
    </row>
    <row r="2358" spans="117:121" x14ac:dyDescent="0.35">
      <c r="DM2358" s="50"/>
      <c r="DQ2358" s="50"/>
    </row>
    <row r="2359" spans="117:121" x14ac:dyDescent="0.35">
      <c r="DM2359" s="50"/>
      <c r="DQ2359" s="50"/>
    </row>
    <row r="2360" spans="117:121" x14ac:dyDescent="0.35">
      <c r="DM2360" s="50"/>
      <c r="DQ2360" s="50"/>
    </row>
    <row r="2361" spans="117:121" x14ac:dyDescent="0.35">
      <c r="DM2361" s="50"/>
      <c r="DQ2361" s="50"/>
    </row>
    <row r="2362" spans="117:121" x14ac:dyDescent="0.35">
      <c r="DM2362" s="50"/>
      <c r="DQ2362" s="50"/>
    </row>
    <row r="2363" spans="117:121" x14ac:dyDescent="0.35">
      <c r="DM2363" s="50"/>
      <c r="DQ2363" s="50"/>
    </row>
    <row r="2364" spans="117:121" x14ac:dyDescent="0.35">
      <c r="DM2364" s="50"/>
      <c r="DQ2364" s="50"/>
    </row>
    <row r="2365" spans="117:121" x14ac:dyDescent="0.35">
      <c r="DM2365" s="50"/>
      <c r="DQ2365" s="50"/>
    </row>
    <row r="2366" spans="117:121" x14ac:dyDescent="0.35">
      <c r="DM2366" s="50"/>
      <c r="DQ2366" s="50"/>
    </row>
    <row r="2367" spans="117:121" x14ac:dyDescent="0.35">
      <c r="DM2367" s="50"/>
      <c r="DQ2367" s="50"/>
    </row>
    <row r="2368" spans="117:121" x14ac:dyDescent="0.35">
      <c r="DM2368" s="50"/>
      <c r="DQ2368" s="50"/>
    </row>
    <row r="2369" spans="117:121" x14ac:dyDescent="0.35">
      <c r="DM2369" s="50"/>
      <c r="DQ2369" s="50"/>
    </row>
    <row r="2370" spans="117:121" x14ac:dyDescent="0.35">
      <c r="DM2370" s="50"/>
      <c r="DQ2370" s="50"/>
    </row>
    <row r="2371" spans="117:121" x14ac:dyDescent="0.35">
      <c r="DM2371" s="50"/>
      <c r="DQ2371" s="50"/>
    </row>
    <row r="2372" spans="117:121" x14ac:dyDescent="0.35">
      <c r="DM2372" s="50"/>
      <c r="DQ2372" s="50"/>
    </row>
    <row r="2373" spans="117:121" x14ac:dyDescent="0.35">
      <c r="DM2373" s="50"/>
      <c r="DQ2373" s="50"/>
    </row>
    <row r="2374" spans="117:121" x14ac:dyDescent="0.35">
      <c r="DM2374" s="50"/>
      <c r="DQ2374" s="50"/>
    </row>
    <row r="2375" spans="117:121" x14ac:dyDescent="0.35">
      <c r="DM2375" s="50"/>
      <c r="DQ2375" s="50"/>
    </row>
    <row r="2376" spans="117:121" x14ac:dyDescent="0.35">
      <c r="DM2376" s="50"/>
      <c r="DQ2376" s="50"/>
    </row>
    <row r="2377" spans="117:121" x14ac:dyDescent="0.35">
      <c r="DM2377" s="50"/>
      <c r="DQ2377" s="50"/>
    </row>
    <row r="2378" spans="117:121" x14ac:dyDescent="0.35">
      <c r="DM2378" s="50"/>
      <c r="DQ2378" s="50"/>
    </row>
    <row r="2379" spans="117:121" x14ac:dyDescent="0.35">
      <c r="DM2379" s="50"/>
      <c r="DQ2379" s="50"/>
    </row>
    <row r="2380" spans="117:121" x14ac:dyDescent="0.35">
      <c r="DM2380" s="50"/>
      <c r="DQ2380" s="50"/>
    </row>
    <row r="2381" spans="117:121" x14ac:dyDescent="0.35">
      <c r="DM2381" s="50"/>
      <c r="DQ2381" s="50"/>
    </row>
    <row r="2382" spans="117:121" x14ac:dyDescent="0.35">
      <c r="DM2382" s="50"/>
      <c r="DQ2382" s="50"/>
    </row>
    <row r="2383" spans="117:121" x14ac:dyDescent="0.35">
      <c r="DM2383" s="50"/>
      <c r="DQ2383" s="50"/>
    </row>
    <row r="2384" spans="117:121" x14ac:dyDescent="0.35">
      <c r="DM2384" s="50"/>
      <c r="DQ2384" s="50"/>
    </row>
    <row r="2385" spans="117:121" x14ac:dyDescent="0.35">
      <c r="DM2385" s="50"/>
      <c r="DQ2385" s="50"/>
    </row>
    <row r="2386" spans="117:121" x14ac:dyDescent="0.35">
      <c r="DM2386" s="50"/>
      <c r="DQ2386" s="50"/>
    </row>
    <row r="2387" spans="117:121" x14ac:dyDescent="0.35">
      <c r="DM2387" s="50"/>
      <c r="DQ2387" s="50"/>
    </row>
    <row r="2388" spans="117:121" x14ac:dyDescent="0.35">
      <c r="DM2388" s="50"/>
      <c r="DQ2388" s="50"/>
    </row>
    <row r="2389" spans="117:121" x14ac:dyDescent="0.35">
      <c r="DM2389" s="50"/>
      <c r="DQ2389" s="50"/>
    </row>
    <row r="2390" spans="117:121" x14ac:dyDescent="0.35">
      <c r="DM2390" s="50"/>
      <c r="DQ2390" s="50"/>
    </row>
    <row r="2391" spans="117:121" x14ac:dyDescent="0.35">
      <c r="DM2391" s="50"/>
      <c r="DQ2391" s="50"/>
    </row>
    <row r="2392" spans="117:121" x14ac:dyDescent="0.35">
      <c r="DM2392" s="50"/>
      <c r="DQ2392" s="50"/>
    </row>
    <row r="2393" spans="117:121" x14ac:dyDescent="0.35">
      <c r="DM2393" s="50"/>
      <c r="DQ2393" s="50"/>
    </row>
    <row r="2394" spans="117:121" x14ac:dyDescent="0.35">
      <c r="DM2394" s="50"/>
      <c r="DQ2394" s="50"/>
    </row>
    <row r="2395" spans="117:121" x14ac:dyDescent="0.35">
      <c r="DM2395" s="50"/>
      <c r="DQ2395" s="50"/>
    </row>
    <row r="2396" spans="117:121" x14ac:dyDescent="0.35">
      <c r="DM2396" s="50"/>
      <c r="DQ2396" s="50"/>
    </row>
    <row r="2397" spans="117:121" x14ac:dyDescent="0.35">
      <c r="DM2397" s="50"/>
      <c r="DQ2397" s="50"/>
    </row>
    <row r="2398" spans="117:121" x14ac:dyDescent="0.35">
      <c r="DM2398" s="50"/>
      <c r="DQ2398" s="50"/>
    </row>
    <row r="2399" spans="117:121" x14ac:dyDescent="0.35">
      <c r="DM2399" s="50"/>
      <c r="DQ2399" s="50"/>
    </row>
    <row r="2400" spans="117:121" x14ac:dyDescent="0.35">
      <c r="DM2400" s="50"/>
      <c r="DQ2400" s="50"/>
    </row>
    <row r="2401" spans="117:121" x14ac:dyDescent="0.35">
      <c r="DM2401" s="50"/>
      <c r="DQ2401" s="50"/>
    </row>
    <row r="2402" spans="117:121" x14ac:dyDescent="0.35">
      <c r="DM2402" s="50"/>
      <c r="DQ2402" s="50"/>
    </row>
    <row r="2403" spans="117:121" x14ac:dyDescent="0.35">
      <c r="DM2403" s="50"/>
      <c r="DQ2403" s="50"/>
    </row>
    <row r="2404" spans="117:121" x14ac:dyDescent="0.35">
      <c r="DM2404" s="50"/>
      <c r="DQ2404" s="50"/>
    </row>
    <row r="2405" spans="117:121" x14ac:dyDescent="0.35">
      <c r="DM2405" s="50"/>
      <c r="DQ2405" s="50"/>
    </row>
    <row r="2406" spans="117:121" x14ac:dyDescent="0.35">
      <c r="DM2406" s="50"/>
      <c r="DQ2406" s="50"/>
    </row>
    <row r="2407" spans="117:121" x14ac:dyDescent="0.35">
      <c r="DM2407" s="50"/>
      <c r="DQ2407" s="50"/>
    </row>
    <row r="2408" spans="117:121" x14ac:dyDescent="0.35">
      <c r="DM2408" s="50"/>
      <c r="DQ2408" s="50"/>
    </row>
    <row r="2409" spans="117:121" x14ac:dyDescent="0.35">
      <c r="DM2409" s="50"/>
      <c r="DQ2409" s="50"/>
    </row>
    <row r="2410" spans="117:121" x14ac:dyDescent="0.35">
      <c r="DM2410" s="50"/>
      <c r="DQ2410" s="50"/>
    </row>
    <row r="2411" spans="117:121" x14ac:dyDescent="0.35">
      <c r="DM2411" s="50"/>
      <c r="DQ2411" s="50"/>
    </row>
    <row r="2412" spans="117:121" x14ac:dyDescent="0.35">
      <c r="DM2412" s="50"/>
      <c r="DQ2412" s="50"/>
    </row>
    <row r="2413" spans="117:121" x14ac:dyDescent="0.35">
      <c r="DM2413" s="50"/>
      <c r="DQ2413" s="50"/>
    </row>
    <row r="2414" spans="117:121" x14ac:dyDescent="0.35">
      <c r="DM2414" s="50"/>
      <c r="DQ2414" s="50"/>
    </row>
    <row r="2415" spans="117:121" x14ac:dyDescent="0.35">
      <c r="DM2415" s="50"/>
      <c r="DQ2415" s="50"/>
    </row>
    <row r="2416" spans="117:121" x14ac:dyDescent="0.35">
      <c r="DM2416" s="50"/>
      <c r="DQ2416" s="50"/>
    </row>
    <row r="2417" spans="117:121" x14ac:dyDescent="0.35">
      <c r="DM2417" s="50"/>
      <c r="DQ2417" s="50"/>
    </row>
    <row r="2418" spans="117:121" x14ac:dyDescent="0.35">
      <c r="DM2418" s="50"/>
      <c r="DQ2418" s="50"/>
    </row>
    <row r="2419" spans="117:121" x14ac:dyDescent="0.35">
      <c r="DM2419" s="50"/>
      <c r="DQ2419" s="50"/>
    </row>
    <row r="2420" spans="117:121" x14ac:dyDescent="0.35">
      <c r="DM2420" s="50"/>
      <c r="DQ2420" s="50"/>
    </row>
    <row r="2421" spans="117:121" x14ac:dyDescent="0.35">
      <c r="DM2421" s="50"/>
      <c r="DQ2421" s="50"/>
    </row>
    <row r="2422" spans="117:121" x14ac:dyDescent="0.35">
      <c r="DM2422" s="50"/>
      <c r="DQ2422" s="50"/>
    </row>
    <row r="2423" spans="117:121" x14ac:dyDescent="0.35">
      <c r="DM2423" s="50"/>
      <c r="DQ2423" s="50"/>
    </row>
    <row r="2424" spans="117:121" x14ac:dyDescent="0.35">
      <c r="DM2424" s="50"/>
      <c r="DQ2424" s="50"/>
    </row>
    <row r="2425" spans="117:121" x14ac:dyDescent="0.35">
      <c r="DM2425" s="50"/>
      <c r="DQ2425" s="50"/>
    </row>
    <row r="2426" spans="117:121" x14ac:dyDescent="0.35">
      <c r="DM2426" s="50"/>
      <c r="DQ2426" s="50"/>
    </row>
    <row r="2427" spans="117:121" x14ac:dyDescent="0.35">
      <c r="DM2427" s="50"/>
      <c r="DQ2427" s="50"/>
    </row>
    <row r="2428" spans="117:121" x14ac:dyDescent="0.35">
      <c r="DM2428" s="50"/>
      <c r="DQ2428" s="50"/>
    </row>
    <row r="2429" spans="117:121" x14ac:dyDescent="0.35">
      <c r="DM2429" s="50"/>
      <c r="DQ2429" s="50"/>
    </row>
    <row r="2430" spans="117:121" x14ac:dyDescent="0.35">
      <c r="DM2430" s="50"/>
      <c r="DQ2430" s="50"/>
    </row>
    <row r="2431" spans="117:121" x14ac:dyDescent="0.35">
      <c r="DM2431" s="50"/>
      <c r="DQ2431" s="50"/>
    </row>
    <row r="2432" spans="117:121" x14ac:dyDescent="0.35">
      <c r="DM2432" s="50"/>
      <c r="DQ2432" s="50"/>
    </row>
    <row r="2433" spans="117:121" x14ac:dyDescent="0.35">
      <c r="DM2433" s="50"/>
      <c r="DQ2433" s="50"/>
    </row>
    <row r="2434" spans="117:121" x14ac:dyDescent="0.35">
      <c r="DM2434" s="50"/>
      <c r="DQ2434" s="50"/>
    </row>
    <row r="2435" spans="117:121" x14ac:dyDescent="0.35">
      <c r="DM2435" s="50"/>
      <c r="DQ2435" s="50"/>
    </row>
    <row r="2436" spans="117:121" x14ac:dyDescent="0.35">
      <c r="DM2436" s="50"/>
      <c r="DQ2436" s="50"/>
    </row>
    <row r="2437" spans="117:121" x14ac:dyDescent="0.35">
      <c r="DM2437" s="50"/>
      <c r="DQ2437" s="50"/>
    </row>
    <row r="2438" spans="117:121" x14ac:dyDescent="0.35">
      <c r="DM2438" s="50"/>
      <c r="DQ2438" s="50"/>
    </row>
    <row r="2439" spans="117:121" x14ac:dyDescent="0.35">
      <c r="DM2439" s="50"/>
      <c r="DQ2439" s="50"/>
    </row>
    <row r="2440" spans="117:121" x14ac:dyDescent="0.35">
      <c r="DM2440" s="50"/>
      <c r="DQ2440" s="50"/>
    </row>
    <row r="2441" spans="117:121" x14ac:dyDescent="0.35">
      <c r="DM2441" s="50"/>
      <c r="DQ2441" s="50"/>
    </row>
    <row r="2442" spans="117:121" x14ac:dyDescent="0.35">
      <c r="DM2442" s="50"/>
      <c r="DQ2442" s="50"/>
    </row>
    <row r="2443" spans="117:121" x14ac:dyDescent="0.35">
      <c r="DM2443" s="50"/>
      <c r="DQ2443" s="50"/>
    </row>
    <row r="2444" spans="117:121" x14ac:dyDescent="0.35">
      <c r="DM2444" s="50"/>
      <c r="DQ2444" s="50"/>
    </row>
    <row r="2445" spans="117:121" x14ac:dyDescent="0.35">
      <c r="DM2445" s="50"/>
      <c r="DQ2445" s="50"/>
    </row>
    <row r="2446" spans="117:121" x14ac:dyDescent="0.35">
      <c r="DM2446" s="50"/>
      <c r="DQ2446" s="50"/>
    </row>
    <row r="2447" spans="117:121" x14ac:dyDescent="0.35">
      <c r="DM2447" s="50"/>
      <c r="DQ2447" s="50"/>
    </row>
    <row r="2448" spans="117:121" x14ac:dyDescent="0.35">
      <c r="DM2448" s="50"/>
      <c r="DQ2448" s="50"/>
    </row>
    <row r="2449" spans="117:121" x14ac:dyDescent="0.35">
      <c r="DM2449" s="50"/>
      <c r="DQ2449" s="50"/>
    </row>
    <row r="2450" spans="117:121" x14ac:dyDescent="0.35">
      <c r="DM2450" s="50"/>
      <c r="DQ2450" s="50"/>
    </row>
    <row r="2451" spans="117:121" x14ac:dyDescent="0.35">
      <c r="DM2451" s="50"/>
      <c r="DQ2451" s="50"/>
    </row>
    <row r="2452" spans="117:121" x14ac:dyDescent="0.35">
      <c r="DM2452" s="50"/>
      <c r="DQ2452" s="50"/>
    </row>
    <row r="2453" spans="117:121" x14ac:dyDescent="0.35">
      <c r="DM2453" s="50"/>
      <c r="DQ2453" s="50"/>
    </row>
    <row r="2454" spans="117:121" x14ac:dyDescent="0.35">
      <c r="DM2454" s="50"/>
      <c r="DQ2454" s="50"/>
    </row>
    <row r="2455" spans="117:121" x14ac:dyDescent="0.35">
      <c r="DM2455" s="50"/>
      <c r="DQ2455" s="50"/>
    </row>
    <row r="2456" spans="117:121" x14ac:dyDescent="0.35">
      <c r="DM2456" s="50"/>
      <c r="DQ2456" s="50"/>
    </row>
    <row r="2457" spans="117:121" x14ac:dyDescent="0.35">
      <c r="DM2457" s="50"/>
      <c r="DQ2457" s="50"/>
    </row>
    <row r="2458" spans="117:121" x14ac:dyDescent="0.35">
      <c r="DM2458" s="50"/>
      <c r="DQ2458" s="50"/>
    </row>
    <row r="2459" spans="117:121" x14ac:dyDescent="0.35">
      <c r="DM2459" s="50"/>
      <c r="DQ2459" s="50"/>
    </row>
    <row r="2460" spans="117:121" x14ac:dyDescent="0.35">
      <c r="DM2460" s="50"/>
      <c r="DQ2460" s="50"/>
    </row>
    <row r="2461" spans="117:121" x14ac:dyDescent="0.35">
      <c r="DM2461" s="50"/>
      <c r="DQ2461" s="50"/>
    </row>
    <row r="2462" spans="117:121" x14ac:dyDescent="0.35">
      <c r="DM2462" s="50"/>
      <c r="DQ2462" s="50"/>
    </row>
    <row r="2463" spans="117:121" x14ac:dyDescent="0.35">
      <c r="DM2463" s="50"/>
      <c r="DQ2463" s="50"/>
    </row>
    <row r="2464" spans="117:121" x14ac:dyDescent="0.35">
      <c r="DM2464" s="50"/>
      <c r="DQ2464" s="50"/>
    </row>
    <row r="2465" spans="117:121" x14ac:dyDescent="0.35">
      <c r="DM2465" s="50"/>
      <c r="DQ2465" s="50"/>
    </row>
    <row r="2466" spans="117:121" x14ac:dyDescent="0.35">
      <c r="DM2466" s="50"/>
      <c r="DQ2466" s="50"/>
    </row>
    <row r="2467" spans="117:121" x14ac:dyDescent="0.35">
      <c r="DM2467" s="50"/>
      <c r="DQ2467" s="50"/>
    </row>
    <row r="2468" spans="117:121" x14ac:dyDescent="0.35">
      <c r="DM2468" s="50"/>
      <c r="DQ2468" s="50"/>
    </row>
    <row r="2469" spans="117:121" x14ac:dyDescent="0.35">
      <c r="DM2469" s="50"/>
      <c r="DQ2469" s="50"/>
    </row>
    <row r="2470" spans="117:121" x14ac:dyDescent="0.35">
      <c r="DM2470" s="50"/>
      <c r="DQ2470" s="50"/>
    </row>
    <row r="2471" spans="117:121" x14ac:dyDescent="0.35">
      <c r="DM2471" s="50"/>
      <c r="DQ2471" s="50"/>
    </row>
    <row r="2472" spans="117:121" x14ac:dyDescent="0.35">
      <c r="DM2472" s="50"/>
      <c r="DQ2472" s="50"/>
    </row>
    <row r="2473" spans="117:121" x14ac:dyDescent="0.35">
      <c r="DM2473" s="50"/>
      <c r="DQ2473" s="50"/>
    </row>
    <row r="2474" spans="117:121" x14ac:dyDescent="0.35">
      <c r="DM2474" s="50"/>
      <c r="DQ2474" s="50"/>
    </row>
    <row r="2475" spans="117:121" x14ac:dyDescent="0.35">
      <c r="DM2475" s="50"/>
      <c r="DQ2475" s="50"/>
    </row>
    <row r="2476" spans="117:121" x14ac:dyDescent="0.35">
      <c r="DM2476" s="50"/>
      <c r="DQ2476" s="50"/>
    </row>
    <row r="2477" spans="117:121" x14ac:dyDescent="0.35">
      <c r="DM2477" s="50"/>
      <c r="DQ2477" s="50"/>
    </row>
    <row r="2478" spans="117:121" x14ac:dyDescent="0.35">
      <c r="DM2478" s="50"/>
      <c r="DQ2478" s="50"/>
    </row>
    <row r="2479" spans="117:121" x14ac:dyDescent="0.35">
      <c r="DM2479" s="50"/>
      <c r="DQ2479" s="50"/>
    </row>
    <row r="2480" spans="117:121" x14ac:dyDescent="0.35">
      <c r="DM2480" s="50"/>
      <c r="DQ2480" s="50"/>
    </row>
    <row r="2481" spans="117:121" x14ac:dyDescent="0.35">
      <c r="DM2481" s="50"/>
      <c r="DQ2481" s="50"/>
    </row>
    <row r="2482" spans="117:121" x14ac:dyDescent="0.35">
      <c r="DM2482" s="50"/>
      <c r="DQ2482" s="50"/>
    </row>
    <row r="2483" spans="117:121" x14ac:dyDescent="0.35">
      <c r="DM2483" s="50"/>
      <c r="DQ2483" s="50"/>
    </row>
    <row r="2484" spans="117:121" x14ac:dyDescent="0.35">
      <c r="DM2484" s="50"/>
      <c r="DQ2484" s="50"/>
    </row>
    <row r="2485" spans="117:121" x14ac:dyDescent="0.35">
      <c r="DM2485" s="50"/>
      <c r="DQ2485" s="50"/>
    </row>
    <row r="2486" spans="117:121" x14ac:dyDescent="0.35">
      <c r="DM2486" s="50"/>
      <c r="DQ2486" s="50"/>
    </row>
    <row r="2487" spans="117:121" x14ac:dyDescent="0.35">
      <c r="DM2487" s="50"/>
      <c r="DQ2487" s="50"/>
    </row>
    <row r="2488" spans="117:121" x14ac:dyDescent="0.35">
      <c r="DM2488" s="50"/>
      <c r="DQ2488" s="50"/>
    </row>
    <row r="2489" spans="117:121" x14ac:dyDescent="0.35">
      <c r="DM2489" s="50"/>
      <c r="DQ2489" s="50"/>
    </row>
    <row r="2490" spans="117:121" x14ac:dyDescent="0.35">
      <c r="DM2490" s="50"/>
      <c r="DQ2490" s="50"/>
    </row>
    <row r="2491" spans="117:121" x14ac:dyDescent="0.35">
      <c r="DM2491" s="50"/>
      <c r="DQ2491" s="50"/>
    </row>
    <row r="2492" spans="117:121" x14ac:dyDescent="0.35">
      <c r="DM2492" s="50"/>
      <c r="DQ2492" s="50"/>
    </row>
    <row r="2493" spans="117:121" x14ac:dyDescent="0.35">
      <c r="DM2493" s="50"/>
      <c r="DQ2493" s="50"/>
    </row>
    <row r="2494" spans="117:121" x14ac:dyDescent="0.35">
      <c r="DM2494" s="50"/>
      <c r="DQ2494" s="50"/>
    </row>
    <row r="2495" spans="117:121" x14ac:dyDescent="0.35">
      <c r="DM2495" s="50"/>
      <c r="DQ2495" s="50"/>
    </row>
    <row r="2496" spans="117:121" x14ac:dyDescent="0.35">
      <c r="DM2496" s="50"/>
      <c r="DQ2496" s="50"/>
    </row>
    <row r="2497" spans="117:121" x14ac:dyDescent="0.35">
      <c r="DM2497" s="50"/>
      <c r="DQ2497" s="50"/>
    </row>
    <row r="2498" spans="117:121" x14ac:dyDescent="0.35">
      <c r="DM2498" s="50"/>
      <c r="DQ2498" s="50"/>
    </row>
    <row r="2499" spans="117:121" x14ac:dyDescent="0.35">
      <c r="DM2499" s="50"/>
      <c r="DQ2499" s="50"/>
    </row>
    <row r="2500" spans="117:121" x14ac:dyDescent="0.35">
      <c r="DM2500" s="50"/>
      <c r="DQ2500" s="50"/>
    </row>
    <row r="2501" spans="117:121" x14ac:dyDescent="0.35">
      <c r="DM2501" s="50"/>
      <c r="DQ2501" s="50"/>
    </row>
    <row r="2502" spans="117:121" x14ac:dyDescent="0.35">
      <c r="DM2502" s="50"/>
      <c r="DQ2502" s="50"/>
    </row>
    <row r="2503" spans="117:121" x14ac:dyDescent="0.35">
      <c r="DM2503" s="50"/>
      <c r="DQ2503" s="50"/>
    </row>
    <row r="2504" spans="117:121" x14ac:dyDescent="0.35">
      <c r="DM2504" s="50"/>
      <c r="DQ2504" s="50"/>
    </row>
    <row r="2505" spans="117:121" x14ac:dyDescent="0.35">
      <c r="DM2505" s="50"/>
      <c r="DQ2505" s="50"/>
    </row>
    <row r="2506" spans="117:121" x14ac:dyDescent="0.35">
      <c r="DM2506" s="50"/>
      <c r="DQ2506" s="50"/>
    </row>
    <row r="2507" spans="117:121" x14ac:dyDescent="0.35">
      <c r="DM2507" s="50"/>
      <c r="DQ2507" s="50"/>
    </row>
    <row r="2508" spans="117:121" x14ac:dyDescent="0.35">
      <c r="DM2508" s="50"/>
      <c r="DQ2508" s="50"/>
    </row>
    <row r="2509" spans="117:121" x14ac:dyDescent="0.35">
      <c r="DM2509" s="50"/>
      <c r="DQ2509" s="50"/>
    </row>
    <row r="2510" spans="117:121" x14ac:dyDescent="0.35">
      <c r="DM2510" s="50"/>
      <c r="DQ2510" s="50"/>
    </row>
    <row r="2511" spans="117:121" x14ac:dyDescent="0.35">
      <c r="DM2511" s="50"/>
      <c r="DQ2511" s="50"/>
    </row>
    <row r="2512" spans="117:121" x14ac:dyDescent="0.35">
      <c r="DM2512" s="50"/>
      <c r="DQ2512" s="50"/>
    </row>
    <row r="2513" spans="117:121" x14ac:dyDescent="0.35">
      <c r="DM2513" s="50"/>
      <c r="DQ2513" s="50"/>
    </row>
    <row r="2514" spans="117:121" x14ac:dyDescent="0.35">
      <c r="DM2514" s="50"/>
      <c r="DQ2514" s="50"/>
    </row>
    <row r="2515" spans="117:121" x14ac:dyDescent="0.35">
      <c r="DM2515" s="50"/>
      <c r="DQ2515" s="50"/>
    </row>
    <row r="2516" spans="117:121" x14ac:dyDescent="0.35">
      <c r="DM2516" s="50"/>
      <c r="DQ2516" s="50"/>
    </row>
    <row r="2517" spans="117:121" x14ac:dyDescent="0.35">
      <c r="DM2517" s="50"/>
      <c r="DQ2517" s="50"/>
    </row>
    <row r="2518" spans="117:121" x14ac:dyDescent="0.35">
      <c r="DM2518" s="50"/>
      <c r="DQ2518" s="50"/>
    </row>
    <row r="2519" spans="117:121" x14ac:dyDescent="0.35">
      <c r="DM2519" s="50"/>
      <c r="DQ2519" s="50"/>
    </row>
    <row r="2520" spans="117:121" x14ac:dyDescent="0.35">
      <c r="DM2520" s="50"/>
      <c r="DQ2520" s="50"/>
    </row>
    <row r="2521" spans="117:121" x14ac:dyDescent="0.35">
      <c r="DM2521" s="50"/>
      <c r="DQ2521" s="50"/>
    </row>
    <row r="2522" spans="117:121" x14ac:dyDescent="0.35">
      <c r="DM2522" s="50"/>
      <c r="DQ2522" s="50"/>
    </row>
    <row r="2523" spans="117:121" x14ac:dyDescent="0.35">
      <c r="DM2523" s="50"/>
      <c r="DQ2523" s="50"/>
    </row>
    <row r="2524" spans="117:121" x14ac:dyDescent="0.35">
      <c r="DM2524" s="50"/>
      <c r="DQ2524" s="50"/>
    </row>
    <row r="2525" spans="117:121" x14ac:dyDescent="0.35">
      <c r="DM2525" s="50"/>
      <c r="DQ2525" s="50"/>
    </row>
    <row r="2526" spans="117:121" x14ac:dyDescent="0.35">
      <c r="DM2526" s="50"/>
      <c r="DQ2526" s="50"/>
    </row>
    <row r="2527" spans="117:121" x14ac:dyDescent="0.35">
      <c r="DM2527" s="50"/>
      <c r="DQ2527" s="50"/>
    </row>
    <row r="2528" spans="117:121" x14ac:dyDescent="0.35">
      <c r="DM2528" s="50"/>
      <c r="DQ2528" s="50"/>
    </row>
    <row r="2529" spans="117:121" x14ac:dyDescent="0.35">
      <c r="DM2529" s="50"/>
      <c r="DQ2529" s="50"/>
    </row>
    <row r="2530" spans="117:121" x14ac:dyDescent="0.35">
      <c r="DM2530" s="50"/>
      <c r="DQ2530" s="50"/>
    </row>
    <row r="2531" spans="117:121" x14ac:dyDescent="0.35">
      <c r="DM2531" s="50"/>
      <c r="DQ2531" s="50"/>
    </row>
    <row r="2532" spans="117:121" x14ac:dyDescent="0.35">
      <c r="DM2532" s="50"/>
      <c r="DQ2532" s="50"/>
    </row>
    <row r="2533" spans="117:121" x14ac:dyDescent="0.35">
      <c r="DM2533" s="50"/>
      <c r="DQ2533" s="50"/>
    </row>
    <row r="2534" spans="117:121" x14ac:dyDescent="0.35">
      <c r="DM2534" s="50"/>
      <c r="DQ2534" s="50"/>
    </row>
    <row r="2535" spans="117:121" x14ac:dyDescent="0.35">
      <c r="DM2535" s="50"/>
      <c r="DQ2535" s="50"/>
    </row>
    <row r="2536" spans="117:121" x14ac:dyDescent="0.35">
      <c r="DM2536" s="50"/>
      <c r="DQ2536" s="50"/>
    </row>
    <row r="2537" spans="117:121" x14ac:dyDescent="0.35">
      <c r="DM2537" s="50"/>
      <c r="DQ2537" s="50"/>
    </row>
    <row r="2538" spans="117:121" x14ac:dyDescent="0.35">
      <c r="DM2538" s="50"/>
      <c r="DQ2538" s="50"/>
    </row>
    <row r="2539" spans="117:121" x14ac:dyDescent="0.35">
      <c r="DM2539" s="50"/>
      <c r="DQ2539" s="50"/>
    </row>
    <row r="2540" spans="117:121" x14ac:dyDescent="0.35">
      <c r="DM2540" s="50"/>
      <c r="DQ2540" s="50"/>
    </row>
    <row r="2541" spans="117:121" x14ac:dyDescent="0.35">
      <c r="DM2541" s="50"/>
      <c r="DQ2541" s="50"/>
    </row>
    <row r="2542" spans="117:121" x14ac:dyDescent="0.35">
      <c r="DM2542" s="50"/>
      <c r="DQ2542" s="50"/>
    </row>
    <row r="2543" spans="117:121" x14ac:dyDescent="0.35">
      <c r="DM2543" s="50"/>
      <c r="DQ2543" s="50"/>
    </row>
    <row r="2544" spans="117:121" x14ac:dyDescent="0.35">
      <c r="DM2544" s="50"/>
      <c r="DQ2544" s="50"/>
    </row>
    <row r="2545" spans="117:121" x14ac:dyDescent="0.35">
      <c r="DM2545" s="50"/>
      <c r="DQ2545" s="50"/>
    </row>
    <row r="2546" spans="117:121" x14ac:dyDescent="0.35">
      <c r="DM2546" s="50"/>
      <c r="DQ2546" s="50"/>
    </row>
    <row r="2547" spans="117:121" x14ac:dyDescent="0.35">
      <c r="DM2547" s="50"/>
      <c r="DQ2547" s="50"/>
    </row>
    <row r="2548" spans="117:121" x14ac:dyDescent="0.35">
      <c r="DM2548" s="50"/>
      <c r="DQ2548" s="50"/>
    </row>
    <row r="2549" spans="117:121" x14ac:dyDescent="0.35">
      <c r="DM2549" s="50"/>
      <c r="DQ2549" s="50"/>
    </row>
    <row r="2550" spans="117:121" x14ac:dyDescent="0.35">
      <c r="DM2550" s="50"/>
      <c r="DQ2550" s="50"/>
    </row>
    <row r="2551" spans="117:121" x14ac:dyDescent="0.35">
      <c r="DM2551" s="50"/>
      <c r="DQ2551" s="50"/>
    </row>
    <row r="2552" spans="117:121" x14ac:dyDescent="0.35">
      <c r="DM2552" s="50"/>
      <c r="DQ2552" s="50"/>
    </row>
    <row r="2553" spans="117:121" x14ac:dyDescent="0.35">
      <c r="DM2553" s="50"/>
      <c r="DQ2553" s="50"/>
    </row>
    <row r="2554" spans="117:121" x14ac:dyDescent="0.35">
      <c r="DM2554" s="50"/>
      <c r="DQ2554" s="50"/>
    </row>
    <row r="2555" spans="117:121" x14ac:dyDescent="0.35">
      <c r="DM2555" s="50"/>
      <c r="DQ2555" s="50"/>
    </row>
    <row r="2556" spans="117:121" x14ac:dyDescent="0.35">
      <c r="DM2556" s="50"/>
      <c r="DQ2556" s="50"/>
    </row>
    <row r="2557" spans="117:121" x14ac:dyDescent="0.35">
      <c r="DM2557" s="50"/>
      <c r="DQ2557" s="50"/>
    </row>
    <row r="2558" spans="117:121" x14ac:dyDescent="0.35">
      <c r="DM2558" s="50"/>
      <c r="DQ2558" s="50"/>
    </row>
    <row r="2559" spans="117:121" x14ac:dyDescent="0.35">
      <c r="DM2559" s="50"/>
      <c r="DQ2559" s="50"/>
    </row>
    <row r="2560" spans="117:121" x14ac:dyDescent="0.35">
      <c r="DM2560" s="50"/>
      <c r="DQ2560" s="50"/>
    </row>
    <row r="2561" spans="117:121" x14ac:dyDescent="0.35">
      <c r="DM2561" s="50"/>
      <c r="DQ2561" s="50"/>
    </row>
    <row r="2562" spans="117:121" x14ac:dyDescent="0.35">
      <c r="DM2562" s="50"/>
      <c r="DQ2562" s="50"/>
    </row>
    <row r="2563" spans="117:121" x14ac:dyDescent="0.35">
      <c r="DM2563" s="50"/>
      <c r="DQ2563" s="50"/>
    </row>
    <row r="2564" spans="117:121" x14ac:dyDescent="0.35">
      <c r="DM2564" s="50"/>
      <c r="DQ2564" s="50"/>
    </row>
    <row r="2565" spans="117:121" x14ac:dyDescent="0.35">
      <c r="DM2565" s="50"/>
      <c r="DQ2565" s="50"/>
    </row>
    <row r="2566" spans="117:121" x14ac:dyDescent="0.35">
      <c r="DM2566" s="50"/>
      <c r="DQ2566" s="50"/>
    </row>
    <row r="2567" spans="117:121" x14ac:dyDescent="0.35">
      <c r="DM2567" s="50"/>
      <c r="DQ2567" s="50"/>
    </row>
    <row r="2568" spans="117:121" x14ac:dyDescent="0.35">
      <c r="DM2568" s="50"/>
      <c r="DQ2568" s="50"/>
    </row>
    <row r="2569" spans="117:121" x14ac:dyDescent="0.35">
      <c r="DM2569" s="50"/>
      <c r="DQ2569" s="50"/>
    </row>
    <row r="2570" spans="117:121" x14ac:dyDescent="0.35">
      <c r="DM2570" s="50"/>
      <c r="DQ2570" s="50"/>
    </row>
    <row r="2571" spans="117:121" x14ac:dyDescent="0.35">
      <c r="DM2571" s="50"/>
      <c r="DQ2571" s="50"/>
    </row>
    <row r="2572" spans="117:121" x14ac:dyDescent="0.35">
      <c r="DM2572" s="50"/>
      <c r="DQ2572" s="50"/>
    </row>
    <row r="2573" spans="117:121" x14ac:dyDescent="0.35">
      <c r="DM2573" s="50"/>
      <c r="DQ2573" s="50"/>
    </row>
    <row r="2574" spans="117:121" x14ac:dyDescent="0.35">
      <c r="DM2574" s="50"/>
      <c r="DQ2574" s="50"/>
    </row>
    <row r="2575" spans="117:121" x14ac:dyDescent="0.35">
      <c r="DM2575" s="50"/>
      <c r="DQ2575" s="50"/>
    </row>
    <row r="2576" spans="117:121" x14ac:dyDescent="0.35">
      <c r="DM2576" s="50"/>
      <c r="DQ2576" s="50"/>
    </row>
    <row r="2577" spans="117:121" x14ac:dyDescent="0.35">
      <c r="DM2577" s="50"/>
      <c r="DQ2577" s="50"/>
    </row>
    <row r="2578" spans="117:121" x14ac:dyDescent="0.35">
      <c r="DM2578" s="50"/>
      <c r="DQ2578" s="50"/>
    </row>
    <row r="2579" spans="117:121" x14ac:dyDescent="0.35">
      <c r="DM2579" s="50"/>
      <c r="DQ2579" s="50"/>
    </row>
    <row r="2580" spans="117:121" x14ac:dyDescent="0.35">
      <c r="DM2580" s="50"/>
      <c r="DQ2580" s="50"/>
    </row>
    <row r="2581" spans="117:121" x14ac:dyDescent="0.35">
      <c r="DM2581" s="50"/>
      <c r="DQ2581" s="50"/>
    </row>
    <row r="2582" spans="117:121" x14ac:dyDescent="0.35">
      <c r="DM2582" s="50"/>
      <c r="DQ2582" s="50"/>
    </row>
    <row r="2583" spans="117:121" x14ac:dyDescent="0.35">
      <c r="DM2583" s="50"/>
      <c r="DQ2583" s="50"/>
    </row>
    <row r="2584" spans="117:121" x14ac:dyDescent="0.35">
      <c r="DM2584" s="50"/>
      <c r="DQ2584" s="50"/>
    </row>
    <row r="2585" spans="117:121" x14ac:dyDescent="0.35">
      <c r="DM2585" s="50"/>
      <c r="DQ2585" s="50"/>
    </row>
    <row r="2586" spans="117:121" x14ac:dyDescent="0.35">
      <c r="DM2586" s="50"/>
      <c r="DQ2586" s="50"/>
    </row>
    <row r="2587" spans="117:121" x14ac:dyDescent="0.35">
      <c r="DM2587" s="50"/>
      <c r="DQ2587" s="50"/>
    </row>
    <row r="2588" spans="117:121" x14ac:dyDescent="0.35">
      <c r="DM2588" s="50"/>
      <c r="DQ2588" s="50"/>
    </row>
    <row r="2589" spans="117:121" x14ac:dyDescent="0.35">
      <c r="DM2589" s="50"/>
      <c r="DQ2589" s="50"/>
    </row>
    <row r="2590" spans="117:121" x14ac:dyDescent="0.35">
      <c r="DM2590" s="50"/>
      <c r="DQ2590" s="50"/>
    </row>
    <row r="2591" spans="117:121" x14ac:dyDescent="0.35">
      <c r="DM2591" s="50"/>
      <c r="DQ2591" s="50"/>
    </row>
    <row r="2592" spans="117:121" x14ac:dyDescent="0.35">
      <c r="DM2592" s="50"/>
      <c r="DQ2592" s="50"/>
    </row>
    <row r="2593" spans="117:121" x14ac:dyDescent="0.35">
      <c r="DM2593" s="50"/>
      <c r="DQ2593" s="50"/>
    </row>
    <row r="2594" spans="117:121" x14ac:dyDescent="0.35">
      <c r="DM2594" s="50"/>
      <c r="DQ2594" s="50"/>
    </row>
    <row r="2595" spans="117:121" x14ac:dyDescent="0.35">
      <c r="DM2595" s="50"/>
      <c r="DQ2595" s="50"/>
    </row>
    <row r="2596" spans="117:121" x14ac:dyDescent="0.35">
      <c r="DM2596" s="50"/>
      <c r="DQ2596" s="50"/>
    </row>
    <row r="2597" spans="117:121" x14ac:dyDescent="0.35">
      <c r="DM2597" s="50"/>
      <c r="DQ2597" s="50"/>
    </row>
    <row r="2598" spans="117:121" x14ac:dyDescent="0.35">
      <c r="DM2598" s="50"/>
      <c r="DQ2598" s="50"/>
    </row>
    <row r="2599" spans="117:121" x14ac:dyDescent="0.35">
      <c r="DM2599" s="50"/>
      <c r="DQ2599" s="50"/>
    </row>
    <row r="2600" spans="117:121" x14ac:dyDescent="0.35">
      <c r="DM2600" s="50"/>
      <c r="DQ2600" s="50"/>
    </row>
    <row r="2601" spans="117:121" x14ac:dyDescent="0.35">
      <c r="DM2601" s="50"/>
      <c r="DQ2601" s="50"/>
    </row>
    <row r="2602" spans="117:121" x14ac:dyDescent="0.35">
      <c r="DM2602" s="50"/>
      <c r="DQ2602" s="50"/>
    </row>
    <row r="2603" spans="117:121" x14ac:dyDescent="0.35">
      <c r="DM2603" s="50"/>
      <c r="DQ2603" s="50"/>
    </row>
    <row r="2604" spans="117:121" x14ac:dyDescent="0.35">
      <c r="DM2604" s="50"/>
      <c r="DQ2604" s="50"/>
    </row>
    <row r="2605" spans="117:121" x14ac:dyDescent="0.35">
      <c r="DM2605" s="50"/>
      <c r="DQ2605" s="50"/>
    </row>
    <row r="2606" spans="117:121" x14ac:dyDescent="0.35">
      <c r="DM2606" s="50"/>
      <c r="DQ2606" s="50"/>
    </row>
    <row r="2607" spans="117:121" x14ac:dyDescent="0.35">
      <c r="DM2607" s="50"/>
      <c r="DQ2607" s="50"/>
    </row>
    <row r="2608" spans="117:121" x14ac:dyDescent="0.35">
      <c r="DM2608" s="50"/>
      <c r="DQ2608" s="50"/>
    </row>
    <row r="2609" spans="117:121" x14ac:dyDescent="0.35">
      <c r="DM2609" s="50"/>
      <c r="DQ2609" s="50"/>
    </row>
    <row r="2610" spans="117:121" x14ac:dyDescent="0.35">
      <c r="DM2610" s="50"/>
      <c r="DQ2610" s="50"/>
    </row>
    <row r="2611" spans="117:121" x14ac:dyDescent="0.35">
      <c r="DM2611" s="50"/>
      <c r="DQ2611" s="50"/>
    </row>
    <row r="2612" spans="117:121" x14ac:dyDescent="0.35">
      <c r="DM2612" s="50"/>
      <c r="DQ2612" s="50"/>
    </row>
    <row r="2613" spans="117:121" x14ac:dyDescent="0.35">
      <c r="DM2613" s="50"/>
      <c r="DQ2613" s="50"/>
    </row>
    <row r="2614" spans="117:121" x14ac:dyDescent="0.35">
      <c r="DM2614" s="50"/>
      <c r="DQ2614" s="50"/>
    </row>
    <row r="2615" spans="117:121" x14ac:dyDescent="0.35">
      <c r="DM2615" s="50"/>
      <c r="DQ2615" s="50"/>
    </row>
    <row r="2616" spans="117:121" x14ac:dyDescent="0.35">
      <c r="DM2616" s="50"/>
      <c r="DQ2616" s="50"/>
    </row>
    <row r="2617" spans="117:121" x14ac:dyDescent="0.35">
      <c r="DM2617" s="50"/>
      <c r="DQ2617" s="50"/>
    </row>
    <row r="2618" spans="117:121" x14ac:dyDescent="0.35">
      <c r="DM2618" s="50"/>
      <c r="DQ2618" s="50"/>
    </row>
    <row r="2619" spans="117:121" x14ac:dyDescent="0.35">
      <c r="DM2619" s="50"/>
      <c r="DQ2619" s="50"/>
    </row>
    <row r="2620" spans="117:121" x14ac:dyDescent="0.35">
      <c r="DM2620" s="50"/>
      <c r="DQ2620" s="50"/>
    </row>
    <row r="2621" spans="117:121" x14ac:dyDescent="0.35">
      <c r="DM2621" s="50"/>
      <c r="DQ2621" s="50"/>
    </row>
    <row r="2622" spans="117:121" x14ac:dyDescent="0.35">
      <c r="DM2622" s="50"/>
      <c r="DQ2622" s="50"/>
    </row>
    <row r="2623" spans="117:121" x14ac:dyDescent="0.35">
      <c r="DM2623" s="50"/>
      <c r="DQ2623" s="50"/>
    </row>
    <row r="2624" spans="117:121" x14ac:dyDescent="0.35">
      <c r="DM2624" s="50"/>
      <c r="DQ2624" s="50"/>
    </row>
    <row r="2625" spans="117:121" x14ac:dyDescent="0.35">
      <c r="DM2625" s="50"/>
      <c r="DQ2625" s="50"/>
    </row>
    <row r="2626" spans="117:121" x14ac:dyDescent="0.35">
      <c r="DM2626" s="50"/>
      <c r="DQ2626" s="50"/>
    </row>
    <row r="2627" spans="117:121" x14ac:dyDescent="0.35">
      <c r="DM2627" s="50"/>
      <c r="DQ2627" s="50"/>
    </row>
    <row r="2628" spans="117:121" x14ac:dyDescent="0.35">
      <c r="DM2628" s="50"/>
      <c r="DQ2628" s="50"/>
    </row>
    <row r="2629" spans="117:121" x14ac:dyDescent="0.35">
      <c r="DM2629" s="50"/>
      <c r="DQ2629" s="50"/>
    </row>
    <row r="2630" spans="117:121" x14ac:dyDescent="0.35">
      <c r="DM2630" s="50"/>
      <c r="DQ2630" s="50"/>
    </row>
    <row r="2631" spans="117:121" x14ac:dyDescent="0.35">
      <c r="DM2631" s="50"/>
      <c r="DQ2631" s="50"/>
    </row>
    <row r="2632" spans="117:121" x14ac:dyDescent="0.35">
      <c r="DM2632" s="50"/>
      <c r="DQ2632" s="50"/>
    </row>
    <row r="2633" spans="117:121" x14ac:dyDescent="0.35">
      <c r="DM2633" s="50"/>
      <c r="DQ2633" s="50"/>
    </row>
    <row r="2634" spans="117:121" x14ac:dyDescent="0.35">
      <c r="DM2634" s="50"/>
      <c r="DQ2634" s="50"/>
    </row>
    <row r="2635" spans="117:121" x14ac:dyDescent="0.35">
      <c r="DM2635" s="50"/>
      <c r="DQ2635" s="50"/>
    </row>
    <row r="2636" spans="117:121" x14ac:dyDescent="0.35">
      <c r="DM2636" s="50"/>
      <c r="DQ2636" s="50"/>
    </row>
    <row r="2637" spans="117:121" x14ac:dyDescent="0.35">
      <c r="DM2637" s="50"/>
      <c r="DQ2637" s="50"/>
    </row>
    <row r="2638" spans="117:121" x14ac:dyDescent="0.35">
      <c r="DM2638" s="50"/>
      <c r="DQ2638" s="50"/>
    </row>
    <row r="2639" spans="117:121" x14ac:dyDescent="0.35">
      <c r="DM2639" s="50"/>
      <c r="DQ2639" s="50"/>
    </row>
    <row r="2640" spans="117:121" x14ac:dyDescent="0.35">
      <c r="DM2640" s="50"/>
      <c r="DQ2640" s="50"/>
    </row>
    <row r="2641" spans="117:121" x14ac:dyDescent="0.35">
      <c r="DM2641" s="50"/>
      <c r="DQ2641" s="50"/>
    </row>
    <row r="2642" spans="117:121" x14ac:dyDescent="0.35">
      <c r="DM2642" s="50"/>
      <c r="DQ2642" s="50"/>
    </row>
    <row r="2643" spans="117:121" x14ac:dyDescent="0.35">
      <c r="DM2643" s="50"/>
      <c r="DQ2643" s="50"/>
    </row>
    <row r="2644" spans="117:121" x14ac:dyDescent="0.35">
      <c r="DM2644" s="50"/>
      <c r="DQ2644" s="50"/>
    </row>
    <row r="2645" spans="117:121" x14ac:dyDescent="0.35">
      <c r="DM2645" s="50"/>
      <c r="DQ2645" s="50"/>
    </row>
    <row r="2646" spans="117:121" x14ac:dyDescent="0.35">
      <c r="DM2646" s="50"/>
      <c r="DQ2646" s="50"/>
    </row>
    <row r="2647" spans="117:121" x14ac:dyDescent="0.35">
      <c r="DM2647" s="50"/>
      <c r="DQ2647" s="50"/>
    </row>
    <row r="2648" spans="117:121" x14ac:dyDescent="0.35">
      <c r="DM2648" s="50"/>
      <c r="DQ2648" s="50"/>
    </row>
    <row r="2649" spans="117:121" x14ac:dyDescent="0.35">
      <c r="DM2649" s="50"/>
      <c r="DQ2649" s="50"/>
    </row>
    <row r="2650" spans="117:121" x14ac:dyDescent="0.35">
      <c r="DM2650" s="50"/>
      <c r="DQ2650" s="50"/>
    </row>
    <row r="2651" spans="117:121" x14ac:dyDescent="0.35">
      <c r="DM2651" s="50"/>
      <c r="DQ2651" s="50"/>
    </row>
    <row r="2652" spans="117:121" x14ac:dyDescent="0.35">
      <c r="DM2652" s="50"/>
      <c r="DQ2652" s="50"/>
    </row>
    <row r="2653" spans="117:121" x14ac:dyDescent="0.35">
      <c r="DM2653" s="50"/>
      <c r="DQ2653" s="50"/>
    </row>
    <row r="2654" spans="117:121" x14ac:dyDescent="0.35">
      <c r="DM2654" s="50"/>
      <c r="DQ2654" s="50"/>
    </row>
    <row r="2655" spans="117:121" x14ac:dyDescent="0.35">
      <c r="DM2655" s="50"/>
      <c r="DQ2655" s="50"/>
    </row>
    <row r="2656" spans="117:121" x14ac:dyDescent="0.35">
      <c r="DM2656" s="50"/>
      <c r="DQ2656" s="50"/>
    </row>
    <row r="2657" spans="117:121" x14ac:dyDescent="0.35">
      <c r="DM2657" s="50"/>
      <c r="DQ2657" s="50"/>
    </row>
    <row r="2658" spans="117:121" x14ac:dyDescent="0.35">
      <c r="DM2658" s="50"/>
      <c r="DQ2658" s="50"/>
    </row>
    <row r="2659" spans="117:121" x14ac:dyDescent="0.35">
      <c r="DM2659" s="50"/>
      <c r="DQ2659" s="50"/>
    </row>
    <row r="2660" spans="117:121" x14ac:dyDescent="0.35">
      <c r="DM2660" s="50"/>
      <c r="DQ2660" s="50"/>
    </row>
    <row r="2661" spans="117:121" x14ac:dyDescent="0.35">
      <c r="DM2661" s="50"/>
      <c r="DQ2661" s="50"/>
    </row>
    <row r="2662" spans="117:121" x14ac:dyDescent="0.35">
      <c r="DM2662" s="50"/>
      <c r="DQ2662" s="50"/>
    </row>
    <row r="2663" spans="117:121" x14ac:dyDescent="0.35">
      <c r="DM2663" s="50"/>
      <c r="DQ2663" s="50"/>
    </row>
    <row r="2664" spans="117:121" x14ac:dyDescent="0.35">
      <c r="DM2664" s="50"/>
      <c r="DQ2664" s="50"/>
    </row>
    <row r="2665" spans="117:121" x14ac:dyDescent="0.35">
      <c r="DM2665" s="50"/>
      <c r="DQ2665" s="50"/>
    </row>
    <row r="2666" spans="117:121" x14ac:dyDescent="0.35">
      <c r="DM2666" s="50"/>
      <c r="DQ2666" s="50"/>
    </row>
    <row r="2667" spans="117:121" x14ac:dyDescent="0.35">
      <c r="DM2667" s="50"/>
      <c r="DQ2667" s="50"/>
    </row>
    <row r="2668" spans="117:121" x14ac:dyDescent="0.35">
      <c r="DM2668" s="50"/>
      <c r="DQ2668" s="50"/>
    </row>
    <row r="2669" spans="117:121" x14ac:dyDescent="0.35">
      <c r="DM2669" s="50"/>
      <c r="DQ2669" s="50"/>
    </row>
    <row r="2670" spans="117:121" x14ac:dyDescent="0.35">
      <c r="DM2670" s="50"/>
      <c r="DQ2670" s="50"/>
    </row>
    <row r="2671" spans="117:121" x14ac:dyDescent="0.35">
      <c r="DM2671" s="50"/>
      <c r="DQ2671" s="50"/>
    </row>
    <row r="2672" spans="117:121" x14ac:dyDescent="0.35">
      <c r="DM2672" s="50"/>
      <c r="DQ2672" s="50"/>
    </row>
    <row r="2673" spans="117:121" x14ac:dyDescent="0.35">
      <c r="DM2673" s="50"/>
      <c r="DQ2673" s="50"/>
    </row>
    <row r="2674" spans="117:121" x14ac:dyDescent="0.35">
      <c r="DM2674" s="50"/>
      <c r="DQ2674" s="50"/>
    </row>
    <row r="2675" spans="117:121" x14ac:dyDescent="0.35">
      <c r="DM2675" s="50"/>
      <c r="DQ2675" s="50"/>
    </row>
    <row r="2676" spans="117:121" x14ac:dyDescent="0.35">
      <c r="DM2676" s="50"/>
      <c r="DQ2676" s="50"/>
    </row>
    <row r="2677" spans="117:121" x14ac:dyDescent="0.35">
      <c r="DM2677" s="50"/>
      <c r="DQ2677" s="50"/>
    </row>
    <row r="2678" spans="117:121" x14ac:dyDescent="0.35">
      <c r="DM2678" s="50"/>
      <c r="DQ2678" s="50"/>
    </row>
    <row r="2679" spans="117:121" x14ac:dyDescent="0.35">
      <c r="DM2679" s="50"/>
      <c r="DQ2679" s="50"/>
    </row>
    <row r="2680" spans="117:121" x14ac:dyDescent="0.35">
      <c r="DM2680" s="50"/>
      <c r="DQ2680" s="50"/>
    </row>
    <row r="2681" spans="117:121" x14ac:dyDescent="0.35">
      <c r="DM2681" s="50"/>
      <c r="DQ2681" s="50"/>
    </row>
    <row r="2682" spans="117:121" x14ac:dyDescent="0.35">
      <c r="DM2682" s="50"/>
      <c r="DQ2682" s="50"/>
    </row>
    <row r="2683" spans="117:121" x14ac:dyDescent="0.35">
      <c r="DM2683" s="50"/>
      <c r="DQ2683" s="50"/>
    </row>
    <row r="2684" spans="117:121" x14ac:dyDescent="0.35">
      <c r="DM2684" s="50"/>
      <c r="DQ2684" s="50"/>
    </row>
    <row r="2685" spans="117:121" x14ac:dyDescent="0.35">
      <c r="DM2685" s="50"/>
      <c r="DQ2685" s="50"/>
    </row>
    <row r="2686" spans="117:121" x14ac:dyDescent="0.35">
      <c r="DM2686" s="50"/>
      <c r="DQ2686" s="50"/>
    </row>
    <row r="2687" spans="117:121" x14ac:dyDescent="0.35">
      <c r="DM2687" s="50"/>
      <c r="DQ2687" s="50"/>
    </row>
    <row r="2688" spans="117:121" x14ac:dyDescent="0.35">
      <c r="DM2688" s="50"/>
      <c r="DQ2688" s="50"/>
    </row>
    <row r="2689" spans="117:121" x14ac:dyDescent="0.35">
      <c r="DM2689" s="50"/>
      <c r="DQ2689" s="50"/>
    </row>
    <row r="2690" spans="117:121" x14ac:dyDescent="0.35">
      <c r="DM2690" s="50"/>
      <c r="DQ2690" s="50"/>
    </row>
    <row r="2691" spans="117:121" x14ac:dyDescent="0.35">
      <c r="DM2691" s="50"/>
      <c r="DQ2691" s="50"/>
    </row>
    <row r="2692" spans="117:121" x14ac:dyDescent="0.35">
      <c r="DM2692" s="50"/>
      <c r="DQ2692" s="50"/>
    </row>
    <row r="2693" spans="117:121" x14ac:dyDescent="0.35">
      <c r="DM2693" s="50"/>
      <c r="DQ2693" s="50"/>
    </row>
    <row r="2694" spans="117:121" x14ac:dyDescent="0.35">
      <c r="DM2694" s="50"/>
      <c r="DQ2694" s="50"/>
    </row>
    <row r="2695" spans="117:121" x14ac:dyDescent="0.35">
      <c r="DM2695" s="50"/>
      <c r="DQ2695" s="50"/>
    </row>
    <row r="2696" spans="117:121" x14ac:dyDescent="0.35">
      <c r="DM2696" s="50"/>
      <c r="DQ2696" s="50"/>
    </row>
    <row r="2697" spans="117:121" x14ac:dyDescent="0.35">
      <c r="DM2697" s="50"/>
      <c r="DQ2697" s="50"/>
    </row>
    <row r="2698" spans="117:121" x14ac:dyDescent="0.35">
      <c r="DM2698" s="50"/>
      <c r="DQ2698" s="50"/>
    </row>
    <row r="2699" spans="117:121" x14ac:dyDescent="0.35">
      <c r="DM2699" s="50"/>
      <c r="DQ2699" s="50"/>
    </row>
    <row r="2700" spans="117:121" x14ac:dyDescent="0.35">
      <c r="DM2700" s="50"/>
      <c r="DQ2700" s="50"/>
    </row>
    <row r="2701" spans="117:121" x14ac:dyDescent="0.35">
      <c r="DM2701" s="50"/>
      <c r="DQ2701" s="50"/>
    </row>
    <row r="2702" spans="117:121" x14ac:dyDescent="0.35">
      <c r="DM2702" s="50"/>
      <c r="DQ2702" s="50"/>
    </row>
    <row r="2703" spans="117:121" x14ac:dyDescent="0.35">
      <c r="DM2703" s="50"/>
      <c r="DQ2703" s="50"/>
    </row>
    <row r="2704" spans="117:121" x14ac:dyDescent="0.35">
      <c r="DM2704" s="50"/>
      <c r="DQ2704" s="50"/>
    </row>
    <row r="2705" spans="117:121" x14ac:dyDescent="0.35">
      <c r="DM2705" s="50"/>
      <c r="DQ2705" s="50"/>
    </row>
    <row r="2706" spans="117:121" x14ac:dyDescent="0.35">
      <c r="DM2706" s="50"/>
      <c r="DQ2706" s="50"/>
    </row>
    <row r="2707" spans="117:121" x14ac:dyDescent="0.35">
      <c r="DM2707" s="50"/>
      <c r="DQ2707" s="50"/>
    </row>
    <row r="2708" spans="117:121" x14ac:dyDescent="0.35">
      <c r="DM2708" s="50"/>
      <c r="DQ2708" s="50"/>
    </row>
    <row r="2709" spans="117:121" x14ac:dyDescent="0.35">
      <c r="DM2709" s="50"/>
      <c r="DQ2709" s="50"/>
    </row>
    <row r="2710" spans="117:121" x14ac:dyDescent="0.35">
      <c r="DM2710" s="50"/>
      <c r="DQ2710" s="50"/>
    </row>
    <row r="2711" spans="117:121" x14ac:dyDescent="0.35">
      <c r="DM2711" s="50"/>
      <c r="DQ2711" s="50"/>
    </row>
    <row r="2712" spans="117:121" x14ac:dyDescent="0.35">
      <c r="DM2712" s="50"/>
      <c r="DQ2712" s="50"/>
    </row>
    <row r="2713" spans="117:121" x14ac:dyDescent="0.35">
      <c r="DM2713" s="50"/>
      <c r="DQ2713" s="50"/>
    </row>
    <row r="2714" spans="117:121" x14ac:dyDescent="0.35">
      <c r="DM2714" s="50"/>
      <c r="DQ2714" s="50"/>
    </row>
    <row r="2715" spans="117:121" x14ac:dyDescent="0.35">
      <c r="DM2715" s="50"/>
      <c r="DQ2715" s="50"/>
    </row>
    <row r="2716" spans="117:121" x14ac:dyDescent="0.35">
      <c r="DM2716" s="50"/>
      <c r="DQ2716" s="50"/>
    </row>
    <row r="2717" spans="117:121" x14ac:dyDescent="0.35">
      <c r="DM2717" s="50"/>
      <c r="DQ2717" s="50"/>
    </row>
    <row r="2718" spans="117:121" x14ac:dyDescent="0.35">
      <c r="DM2718" s="50"/>
      <c r="DQ2718" s="50"/>
    </row>
    <row r="2719" spans="117:121" x14ac:dyDescent="0.35">
      <c r="DM2719" s="50"/>
      <c r="DQ2719" s="50"/>
    </row>
    <row r="2720" spans="117:121" x14ac:dyDescent="0.35">
      <c r="DM2720" s="50"/>
      <c r="DQ2720" s="50"/>
    </row>
    <row r="2721" spans="117:121" x14ac:dyDescent="0.35">
      <c r="DM2721" s="50"/>
      <c r="DQ2721" s="50"/>
    </row>
    <row r="2722" spans="117:121" x14ac:dyDescent="0.35">
      <c r="DM2722" s="50"/>
      <c r="DQ2722" s="50"/>
    </row>
    <row r="2723" spans="117:121" x14ac:dyDescent="0.35">
      <c r="DM2723" s="50"/>
      <c r="DQ2723" s="50"/>
    </row>
    <row r="2724" spans="117:121" x14ac:dyDescent="0.35">
      <c r="DM2724" s="50"/>
      <c r="DQ2724" s="50"/>
    </row>
    <row r="2725" spans="117:121" x14ac:dyDescent="0.35">
      <c r="DM2725" s="50"/>
      <c r="DQ2725" s="50"/>
    </row>
    <row r="2726" spans="117:121" x14ac:dyDescent="0.35">
      <c r="DM2726" s="50"/>
      <c r="DQ2726" s="50"/>
    </row>
    <row r="2727" spans="117:121" x14ac:dyDescent="0.35">
      <c r="DM2727" s="50"/>
      <c r="DQ2727" s="50"/>
    </row>
    <row r="2728" spans="117:121" x14ac:dyDescent="0.35">
      <c r="DM2728" s="50"/>
      <c r="DQ2728" s="50"/>
    </row>
    <row r="2729" spans="117:121" x14ac:dyDescent="0.35">
      <c r="DM2729" s="50"/>
      <c r="DQ2729" s="50"/>
    </row>
    <row r="2730" spans="117:121" x14ac:dyDescent="0.35">
      <c r="DM2730" s="50"/>
      <c r="DQ2730" s="50"/>
    </row>
    <row r="2731" spans="117:121" x14ac:dyDescent="0.35">
      <c r="DM2731" s="50"/>
      <c r="DQ2731" s="50"/>
    </row>
    <row r="2732" spans="117:121" x14ac:dyDescent="0.35">
      <c r="DM2732" s="50"/>
      <c r="DQ2732" s="50"/>
    </row>
    <row r="2733" spans="117:121" x14ac:dyDescent="0.35">
      <c r="DM2733" s="50"/>
      <c r="DQ2733" s="50"/>
    </row>
    <row r="2734" spans="117:121" x14ac:dyDescent="0.35">
      <c r="DM2734" s="50"/>
      <c r="DQ2734" s="50"/>
    </row>
    <row r="2735" spans="117:121" x14ac:dyDescent="0.35">
      <c r="DM2735" s="50"/>
      <c r="DQ2735" s="50"/>
    </row>
    <row r="2736" spans="117:121" x14ac:dyDescent="0.35">
      <c r="DM2736" s="50"/>
      <c r="DQ2736" s="50"/>
    </row>
    <row r="2737" spans="117:121" x14ac:dyDescent="0.35">
      <c r="DM2737" s="50"/>
      <c r="DQ2737" s="50"/>
    </row>
    <row r="2738" spans="117:121" x14ac:dyDescent="0.35">
      <c r="DM2738" s="50"/>
      <c r="DQ2738" s="50"/>
    </row>
    <row r="2739" spans="117:121" x14ac:dyDescent="0.35">
      <c r="DM2739" s="50"/>
      <c r="DQ2739" s="50"/>
    </row>
    <row r="2740" spans="117:121" x14ac:dyDescent="0.35">
      <c r="DM2740" s="50"/>
      <c r="DQ2740" s="50"/>
    </row>
    <row r="2741" spans="117:121" x14ac:dyDescent="0.35">
      <c r="DM2741" s="50"/>
      <c r="DQ2741" s="50"/>
    </row>
    <row r="2742" spans="117:121" x14ac:dyDescent="0.35">
      <c r="DM2742" s="50"/>
      <c r="DQ2742" s="50"/>
    </row>
    <row r="2743" spans="117:121" x14ac:dyDescent="0.35">
      <c r="DM2743" s="50"/>
      <c r="DQ2743" s="50"/>
    </row>
    <row r="2744" spans="117:121" x14ac:dyDescent="0.35">
      <c r="DM2744" s="50"/>
      <c r="DQ2744" s="50"/>
    </row>
    <row r="2745" spans="117:121" x14ac:dyDescent="0.35">
      <c r="DM2745" s="50"/>
      <c r="DQ2745" s="50"/>
    </row>
    <row r="2746" spans="117:121" x14ac:dyDescent="0.35">
      <c r="DM2746" s="50"/>
      <c r="DQ2746" s="50"/>
    </row>
    <row r="2747" spans="117:121" x14ac:dyDescent="0.35">
      <c r="DM2747" s="50"/>
      <c r="DQ2747" s="50"/>
    </row>
    <row r="2748" spans="117:121" x14ac:dyDescent="0.35">
      <c r="DM2748" s="50"/>
      <c r="DQ2748" s="50"/>
    </row>
    <row r="2749" spans="117:121" x14ac:dyDescent="0.35">
      <c r="DM2749" s="50"/>
      <c r="DQ2749" s="50"/>
    </row>
    <row r="2750" spans="117:121" x14ac:dyDescent="0.35">
      <c r="DM2750" s="50"/>
      <c r="DQ2750" s="50"/>
    </row>
    <row r="2751" spans="117:121" x14ac:dyDescent="0.35">
      <c r="DM2751" s="50"/>
      <c r="DQ2751" s="50"/>
    </row>
    <row r="2752" spans="117:121" x14ac:dyDescent="0.35">
      <c r="DM2752" s="50"/>
      <c r="DQ2752" s="50"/>
    </row>
    <row r="2753" spans="117:121" x14ac:dyDescent="0.35">
      <c r="DM2753" s="50"/>
      <c r="DQ2753" s="50"/>
    </row>
    <row r="2754" spans="117:121" x14ac:dyDescent="0.35">
      <c r="DM2754" s="50"/>
      <c r="DQ2754" s="50"/>
    </row>
    <row r="2755" spans="117:121" x14ac:dyDescent="0.35">
      <c r="DM2755" s="50"/>
      <c r="DQ2755" s="50"/>
    </row>
    <row r="2756" spans="117:121" x14ac:dyDescent="0.35">
      <c r="DM2756" s="50"/>
      <c r="DQ2756" s="50"/>
    </row>
    <row r="2757" spans="117:121" x14ac:dyDescent="0.35">
      <c r="DM2757" s="50"/>
      <c r="DQ2757" s="50"/>
    </row>
    <row r="2758" spans="117:121" x14ac:dyDescent="0.35">
      <c r="DM2758" s="50"/>
      <c r="DQ2758" s="50"/>
    </row>
    <row r="2759" spans="117:121" x14ac:dyDescent="0.35">
      <c r="DM2759" s="50"/>
      <c r="DQ2759" s="50"/>
    </row>
    <row r="2760" spans="117:121" x14ac:dyDescent="0.35">
      <c r="DM2760" s="50"/>
      <c r="DQ2760" s="50"/>
    </row>
    <row r="2761" spans="117:121" x14ac:dyDescent="0.35">
      <c r="DM2761" s="50"/>
      <c r="DQ2761" s="50"/>
    </row>
    <row r="2762" spans="117:121" x14ac:dyDescent="0.35">
      <c r="DM2762" s="50"/>
      <c r="DQ2762" s="50"/>
    </row>
    <row r="2763" spans="117:121" x14ac:dyDescent="0.35">
      <c r="DM2763" s="50"/>
      <c r="DQ2763" s="50"/>
    </row>
    <row r="2764" spans="117:121" x14ac:dyDescent="0.35">
      <c r="DM2764" s="50"/>
      <c r="DQ2764" s="50"/>
    </row>
    <row r="2765" spans="117:121" x14ac:dyDescent="0.35">
      <c r="DM2765" s="50"/>
      <c r="DQ2765" s="50"/>
    </row>
    <row r="2766" spans="117:121" x14ac:dyDescent="0.35">
      <c r="DM2766" s="50"/>
      <c r="DQ2766" s="50"/>
    </row>
    <row r="2767" spans="117:121" x14ac:dyDescent="0.35">
      <c r="DM2767" s="50"/>
      <c r="DQ2767" s="50"/>
    </row>
    <row r="2768" spans="117:121" x14ac:dyDescent="0.35">
      <c r="DM2768" s="50"/>
      <c r="DQ2768" s="50"/>
    </row>
    <row r="2769" spans="117:121" x14ac:dyDescent="0.35">
      <c r="DM2769" s="50"/>
      <c r="DQ2769" s="50"/>
    </row>
    <row r="2770" spans="117:121" x14ac:dyDescent="0.35">
      <c r="DM2770" s="50"/>
      <c r="DQ2770" s="50"/>
    </row>
    <row r="2771" spans="117:121" x14ac:dyDescent="0.35">
      <c r="DM2771" s="50"/>
      <c r="DQ2771" s="50"/>
    </row>
    <row r="2772" spans="117:121" x14ac:dyDescent="0.35">
      <c r="DM2772" s="50"/>
      <c r="DQ2772" s="50"/>
    </row>
    <row r="2773" spans="117:121" x14ac:dyDescent="0.35">
      <c r="DM2773" s="50"/>
      <c r="DQ2773" s="50"/>
    </row>
    <row r="2774" spans="117:121" x14ac:dyDescent="0.35">
      <c r="DM2774" s="50"/>
      <c r="DQ2774" s="50"/>
    </row>
    <row r="2775" spans="117:121" x14ac:dyDescent="0.35">
      <c r="DM2775" s="50"/>
      <c r="DQ2775" s="50"/>
    </row>
    <row r="2776" spans="117:121" x14ac:dyDescent="0.35">
      <c r="DM2776" s="50"/>
      <c r="DQ2776" s="50"/>
    </row>
    <row r="2777" spans="117:121" x14ac:dyDescent="0.35">
      <c r="DM2777" s="50"/>
      <c r="DQ2777" s="50"/>
    </row>
    <row r="2778" spans="117:121" x14ac:dyDescent="0.35">
      <c r="DM2778" s="50"/>
      <c r="DQ2778" s="50"/>
    </row>
    <row r="2779" spans="117:121" x14ac:dyDescent="0.35">
      <c r="DM2779" s="50"/>
      <c r="DQ2779" s="50"/>
    </row>
    <row r="2780" spans="117:121" x14ac:dyDescent="0.35">
      <c r="DM2780" s="50"/>
      <c r="DQ2780" s="50"/>
    </row>
    <row r="2781" spans="117:121" x14ac:dyDescent="0.35">
      <c r="DM2781" s="50"/>
      <c r="DQ2781" s="50"/>
    </row>
    <row r="2782" spans="117:121" x14ac:dyDescent="0.35">
      <c r="DM2782" s="50"/>
      <c r="DQ2782" s="50"/>
    </row>
    <row r="2783" spans="117:121" x14ac:dyDescent="0.35">
      <c r="DM2783" s="50"/>
      <c r="DQ2783" s="50"/>
    </row>
    <row r="2784" spans="117:121" x14ac:dyDescent="0.35">
      <c r="DM2784" s="50"/>
      <c r="DQ2784" s="50"/>
    </row>
    <row r="2785" spans="117:121" x14ac:dyDescent="0.35">
      <c r="DM2785" s="50"/>
      <c r="DQ2785" s="50"/>
    </row>
    <row r="2786" spans="117:121" x14ac:dyDescent="0.35">
      <c r="DM2786" s="50"/>
      <c r="DQ2786" s="50"/>
    </row>
    <row r="2787" spans="117:121" x14ac:dyDescent="0.35">
      <c r="DM2787" s="50"/>
      <c r="DQ2787" s="50"/>
    </row>
    <row r="2788" spans="117:121" x14ac:dyDescent="0.35">
      <c r="DM2788" s="50"/>
      <c r="DQ2788" s="50"/>
    </row>
    <row r="2789" spans="117:121" x14ac:dyDescent="0.35">
      <c r="DM2789" s="50"/>
      <c r="DQ2789" s="50"/>
    </row>
    <row r="2790" spans="117:121" x14ac:dyDescent="0.35">
      <c r="DM2790" s="50"/>
      <c r="DQ2790" s="50"/>
    </row>
    <row r="2791" spans="117:121" x14ac:dyDescent="0.35">
      <c r="DM2791" s="50"/>
      <c r="DQ2791" s="50"/>
    </row>
    <row r="2792" spans="117:121" x14ac:dyDescent="0.35">
      <c r="DM2792" s="50"/>
      <c r="DQ2792" s="50"/>
    </row>
    <row r="2793" spans="117:121" x14ac:dyDescent="0.35">
      <c r="DM2793" s="50"/>
      <c r="DQ2793" s="50"/>
    </row>
    <row r="2794" spans="117:121" x14ac:dyDescent="0.35">
      <c r="DM2794" s="50"/>
      <c r="DQ2794" s="50"/>
    </row>
    <row r="2795" spans="117:121" x14ac:dyDescent="0.35">
      <c r="DM2795" s="50"/>
      <c r="DQ2795" s="50"/>
    </row>
    <row r="2796" spans="117:121" x14ac:dyDescent="0.35">
      <c r="DM2796" s="50"/>
      <c r="DQ2796" s="50"/>
    </row>
    <row r="2797" spans="117:121" x14ac:dyDescent="0.35">
      <c r="DM2797" s="50"/>
      <c r="DQ2797" s="50"/>
    </row>
    <row r="2798" spans="117:121" x14ac:dyDescent="0.35">
      <c r="DM2798" s="50"/>
      <c r="DQ2798" s="50"/>
    </row>
    <row r="2799" spans="117:121" x14ac:dyDescent="0.35">
      <c r="DM2799" s="50"/>
      <c r="DQ2799" s="50"/>
    </row>
    <row r="2800" spans="117:121" x14ac:dyDescent="0.35">
      <c r="DM2800" s="50"/>
      <c r="DQ2800" s="50"/>
    </row>
    <row r="2801" spans="117:121" x14ac:dyDescent="0.35">
      <c r="DM2801" s="50"/>
      <c r="DQ2801" s="50"/>
    </row>
    <row r="2802" spans="117:121" x14ac:dyDescent="0.35">
      <c r="DM2802" s="50"/>
      <c r="DQ2802" s="50"/>
    </row>
    <row r="2803" spans="117:121" x14ac:dyDescent="0.35">
      <c r="DM2803" s="50"/>
      <c r="DQ2803" s="50"/>
    </row>
    <row r="2804" spans="117:121" x14ac:dyDescent="0.35">
      <c r="DM2804" s="50"/>
      <c r="DQ2804" s="50"/>
    </row>
    <row r="2805" spans="117:121" x14ac:dyDescent="0.35">
      <c r="DM2805" s="50"/>
      <c r="DQ2805" s="50"/>
    </row>
    <row r="2806" spans="117:121" x14ac:dyDescent="0.35">
      <c r="DM2806" s="50"/>
      <c r="DQ2806" s="50"/>
    </row>
    <row r="2807" spans="117:121" x14ac:dyDescent="0.35">
      <c r="DM2807" s="50"/>
      <c r="DQ2807" s="50"/>
    </row>
    <row r="2808" spans="117:121" x14ac:dyDescent="0.35">
      <c r="DM2808" s="50"/>
      <c r="DQ2808" s="50"/>
    </row>
    <row r="2809" spans="117:121" x14ac:dyDescent="0.35">
      <c r="DM2809" s="50"/>
      <c r="DQ2809" s="50"/>
    </row>
    <row r="2810" spans="117:121" x14ac:dyDescent="0.35">
      <c r="DM2810" s="50"/>
      <c r="DQ2810" s="50"/>
    </row>
    <row r="2811" spans="117:121" x14ac:dyDescent="0.35">
      <c r="DM2811" s="50"/>
      <c r="DQ2811" s="50"/>
    </row>
    <row r="2812" spans="117:121" x14ac:dyDescent="0.35">
      <c r="DM2812" s="50"/>
      <c r="DQ2812" s="50"/>
    </row>
    <row r="2813" spans="117:121" x14ac:dyDescent="0.35">
      <c r="DM2813" s="50"/>
      <c r="DQ2813" s="50"/>
    </row>
    <row r="2814" spans="117:121" x14ac:dyDescent="0.35">
      <c r="DM2814" s="50"/>
      <c r="DQ2814" s="50"/>
    </row>
    <row r="2815" spans="117:121" x14ac:dyDescent="0.35">
      <c r="DM2815" s="50"/>
      <c r="DQ2815" s="50"/>
    </row>
    <row r="2816" spans="117:121" x14ac:dyDescent="0.35">
      <c r="DM2816" s="50"/>
      <c r="DQ2816" s="50"/>
    </row>
    <row r="2817" spans="117:121" x14ac:dyDescent="0.35">
      <c r="DM2817" s="50"/>
      <c r="DQ2817" s="50"/>
    </row>
    <row r="2818" spans="117:121" x14ac:dyDescent="0.35">
      <c r="DM2818" s="50"/>
      <c r="DQ2818" s="50"/>
    </row>
    <row r="2819" spans="117:121" x14ac:dyDescent="0.35">
      <c r="DM2819" s="50"/>
      <c r="DQ2819" s="50"/>
    </row>
    <row r="2820" spans="117:121" x14ac:dyDescent="0.35">
      <c r="DM2820" s="50"/>
      <c r="DQ2820" s="50"/>
    </row>
    <row r="2821" spans="117:121" x14ac:dyDescent="0.35">
      <c r="DM2821" s="50"/>
      <c r="DQ2821" s="50"/>
    </row>
    <row r="2822" spans="117:121" x14ac:dyDescent="0.35">
      <c r="DM2822" s="50"/>
      <c r="DQ2822" s="50"/>
    </row>
    <row r="2823" spans="117:121" x14ac:dyDescent="0.35">
      <c r="DM2823" s="50"/>
      <c r="DQ2823" s="50"/>
    </row>
    <row r="2824" spans="117:121" x14ac:dyDescent="0.35">
      <c r="DM2824" s="50"/>
      <c r="DQ2824" s="50"/>
    </row>
    <row r="2825" spans="117:121" x14ac:dyDescent="0.35">
      <c r="DM2825" s="50"/>
      <c r="DQ2825" s="50"/>
    </row>
    <row r="2826" spans="117:121" x14ac:dyDescent="0.35">
      <c r="DM2826" s="50"/>
      <c r="DQ2826" s="50"/>
    </row>
    <row r="2827" spans="117:121" x14ac:dyDescent="0.35">
      <c r="DM2827" s="50"/>
      <c r="DQ2827" s="50"/>
    </row>
    <row r="2828" spans="117:121" x14ac:dyDescent="0.35">
      <c r="DM2828" s="50"/>
      <c r="DQ2828" s="50"/>
    </row>
    <row r="2829" spans="117:121" x14ac:dyDescent="0.35">
      <c r="DM2829" s="50"/>
      <c r="DQ2829" s="50"/>
    </row>
    <row r="2830" spans="117:121" x14ac:dyDescent="0.35">
      <c r="DM2830" s="50"/>
      <c r="DQ2830" s="50"/>
    </row>
    <row r="2831" spans="117:121" x14ac:dyDescent="0.35">
      <c r="DM2831" s="50"/>
      <c r="DQ2831" s="50"/>
    </row>
    <row r="2832" spans="117:121" x14ac:dyDescent="0.35">
      <c r="DM2832" s="50"/>
      <c r="DQ2832" s="50"/>
    </row>
    <row r="2833" spans="117:121" x14ac:dyDescent="0.35">
      <c r="DM2833" s="50"/>
      <c r="DQ2833" s="50"/>
    </row>
    <row r="2834" spans="117:121" x14ac:dyDescent="0.35">
      <c r="DM2834" s="50"/>
      <c r="DQ2834" s="50"/>
    </row>
    <row r="2835" spans="117:121" x14ac:dyDescent="0.35">
      <c r="DM2835" s="50"/>
      <c r="DQ2835" s="50"/>
    </row>
    <row r="2836" spans="117:121" x14ac:dyDescent="0.35">
      <c r="DM2836" s="50"/>
      <c r="DQ2836" s="50"/>
    </row>
    <row r="2837" spans="117:121" x14ac:dyDescent="0.35">
      <c r="DM2837" s="50"/>
      <c r="DQ2837" s="50"/>
    </row>
    <row r="2838" spans="117:121" x14ac:dyDescent="0.35">
      <c r="DM2838" s="50"/>
      <c r="DQ2838" s="50"/>
    </row>
    <row r="2839" spans="117:121" x14ac:dyDescent="0.35">
      <c r="DM2839" s="50"/>
      <c r="DQ2839" s="50"/>
    </row>
    <row r="2840" spans="117:121" x14ac:dyDescent="0.35">
      <c r="DM2840" s="50"/>
      <c r="DQ2840" s="50"/>
    </row>
    <row r="2841" spans="117:121" x14ac:dyDescent="0.35">
      <c r="DM2841" s="50"/>
      <c r="DQ2841" s="50"/>
    </row>
    <row r="2842" spans="117:121" x14ac:dyDescent="0.35">
      <c r="DM2842" s="50"/>
      <c r="DQ2842" s="50"/>
    </row>
    <row r="2843" spans="117:121" x14ac:dyDescent="0.35">
      <c r="DM2843" s="50"/>
      <c r="DQ2843" s="50"/>
    </row>
    <row r="2844" spans="117:121" x14ac:dyDescent="0.35">
      <c r="DM2844" s="50"/>
      <c r="DQ2844" s="50"/>
    </row>
    <row r="2845" spans="117:121" x14ac:dyDescent="0.35">
      <c r="DM2845" s="50"/>
      <c r="DQ2845" s="50"/>
    </row>
    <row r="2846" spans="117:121" x14ac:dyDescent="0.35">
      <c r="DM2846" s="50"/>
      <c r="DQ2846" s="50"/>
    </row>
    <row r="2847" spans="117:121" x14ac:dyDescent="0.35">
      <c r="DM2847" s="50"/>
      <c r="DQ2847" s="50"/>
    </row>
    <row r="2848" spans="117:121" x14ac:dyDescent="0.35">
      <c r="DM2848" s="50"/>
      <c r="DQ2848" s="50"/>
    </row>
    <row r="2849" spans="117:121" x14ac:dyDescent="0.35">
      <c r="DM2849" s="50"/>
      <c r="DQ2849" s="50"/>
    </row>
    <row r="2850" spans="117:121" x14ac:dyDescent="0.35">
      <c r="DM2850" s="50"/>
      <c r="DQ2850" s="50"/>
    </row>
    <row r="2851" spans="117:121" x14ac:dyDescent="0.35">
      <c r="DM2851" s="50"/>
      <c r="DQ2851" s="50"/>
    </row>
    <row r="2852" spans="117:121" x14ac:dyDescent="0.35">
      <c r="DM2852" s="50"/>
      <c r="DQ2852" s="50"/>
    </row>
    <row r="2853" spans="117:121" x14ac:dyDescent="0.35">
      <c r="DM2853" s="50"/>
      <c r="DQ2853" s="50"/>
    </row>
    <row r="2854" spans="117:121" x14ac:dyDescent="0.35">
      <c r="DM2854" s="50"/>
      <c r="DQ2854" s="50"/>
    </row>
    <row r="2855" spans="117:121" x14ac:dyDescent="0.35">
      <c r="DM2855" s="50"/>
      <c r="DQ2855" s="50"/>
    </row>
    <row r="2856" spans="117:121" x14ac:dyDescent="0.35">
      <c r="DM2856" s="50"/>
      <c r="DQ2856" s="50"/>
    </row>
    <row r="2857" spans="117:121" x14ac:dyDescent="0.35">
      <c r="DM2857" s="50"/>
      <c r="DQ2857" s="50"/>
    </row>
    <row r="2858" spans="117:121" x14ac:dyDescent="0.35">
      <c r="DM2858" s="50"/>
      <c r="DQ2858" s="50"/>
    </row>
    <row r="2859" spans="117:121" x14ac:dyDescent="0.35">
      <c r="DM2859" s="50"/>
      <c r="DQ2859" s="50"/>
    </row>
    <row r="2860" spans="117:121" x14ac:dyDescent="0.35">
      <c r="DM2860" s="50"/>
      <c r="DQ2860" s="50"/>
    </row>
    <row r="2861" spans="117:121" x14ac:dyDescent="0.35">
      <c r="DM2861" s="50"/>
      <c r="DQ2861" s="50"/>
    </row>
    <row r="2862" spans="117:121" x14ac:dyDescent="0.35">
      <c r="DM2862" s="50"/>
      <c r="DQ2862" s="50"/>
    </row>
    <row r="2863" spans="117:121" x14ac:dyDescent="0.35">
      <c r="DM2863" s="50"/>
      <c r="DQ2863" s="50"/>
    </row>
    <row r="2864" spans="117:121" x14ac:dyDescent="0.35">
      <c r="DM2864" s="50"/>
      <c r="DQ2864" s="50"/>
    </row>
    <row r="2865" spans="117:121" x14ac:dyDescent="0.35">
      <c r="DM2865" s="50"/>
      <c r="DQ2865" s="50"/>
    </row>
    <row r="2866" spans="117:121" x14ac:dyDescent="0.35">
      <c r="DM2866" s="50"/>
      <c r="DQ2866" s="50"/>
    </row>
    <row r="2867" spans="117:121" x14ac:dyDescent="0.35">
      <c r="DM2867" s="50"/>
      <c r="DQ2867" s="50"/>
    </row>
    <row r="2868" spans="117:121" x14ac:dyDescent="0.35">
      <c r="DM2868" s="50"/>
      <c r="DQ2868" s="50"/>
    </row>
    <row r="2869" spans="117:121" x14ac:dyDescent="0.35">
      <c r="DM2869" s="50"/>
      <c r="DQ2869" s="50"/>
    </row>
    <row r="2870" spans="117:121" x14ac:dyDescent="0.35">
      <c r="DM2870" s="50"/>
      <c r="DQ2870" s="50"/>
    </row>
    <row r="2871" spans="117:121" x14ac:dyDescent="0.35">
      <c r="DM2871" s="50"/>
      <c r="DQ2871" s="50"/>
    </row>
    <row r="2872" spans="117:121" x14ac:dyDescent="0.35">
      <c r="DM2872" s="50"/>
      <c r="DQ2872" s="50"/>
    </row>
    <row r="2873" spans="117:121" x14ac:dyDescent="0.35">
      <c r="DM2873" s="50"/>
      <c r="DQ2873" s="50"/>
    </row>
    <row r="2874" spans="117:121" x14ac:dyDescent="0.35">
      <c r="DM2874" s="50"/>
      <c r="DQ2874" s="50"/>
    </row>
    <row r="2875" spans="117:121" x14ac:dyDescent="0.35">
      <c r="DM2875" s="50"/>
      <c r="DQ2875" s="50"/>
    </row>
    <row r="2876" spans="117:121" x14ac:dyDescent="0.35">
      <c r="DM2876" s="50"/>
      <c r="DQ2876" s="50"/>
    </row>
    <row r="2877" spans="117:121" x14ac:dyDescent="0.35">
      <c r="DM2877" s="50"/>
      <c r="DQ2877" s="50"/>
    </row>
    <row r="2878" spans="117:121" x14ac:dyDescent="0.35">
      <c r="DM2878" s="50"/>
      <c r="DQ2878" s="50"/>
    </row>
    <row r="2879" spans="117:121" x14ac:dyDescent="0.35">
      <c r="DM2879" s="50"/>
      <c r="DQ2879" s="50"/>
    </row>
    <row r="2880" spans="117:121" x14ac:dyDescent="0.35">
      <c r="DM2880" s="50"/>
      <c r="DQ2880" s="50"/>
    </row>
    <row r="2881" spans="117:121" x14ac:dyDescent="0.35">
      <c r="DM2881" s="50"/>
      <c r="DQ2881" s="50"/>
    </row>
    <row r="2882" spans="117:121" x14ac:dyDescent="0.35">
      <c r="DM2882" s="50"/>
      <c r="DQ2882" s="50"/>
    </row>
    <row r="2883" spans="117:121" x14ac:dyDescent="0.35">
      <c r="DM2883" s="50"/>
      <c r="DQ2883" s="50"/>
    </row>
    <row r="2884" spans="117:121" x14ac:dyDescent="0.35">
      <c r="DM2884" s="50"/>
      <c r="DQ2884" s="50"/>
    </row>
    <row r="2885" spans="117:121" x14ac:dyDescent="0.35">
      <c r="DM2885" s="50"/>
      <c r="DQ2885" s="50"/>
    </row>
    <row r="2886" spans="117:121" x14ac:dyDescent="0.35">
      <c r="DM2886" s="50"/>
      <c r="DQ2886" s="50"/>
    </row>
    <row r="2887" spans="117:121" x14ac:dyDescent="0.35">
      <c r="DM2887" s="50"/>
      <c r="DQ2887" s="50"/>
    </row>
    <row r="2888" spans="117:121" x14ac:dyDescent="0.35">
      <c r="DM2888" s="50"/>
      <c r="DQ2888" s="50"/>
    </row>
    <row r="2889" spans="117:121" x14ac:dyDescent="0.35">
      <c r="DM2889" s="50"/>
      <c r="DQ2889" s="50"/>
    </row>
    <row r="2890" spans="117:121" x14ac:dyDescent="0.35">
      <c r="DM2890" s="50"/>
      <c r="DQ2890" s="50"/>
    </row>
    <row r="2891" spans="117:121" x14ac:dyDescent="0.35">
      <c r="DM2891" s="50"/>
      <c r="DQ2891" s="50"/>
    </row>
    <row r="2892" spans="117:121" x14ac:dyDescent="0.35">
      <c r="DM2892" s="50"/>
      <c r="DQ2892" s="50"/>
    </row>
    <row r="2893" spans="117:121" x14ac:dyDescent="0.35">
      <c r="DM2893" s="50"/>
      <c r="DQ2893" s="50"/>
    </row>
    <row r="2894" spans="117:121" x14ac:dyDescent="0.35">
      <c r="DM2894" s="50"/>
      <c r="DQ2894" s="50"/>
    </row>
    <row r="2895" spans="117:121" x14ac:dyDescent="0.35">
      <c r="DM2895" s="50"/>
      <c r="DQ2895" s="50"/>
    </row>
    <row r="2896" spans="117:121" x14ac:dyDescent="0.35">
      <c r="DM2896" s="50"/>
      <c r="DQ2896" s="50"/>
    </row>
    <row r="2897" spans="117:121" x14ac:dyDescent="0.35">
      <c r="DM2897" s="50"/>
      <c r="DQ2897" s="50"/>
    </row>
    <row r="2898" spans="117:121" x14ac:dyDescent="0.35">
      <c r="DM2898" s="50"/>
      <c r="DQ2898" s="50"/>
    </row>
    <row r="2899" spans="117:121" x14ac:dyDescent="0.35">
      <c r="DM2899" s="50"/>
      <c r="DQ2899" s="50"/>
    </row>
    <row r="2900" spans="117:121" x14ac:dyDescent="0.35">
      <c r="DM2900" s="50"/>
      <c r="DQ2900" s="50"/>
    </row>
    <row r="2901" spans="117:121" x14ac:dyDescent="0.35">
      <c r="DM2901" s="50"/>
      <c r="DQ2901" s="50"/>
    </row>
    <row r="2902" spans="117:121" x14ac:dyDescent="0.35">
      <c r="DM2902" s="50"/>
      <c r="DQ2902" s="50"/>
    </row>
    <row r="2903" spans="117:121" x14ac:dyDescent="0.35">
      <c r="DM2903" s="50"/>
      <c r="DQ2903" s="50"/>
    </row>
    <row r="2904" spans="117:121" x14ac:dyDescent="0.35">
      <c r="DM2904" s="50"/>
      <c r="DQ2904" s="50"/>
    </row>
    <row r="2905" spans="117:121" x14ac:dyDescent="0.35">
      <c r="DM2905" s="50"/>
      <c r="DQ2905" s="50"/>
    </row>
    <row r="2906" spans="117:121" x14ac:dyDescent="0.35">
      <c r="DM2906" s="50"/>
      <c r="DQ2906" s="50"/>
    </row>
    <row r="2907" spans="117:121" x14ac:dyDescent="0.35">
      <c r="DM2907" s="50"/>
      <c r="DQ2907" s="50"/>
    </row>
    <row r="2908" spans="117:121" x14ac:dyDescent="0.35">
      <c r="DM2908" s="50"/>
      <c r="DQ2908" s="50"/>
    </row>
    <row r="2909" spans="117:121" x14ac:dyDescent="0.35">
      <c r="DM2909" s="50"/>
      <c r="DQ2909" s="50"/>
    </row>
    <row r="2910" spans="117:121" x14ac:dyDescent="0.35">
      <c r="DM2910" s="50"/>
      <c r="DQ2910" s="50"/>
    </row>
    <row r="2911" spans="117:121" x14ac:dyDescent="0.35">
      <c r="DM2911" s="50"/>
      <c r="DQ2911" s="50"/>
    </row>
    <row r="2912" spans="117:121" x14ac:dyDescent="0.35">
      <c r="DM2912" s="50"/>
      <c r="DQ2912" s="50"/>
    </row>
    <row r="2913" spans="117:121" x14ac:dyDescent="0.35">
      <c r="DM2913" s="50"/>
      <c r="DQ2913" s="50"/>
    </row>
    <row r="2914" spans="117:121" x14ac:dyDescent="0.35">
      <c r="DM2914" s="50"/>
      <c r="DQ2914" s="50"/>
    </row>
    <row r="2915" spans="117:121" x14ac:dyDescent="0.35">
      <c r="DM2915" s="50"/>
      <c r="DQ2915" s="50"/>
    </row>
    <row r="2916" spans="117:121" x14ac:dyDescent="0.35">
      <c r="DM2916" s="50"/>
      <c r="DQ2916" s="50"/>
    </row>
    <row r="2917" spans="117:121" x14ac:dyDescent="0.35">
      <c r="DM2917" s="50"/>
      <c r="DQ2917" s="50"/>
    </row>
    <row r="2918" spans="117:121" x14ac:dyDescent="0.35">
      <c r="DM2918" s="50"/>
      <c r="DQ2918" s="50"/>
    </row>
    <row r="2919" spans="117:121" x14ac:dyDescent="0.35">
      <c r="DM2919" s="50"/>
      <c r="DQ2919" s="50"/>
    </row>
    <row r="2920" spans="117:121" x14ac:dyDescent="0.35">
      <c r="DM2920" s="50"/>
      <c r="DQ2920" s="50"/>
    </row>
    <row r="2921" spans="117:121" x14ac:dyDescent="0.35">
      <c r="DM2921" s="50"/>
      <c r="DQ2921" s="50"/>
    </row>
    <row r="2922" spans="117:121" x14ac:dyDescent="0.35">
      <c r="DM2922" s="50"/>
      <c r="DQ2922" s="50"/>
    </row>
    <row r="2923" spans="117:121" x14ac:dyDescent="0.35">
      <c r="DM2923" s="50"/>
      <c r="DQ2923" s="50"/>
    </row>
    <row r="2924" spans="117:121" x14ac:dyDescent="0.35">
      <c r="DM2924" s="50"/>
      <c r="DQ2924" s="50"/>
    </row>
    <row r="2925" spans="117:121" x14ac:dyDescent="0.35">
      <c r="DM2925" s="50"/>
      <c r="DQ2925" s="50"/>
    </row>
    <row r="2926" spans="117:121" x14ac:dyDescent="0.35">
      <c r="DM2926" s="50"/>
      <c r="DQ2926" s="50"/>
    </row>
    <row r="2927" spans="117:121" x14ac:dyDescent="0.35">
      <c r="DM2927" s="50"/>
      <c r="DQ2927" s="50"/>
    </row>
    <row r="2928" spans="117:121" x14ac:dyDescent="0.35">
      <c r="DM2928" s="50"/>
      <c r="DQ2928" s="50"/>
    </row>
    <row r="2929" spans="117:121" x14ac:dyDescent="0.35">
      <c r="DM2929" s="50"/>
      <c r="DQ2929" s="50"/>
    </row>
    <row r="2930" spans="117:121" x14ac:dyDescent="0.35">
      <c r="DM2930" s="50"/>
      <c r="DQ2930" s="50"/>
    </row>
    <row r="2931" spans="117:121" x14ac:dyDescent="0.35">
      <c r="DM2931" s="50"/>
      <c r="DQ2931" s="50"/>
    </row>
    <row r="2932" spans="117:121" x14ac:dyDescent="0.35">
      <c r="DM2932" s="50"/>
      <c r="DQ2932" s="50"/>
    </row>
    <row r="2933" spans="117:121" x14ac:dyDescent="0.35">
      <c r="DM2933" s="50"/>
      <c r="DQ2933" s="50"/>
    </row>
    <row r="2934" spans="117:121" x14ac:dyDescent="0.35">
      <c r="DM2934" s="50"/>
      <c r="DQ2934" s="50"/>
    </row>
    <row r="2935" spans="117:121" x14ac:dyDescent="0.35">
      <c r="DM2935" s="50"/>
      <c r="DQ2935" s="50"/>
    </row>
    <row r="2936" spans="117:121" x14ac:dyDescent="0.35">
      <c r="DM2936" s="50"/>
      <c r="DQ2936" s="50"/>
    </row>
    <row r="2937" spans="117:121" x14ac:dyDescent="0.35">
      <c r="DM2937" s="50"/>
      <c r="DQ2937" s="50"/>
    </row>
    <row r="2938" spans="117:121" x14ac:dyDescent="0.35">
      <c r="DM2938" s="50"/>
      <c r="DQ2938" s="50"/>
    </row>
    <row r="2939" spans="117:121" x14ac:dyDescent="0.35">
      <c r="DM2939" s="50"/>
      <c r="DQ2939" s="50"/>
    </row>
    <row r="2940" spans="117:121" x14ac:dyDescent="0.35">
      <c r="DM2940" s="50"/>
      <c r="DQ2940" s="50"/>
    </row>
    <row r="2941" spans="117:121" x14ac:dyDescent="0.35">
      <c r="DM2941" s="50"/>
      <c r="DQ2941" s="50"/>
    </row>
    <row r="2942" spans="117:121" x14ac:dyDescent="0.35">
      <c r="DM2942" s="50"/>
      <c r="DQ2942" s="50"/>
    </row>
    <row r="2943" spans="117:121" x14ac:dyDescent="0.35">
      <c r="DM2943" s="50"/>
      <c r="DQ2943" s="50"/>
    </row>
    <row r="2944" spans="117:121" x14ac:dyDescent="0.35">
      <c r="DM2944" s="50"/>
      <c r="DQ2944" s="50"/>
    </row>
    <row r="2945" spans="117:121" x14ac:dyDescent="0.35">
      <c r="DM2945" s="50"/>
      <c r="DQ2945" s="50"/>
    </row>
    <row r="2946" spans="117:121" x14ac:dyDescent="0.35">
      <c r="DM2946" s="50"/>
      <c r="DQ2946" s="50"/>
    </row>
    <row r="2947" spans="117:121" x14ac:dyDescent="0.35">
      <c r="DM2947" s="50"/>
      <c r="DQ2947" s="50"/>
    </row>
    <row r="2948" spans="117:121" x14ac:dyDescent="0.35">
      <c r="DM2948" s="50"/>
      <c r="DQ2948" s="50"/>
    </row>
    <row r="2949" spans="117:121" x14ac:dyDescent="0.35">
      <c r="DM2949" s="50"/>
      <c r="DQ2949" s="50"/>
    </row>
    <row r="2950" spans="117:121" x14ac:dyDescent="0.35">
      <c r="DM2950" s="50"/>
      <c r="DQ2950" s="50"/>
    </row>
    <row r="2951" spans="117:121" x14ac:dyDescent="0.35">
      <c r="DM2951" s="50"/>
      <c r="DQ2951" s="50"/>
    </row>
    <row r="2952" spans="117:121" x14ac:dyDescent="0.35">
      <c r="DM2952" s="50"/>
      <c r="DQ2952" s="50"/>
    </row>
    <row r="2953" spans="117:121" x14ac:dyDescent="0.35">
      <c r="DM2953" s="50"/>
      <c r="DQ2953" s="50"/>
    </row>
    <row r="2954" spans="117:121" x14ac:dyDescent="0.35">
      <c r="DM2954" s="50"/>
      <c r="DQ2954" s="50"/>
    </row>
    <row r="2955" spans="117:121" x14ac:dyDescent="0.35">
      <c r="DM2955" s="50"/>
      <c r="DQ2955" s="50"/>
    </row>
    <row r="2956" spans="117:121" x14ac:dyDescent="0.35">
      <c r="DM2956" s="50"/>
      <c r="DQ2956" s="50"/>
    </row>
    <row r="2957" spans="117:121" x14ac:dyDescent="0.35">
      <c r="DM2957" s="50"/>
      <c r="DQ2957" s="50"/>
    </row>
    <row r="2958" spans="117:121" x14ac:dyDescent="0.35">
      <c r="DM2958" s="50"/>
      <c r="DQ2958" s="50"/>
    </row>
    <row r="2959" spans="117:121" x14ac:dyDescent="0.35">
      <c r="DM2959" s="50"/>
      <c r="DQ2959" s="50"/>
    </row>
    <row r="2960" spans="117:121" x14ac:dyDescent="0.35">
      <c r="DM2960" s="50"/>
      <c r="DQ2960" s="50"/>
    </row>
    <row r="2961" spans="117:121" x14ac:dyDescent="0.35">
      <c r="DM2961" s="50"/>
      <c r="DQ2961" s="50"/>
    </row>
    <row r="2962" spans="117:121" x14ac:dyDescent="0.35">
      <c r="DM2962" s="50"/>
      <c r="DQ2962" s="50"/>
    </row>
    <row r="2963" spans="117:121" x14ac:dyDescent="0.35">
      <c r="DM2963" s="50"/>
      <c r="DQ2963" s="50"/>
    </row>
    <row r="2964" spans="117:121" x14ac:dyDescent="0.35">
      <c r="DM2964" s="50"/>
      <c r="DQ2964" s="50"/>
    </row>
    <row r="2965" spans="117:121" x14ac:dyDescent="0.35">
      <c r="DM2965" s="50"/>
      <c r="DQ2965" s="50"/>
    </row>
    <row r="2966" spans="117:121" x14ac:dyDescent="0.35">
      <c r="DM2966" s="50"/>
      <c r="DQ2966" s="50"/>
    </row>
    <row r="2967" spans="117:121" x14ac:dyDescent="0.35">
      <c r="DM2967" s="50"/>
      <c r="DQ2967" s="50"/>
    </row>
    <row r="2968" spans="117:121" x14ac:dyDescent="0.35">
      <c r="DM2968" s="50"/>
      <c r="DQ2968" s="50"/>
    </row>
    <row r="2969" spans="117:121" x14ac:dyDescent="0.35">
      <c r="DM2969" s="50"/>
      <c r="DQ2969" s="50"/>
    </row>
    <row r="2970" spans="117:121" x14ac:dyDescent="0.35">
      <c r="DM2970" s="50"/>
      <c r="DQ2970" s="50"/>
    </row>
    <row r="2971" spans="117:121" x14ac:dyDescent="0.35">
      <c r="DM2971" s="50"/>
      <c r="DQ2971" s="50"/>
    </row>
    <row r="2972" spans="117:121" x14ac:dyDescent="0.35">
      <c r="DM2972" s="50"/>
      <c r="DQ2972" s="50"/>
    </row>
    <row r="2973" spans="117:121" x14ac:dyDescent="0.35">
      <c r="DM2973" s="50"/>
      <c r="DQ2973" s="50"/>
    </row>
    <row r="2974" spans="117:121" x14ac:dyDescent="0.35">
      <c r="DM2974" s="50"/>
      <c r="DQ2974" s="50"/>
    </row>
    <row r="2975" spans="117:121" x14ac:dyDescent="0.35">
      <c r="DM2975" s="50"/>
      <c r="DQ2975" s="50"/>
    </row>
    <row r="2976" spans="117:121" x14ac:dyDescent="0.35">
      <c r="DM2976" s="50"/>
      <c r="DQ2976" s="50"/>
    </row>
    <row r="2977" spans="117:121" x14ac:dyDescent="0.35">
      <c r="DM2977" s="50"/>
      <c r="DQ2977" s="50"/>
    </row>
    <row r="2978" spans="117:121" x14ac:dyDescent="0.35">
      <c r="DM2978" s="50"/>
      <c r="DQ2978" s="50"/>
    </row>
    <row r="2979" spans="117:121" x14ac:dyDescent="0.35">
      <c r="DM2979" s="50"/>
      <c r="DQ2979" s="50"/>
    </row>
    <row r="2980" spans="117:121" x14ac:dyDescent="0.35">
      <c r="DM2980" s="50"/>
      <c r="DQ2980" s="50"/>
    </row>
    <row r="2981" spans="117:121" x14ac:dyDescent="0.35">
      <c r="DM2981" s="50"/>
      <c r="DQ2981" s="50"/>
    </row>
    <row r="2982" spans="117:121" x14ac:dyDescent="0.35">
      <c r="DM2982" s="50"/>
      <c r="DQ2982" s="50"/>
    </row>
    <row r="2983" spans="117:121" x14ac:dyDescent="0.35">
      <c r="DM2983" s="50"/>
      <c r="DQ2983" s="50"/>
    </row>
    <row r="2984" spans="117:121" x14ac:dyDescent="0.35">
      <c r="DM2984" s="50"/>
      <c r="DQ2984" s="50"/>
    </row>
    <row r="2985" spans="117:121" x14ac:dyDescent="0.35">
      <c r="DM2985" s="50"/>
      <c r="DQ2985" s="50"/>
    </row>
    <row r="2986" spans="117:121" x14ac:dyDescent="0.35">
      <c r="DM2986" s="50"/>
      <c r="DQ2986" s="50"/>
    </row>
    <row r="2987" spans="117:121" x14ac:dyDescent="0.35">
      <c r="DM2987" s="50"/>
      <c r="DQ2987" s="50"/>
    </row>
    <row r="2988" spans="117:121" x14ac:dyDescent="0.35">
      <c r="DM2988" s="50"/>
      <c r="DQ2988" s="50"/>
    </row>
    <row r="2989" spans="117:121" x14ac:dyDescent="0.35">
      <c r="DM2989" s="50"/>
      <c r="DQ2989" s="50"/>
    </row>
    <row r="2990" spans="117:121" x14ac:dyDescent="0.35">
      <c r="DM2990" s="50"/>
      <c r="DQ2990" s="50"/>
    </row>
    <row r="2991" spans="117:121" x14ac:dyDescent="0.35">
      <c r="DM2991" s="50"/>
      <c r="DQ2991" s="50"/>
    </row>
    <row r="2992" spans="117:121" x14ac:dyDescent="0.35">
      <c r="DM2992" s="50"/>
      <c r="DQ2992" s="50"/>
    </row>
    <row r="2993" spans="117:121" x14ac:dyDescent="0.35">
      <c r="DM2993" s="50"/>
      <c r="DQ2993" s="50"/>
    </row>
    <row r="2994" spans="117:121" x14ac:dyDescent="0.35">
      <c r="DM2994" s="50"/>
      <c r="DQ2994" s="50"/>
    </row>
    <row r="2995" spans="117:121" x14ac:dyDescent="0.35">
      <c r="DM2995" s="50"/>
      <c r="DQ2995" s="50"/>
    </row>
    <row r="2996" spans="117:121" x14ac:dyDescent="0.35">
      <c r="DM2996" s="50"/>
      <c r="DQ2996" s="50"/>
    </row>
    <row r="2997" spans="117:121" x14ac:dyDescent="0.35">
      <c r="DM2997" s="50"/>
      <c r="DQ2997" s="50"/>
    </row>
    <row r="2998" spans="117:121" x14ac:dyDescent="0.35">
      <c r="DM2998" s="50"/>
      <c r="DQ2998" s="50"/>
    </row>
    <row r="2999" spans="117:121" x14ac:dyDescent="0.35">
      <c r="DM2999" s="50"/>
      <c r="DQ2999" s="50"/>
    </row>
    <row r="3000" spans="117:121" x14ac:dyDescent="0.35">
      <c r="DM3000" s="50"/>
      <c r="DQ3000" s="50"/>
    </row>
    <row r="3001" spans="117:121" x14ac:dyDescent="0.35">
      <c r="DM3001" s="50"/>
      <c r="DQ3001" s="50"/>
    </row>
    <row r="3002" spans="117:121" x14ac:dyDescent="0.35">
      <c r="DM3002" s="50"/>
      <c r="DQ3002" s="50"/>
    </row>
    <row r="3003" spans="117:121" x14ac:dyDescent="0.35">
      <c r="DM3003" s="50"/>
      <c r="DQ3003" s="50"/>
    </row>
    <row r="3004" spans="117:121" x14ac:dyDescent="0.35">
      <c r="DM3004" s="50"/>
      <c r="DQ3004" s="50"/>
    </row>
    <row r="3005" spans="117:121" x14ac:dyDescent="0.35">
      <c r="DM3005" s="50"/>
      <c r="DQ3005" s="50"/>
    </row>
    <row r="3006" spans="117:121" x14ac:dyDescent="0.35">
      <c r="DM3006" s="50"/>
      <c r="DQ3006" s="50"/>
    </row>
    <row r="3007" spans="117:121" x14ac:dyDescent="0.35">
      <c r="DM3007" s="50"/>
      <c r="DQ3007" s="50"/>
    </row>
    <row r="3008" spans="117:121" x14ac:dyDescent="0.35">
      <c r="DM3008" s="50"/>
      <c r="DQ3008" s="50"/>
    </row>
    <row r="3009" spans="117:121" x14ac:dyDescent="0.35">
      <c r="DM3009" s="50"/>
      <c r="DQ3009" s="50"/>
    </row>
    <row r="3010" spans="117:121" x14ac:dyDescent="0.35">
      <c r="DM3010" s="50"/>
      <c r="DQ3010" s="50"/>
    </row>
    <row r="3011" spans="117:121" x14ac:dyDescent="0.35">
      <c r="DM3011" s="50"/>
      <c r="DQ3011" s="50"/>
    </row>
    <row r="3012" spans="117:121" x14ac:dyDescent="0.35">
      <c r="DM3012" s="50"/>
      <c r="DQ3012" s="50"/>
    </row>
    <row r="3013" spans="117:121" x14ac:dyDescent="0.35">
      <c r="DM3013" s="50"/>
      <c r="DQ3013" s="50"/>
    </row>
    <row r="3014" spans="117:121" x14ac:dyDescent="0.35">
      <c r="DM3014" s="50"/>
      <c r="DQ3014" s="50"/>
    </row>
    <row r="3015" spans="117:121" x14ac:dyDescent="0.35">
      <c r="DM3015" s="50"/>
      <c r="DQ3015" s="50"/>
    </row>
    <row r="3016" spans="117:121" x14ac:dyDescent="0.35">
      <c r="DM3016" s="50"/>
      <c r="DQ3016" s="50"/>
    </row>
    <row r="3017" spans="117:121" x14ac:dyDescent="0.35">
      <c r="DM3017" s="50"/>
      <c r="DQ3017" s="50"/>
    </row>
    <row r="3018" spans="117:121" x14ac:dyDescent="0.35">
      <c r="DM3018" s="50"/>
      <c r="DQ3018" s="50"/>
    </row>
    <row r="3019" spans="117:121" x14ac:dyDescent="0.35">
      <c r="DM3019" s="50"/>
      <c r="DQ3019" s="50"/>
    </row>
    <row r="3020" spans="117:121" x14ac:dyDescent="0.35">
      <c r="DM3020" s="50"/>
      <c r="DQ3020" s="50"/>
    </row>
    <row r="3021" spans="117:121" x14ac:dyDescent="0.35">
      <c r="DM3021" s="50"/>
      <c r="DQ3021" s="50"/>
    </row>
    <row r="3022" spans="117:121" x14ac:dyDescent="0.35">
      <c r="DM3022" s="50"/>
      <c r="DQ3022" s="50"/>
    </row>
    <row r="3023" spans="117:121" x14ac:dyDescent="0.35">
      <c r="DM3023" s="50"/>
      <c r="DQ3023" s="50"/>
    </row>
    <row r="3024" spans="117:121" x14ac:dyDescent="0.35">
      <c r="DM3024" s="50"/>
      <c r="DQ3024" s="50"/>
    </row>
    <row r="3025" spans="117:121" x14ac:dyDescent="0.35">
      <c r="DM3025" s="50"/>
      <c r="DQ3025" s="50"/>
    </row>
    <row r="3026" spans="117:121" x14ac:dyDescent="0.35">
      <c r="DM3026" s="50"/>
      <c r="DQ3026" s="50"/>
    </row>
    <row r="3027" spans="117:121" x14ac:dyDescent="0.35">
      <c r="DM3027" s="50"/>
      <c r="DQ3027" s="50"/>
    </row>
    <row r="3028" spans="117:121" x14ac:dyDescent="0.35">
      <c r="DM3028" s="50"/>
      <c r="DQ3028" s="50"/>
    </row>
    <row r="3029" spans="117:121" x14ac:dyDescent="0.35">
      <c r="DM3029" s="50"/>
      <c r="DQ3029" s="50"/>
    </row>
    <row r="3030" spans="117:121" x14ac:dyDescent="0.35">
      <c r="DM3030" s="50"/>
      <c r="DQ3030" s="50"/>
    </row>
    <row r="3031" spans="117:121" x14ac:dyDescent="0.35">
      <c r="DM3031" s="50"/>
      <c r="DQ3031" s="50"/>
    </row>
    <row r="3032" spans="117:121" x14ac:dyDescent="0.35">
      <c r="DM3032" s="50"/>
      <c r="DQ3032" s="50"/>
    </row>
    <row r="3033" spans="117:121" x14ac:dyDescent="0.35">
      <c r="DM3033" s="50"/>
      <c r="DQ3033" s="50"/>
    </row>
    <row r="3034" spans="117:121" x14ac:dyDescent="0.35">
      <c r="DM3034" s="50"/>
      <c r="DQ3034" s="50"/>
    </row>
    <row r="3035" spans="117:121" x14ac:dyDescent="0.35">
      <c r="DM3035" s="50"/>
      <c r="DQ3035" s="50"/>
    </row>
    <row r="3036" spans="117:121" x14ac:dyDescent="0.35">
      <c r="DM3036" s="50"/>
      <c r="DQ3036" s="50"/>
    </row>
    <row r="3037" spans="117:121" x14ac:dyDescent="0.35">
      <c r="DM3037" s="50"/>
      <c r="DQ3037" s="50"/>
    </row>
    <row r="3038" spans="117:121" x14ac:dyDescent="0.35">
      <c r="DM3038" s="50"/>
      <c r="DQ3038" s="50"/>
    </row>
    <row r="3039" spans="117:121" x14ac:dyDescent="0.35">
      <c r="DM3039" s="50"/>
      <c r="DQ3039" s="50"/>
    </row>
    <row r="3040" spans="117:121" x14ac:dyDescent="0.35">
      <c r="DM3040" s="50"/>
      <c r="DQ3040" s="50"/>
    </row>
    <row r="3041" spans="117:121" x14ac:dyDescent="0.35">
      <c r="DM3041" s="50"/>
      <c r="DQ3041" s="50"/>
    </row>
    <row r="3042" spans="117:121" x14ac:dyDescent="0.35">
      <c r="DM3042" s="50"/>
      <c r="DQ3042" s="50"/>
    </row>
    <row r="3043" spans="117:121" x14ac:dyDescent="0.35">
      <c r="DM3043" s="50"/>
      <c r="DQ3043" s="50"/>
    </row>
    <row r="3044" spans="117:121" x14ac:dyDescent="0.35">
      <c r="DM3044" s="50"/>
      <c r="DQ3044" s="50"/>
    </row>
    <row r="3045" spans="117:121" x14ac:dyDescent="0.35">
      <c r="DM3045" s="50"/>
      <c r="DQ3045" s="50"/>
    </row>
    <row r="3046" spans="117:121" x14ac:dyDescent="0.35">
      <c r="DM3046" s="50"/>
      <c r="DQ3046" s="50"/>
    </row>
    <row r="3047" spans="117:121" x14ac:dyDescent="0.35">
      <c r="DM3047" s="50"/>
      <c r="DQ3047" s="50"/>
    </row>
    <row r="3048" spans="117:121" x14ac:dyDescent="0.35">
      <c r="DM3048" s="50"/>
      <c r="DQ3048" s="50"/>
    </row>
    <row r="3049" spans="117:121" x14ac:dyDescent="0.35">
      <c r="DM3049" s="50"/>
      <c r="DQ3049" s="50"/>
    </row>
    <row r="3050" spans="117:121" x14ac:dyDescent="0.35">
      <c r="DM3050" s="50"/>
      <c r="DQ3050" s="50"/>
    </row>
    <row r="3051" spans="117:121" x14ac:dyDescent="0.35">
      <c r="DM3051" s="50"/>
      <c r="DQ3051" s="50"/>
    </row>
    <row r="3052" spans="117:121" x14ac:dyDescent="0.35">
      <c r="DM3052" s="50"/>
      <c r="DQ3052" s="50"/>
    </row>
    <row r="3053" spans="117:121" x14ac:dyDescent="0.35">
      <c r="DM3053" s="50"/>
      <c r="DQ3053" s="50"/>
    </row>
    <row r="3054" spans="117:121" x14ac:dyDescent="0.35">
      <c r="DM3054" s="50"/>
      <c r="DQ3054" s="50"/>
    </row>
    <row r="3055" spans="117:121" x14ac:dyDescent="0.35">
      <c r="DM3055" s="50"/>
      <c r="DQ3055" s="50"/>
    </row>
    <row r="3056" spans="117:121" x14ac:dyDescent="0.35">
      <c r="DM3056" s="50"/>
      <c r="DQ3056" s="50"/>
    </row>
    <row r="3057" spans="117:121" x14ac:dyDescent="0.35">
      <c r="DM3057" s="50"/>
      <c r="DQ3057" s="50"/>
    </row>
    <row r="3058" spans="117:121" x14ac:dyDescent="0.35">
      <c r="DM3058" s="50"/>
      <c r="DQ3058" s="50"/>
    </row>
    <row r="3059" spans="117:121" x14ac:dyDescent="0.35">
      <c r="DM3059" s="50"/>
      <c r="DQ3059" s="50"/>
    </row>
    <row r="3060" spans="117:121" x14ac:dyDescent="0.35">
      <c r="DM3060" s="50"/>
      <c r="DQ3060" s="50"/>
    </row>
    <row r="3061" spans="117:121" x14ac:dyDescent="0.35">
      <c r="DM3061" s="50"/>
      <c r="DQ3061" s="50"/>
    </row>
    <row r="3062" spans="117:121" x14ac:dyDescent="0.35">
      <c r="DM3062" s="50"/>
      <c r="DQ3062" s="50"/>
    </row>
    <row r="3063" spans="117:121" x14ac:dyDescent="0.35">
      <c r="DM3063" s="50"/>
      <c r="DQ3063" s="50"/>
    </row>
    <row r="3064" spans="117:121" x14ac:dyDescent="0.35">
      <c r="DM3064" s="50"/>
      <c r="DQ3064" s="50"/>
    </row>
    <row r="3065" spans="117:121" x14ac:dyDescent="0.35">
      <c r="DM3065" s="50"/>
      <c r="DQ3065" s="50"/>
    </row>
    <row r="3066" spans="117:121" x14ac:dyDescent="0.35">
      <c r="DM3066" s="50"/>
      <c r="DQ3066" s="50"/>
    </row>
    <row r="3067" spans="117:121" x14ac:dyDescent="0.35">
      <c r="DM3067" s="50"/>
      <c r="DQ3067" s="50"/>
    </row>
    <row r="3068" spans="117:121" x14ac:dyDescent="0.35">
      <c r="DM3068" s="50"/>
      <c r="DQ3068" s="50"/>
    </row>
    <row r="3069" spans="117:121" x14ac:dyDescent="0.35">
      <c r="DM3069" s="50"/>
      <c r="DQ3069" s="50"/>
    </row>
    <row r="3070" spans="117:121" x14ac:dyDescent="0.35">
      <c r="DM3070" s="50"/>
      <c r="DQ3070" s="50"/>
    </row>
    <row r="3071" spans="117:121" x14ac:dyDescent="0.35">
      <c r="DM3071" s="50"/>
      <c r="DQ3071" s="50"/>
    </row>
    <row r="3072" spans="117:121" x14ac:dyDescent="0.35">
      <c r="DM3072" s="50"/>
      <c r="DQ3072" s="50"/>
    </row>
    <row r="3073" spans="117:121" x14ac:dyDescent="0.35">
      <c r="DM3073" s="50"/>
      <c r="DQ3073" s="50"/>
    </row>
    <row r="3074" spans="117:121" x14ac:dyDescent="0.35">
      <c r="DM3074" s="50"/>
      <c r="DQ3074" s="50"/>
    </row>
    <row r="3075" spans="117:121" x14ac:dyDescent="0.35">
      <c r="DM3075" s="50"/>
      <c r="DQ3075" s="50"/>
    </row>
    <row r="3076" spans="117:121" x14ac:dyDescent="0.35">
      <c r="DM3076" s="50"/>
      <c r="DQ3076" s="50"/>
    </row>
    <row r="3077" spans="117:121" x14ac:dyDescent="0.35">
      <c r="DM3077" s="50"/>
      <c r="DQ3077" s="50"/>
    </row>
    <row r="3078" spans="117:121" x14ac:dyDescent="0.35">
      <c r="DM3078" s="50"/>
      <c r="DQ3078" s="50"/>
    </row>
    <row r="3079" spans="117:121" x14ac:dyDescent="0.35">
      <c r="DM3079" s="50"/>
      <c r="DQ3079" s="50"/>
    </row>
    <row r="3080" spans="117:121" x14ac:dyDescent="0.35">
      <c r="DM3080" s="50"/>
      <c r="DQ3080" s="50"/>
    </row>
    <row r="3081" spans="117:121" x14ac:dyDescent="0.35">
      <c r="DM3081" s="50"/>
      <c r="DQ3081" s="50"/>
    </row>
    <row r="3082" spans="117:121" x14ac:dyDescent="0.35">
      <c r="DM3082" s="50"/>
      <c r="DQ3082" s="50"/>
    </row>
    <row r="3083" spans="117:121" x14ac:dyDescent="0.35">
      <c r="DM3083" s="50"/>
      <c r="DQ3083" s="50"/>
    </row>
    <row r="3084" spans="117:121" x14ac:dyDescent="0.35">
      <c r="DM3084" s="50"/>
      <c r="DQ3084" s="50"/>
    </row>
    <row r="3085" spans="117:121" x14ac:dyDescent="0.35">
      <c r="DM3085" s="50"/>
      <c r="DQ3085" s="50"/>
    </row>
    <row r="3086" spans="117:121" x14ac:dyDescent="0.35">
      <c r="DM3086" s="50"/>
      <c r="DQ3086" s="50"/>
    </row>
    <row r="3087" spans="117:121" x14ac:dyDescent="0.35">
      <c r="DM3087" s="50"/>
      <c r="DQ3087" s="50"/>
    </row>
    <row r="3088" spans="117:121" x14ac:dyDescent="0.35">
      <c r="DM3088" s="50"/>
      <c r="DQ3088" s="50"/>
    </row>
    <row r="3089" spans="117:121" x14ac:dyDescent="0.35">
      <c r="DM3089" s="50"/>
      <c r="DQ3089" s="50"/>
    </row>
    <row r="3090" spans="117:121" x14ac:dyDescent="0.35">
      <c r="DM3090" s="50"/>
      <c r="DQ3090" s="50"/>
    </row>
    <row r="3091" spans="117:121" x14ac:dyDescent="0.35">
      <c r="DM3091" s="50"/>
      <c r="DQ3091" s="50"/>
    </row>
    <row r="3092" spans="117:121" x14ac:dyDescent="0.35">
      <c r="DM3092" s="50"/>
      <c r="DQ3092" s="50"/>
    </row>
    <row r="3093" spans="117:121" x14ac:dyDescent="0.35">
      <c r="DM3093" s="50"/>
      <c r="DQ3093" s="50"/>
    </row>
    <row r="3094" spans="117:121" x14ac:dyDescent="0.35">
      <c r="DM3094" s="50"/>
      <c r="DQ3094" s="50"/>
    </row>
    <row r="3095" spans="117:121" x14ac:dyDescent="0.35">
      <c r="DM3095" s="50"/>
      <c r="DQ3095" s="50"/>
    </row>
    <row r="3096" spans="117:121" x14ac:dyDescent="0.35">
      <c r="DM3096" s="50"/>
      <c r="DQ3096" s="50"/>
    </row>
    <row r="3097" spans="117:121" x14ac:dyDescent="0.35">
      <c r="DM3097" s="50"/>
      <c r="DQ3097" s="50"/>
    </row>
    <row r="3098" spans="117:121" x14ac:dyDescent="0.35">
      <c r="DM3098" s="50"/>
      <c r="DQ3098" s="50"/>
    </row>
    <row r="3099" spans="117:121" x14ac:dyDescent="0.35">
      <c r="DM3099" s="50"/>
      <c r="DQ3099" s="50"/>
    </row>
    <row r="3100" spans="117:121" x14ac:dyDescent="0.35">
      <c r="DM3100" s="50"/>
      <c r="DQ3100" s="50"/>
    </row>
    <row r="3101" spans="117:121" x14ac:dyDescent="0.35">
      <c r="DM3101" s="50"/>
      <c r="DQ3101" s="50"/>
    </row>
    <row r="3102" spans="117:121" x14ac:dyDescent="0.35">
      <c r="DM3102" s="50"/>
      <c r="DQ3102" s="50"/>
    </row>
    <row r="3103" spans="117:121" x14ac:dyDescent="0.35">
      <c r="DM3103" s="50"/>
      <c r="DQ3103" s="50"/>
    </row>
    <row r="3104" spans="117:121" x14ac:dyDescent="0.35">
      <c r="DM3104" s="50"/>
      <c r="DQ3104" s="50"/>
    </row>
    <row r="3105" spans="117:121" x14ac:dyDescent="0.35">
      <c r="DM3105" s="50"/>
      <c r="DQ3105" s="50"/>
    </row>
    <row r="3106" spans="117:121" x14ac:dyDescent="0.35">
      <c r="DM3106" s="50"/>
      <c r="DQ3106" s="50"/>
    </row>
    <row r="3107" spans="117:121" x14ac:dyDescent="0.35">
      <c r="DM3107" s="50"/>
      <c r="DQ3107" s="50"/>
    </row>
    <row r="3108" spans="117:121" x14ac:dyDescent="0.35">
      <c r="DM3108" s="50"/>
      <c r="DQ3108" s="50"/>
    </row>
    <row r="3109" spans="117:121" x14ac:dyDescent="0.35">
      <c r="DM3109" s="50"/>
      <c r="DQ3109" s="50"/>
    </row>
    <row r="3110" spans="117:121" x14ac:dyDescent="0.35">
      <c r="DM3110" s="50"/>
      <c r="DQ3110" s="50"/>
    </row>
    <row r="3111" spans="117:121" x14ac:dyDescent="0.35">
      <c r="DM3111" s="50"/>
      <c r="DQ3111" s="50"/>
    </row>
    <row r="3112" spans="117:121" x14ac:dyDescent="0.35">
      <c r="DM3112" s="50"/>
      <c r="DQ3112" s="50"/>
    </row>
    <row r="3113" spans="117:121" x14ac:dyDescent="0.35">
      <c r="DM3113" s="50"/>
      <c r="DQ3113" s="50"/>
    </row>
    <row r="3114" spans="117:121" x14ac:dyDescent="0.35">
      <c r="DM3114" s="50"/>
      <c r="DQ3114" s="50"/>
    </row>
    <row r="3115" spans="117:121" x14ac:dyDescent="0.35">
      <c r="DM3115" s="50"/>
      <c r="DQ3115" s="50"/>
    </row>
    <row r="3116" spans="117:121" x14ac:dyDescent="0.35">
      <c r="DM3116" s="50"/>
      <c r="DQ3116" s="50"/>
    </row>
    <row r="3117" spans="117:121" x14ac:dyDescent="0.35">
      <c r="DM3117" s="50"/>
      <c r="DQ3117" s="50"/>
    </row>
    <row r="3118" spans="117:121" x14ac:dyDescent="0.35">
      <c r="DM3118" s="50"/>
      <c r="DQ3118" s="50"/>
    </row>
    <row r="3119" spans="117:121" x14ac:dyDescent="0.35">
      <c r="DM3119" s="50"/>
      <c r="DQ3119" s="50"/>
    </row>
    <row r="3120" spans="117:121" x14ac:dyDescent="0.35">
      <c r="DM3120" s="50"/>
      <c r="DQ3120" s="50"/>
    </row>
    <row r="3121" spans="117:121" x14ac:dyDescent="0.35">
      <c r="DM3121" s="50"/>
      <c r="DQ3121" s="50"/>
    </row>
    <row r="3122" spans="117:121" x14ac:dyDescent="0.35">
      <c r="DM3122" s="50"/>
      <c r="DQ3122" s="50"/>
    </row>
    <row r="3123" spans="117:121" x14ac:dyDescent="0.35">
      <c r="DM3123" s="50"/>
      <c r="DQ3123" s="50"/>
    </row>
    <row r="3124" spans="117:121" x14ac:dyDescent="0.35">
      <c r="DM3124" s="50"/>
      <c r="DQ3124" s="50"/>
    </row>
    <row r="3125" spans="117:121" x14ac:dyDescent="0.35">
      <c r="DM3125" s="50"/>
      <c r="DQ3125" s="50"/>
    </row>
    <row r="3126" spans="117:121" x14ac:dyDescent="0.35">
      <c r="DM3126" s="50"/>
      <c r="DQ3126" s="50"/>
    </row>
    <row r="3127" spans="117:121" x14ac:dyDescent="0.35">
      <c r="DM3127" s="50"/>
      <c r="DQ3127" s="50"/>
    </row>
    <row r="3128" spans="117:121" x14ac:dyDescent="0.35">
      <c r="DM3128" s="50"/>
      <c r="DQ3128" s="50"/>
    </row>
    <row r="3129" spans="117:121" x14ac:dyDescent="0.35">
      <c r="DM3129" s="50"/>
      <c r="DQ3129" s="50"/>
    </row>
    <row r="3130" spans="117:121" x14ac:dyDescent="0.35">
      <c r="DM3130" s="50"/>
      <c r="DQ3130" s="50"/>
    </row>
    <row r="3131" spans="117:121" x14ac:dyDescent="0.35">
      <c r="DM3131" s="50"/>
      <c r="DQ3131" s="50"/>
    </row>
    <row r="3132" spans="117:121" x14ac:dyDescent="0.35">
      <c r="DM3132" s="50"/>
      <c r="DQ3132" s="50"/>
    </row>
    <row r="3133" spans="117:121" x14ac:dyDescent="0.35">
      <c r="DM3133" s="50"/>
      <c r="DQ3133" s="50"/>
    </row>
    <row r="3134" spans="117:121" x14ac:dyDescent="0.35">
      <c r="DM3134" s="50"/>
      <c r="DQ3134" s="50"/>
    </row>
    <row r="3135" spans="117:121" x14ac:dyDescent="0.35">
      <c r="DM3135" s="50"/>
      <c r="DQ3135" s="50"/>
    </row>
    <row r="3136" spans="117:121" x14ac:dyDescent="0.35">
      <c r="DM3136" s="50"/>
      <c r="DQ3136" s="50"/>
    </row>
    <row r="3137" spans="117:121" x14ac:dyDescent="0.35">
      <c r="DM3137" s="50"/>
      <c r="DQ3137" s="50"/>
    </row>
    <row r="3138" spans="117:121" x14ac:dyDescent="0.35">
      <c r="DM3138" s="50"/>
      <c r="DQ3138" s="50"/>
    </row>
    <row r="3139" spans="117:121" x14ac:dyDescent="0.35">
      <c r="DM3139" s="50"/>
      <c r="DQ3139" s="50"/>
    </row>
    <row r="3140" spans="117:121" x14ac:dyDescent="0.35">
      <c r="DM3140" s="50"/>
      <c r="DQ3140" s="50"/>
    </row>
    <row r="3141" spans="117:121" x14ac:dyDescent="0.35">
      <c r="DM3141" s="50"/>
      <c r="DQ3141" s="50"/>
    </row>
    <row r="3142" spans="117:121" x14ac:dyDescent="0.35">
      <c r="DM3142" s="50"/>
      <c r="DQ3142" s="50"/>
    </row>
    <row r="3143" spans="117:121" x14ac:dyDescent="0.35">
      <c r="DM3143" s="50"/>
      <c r="DQ3143" s="50"/>
    </row>
    <row r="3144" spans="117:121" x14ac:dyDescent="0.35">
      <c r="DM3144" s="50"/>
      <c r="DQ3144" s="50"/>
    </row>
    <row r="3145" spans="117:121" x14ac:dyDescent="0.35">
      <c r="DM3145" s="50"/>
      <c r="DQ3145" s="50"/>
    </row>
    <row r="3146" spans="117:121" x14ac:dyDescent="0.35">
      <c r="DM3146" s="50"/>
      <c r="DQ3146" s="50"/>
    </row>
    <row r="3147" spans="117:121" x14ac:dyDescent="0.35">
      <c r="DM3147" s="50"/>
      <c r="DQ3147" s="50"/>
    </row>
    <row r="3148" spans="117:121" x14ac:dyDescent="0.35">
      <c r="DM3148" s="50"/>
      <c r="DQ3148" s="50"/>
    </row>
    <row r="3149" spans="117:121" x14ac:dyDescent="0.35">
      <c r="DM3149" s="50"/>
      <c r="DQ3149" s="50"/>
    </row>
    <row r="3150" spans="117:121" x14ac:dyDescent="0.35">
      <c r="DM3150" s="50"/>
      <c r="DQ3150" s="50"/>
    </row>
    <row r="3151" spans="117:121" x14ac:dyDescent="0.35">
      <c r="DM3151" s="50"/>
      <c r="DQ3151" s="50"/>
    </row>
    <row r="3152" spans="117:121" x14ac:dyDescent="0.35">
      <c r="DM3152" s="50"/>
      <c r="DQ3152" s="50"/>
    </row>
    <row r="3153" spans="117:121" x14ac:dyDescent="0.35">
      <c r="DM3153" s="50"/>
      <c r="DQ3153" s="50"/>
    </row>
    <row r="3154" spans="117:121" x14ac:dyDescent="0.35">
      <c r="DM3154" s="50"/>
      <c r="DQ3154" s="50"/>
    </row>
    <row r="3155" spans="117:121" x14ac:dyDescent="0.35">
      <c r="DM3155" s="50"/>
      <c r="DQ3155" s="50"/>
    </row>
    <row r="3156" spans="117:121" x14ac:dyDescent="0.35">
      <c r="DM3156" s="50"/>
      <c r="DQ3156" s="50"/>
    </row>
    <row r="3157" spans="117:121" x14ac:dyDescent="0.35">
      <c r="DM3157" s="50"/>
      <c r="DQ3157" s="50"/>
    </row>
    <row r="3158" spans="117:121" x14ac:dyDescent="0.35">
      <c r="DM3158" s="50"/>
      <c r="DQ3158" s="50"/>
    </row>
    <row r="3159" spans="117:121" x14ac:dyDescent="0.35">
      <c r="DM3159" s="50"/>
      <c r="DQ3159" s="50"/>
    </row>
    <row r="3160" spans="117:121" x14ac:dyDescent="0.35">
      <c r="DM3160" s="50"/>
      <c r="DQ3160" s="50"/>
    </row>
    <row r="3161" spans="117:121" x14ac:dyDescent="0.35">
      <c r="DM3161" s="50"/>
      <c r="DQ3161" s="50"/>
    </row>
    <row r="3162" spans="117:121" x14ac:dyDescent="0.35">
      <c r="DM3162" s="50"/>
      <c r="DQ3162" s="50"/>
    </row>
    <row r="3163" spans="117:121" x14ac:dyDescent="0.35">
      <c r="DM3163" s="50"/>
      <c r="DQ3163" s="50"/>
    </row>
    <row r="3164" spans="117:121" x14ac:dyDescent="0.35">
      <c r="DM3164" s="50"/>
      <c r="DQ3164" s="50"/>
    </row>
    <row r="3165" spans="117:121" x14ac:dyDescent="0.35">
      <c r="DM3165" s="50"/>
      <c r="DQ3165" s="50"/>
    </row>
    <row r="3166" spans="117:121" x14ac:dyDescent="0.35">
      <c r="DM3166" s="50"/>
      <c r="DQ3166" s="50"/>
    </row>
    <row r="3167" spans="117:121" x14ac:dyDescent="0.35">
      <c r="DM3167" s="50"/>
      <c r="DQ3167" s="50"/>
    </row>
    <row r="3168" spans="117:121" x14ac:dyDescent="0.35">
      <c r="DM3168" s="50"/>
      <c r="DQ3168" s="50"/>
    </row>
    <row r="3169" spans="117:121" x14ac:dyDescent="0.35">
      <c r="DM3169" s="50"/>
      <c r="DQ3169" s="50"/>
    </row>
    <row r="3170" spans="117:121" x14ac:dyDescent="0.35">
      <c r="DM3170" s="50"/>
      <c r="DQ3170" s="50"/>
    </row>
    <row r="3171" spans="117:121" x14ac:dyDescent="0.35">
      <c r="DM3171" s="50"/>
      <c r="DQ3171" s="50"/>
    </row>
    <row r="3172" spans="117:121" x14ac:dyDescent="0.35">
      <c r="DM3172" s="50"/>
      <c r="DQ3172" s="50"/>
    </row>
    <row r="3173" spans="117:121" x14ac:dyDescent="0.35">
      <c r="DM3173" s="50"/>
      <c r="DQ3173" s="50"/>
    </row>
    <row r="3174" spans="117:121" x14ac:dyDescent="0.35">
      <c r="DM3174" s="50"/>
      <c r="DQ3174" s="50"/>
    </row>
    <row r="3175" spans="117:121" x14ac:dyDescent="0.35">
      <c r="DM3175" s="50"/>
      <c r="DQ3175" s="50"/>
    </row>
    <row r="3176" spans="117:121" x14ac:dyDescent="0.35">
      <c r="DM3176" s="50"/>
      <c r="DQ3176" s="50"/>
    </row>
    <row r="3177" spans="117:121" x14ac:dyDescent="0.35">
      <c r="DM3177" s="50"/>
      <c r="DQ3177" s="50"/>
    </row>
    <row r="3178" spans="117:121" x14ac:dyDescent="0.35">
      <c r="DM3178" s="50"/>
      <c r="DQ3178" s="50"/>
    </row>
    <row r="3179" spans="117:121" x14ac:dyDescent="0.35">
      <c r="DM3179" s="50"/>
      <c r="DQ3179" s="50"/>
    </row>
    <row r="3180" spans="117:121" x14ac:dyDescent="0.35">
      <c r="DM3180" s="50"/>
      <c r="DQ3180" s="50"/>
    </row>
    <row r="3181" spans="117:121" x14ac:dyDescent="0.35">
      <c r="DM3181" s="50"/>
      <c r="DQ3181" s="50"/>
    </row>
    <row r="3182" spans="117:121" x14ac:dyDescent="0.35">
      <c r="DM3182" s="50"/>
      <c r="DQ3182" s="50"/>
    </row>
    <row r="3183" spans="117:121" x14ac:dyDescent="0.35">
      <c r="DM3183" s="50"/>
      <c r="DQ3183" s="50"/>
    </row>
    <row r="3184" spans="117:121" x14ac:dyDescent="0.35">
      <c r="DM3184" s="50"/>
      <c r="DQ3184" s="50"/>
    </row>
    <row r="3185" spans="117:121" x14ac:dyDescent="0.35">
      <c r="DM3185" s="50"/>
      <c r="DQ3185" s="50"/>
    </row>
    <row r="3186" spans="117:121" x14ac:dyDescent="0.35">
      <c r="DM3186" s="50"/>
      <c r="DQ3186" s="50"/>
    </row>
    <row r="3187" spans="117:121" x14ac:dyDescent="0.35">
      <c r="DM3187" s="50"/>
      <c r="DQ3187" s="50"/>
    </row>
    <row r="3188" spans="117:121" x14ac:dyDescent="0.35">
      <c r="DM3188" s="50"/>
      <c r="DQ3188" s="50"/>
    </row>
    <row r="3189" spans="117:121" x14ac:dyDescent="0.35">
      <c r="DM3189" s="50"/>
      <c r="DQ3189" s="50"/>
    </row>
    <row r="3190" spans="117:121" x14ac:dyDescent="0.35">
      <c r="DM3190" s="50"/>
      <c r="DQ3190" s="50"/>
    </row>
    <row r="3191" spans="117:121" x14ac:dyDescent="0.35">
      <c r="DM3191" s="50"/>
      <c r="DQ3191" s="50"/>
    </row>
    <row r="3192" spans="117:121" x14ac:dyDescent="0.35">
      <c r="DM3192" s="50"/>
      <c r="DQ3192" s="50"/>
    </row>
    <row r="3193" spans="117:121" x14ac:dyDescent="0.35">
      <c r="DM3193" s="50"/>
      <c r="DQ3193" s="50"/>
    </row>
    <row r="3194" spans="117:121" x14ac:dyDescent="0.35">
      <c r="DM3194" s="50"/>
      <c r="DQ3194" s="50"/>
    </row>
    <row r="3195" spans="117:121" x14ac:dyDescent="0.35">
      <c r="DM3195" s="50"/>
      <c r="DQ3195" s="50"/>
    </row>
    <row r="3196" spans="117:121" x14ac:dyDescent="0.35">
      <c r="DM3196" s="50"/>
      <c r="DQ3196" s="50"/>
    </row>
    <row r="3197" spans="117:121" x14ac:dyDescent="0.35">
      <c r="DM3197" s="50"/>
      <c r="DQ3197" s="50"/>
    </row>
    <row r="3198" spans="117:121" x14ac:dyDescent="0.35">
      <c r="DM3198" s="50"/>
      <c r="DQ3198" s="50"/>
    </row>
    <row r="3199" spans="117:121" x14ac:dyDescent="0.35">
      <c r="DM3199" s="50"/>
      <c r="DQ3199" s="50"/>
    </row>
    <row r="3200" spans="117:121" x14ac:dyDescent="0.35">
      <c r="DM3200" s="50"/>
      <c r="DQ3200" s="50"/>
    </row>
    <row r="3201" spans="117:121" x14ac:dyDescent="0.35">
      <c r="DM3201" s="50"/>
      <c r="DQ3201" s="50"/>
    </row>
    <row r="3202" spans="117:121" x14ac:dyDescent="0.35">
      <c r="DM3202" s="50"/>
      <c r="DQ3202" s="50"/>
    </row>
    <row r="3203" spans="117:121" x14ac:dyDescent="0.35">
      <c r="DM3203" s="50"/>
      <c r="DQ3203" s="50"/>
    </row>
    <row r="3204" spans="117:121" x14ac:dyDescent="0.35">
      <c r="DM3204" s="50"/>
      <c r="DQ3204" s="50"/>
    </row>
    <row r="3205" spans="117:121" x14ac:dyDescent="0.35">
      <c r="DM3205" s="50"/>
      <c r="DQ3205" s="50"/>
    </row>
    <row r="3206" spans="117:121" x14ac:dyDescent="0.35">
      <c r="DM3206" s="50"/>
      <c r="DQ3206" s="50"/>
    </row>
    <row r="3207" spans="117:121" x14ac:dyDescent="0.35">
      <c r="DM3207" s="50"/>
      <c r="DQ3207" s="50"/>
    </row>
    <row r="3208" spans="117:121" x14ac:dyDescent="0.35">
      <c r="DM3208" s="50"/>
      <c r="DQ3208" s="50"/>
    </row>
    <row r="3209" spans="117:121" x14ac:dyDescent="0.35">
      <c r="DM3209" s="50"/>
      <c r="DQ3209" s="50"/>
    </row>
    <row r="3210" spans="117:121" x14ac:dyDescent="0.35">
      <c r="DM3210" s="50"/>
      <c r="DQ3210" s="50"/>
    </row>
    <row r="3211" spans="117:121" x14ac:dyDescent="0.35">
      <c r="DM3211" s="50"/>
      <c r="DQ3211" s="50"/>
    </row>
    <row r="3212" spans="117:121" x14ac:dyDescent="0.35">
      <c r="DM3212" s="50"/>
      <c r="DQ3212" s="50"/>
    </row>
    <row r="3213" spans="117:121" x14ac:dyDescent="0.35">
      <c r="DM3213" s="50"/>
      <c r="DQ3213" s="50"/>
    </row>
    <row r="3214" spans="117:121" x14ac:dyDescent="0.35">
      <c r="DM3214" s="50"/>
      <c r="DQ3214" s="50"/>
    </row>
    <row r="3215" spans="117:121" x14ac:dyDescent="0.35">
      <c r="DM3215" s="50"/>
      <c r="DQ3215" s="50"/>
    </row>
    <row r="3216" spans="117:121" x14ac:dyDescent="0.35">
      <c r="DM3216" s="50"/>
      <c r="DQ3216" s="50"/>
    </row>
    <row r="3217" spans="117:121" x14ac:dyDescent="0.35">
      <c r="DM3217" s="50"/>
      <c r="DQ3217" s="50"/>
    </row>
    <row r="3218" spans="117:121" x14ac:dyDescent="0.35">
      <c r="DM3218" s="50"/>
      <c r="DQ3218" s="50"/>
    </row>
    <row r="3219" spans="117:121" x14ac:dyDescent="0.35">
      <c r="DM3219" s="50"/>
      <c r="DQ3219" s="50"/>
    </row>
    <row r="3220" spans="117:121" x14ac:dyDescent="0.35">
      <c r="DM3220" s="50"/>
      <c r="DQ3220" s="50"/>
    </row>
    <row r="3221" spans="117:121" x14ac:dyDescent="0.35">
      <c r="DM3221" s="50"/>
      <c r="DQ3221" s="50"/>
    </row>
    <row r="3222" spans="117:121" x14ac:dyDescent="0.35">
      <c r="DM3222" s="50"/>
      <c r="DQ3222" s="50"/>
    </row>
    <row r="3223" spans="117:121" x14ac:dyDescent="0.35">
      <c r="DM3223" s="50"/>
      <c r="DQ3223" s="50"/>
    </row>
    <row r="3224" spans="117:121" x14ac:dyDescent="0.35">
      <c r="DM3224" s="50"/>
      <c r="DQ3224" s="50"/>
    </row>
    <row r="3225" spans="117:121" x14ac:dyDescent="0.35">
      <c r="DM3225" s="50"/>
      <c r="DQ3225" s="50"/>
    </row>
    <row r="3226" spans="117:121" x14ac:dyDescent="0.35">
      <c r="DM3226" s="50"/>
      <c r="DQ3226" s="50"/>
    </row>
    <row r="3227" spans="117:121" x14ac:dyDescent="0.35">
      <c r="DM3227" s="50"/>
      <c r="DQ3227" s="50"/>
    </row>
    <row r="3228" spans="117:121" x14ac:dyDescent="0.35">
      <c r="DM3228" s="50"/>
      <c r="DQ3228" s="50"/>
    </row>
    <row r="3229" spans="117:121" x14ac:dyDescent="0.35">
      <c r="DM3229" s="50"/>
      <c r="DQ3229" s="50"/>
    </row>
    <row r="3230" spans="117:121" x14ac:dyDescent="0.35">
      <c r="DM3230" s="50"/>
      <c r="DQ3230" s="50"/>
    </row>
    <row r="3231" spans="117:121" x14ac:dyDescent="0.35">
      <c r="DM3231" s="50"/>
      <c r="DQ3231" s="50"/>
    </row>
    <row r="3232" spans="117:121" x14ac:dyDescent="0.35">
      <c r="DM3232" s="50"/>
      <c r="DQ3232" s="50"/>
    </row>
    <row r="3233" spans="117:121" x14ac:dyDescent="0.35">
      <c r="DM3233" s="50"/>
      <c r="DQ3233" s="50"/>
    </row>
    <row r="3234" spans="117:121" x14ac:dyDescent="0.35">
      <c r="DM3234" s="50"/>
      <c r="DQ3234" s="50"/>
    </row>
    <row r="3235" spans="117:121" x14ac:dyDescent="0.35">
      <c r="DM3235" s="50"/>
      <c r="DQ3235" s="50"/>
    </row>
    <row r="3236" spans="117:121" x14ac:dyDescent="0.35">
      <c r="DM3236" s="50"/>
      <c r="DQ3236" s="50"/>
    </row>
    <row r="3237" spans="117:121" x14ac:dyDescent="0.35">
      <c r="DM3237" s="50"/>
      <c r="DQ3237" s="50"/>
    </row>
    <row r="3238" spans="117:121" x14ac:dyDescent="0.35">
      <c r="DM3238" s="50"/>
      <c r="DQ3238" s="50"/>
    </row>
    <row r="3239" spans="117:121" x14ac:dyDescent="0.35">
      <c r="DM3239" s="50"/>
      <c r="DQ3239" s="50"/>
    </row>
    <row r="3240" spans="117:121" x14ac:dyDescent="0.35">
      <c r="DM3240" s="50"/>
      <c r="DQ3240" s="50"/>
    </row>
    <row r="3241" spans="117:121" x14ac:dyDescent="0.35">
      <c r="DM3241" s="50"/>
      <c r="DQ3241" s="50"/>
    </row>
    <row r="3242" spans="117:121" x14ac:dyDescent="0.35">
      <c r="DM3242" s="50"/>
      <c r="DQ3242" s="50"/>
    </row>
    <row r="3243" spans="117:121" x14ac:dyDescent="0.35">
      <c r="DM3243" s="50"/>
      <c r="DQ3243" s="50"/>
    </row>
    <row r="3244" spans="117:121" x14ac:dyDescent="0.35">
      <c r="DM3244" s="50"/>
      <c r="DQ3244" s="50"/>
    </row>
    <row r="3245" spans="117:121" x14ac:dyDescent="0.35">
      <c r="DM3245" s="50"/>
      <c r="DQ3245" s="50"/>
    </row>
    <row r="3246" spans="117:121" x14ac:dyDescent="0.35">
      <c r="DM3246" s="50"/>
      <c r="DQ3246" s="50"/>
    </row>
    <row r="3247" spans="117:121" x14ac:dyDescent="0.35">
      <c r="DM3247" s="50"/>
      <c r="DQ3247" s="50"/>
    </row>
    <row r="3248" spans="117:121" x14ac:dyDescent="0.35">
      <c r="DM3248" s="50"/>
      <c r="DQ3248" s="50"/>
    </row>
    <row r="3249" spans="117:121" x14ac:dyDescent="0.35">
      <c r="DM3249" s="50"/>
      <c r="DQ3249" s="50"/>
    </row>
    <row r="3250" spans="117:121" x14ac:dyDescent="0.35">
      <c r="DM3250" s="50"/>
      <c r="DQ3250" s="50"/>
    </row>
    <row r="3251" spans="117:121" x14ac:dyDescent="0.35">
      <c r="DM3251" s="50"/>
      <c r="DQ3251" s="50"/>
    </row>
    <row r="3252" spans="117:121" x14ac:dyDescent="0.35">
      <c r="DM3252" s="50"/>
      <c r="DQ3252" s="50"/>
    </row>
    <row r="3253" spans="117:121" x14ac:dyDescent="0.35">
      <c r="DM3253" s="50"/>
      <c r="DQ3253" s="50"/>
    </row>
    <row r="3254" spans="117:121" x14ac:dyDescent="0.35">
      <c r="DM3254" s="50"/>
      <c r="DQ3254" s="50"/>
    </row>
    <row r="3255" spans="117:121" x14ac:dyDescent="0.35">
      <c r="DM3255" s="50"/>
      <c r="DQ3255" s="50"/>
    </row>
    <row r="3256" spans="117:121" x14ac:dyDescent="0.35">
      <c r="DM3256" s="50"/>
      <c r="DQ3256" s="50"/>
    </row>
    <row r="3257" spans="117:121" x14ac:dyDescent="0.35">
      <c r="DM3257" s="50"/>
      <c r="DQ3257" s="50"/>
    </row>
    <row r="3258" spans="117:121" x14ac:dyDescent="0.35">
      <c r="DM3258" s="50"/>
      <c r="DQ3258" s="50"/>
    </row>
    <row r="3259" spans="117:121" x14ac:dyDescent="0.35">
      <c r="DM3259" s="50"/>
      <c r="DQ3259" s="50"/>
    </row>
    <row r="3260" spans="117:121" x14ac:dyDescent="0.35">
      <c r="DM3260" s="50"/>
      <c r="DQ3260" s="50"/>
    </row>
    <row r="3261" spans="117:121" x14ac:dyDescent="0.35">
      <c r="DM3261" s="50"/>
      <c r="DQ3261" s="50"/>
    </row>
    <row r="3262" spans="117:121" x14ac:dyDescent="0.35">
      <c r="DM3262" s="50"/>
      <c r="DQ3262" s="50"/>
    </row>
    <row r="3263" spans="117:121" x14ac:dyDescent="0.35">
      <c r="DM3263" s="50"/>
      <c r="DQ3263" s="50"/>
    </row>
    <row r="3264" spans="117:121" x14ac:dyDescent="0.35">
      <c r="DM3264" s="50"/>
      <c r="DQ3264" s="50"/>
    </row>
    <row r="3265" spans="117:121" x14ac:dyDescent="0.35">
      <c r="DM3265" s="50"/>
      <c r="DQ3265" s="50"/>
    </row>
    <row r="3266" spans="117:121" x14ac:dyDescent="0.35">
      <c r="DM3266" s="50"/>
      <c r="DQ3266" s="50"/>
    </row>
    <row r="3267" spans="117:121" x14ac:dyDescent="0.35">
      <c r="DM3267" s="50"/>
      <c r="DQ3267" s="50"/>
    </row>
    <row r="3268" spans="117:121" x14ac:dyDescent="0.35">
      <c r="DM3268" s="50"/>
      <c r="DQ3268" s="50"/>
    </row>
    <row r="3269" spans="117:121" x14ac:dyDescent="0.35">
      <c r="DM3269" s="50"/>
      <c r="DQ3269" s="50"/>
    </row>
    <row r="3270" spans="117:121" x14ac:dyDescent="0.35">
      <c r="DM3270" s="50"/>
      <c r="DQ3270" s="50"/>
    </row>
    <row r="3271" spans="117:121" x14ac:dyDescent="0.35">
      <c r="DM3271" s="50"/>
      <c r="DQ3271" s="50"/>
    </row>
    <row r="3272" spans="117:121" x14ac:dyDescent="0.35">
      <c r="DM3272" s="50"/>
      <c r="DQ3272" s="50"/>
    </row>
    <row r="3273" spans="117:121" x14ac:dyDescent="0.35">
      <c r="DM3273" s="50"/>
      <c r="DQ3273" s="50"/>
    </row>
    <row r="3274" spans="117:121" x14ac:dyDescent="0.35">
      <c r="DM3274" s="50"/>
      <c r="DQ3274" s="50"/>
    </row>
    <row r="3275" spans="117:121" x14ac:dyDescent="0.35">
      <c r="DM3275" s="50"/>
      <c r="DQ3275" s="50"/>
    </row>
    <row r="3276" spans="117:121" x14ac:dyDescent="0.35">
      <c r="DM3276" s="50"/>
      <c r="DQ3276" s="50"/>
    </row>
    <row r="3277" spans="117:121" x14ac:dyDescent="0.35">
      <c r="DM3277" s="50"/>
      <c r="DQ3277" s="50"/>
    </row>
    <row r="3278" spans="117:121" x14ac:dyDescent="0.35">
      <c r="DM3278" s="50"/>
      <c r="DQ3278" s="50"/>
    </row>
    <row r="3279" spans="117:121" x14ac:dyDescent="0.35">
      <c r="DM3279" s="50"/>
      <c r="DQ3279" s="50"/>
    </row>
    <row r="3280" spans="117:121" x14ac:dyDescent="0.35">
      <c r="DM3280" s="50"/>
      <c r="DQ3280" s="50"/>
    </row>
    <row r="3281" spans="117:121" x14ac:dyDescent="0.35">
      <c r="DM3281" s="50"/>
      <c r="DQ3281" s="50"/>
    </row>
    <row r="3282" spans="117:121" x14ac:dyDescent="0.35">
      <c r="DM3282" s="50"/>
      <c r="DQ3282" s="50"/>
    </row>
    <row r="3283" spans="117:121" x14ac:dyDescent="0.35">
      <c r="DM3283" s="50"/>
      <c r="DQ3283" s="50"/>
    </row>
    <row r="3284" spans="117:121" x14ac:dyDescent="0.35">
      <c r="DM3284" s="50"/>
      <c r="DQ3284" s="50"/>
    </row>
    <row r="3285" spans="117:121" x14ac:dyDescent="0.35">
      <c r="DM3285" s="50"/>
      <c r="DQ3285" s="50"/>
    </row>
    <row r="3286" spans="117:121" x14ac:dyDescent="0.35">
      <c r="DM3286" s="50"/>
      <c r="DQ3286" s="50"/>
    </row>
    <row r="3287" spans="117:121" x14ac:dyDescent="0.35">
      <c r="DM3287" s="50"/>
      <c r="DQ3287" s="50"/>
    </row>
    <row r="3288" spans="117:121" x14ac:dyDescent="0.35">
      <c r="DM3288" s="50"/>
      <c r="DQ3288" s="50"/>
    </row>
    <row r="3289" spans="117:121" x14ac:dyDescent="0.35">
      <c r="DM3289" s="50"/>
      <c r="DQ3289" s="50"/>
    </row>
    <row r="3290" spans="117:121" x14ac:dyDescent="0.35">
      <c r="DM3290" s="50"/>
      <c r="DQ3290" s="50"/>
    </row>
    <row r="3291" spans="117:121" x14ac:dyDescent="0.35">
      <c r="DM3291" s="50"/>
      <c r="DQ3291" s="50"/>
    </row>
    <row r="3292" spans="117:121" x14ac:dyDescent="0.35">
      <c r="DM3292" s="50"/>
      <c r="DQ3292" s="50"/>
    </row>
    <row r="3293" spans="117:121" x14ac:dyDescent="0.35">
      <c r="DM3293" s="50"/>
      <c r="DQ3293" s="50"/>
    </row>
    <row r="3294" spans="117:121" x14ac:dyDescent="0.35">
      <c r="DM3294" s="50"/>
      <c r="DQ3294" s="50"/>
    </row>
    <row r="3295" spans="117:121" x14ac:dyDescent="0.35">
      <c r="DM3295" s="50"/>
      <c r="DQ3295" s="50"/>
    </row>
    <row r="3296" spans="117:121" x14ac:dyDescent="0.35">
      <c r="DM3296" s="50"/>
      <c r="DQ3296" s="50"/>
    </row>
    <row r="3297" spans="117:121" x14ac:dyDescent="0.35">
      <c r="DM3297" s="50"/>
      <c r="DQ3297" s="50"/>
    </row>
    <row r="3298" spans="117:121" x14ac:dyDescent="0.35">
      <c r="DM3298" s="50"/>
      <c r="DQ3298" s="50"/>
    </row>
    <row r="3299" spans="117:121" x14ac:dyDescent="0.35">
      <c r="DM3299" s="50"/>
      <c r="DQ3299" s="50"/>
    </row>
    <row r="3300" spans="117:121" x14ac:dyDescent="0.35">
      <c r="DM3300" s="50"/>
      <c r="DQ3300" s="50"/>
    </row>
    <row r="3301" spans="117:121" x14ac:dyDescent="0.35">
      <c r="DM3301" s="50"/>
      <c r="DQ3301" s="50"/>
    </row>
    <row r="3302" spans="117:121" x14ac:dyDescent="0.35">
      <c r="DM3302" s="50"/>
      <c r="DQ3302" s="50"/>
    </row>
    <row r="3303" spans="117:121" x14ac:dyDescent="0.35">
      <c r="DM3303" s="50"/>
      <c r="DQ3303" s="50"/>
    </row>
    <row r="3304" spans="117:121" x14ac:dyDescent="0.35">
      <c r="DM3304" s="50"/>
      <c r="DQ3304" s="50"/>
    </row>
    <row r="3305" spans="117:121" x14ac:dyDescent="0.35">
      <c r="DM3305" s="50"/>
      <c r="DQ3305" s="50"/>
    </row>
    <row r="3306" spans="117:121" x14ac:dyDescent="0.35">
      <c r="DM3306" s="50"/>
      <c r="DQ3306" s="50"/>
    </row>
    <row r="3307" spans="117:121" x14ac:dyDescent="0.35">
      <c r="DM3307" s="50"/>
      <c r="DQ3307" s="50"/>
    </row>
    <row r="3308" spans="117:121" x14ac:dyDescent="0.35">
      <c r="DM3308" s="50"/>
      <c r="DQ3308" s="50"/>
    </row>
    <row r="3309" spans="117:121" x14ac:dyDescent="0.35">
      <c r="DM3309" s="50"/>
      <c r="DQ3309" s="50"/>
    </row>
    <row r="3310" spans="117:121" x14ac:dyDescent="0.35">
      <c r="DM3310" s="50"/>
      <c r="DQ3310" s="50"/>
    </row>
    <row r="3311" spans="117:121" x14ac:dyDescent="0.35">
      <c r="DM3311" s="50"/>
      <c r="DQ3311" s="50"/>
    </row>
    <row r="3312" spans="117:121" x14ac:dyDescent="0.35">
      <c r="DM3312" s="50"/>
      <c r="DQ3312" s="50"/>
    </row>
    <row r="3313" spans="117:121" x14ac:dyDescent="0.35">
      <c r="DM3313" s="50"/>
      <c r="DQ3313" s="50"/>
    </row>
    <row r="3314" spans="117:121" x14ac:dyDescent="0.35">
      <c r="DM3314" s="50"/>
      <c r="DQ3314" s="50"/>
    </row>
    <row r="3315" spans="117:121" x14ac:dyDescent="0.35">
      <c r="DM3315" s="50"/>
      <c r="DQ3315" s="50"/>
    </row>
    <row r="3316" spans="117:121" x14ac:dyDescent="0.35">
      <c r="DM3316" s="50"/>
      <c r="DQ3316" s="50"/>
    </row>
    <row r="3317" spans="117:121" x14ac:dyDescent="0.35">
      <c r="DM3317" s="50"/>
      <c r="DQ3317" s="50"/>
    </row>
    <row r="3318" spans="117:121" x14ac:dyDescent="0.35">
      <c r="DM3318" s="50"/>
      <c r="DQ3318" s="50"/>
    </row>
    <row r="3319" spans="117:121" x14ac:dyDescent="0.35">
      <c r="DM3319" s="50"/>
      <c r="DQ3319" s="50"/>
    </row>
    <row r="3320" spans="117:121" x14ac:dyDescent="0.35">
      <c r="DM3320" s="50"/>
      <c r="DQ3320" s="50"/>
    </row>
    <row r="3321" spans="117:121" x14ac:dyDescent="0.35">
      <c r="DM3321" s="50"/>
      <c r="DQ3321" s="50"/>
    </row>
    <row r="3322" spans="117:121" x14ac:dyDescent="0.35">
      <c r="DM3322" s="50"/>
      <c r="DQ3322" s="50"/>
    </row>
    <row r="3323" spans="117:121" x14ac:dyDescent="0.35">
      <c r="DM3323" s="50"/>
      <c r="DQ3323" s="50"/>
    </row>
    <row r="3324" spans="117:121" x14ac:dyDescent="0.35">
      <c r="DM3324" s="50"/>
      <c r="DQ3324" s="50"/>
    </row>
    <row r="3325" spans="117:121" x14ac:dyDescent="0.35">
      <c r="DM3325" s="50"/>
      <c r="DQ3325" s="50"/>
    </row>
    <row r="3326" spans="117:121" x14ac:dyDescent="0.35">
      <c r="DM3326" s="50"/>
      <c r="DQ3326" s="50"/>
    </row>
    <row r="3327" spans="117:121" x14ac:dyDescent="0.35">
      <c r="DM3327" s="50"/>
      <c r="DQ3327" s="50"/>
    </row>
    <row r="3328" spans="117:121" x14ac:dyDescent="0.35">
      <c r="DM3328" s="50"/>
      <c r="DQ3328" s="50"/>
    </row>
    <row r="3329" spans="117:121" x14ac:dyDescent="0.35">
      <c r="DM3329" s="50"/>
      <c r="DQ3329" s="50"/>
    </row>
    <row r="3330" spans="117:121" x14ac:dyDescent="0.35">
      <c r="DM3330" s="50"/>
      <c r="DQ3330" s="50"/>
    </row>
    <row r="3331" spans="117:121" x14ac:dyDescent="0.35">
      <c r="DM3331" s="50"/>
      <c r="DQ3331" s="50"/>
    </row>
    <row r="3332" spans="117:121" x14ac:dyDescent="0.35">
      <c r="DM3332" s="50"/>
      <c r="DQ3332" s="50"/>
    </row>
    <row r="3333" spans="117:121" x14ac:dyDescent="0.35">
      <c r="DM3333" s="50"/>
      <c r="DQ3333" s="50"/>
    </row>
    <row r="3334" spans="117:121" x14ac:dyDescent="0.35">
      <c r="DM3334" s="50"/>
      <c r="DQ3334" s="50"/>
    </row>
    <row r="3335" spans="117:121" x14ac:dyDescent="0.35">
      <c r="DM3335" s="50"/>
      <c r="DQ3335" s="50"/>
    </row>
    <row r="3336" spans="117:121" x14ac:dyDescent="0.35">
      <c r="DM3336" s="50"/>
      <c r="DQ3336" s="50"/>
    </row>
    <row r="3337" spans="117:121" x14ac:dyDescent="0.35">
      <c r="DM3337" s="50"/>
      <c r="DQ3337" s="50"/>
    </row>
    <row r="3338" spans="117:121" x14ac:dyDescent="0.35">
      <c r="DM3338" s="50"/>
      <c r="DQ3338" s="50"/>
    </row>
    <row r="3339" spans="117:121" x14ac:dyDescent="0.35">
      <c r="DM3339" s="50"/>
      <c r="DQ3339" s="50"/>
    </row>
    <row r="3340" spans="117:121" x14ac:dyDescent="0.35">
      <c r="DM3340" s="50"/>
      <c r="DQ3340" s="50"/>
    </row>
    <row r="3341" spans="117:121" x14ac:dyDescent="0.35">
      <c r="DM3341" s="50"/>
      <c r="DQ3341" s="50"/>
    </row>
    <row r="3342" spans="117:121" x14ac:dyDescent="0.35">
      <c r="DM3342" s="50"/>
      <c r="DQ3342" s="50"/>
    </row>
    <row r="3343" spans="117:121" x14ac:dyDescent="0.35">
      <c r="DM3343" s="50"/>
      <c r="DQ3343" s="50"/>
    </row>
    <row r="3344" spans="117:121" x14ac:dyDescent="0.35">
      <c r="DM3344" s="50"/>
      <c r="DQ3344" s="50"/>
    </row>
    <row r="3345" spans="117:121" x14ac:dyDescent="0.35">
      <c r="DM3345" s="50"/>
      <c r="DQ3345" s="50"/>
    </row>
    <row r="3346" spans="117:121" x14ac:dyDescent="0.35">
      <c r="DM3346" s="50"/>
      <c r="DQ3346" s="50"/>
    </row>
    <row r="3347" spans="117:121" x14ac:dyDescent="0.35">
      <c r="DM3347" s="50"/>
      <c r="DQ3347" s="50"/>
    </row>
    <row r="3348" spans="117:121" x14ac:dyDescent="0.35">
      <c r="DM3348" s="50"/>
      <c r="DQ3348" s="50"/>
    </row>
    <row r="3349" spans="117:121" x14ac:dyDescent="0.35">
      <c r="DM3349" s="50"/>
      <c r="DQ3349" s="50"/>
    </row>
    <row r="3350" spans="117:121" x14ac:dyDescent="0.35">
      <c r="DM3350" s="50"/>
      <c r="DQ3350" s="50"/>
    </row>
    <row r="3351" spans="117:121" x14ac:dyDescent="0.35">
      <c r="DM3351" s="50"/>
      <c r="DQ3351" s="50"/>
    </row>
    <row r="3352" spans="117:121" x14ac:dyDescent="0.35">
      <c r="DM3352" s="50"/>
      <c r="DQ3352" s="50"/>
    </row>
    <row r="3353" spans="117:121" x14ac:dyDescent="0.35">
      <c r="DM3353" s="50"/>
      <c r="DQ3353" s="50"/>
    </row>
    <row r="3354" spans="117:121" x14ac:dyDescent="0.35">
      <c r="DM3354" s="50"/>
      <c r="DQ3354" s="50"/>
    </row>
    <row r="3355" spans="117:121" x14ac:dyDescent="0.35">
      <c r="DM3355" s="50"/>
      <c r="DQ3355" s="50"/>
    </row>
    <row r="3356" spans="117:121" x14ac:dyDescent="0.35">
      <c r="DM3356" s="50"/>
      <c r="DQ3356" s="50"/>
    </row>
    <row r="3357" spans="117:121" x14ac:dyDescent="0.35">
      <c r="DM3357" s="50"/>
      <c r="DQ3357" s="50"/>
    </row>
    <row r="3358" spans="117:121" x14ac:dyDescent="0.35">
      <c r="DM3358" s="50"/>
      <c r="DQ3358" s="50"/>
    </row>
    <row r="3359" spans="117:121" x14ac:dyDescent="0.35">
      <c r="DM3359" s="50"/>
      <c r="DQ3359" s="50"/>
    </row>
    <row r="3360" spans="117:121" x14ac:dyDescent="0.35">
      <c r="DM3360" s="50"/>
      <c r="DQ3360" s="50"/>
    </row>
    <row r="3361" spans="117:121" x14ac:dyDescent="0.35">
      <c r="DM3361" s="50"/>
      <c r="DQ3361" s="50"/>
    </row>
    <row r="3362" spans="117:121" x14ac:dyDescent="0.35">
      <c r="DM3362" s="50"/>
      <c r="DQ3362" s="50"/>
    </row>
    <row r="3363" spans="117:121" x14ac:dyDescent="0.35">
      <c r="DM3363" s="50"/>
      <c r="DQ3363" s="50"/>
    </row>
    <row r="3364" spans="117:121" x14ac:dyDescent="0.35">
      <c r="DM3364" s="50"/>
      <c r="DQ3364" s="50"/>
    </row>
    <row r="3365" spans="117:121" x14ac:dyDescent="0.35">
      <c r="DM3365" s="50"/>
      <c r="DQ3365" s="50"/>
    </row>
    <row r="3366" spans="117:121" x14ac:dyDescent="0.35">
      <c r="DM3366" s="50"/>
      <c r="DQ3366" s="50"/>
    </row>
    <row r="3367" spans="117:121" x14ac:dyDescent="0.35">
      <c r="DM3367" s="50"/>
      <c r="DQ3367" s="50"/>
    </row>
    <row r="3368" spans="117:121" x14ac:dyDescent="0.35">
      <c r="DM3368" s="50"/>
      <c r="DQ3368" s="50"/>
    </row>
    <row r="3369" spans="117:121" x14ac:dyDescent="0.35">
      <c r="DM3369" s="50"/>
      <c r="DQ3369" s="50"/>
    </row>
    <row r="3370" spans="117:121" x14ac:dyDescent="0.35">
      <c r="DM3370" s="50"/>
      <c r="DQ3370" s="50"/>
    </row>
    <row r="3371" spans="117:121" x14ac:dyDescent="0.35">
      <c r="DM3371" s="50"/>
      <c r="DQ3371" s="50"/>
    </row>
    <row r="3372" spans="117:121" x14ac:dyDescent="0.35">
      <c r="DM3372" s="50"/>
      <c r="DQ3372" s="50"/>
    </row>
    <row r="3373" spans="117:121" x14ac:dyDescent="0.35">
      <c r="DM3373" s="50"/>
      <c r="DQ3373" s="50"/>
    </row>
    <row r="3374" spans="117:121" x14ac:dyDescent="0.35">
      <c r="DM3374" s="50"/>
      <c r="DQ3374" s="50"/>
    </row>
    <row r="3375" spans="117:121" x14ac:dyDescent="0.35">
      <c r="DM3375" s="50"/>
      <c r="DQ3375" s="50"/>
    </row>
    <row r="3376" spans="117:121" x14ac:dyDescent="0.35">
      <c r="DM3376" s="50"/>
      <c r="DQ3376" s="50"/>
    </row>
    <row r="3377" spans="117:121" x14ac:dyDescent="0.35">
      <c r="DM3377" s="50"/>
      <c r="DQ3377" s="50"/>
    </row>
    <row r="3378" spans="117:121" x14ac:dyDescent="0.35">
      <c r="DM3378" s="50"/>
      <c r="DQ3378" s="50"/>
    </row>
    <row r="3379" spans="117:121" x14ac:dyDescent="0.35">
      <c r="DM3379" s="50"/>
      <c r="DQ3379" s="50"/>
    </row>
    <row r="3380" spans="117:121" x14ac:dyDescent="0.35">
      <c r="DM3380" s="50"/>
      <c r="DQ3380" s="50"/>
    </row>
    <row r="3381" spans="117:121" x14ac:dyDescent="0.35">
      <c r="DM3381" s="50"/>
      <c r="DQ3381" s="50"/>
    </row>
    <row r="3382" spans="117:121" x14ac:dyDescent="0.35">
      <c r="DM3382" s="50"/>
      <c r="DQ3382" s="50"/>
    </row>
    <row r="3383" spans="117:121" x14ac:dyDescent="0.35">
      <c r="DM3383" s="50"/>
      <c r="DQ3383" s="50"/>
    </row>
    <row r="3384" spans="117:121" x14ac:dyDescent="0.35">
      <c r="DM3384" s="50"/>
      <c r="DQ3384" s="50"/>
    </row>
    <row r="3385" spans="117:121" x14ac:dyDescent="0.35">
      <c r="DM3385" s="50"/>
      <c r="DQ3385" s="50"/>
    </row>
    <row r="3386" spans="117:121" x14ac:dyDescent="0.35">
      <c r="DM3386" s="50"/>
      <c r="DQ3386" s="50"/>
    </row>
    <row r="3387" spans="117:121" x14ac:dyDescent="0.35">
      <c r="DM3387" s="50"/>
      <c r="DQ3387" s="50"/>
    </row>
    <row r="3388" spans="117:121" x14ac:dyDescent="0.35">
      <c r="DM3388" s="50"/>
      <c r="DQ3388" s="50"/>
    </row>
    <row r="3389" spans="117:121" x14ac:dyDescent="0.35">
      <c r="DM3389" s="50"/>
      <c r="DQ3389" s="50"/>
    </row>
    <row r="3390" spans="117:121" x14ac:dyDescent="0.35">
      <c r="DM3390" s="50"/>
      <c r="DQ3390" s="50"/>
    </row>
    <row r="3391" spans="117:121" x14ac:dyDescent="0.35">
      <c r="DM3391" s="50"/>
      <c r="DQ3391" s="50"/>
    </row>
    <row r="3392" spans="117:121" x14ac:dyDescent="0.35">
      <c r="DM3392" s="50"/>
      <c r="DQ3392" s="50"/>
    </row>
    <row r="3393" spans="117:121" x14ac:dyDescent="0.35">
      <c r="DM3393" s="50"/>
      <c r="DQ3393" s="50"/>
    </row>
    <row r="3394" spans="117:121" x14ac:dyDescent="0.35">
      <c r="DM3394" s="50"/>
      <c r="DQ3394" s="50"/>
    </row>
    <row r="3395" spans="117:121" x14ac:dyDescent="0.35">
      <c r="DM3395" s="50"/>
      <c r="DQ3395" s="50"/>
    </row>
    <row r="3396" spans="117:121" x14ac:dyDescent="0.35">
      <c r="DM3396" s="50"/>
      <c r="DQ3396" s="50"/>
    </row>
    <row r="3397" spans="117:121" x14ac:dyDescent="0.35">
      <c r="DM3397" s="50"/>
      <c r="DQ3397" s="50"/>
    </row>
    <row r="3398" spans="117:121" x14ac:dyDescent="0.35">
      <c r="DM3398" s="50"/>
      <c r="DQ3398" s="50"/>
    </row>
    <row r="3399" spans="117:121" x14ac:dyDescent="0.35">
      <c r="DM3399" s="50"/>
      <c r="DQ3399" s="50"/>
    </row>
    <row r="3400" spans="117:121" x14ac:dyDescent="0.35">
      <c r="DM3400" s="50"/>
      <c r="DQ3400" s="50"/>
    </row>
    <row r="3401" spans="117:121" x14ac:dyDescent="0.35">
      <c r="DM3401" s="50"/>
      <c r="DQ3401" s="50"/>
    </row>
    <row r="3402" spans="117:121" x14ac:dyDescent="0.35">
      <c r="DM3402" s="50"/>
      <c r="DQ3402" s="50"/>
    </row>
    <row r="3403" spans="117:121" x14ac:dyDescent="0.35">
      <c r="DM3403" s="50"/>
      <c r="DQ3403" s="50"/>
    </row>
    <row r="3404" spans="117:121" x14ac:dyDescent="0.35">
      <c r="DM3404" s="50"/>
      <c r="DQ3404" s="50"/>
    </row>
    <row r="3405" spans="117:121" x14ac:dyDescent="0.35">
      <c r="DM3405" s="50"/>
      <c r="DQ3405" s="50"/>
    </row>
    <row r="3406" spans="117:121" x14ac:dyDescent="0.35">
      <c r="DM3406" s="50"/>
      <c r="DQ3406" s="50"/>
    </row>
    <row r="3407" spans="117:121" x14ac:dyDescent="0.35">
      <c r="DM3407" s="50"/>
      <c r="DQ3407" s="50"/>
    </row>
    <row r="3408" spans="117:121" x14ac:dyDescent="0.35">
      <c r="DM3408" s="50"/>
      <c r="DQ3408" s="50"/>
    </row>
    <row r="3409" spans="117:121" x14ac:dyDescent="0.35">
      <c r="DM3409" s="50"/>
      <c r="DQ3409" s="50"/>
    </row>
    <row r="3410" spans="117:121" x14ac:dyDescent="0.35">
      <c r="DM3410" s="50"/>
      <c r="DQ3410" s="50"/>
    </row>
    <row r="3411" spans="117:121" x14ac:dyDescent="0.35">
      <c r="DM3411" s="50"/>
      <c r="DQ3411" s="50"/>
    </row>
    <row r="3412" spans="117:121" x14ac:dyDescent="0.35">
      <c r="DM3412" s="50"/>
      <c r="DQ3412" s="50"/>
    </row>
    <row r="3413" spans="117:121" x14ac:dyDescent="0.35">
      <c r="DM3413" s="50"/>
      <c r="DQ3413" s="50"/>
    </row>
    <row r="3414" spans="117:121" x14ac:dyDescent="0.35">
      <c r="DM3414" s="50"/>
      <c r="DQ3414" s="50"/>
    </row>
    <row r="3415" spans="117:121" x14ac:dyDescent="0.35">
      <c r="DM3415" s="50"/>
      <c r="DQ3415" s="50"/>
    </row>
    <row r="3416" spans="117:121" x14ac:dyDescent="0.35">
      <c r="DM3416" s="50"/>
      <c r="DQ3416" s="50"/>
    </row>
    <row r="3417" spans="117:121" x14ac:dyDescent="0.35">
      <c r="DM3417" s="50"/>
      <c r="DQ3417" s="50"/>
    </row>
    <row r="3418" spans="117:121" x14ac:dyDescent="0.35">
      <c r="DM3418" s="50"/>
      <c r="DQ3418" s="50"/>
    </row>
    <row r="3419" spans="117:121" x14ac:dyDescent="0.35">
      <c r="DM3419" s="50"/>
      <c r="DQ3419" s="50"/>
    </row>
    <row r="3420" spans="117:121" x14ac:dyDescent="0.35">
      <c r="DM3420" s="50"/>
      <c r="DQ3420" s="50"/>
    </row>
    <row r="3421" spans="117:121" x14ac:dyDescent="0.35">
      <c r="DM3421" s="50"/>
      <c r="DQ3421" s="50"/>
    </row>
    <row r="3422" spans="117:121" x14ac:dyDescent="0.35">
      <c r="DM3422" s="50"/>
      <c r="DQ3422" s="50"/>
    </row>
    <row r="3423" spans="117:121" x14ac:dyDescent="0.35">
      <c r="DM3423" s="50"/>
      <c r="DQ3423" s="50"/>
    </row>
    <row r="3424" spans="117:121" x14ac:dyDescent="0.35">
      <c r="DM3424" s="50"/>
      <c r="DQ3424" s="50"/>
    </row>
    <row r="3425" spans="117:121" x14ac:dyDescent="0.35">
      <c r="DM3425" s="50"/>
      <c r="DQ3425" s="50"/>
    </row>
    <row r="3426" spans="117:121" x14ac:dyDescent="0.35">
      <c r="DM3426" s="50"/>
      <c r="DQ3426" s="50"/>
    </row>
    <row r="3427" spans="117:121" x14ac:dyDescent="0.35">
      <c r="DM3427" s="50"/>
      <c r="DQ3427" s="50"/>
    </row>
    <row r="3428" spans="117:121" x14ac:dyDescent="0.35">
      <c r="DM3428" s="50"/>
      <c r="DQ3428" s="50"/>
    </row>
    <row r="3429" spans="117:121" x14ac:dyDescent="0.35">
      <c r="DM3429" s="50"/>
      <c r="DQ3429" s="50"/>
    </row>
    <row r="3430" spans="117:121" x14ac:dyDescent="0.35">
      <c r="DM3430" s="50"/>
      <c r="DQ3430" s="50"/>
    </row>
    <row r="3431" spans="117:121" x14ac:dyDescent="0.35">
      <c r="DM3431" s="50"/>
      <c r="DQ3431" s="50"/>
    </row>
    <row r="3432" spans="117:121" x14ac:dyDescent="0.35">
      <c r="DM3432" s="50"/>
      <c r="DQ3432" s="50"/>
    </row>
    <row r="3433" spans="117:121" x14ac:dyDescent="0.35">
      <c r="DM3433" s="50"/>
      <c r="DQ3433" s="50"/>
    </row>
    <row r="3434" spans="117:121" x14ac:dyDescent="0.35">
      <c r="DM3434" s="50"/>
      <c r="DQ3434" s="50"/>
    </row>
    <row r="3435" spans="117:121" x14ac:dyDescent="0.35">
      <c r="DM3435" s="50"/>
      <c r="DQ3435" s="50"/>
    </row>
    <row r="3436" spans="117:121" x14ac:dyDescent="0.35">
      <c r="DM3436" s="50"/>
      <c r="DQ3436" s="50"/>
    </row>
    <row r="3437" spans="117:121" x14ac:dyDescent="0.35">
      <c r="DM3437" s="50"/>
      <c r="DQ3437" s="50"/>
    </row>
    <row r="3438" spans="117:121" x14ac:dyDescent="0.35">
      <c r="DM3438" s="50"/>
      <c r="DQ3438" s="50"/>
    </row>
    <row r="3439" spans="117:121" x14ac:dyDescent="0.35">
      <c r="DM3439" s="50"/>
      <c r="DQ3439" s="50"/>
    </row>
    <row r="3440" spans="117:121" x14ac:dyDescent="0.35">
      <c r="DM3440" s="50"/>
      <c r="DQ3440" s="50"/>
    </row>
    <row r="3441" spans="117:121" x14ac:dyDescent="0.35">
      <c r="DM3441" s="50"/>
      <c r="DQ3441" s="50"/>
    </row>
    <row r="3442" spans="117:121" x14ac:dyDescent="0.35">
      <c r="DM3442" s="50"/>
      <c r="DQ3442" s="50"/>
    </row>
    <row r="3443" spans="117:121" x14ac:dyDescent="0.35">
      <c r="DM3443" s="50"/>
      <c r="DQ3443" s="50"/>
    </row>
    <row r="3444" spans="117:121" x14ac:dyDescent="0.35">
      <c r="DM3444" s="50"/>
      <c r="DQ3444" s="50"/>
    </row>
    <row r="3445" spans="117:121" x14ac:dyDescent="0.35">
      <c r="DM3445" s="50"/>
      <c r="DQ3445" s="50"/>
    </row>
    <row r="3446" spans="117:121" x14ac:dyDescent="0.35">
      <c r="DM3446" s="50"/>
      <c r="DQ3446" s="50"/>
    </row>
    <row r="3447" spans="117:121" x14ac:dyDescent="0.35">
      <c r="DM3447" s="50"/>
      <c r="DQ3447" s="50"/>
    </row>
    <row r="3448" spans="117:121" x14ac:dyDescent="0.35">
      <c r="DM3448" s="50"/>
      <c r="DQ3448" s="50"/>
    </row>
    <row r="3449" spans="117:121" x14ac:dyDescent="0.35">
      <c r="DM3449" s="50"/>
      <c r="DQ3449" s="50"/>
    </row>
    <row r="3450" spans="117:121" x14ac:dyDescent="0.35">
      <c r="DM3450" s="50"/>
      <c r="DQ3450" s="50"/>
    </row>
    <row r="3451" spans="117:121" x14ac:dyDescent="0.35">
      <c r="DM3451" s="50"/>
      <c r="DQ3451" s="50"/>
    </row>
    <row r="3452" spans="117:121" x14ac:dyDescent="0.35">
      <c r="DM3452" s="50"/>
      <c r="DQ3452" s="50"/>
    </row>
    <row r="3453" spans="117:121" x14ac:dyDescent="0.35">
      <c r="DM3453" s="50"/>
      <c r="DQ3453" s="50"/>
    </row>
    <row r="3454" spans="117:121" x14ac:dyDescent="0.35">
      <c r="DM3454" s="50"/>
      <c r="DQ3454" s="50"/>
    </row>
    <row r="3455" spans="117:121" x14ac:dyDescent="0.35">
      <c r="DM3455" s="50"/>
      <c r="DQ3455" s="50"/>
    </row>
    <row r="3456" spans="117:121" x14ac:dyDescent="0.35">
      <c r="DM3456" s="50"/>
      <c r="DQ3456" s="50"/>
    </row>
    <row r="3457" spans="117:121" x14ac:dyDescent="0.35">
      <c r="DM3457" s="50"/>
      <c r="DQ3457" s="50"/>
    </row>
    <row r="3458" spans="117:121" x14ac:dyDescent="0.35">
      <c r="DM3458" s="50"/>
      <c r="DQ3458" s="50"/>
    </row>
    <row r="3459" spans="117:121" x14ac:dyDescent="0.35">
      <c r="DM3459" s="50"/>
      <c r="DQ3459" s="50"/>
    </row>
    <row r="3460" spans="117:121" x14ac:dyDescent="0.35">
      <c r="DM3460" s="50"/>
      <c r="DQ3460" s="50"/>
    </row>
    <row r="3461" spans="117:121" x14ac:dyDescent="0.35">
      <c r="DM3461" s="50"/>
      <c r="DQ3461" s="50"/>
    </row>
    <row r="3462" spans="117:121" x14ac:dyDescent="0.35">
      <c r="DM3462" s="50"/>
      <c r="DQ3462" s="50"/>
    </row>
    <row r="3463" spans="117:121" x14ac:dyDescent="0.35">
      <c r="DM3463" s="50"/>
      <c r="DQ3463" s="50"/>
    </row>
    <row r="3464" spans="117:121" x14ac:dyDescent="0.35">
      <c r="DM3464" s="50"/>
      <c r="DQ3464" s="50"/>
    </row>
    <row r="3465" spans="117:121" x14ac:dyDescent="0.35">
      <c r="DM3465" s="50"/>
      <c r="DQ3465" s="50"/>
    </row>
    <row r="3466" spans="117:121" x14ac:dyDescent="0.35">
      <c r="DM3466" s="50"/>
      <c r="DQ3466" s="50"/>
    </row>
    <row r="3467" spans="117:121" x14ac:dyDescent="0.35">
      <c r="DM3467" s="50"/>
      <c r="DQ3467" s="50"/>
    </row>
    <row r="3468" spans="117:121" x14ac:dyDescent="0.35">
      <c r="DM3468" s="50"/>
      <c r="DQ3468" s="50"/>
    </row>
    <row r="3469" spans="117:121" x14ac:dyDescent="0.35">
      <c r="DM3469" s="50"/>
      <c r="DQ3469" s="50"/>
    </row>
    <row r="3470" spans="117:121" x14ac:dyDescent="0.35">
      <c r="DM3470" s="50"/>
      <c r="DQ3470" s="50"/>
    </row>
    <row r="3471" spans="117:121" x14ac:dyDescent="0.35">
      <c r="DM3471" s="50"/>
      <c r="DQ3471" s="50"/>
    </row>
    <row r="3472" spans="117:121" x14ac:dyDescent="0.35">
      <c r="DM3472" s="50"/>
      <c r="DQ3472" s="50"/>
    </row>
    <row r="3473" spans="117:121" x14ac:dyDescent="0.35">
      <c r="DM3473" s="50"/>
      <c r="DQ3473" s="50"/>
    </row>
    <row r="3474" spans="117:121" x14ac:dyDescent="0.35">
      <c r="DM3474" s="50"/>
      <c r="DQ3474" s="50"/>
    </row>
    <row r="3475" spans="117:121" x14ac:dyDescent="0.35">
      <c r="DM3475" s="50"/>
      <c r="DQ3475" s="50"/>
    </row>
    <row r="3476" spans="117:121" x14ac:dyDescent="0.35">
      <c r="DM3476" s="50"/>
      <c r="DQ3476" s="50"/>
    </row>
    <row r="3477" spans="117:121" x14ac:dyDescent="0.35">
      <c r="DM3477" s="50"/>
      <c r="DQ3477" s="50"/>
    </row>
    <row r="3478" spans="117:121" x14ac:dyDescent="0.35">
      <c r="DM3478" s="50"/>
      <c r="DQ3478" s="50"/>
    </row>
    <row r="3479" spans="117:121" x14ac:dyDescent="0.35">
      <c r="DM3479" s="50"/>
      <c r="DQ3479" s="50"/>
    </row>
    <row r="3480" spans="117:121" x14ac:dyDescent="0.35">
      <c r="DM3480" s="50"/>
      <c r="DQ3480" s="50"/>
    </row>
    <row r="3481" spans="117:121" x14ac:dyDescent="0.35">
      <c r="DM3481" s="50"/>
      <c r="DQ3481" s="50"/>
    </row>
    <row r="3482" spans="117:121" x14ac:dyDescent="0.35">
      <c r="DM3482" s="50"/>
      <c r="DQ3482" s="50"/>
    </row>
    <row r="3483" spans="117:121" x14ac:dyDescent="0.35">
      <c r="DM3483" s="50"/>
      <c r="DQ3483" s="50"/>
    </row>
    <row r="3484" spans="117:121" x14ac:dyDescent="0.35">
      <c r="DM3484" s="50"/>
      <c r="DQ3484" s="50"/>
    </row>
    <row r="3485" spans="117:121" x14ac:dyDescent="0.35">
      <c r="DM3485" s="50"/>
      <c r="DQ3485" s="50"/>
    </row>
    <row r="3486" spans="117:121" x14ac:dyDescent="0.35">
      <c r="DM3486" s="50"/>
      <c r="DQ3486" s="50"/>
    </row>
    <row r="3487" spans="117:121" x14ac:dyDescent="0.35">
      <c r="DM3487" s="50"/>
      <c r="DQ3487" s="50"/>
    </row>
    <row r="3488" spans="117:121" x14ac:dyDescent="0.35">
      <c r="DM3488" s="50"/>
      <c r="DQ3488" s="50"/>
    </row>
    <row r="3489" spans="117:121" x14ac:dyDescent="0.35">
      <c r="DM3489" s="50"/>
      <c r="DQ3489" s="50"/>
    </row>
    <row r="3490" spans="117:121" x14ac:dyDescent="0.35">
      <c r="DM3490" s="50"/>
      <c r="DQ3490" s="50"/>
    </row>
    <row r="3491" spans="117:121" x14ac:dyDescent="0.35">
      <c r="DM3491" s="50"/>
      <c r="DQ3491" s="50"/>
    </row>
    <row r="3492" spans="117:121" x14ac:dyDescent="0.35">
      <c r="DM3492" s="50"/>
      <c r="DQ3492" s="50"/>
    </row>
    <row r="3493" spans="117:121" x14ac:dyDescent="0.35">
      <c r="DM3493" s="50"/>
      <c r="DQ3493" s="50"/>
    </row>
    <row r="3494" spans="117:121" x14ac:dyDescent="0.35">
      <c r="DM3494" s="50"/>
      <c r="DQ3494" s="50"/>
    </row>
    <row r="3495" spans="117:121" x14ac:dyDescent="0.35">
      <c r="DM3495" s="50"/>
      <c r="DQ3495" s="50"/>
    </row>
    <row r="3496" spans="117:121" x14ac:dyDescent="0.35">
      <c r="DM3496" s="50"/>
      <c r="DQ3496" s="50"/>
    </row>
    <row r="3497" spans="117:121" x14ac:dyDescent="0.35">
      <c r="DM3497" s="50"/>
      <c r="DQ3497" s="50"/>
    </row>
    <row r="3498" spans="117:121" x14ac:dyDescent="0.35">
      <c r="DM3498" s="50"/>
      <c r="DQ3498" s="50"/>
    </row>
    <row r="3499" spans="117:121" x14ac:dyDescent="0.35">
      <c r="DM3499" s="50"/>
      <c r="DQ3499" s="50"/>
    </row>
    <row r="3500" spans="117:121" x14ac:dyDescent="0.35">
      <c r="DM3500" s="50"/>
      <c r="DQ3500" s="50"/>
    </row>
    <row r="3501" spans="117:121" x14ac:dyDescent="0.35">
      <c r="DM3501" s="50"/>
      <c r="DQ3501" s="50"/>
    </row>
    <row r="3502" spans="117:121" x14ac:dyDescent="0.35">
      <c r="DM3502" s="50"/>
      <c r="DQ3502" s="50"/>
    </row>
    <row r="3503" spans="117:121" x14ac:dyDescent="0.35">
      <c r="DM3503" s="50"/>
      <c r="DQ3503" s="50"/>
    </row>
    <row r="3504" spans="117:121" x14ac:dyDescent="0.35">
      <c r="DM3504" s="50"/>
      <c r="DQ3504" s="50"/>
    </row>
    <row r="3505" spans="117:121" x14ac:dyDescent="0.35">
      <c r="DM3505" s="50"/>
      <c r="DQ3505" s="50"/>
    </row>
    <row r="3506" spans="117:121" x14ac:dyDescent="0.35">
      <c r="DM3506" s="50"/>
      <c r="DQ3506" s="50"/>
    </row>
    <row r="3507" spans="117:121" x14ac:dyDescent="0.35">
      <c r="DM3507" s="50"/>
      <c r="DQ3507" s="50"/>
    </row>
    <row r="3508" spans="117:121" x14ac:dyDescent="0.35">
      <c r="DM3508" s="50"/>
      <c r="DQ3508" s="50"/>
    </row>
    <row r="3509" spans="117:121" x14ac:dyDescent="0.35">
      <c r="DM3509" s="50"/>
      <c r="DQ3509" s="50"/>
    </row>
    <row r="3510" spans="117:121" x14ac:dyDescent="0.35">
      <c r="DM3510" s="50"/>
      <c r="DQ3510" s="50"/>
    </row>
    <row r="3511" spans="117:121" x14ac:dyDescent="0.35">
      <c r="DM3511" s="50"/>
      <c r="DQ3511" s="50"/>
    </row>
    <row r="3512" spans="117:121" x14ac:dyDescent="0.35">
      <c r="DM3512" s="50"/>
      <c r="DQ3512" s="50"/>
    </row>
    <row r="3513" spans="117:121" x14ac:dyDescent="0.35">
      <c r="DM3513" s="50"/>
      <c r="DQ3513" s="50"/>
    </row>
    <row r="3514" spans="117:121" x14ac:dyDescent="0.35">
      <c r="DM3514" s="50"/>
      <c r="DQ3514" s="50"/>
    </row>
    <row r="3515" spans="117:121" x14ac:dyDescent="0.35">
      <c r="DM3515" s="50"/>
      <c r="DQ3515" s="50"/>
    </row>
    <row r="3516" spans="117:121" x14ac:dyDescent="0.35">
      <c r="DM3516" s="50"/>
      <c r="DQ3516" s="50"/>
    </row>
    <row r="3517" spans="117:121" x14ac:dyDescent="0.35">
      <c r="DM3517" s="50"/>
      <c r="DQ3517" s="50"/>
    </row>
    <row r="3518" spans="117:121" x14ac:dyDescent="0.35">
      <c r="DM3518" s="50"/>
      <c r="DQ3518" s="50"/>
    </row>
    <row r="3519" spans="117:121" x14ac:dyDescent="0.35">
      <c r="DM3519" s="50"/>
      <c r="DQ3519" s="50"/>
    </row>
    <row r="3520" spans="117:121" x14ac:dyDescent="0.35">
      <c r="DM3520" s="50"/>
      <c r="DQ3520" s="50"/>
    </row>
    <row r="3521" spans="117:121" x14ac:dyDescent="0.35">
      <c r="DM3521" s="50"/>
      <c r="DQ3521" s="50"/>
    </row>
    <row r="3522" spans="117:121" x14ac:dyDescent="0.35">
      <c r="DM3522" s="50"/>
      <c r="DQ3522" s="50"/>
    </row>
    <row r="3523" spans="117:121" x14ac:dyDescent="0.35">
      <c r="DM3523" s="50"/>
      <c r="DQ3523" s="50"/>
    </row>
    <row r="3524" spans="117:121" x14ac:dyDescent="0.35">
      <c r="DM3524" s="50"/>
      <c r="DQ3524" s="50"/>
    </row>
    <row r="3525" spans="117:121" x14ac:dyDescent="0.35">
      <c r="DM3525" s="50"/>
      <c r="DQ3525" s="50"/>
    </row>
    <row r="3526" spans="117:121" x14ac:dyDescent="0.35">
      <c r="DM3526" s="50"/>
      <c r="DQ3526" s="50"/>
    </row>
    <row r="3527" spans="117:121" x14ac:dyDescent="0.35">
      <c r="DM3527" s="50"/>
      <c r="DQ3527" s="50"/>
    </row>
    <row r="3528" spans="117:121" x14ac:dyDescent="0.35">
      <c r="DM3528" s="50"/>
      <c r="DQ3528" s="50"/>
    </row>
    <row r="3529" spans="117:121" x14ac:dyDescent="0.35">
      <c r="DM3529" s="50"/>
      <c r="DQ3529" s="50"/>
    </row>
    <row r="3530" spans="117:121" x14ac:dyDescent="0.35">
      <c r="DM3530" s="50"/>
      <c r="DQ3530" s="50"/>
    </row>
    <row r="3531" spans="117:121" x14ac:dyDescent="0.35">
      <c r="DM3531" s="50"/>
      <c r="DQ3531" s="50"/>
    </row>
    <row r="3532" spans="117:121" x14ac:dyDescent="0.35">
      <c r="DM3532" s="50"/>
      <c r="DQ3532" s="50"/>
    </row>
    <row r="3533" spans="117:121" x14ac:dyDescent="0.35">
      <c r="DM3533" s="50"/>
      <c r="DQ3533" s="50"/>
    </row>
    <row r="3534" spans="117:121" x14ac:dyDescent="0.35">
      <c r="DM3534" s="50"/>
      <c r="DQ3534" s="50"/>
    </row>
    <row r="3535" spans="117:121" x14ac:dyDescent="0.35">
      <c r="DM3535" s="50"/>
      <c r="DQ3535" s="50"/>
    </row>
    <row r="3536" spans="117:121" x14ac:dyDescent="0.35">
      <c r="DM3536" s="50"/>
      <c r="DQ3536" s="50"/>
    </row>
    <row r="3537" spans="117:121" x14ac:dyDescent="0.35">
      <c r="DM3537" s="50"/>
      <c r="DQ3537" s="50"/>
    </row>
    <row r="3538" spans="117:121" x14ac:dyDescent="0.35">
      <c r="DM3538" s="50"/>
      <c r="DQ3538" s="50"/>
    </row>
    <row r="3539" spans="117:121" x14ac:dyDescent="0.35">
      <c r="DM3539" s="50"/>
      <c r="DQ3539" s="50"/>
    </row>
    <row r="3540" spans="117:121" x14ac:dyDescent="0.35">
      <c r="DM3540" s="50"/>
      <c r="DQ3540" s="50"/>
    </row>
    <row r="3541" spans="117:121" x14ac:dyDescent="0.35">
      <c r="DM3541" s="50"/>
      <c r="DQ3541" s="50"/>
    </row>
    <row r="3542" spans="117:121" x14ac:dyDescent="0.35">
      <c r="DM3542" s="50"/>
      <c r="DQ3542" s="50"/>
    </row>
    <row r="3543" spans="117:121" x14ac:dyDescent="0.35">
      <c r="DM3543" s="50"/>
      <c r="DQ3543" s="50"/>
    </row>
    <row r="3544" spans="117:121" x14ac:dyDescent="0.35">
      <c r="DM3544" s="50"/>
      <c r="DQ3544" s="50"/>
    </row>
    <row r="3545" spans="117:121" x14ac:dyDescent="0.35">
      <c r="DM3545" s="50"/>
      <c r="DQ3545" s="50"/>
    </row>
    <row r="3546" spans="117:121" x14ac:dyDescent="0.35">
      <c r="DM3546" s="50"/>
      <c r="DQ3546" s="50"/>
    </row>
    <row r="3547" spans="117:121" x14ac:dyDescent="0.35">
      <c r="DM3547" s="50"/>
      <c r="DQ3547" s="50"/>
    </row>
    <row r="3548" spans="117:121" x14ac:dyDescent="0.35">
      <c r="DM3548" s="50"/>
      <c r="DQ3548" s="50"/>
    </row>
    <row r="3549" spans="117:121" x14ac:dyDescent="0.35">
      <c r="DM3549" s="50"/>
      <c r="DQ3549" s="50"/>
    </row>
    <row r="3550" spans="117:121" x14ac:dyDescent="0.35">
      <c r="DM3550" s="50"/>
      <c r="DQ3550" s="50"/>
    </row>
    <row r="3551" spans="117:121" x14ac:dyDescent="0.35">
      <c r="DM3551" s="50"/>
      <c r="DQ3551" s="50"/>
    </row>
    <row r="3552" spans="117:121" x14ac:dyDescent="0.35">
      <c r="DM3552" s="50"/>
      <c r="DQ3552" s="50"/>
    </row>
    <row r="3553" spans="117:121" x14ac:dyDescent="0.35">
      <c r="DM3553" s="50"/>
      <c r="DQ3553" s="50"/>
    </row>
    <row r="3554" spans="117:121" x14ac:dyDescent="0.35">
      <c r="DM3554" s="50"/>
      <c r="DQ3554" s="50"/>
    </row>
    <row r="3555" spans="117:121" x14ac:dyDescent="0.35">
      <c r="DM3555" s="50"/>
      <c r="DQ3555" s="50"/>
    </row>
    <row r="3556" spans="117:121" x14ac:dyDescent="0.35">
      <c r="DM3556" s="50"/>
      <c r="DQ3556" s="50"/>
    </row>
    <row r="3557" spans="117:121" x14ac:dyDescent="0.35">
      <c r="DM3557" s="50"/>
      <c r="DQ3557" s="50"/>
    </row>
    <row r="3558" spans="117:121" x14ac:dyDescent="0.35">
      <c r="DM3558" s="50"/>
      <c r="DQ3558" s="50"/>
    </row>
    <row r="3559" spans="117:121" x14ac:dyDescent="0.35">
      <c r="DM3559" s="50"/>
      <c r="DQ3559" s="50"/>
    </row>
    <row r="3560" spans="117:121" x14ac:dyDescent="0.35">
      <c r="DM3560" s="50"/>
      <c r="DQ3560" s="50"/>
    </row>
    <row r="3561" spans="117:121" x14ac:dyDescent="0.35">
      <c r="DM3561" s="50"/>
      <c r="DQ3561" s="50"/>
    </row>
    <row r="3562" spans="117:121" x14ac:dyDescent="0.35">
      <c r="DM3562" s="50"/>
      <c r="DQ3562" s="50"/>
    </row>
    <row r="3563" spans="117:121" x14ac:dyDescent="0.35">
      <c r="DM3563" s="50"/>
      <c r="DQ3563" s="50"/>
    </row>
    <row r="3564" spans="117:121" x14ac:dyDescent="0.35">
      <c r="DM3564" s="50"/>
      <c r="DQ3564" s="50"/>
    </row>
    <row r="3565" spans="117:121" x14ac:dyDescent="0.35">
      <c r="DM3565" s="50"/>
      <c r="DQ3565" s="50"/>
    </row>
    <row r="3566" spans="117:121" x14ac:dyDescent="0.35">
      <c r="DM3566" s="50"/>
      <c r="DQ3566" s="50"/>
    </row>
    <row r="3567" spans="117:121" x14ac:dyDescent="0.35">
      <c r="DM3567" s="50"/>
      <c r="DQ3567" s="50"/>
    </row>
    <row r="3568" spans="117:121" x14ac:dyDescent="0.35">
      <c r="DM3568" s="50"/>
      <c r="DQ3568" s="50"/>
    </row>
    <row r="3569" spans="117:121" x14ac:dyDescent="0.35">
      <c r="DM3569" s="50"/>
      <c r="DQ3569" s="50"/>
    </row>
    <row r="3570" spans="117:121" x14ac:dyDescent="0.35">
      <c r="DM3570" s="50"/>
      <c r="DQ3570" s="50"/>
    </row>
    <row r="3571" spans="117:121" x14ac:dyDescent="0.35">
      <c r="DM3571" s="50"/>
      <c r="DQ3571" s="50"/>
    </row>
    <row r="3572" spans="117:121" x14ac:dyDescent="0.35">
      <c r="DM3572" s="50"/>
      <c r="DQ3572" s="50"/>
    </row>
    <row r="3573" spans="117:121" x14ac:dyDescent="0.35">
      <c r="DM3573" s="50"/>
      <c r="DQ3573" s="50"/>
    </row>
    <row r="3574" spans="117:121" x14ac:dyDescent="0.35">
      <c r="DM3574" s="50"/>
      <c r="DQ3574" s="50"/>
    </row>
    <row r="3575" spans="117:121" x14ac:dyDescent="0.35">
      <c r="DM3575" s="50"/>
      <c r="DQ3575" s="50"/>
    </row>
    <row r="3576" spans="117:121" x14ac:dyDescent="0.35">
      <c r="DM3576" s="50"/>
      <c r="DQ3576" s="50"/>
    </row>
    <row r="3577" spans="117:121" x14ac:dyDescent="0.35">
      <c r="DM3577" s="50"/>
      <c r="DQ3577" s="50"/>
    </row>
    <row r="3578" spans="117:121" x14ac:dyDescent="0.35">
      <c r="DM3578" s="50"/>
      <c r="DQ3578" s="50"/>
    </row>
    <row r="3579" spans="117:121" x14ac:dyDescent="0.35">
      <c r="DM3579" s="50"/>
      <c r="DQ3579" s="50"/>
    </row>
    <row r="3580" spans="117:121" x14ac:dyDescent="0.35">
      <c r="DM3580" s="50"/>
      <c r="DQ3580" s="50"/>
    </row>
    <row r="3581" spans="117:121" x14ac:dyDescent="0.35">
      <c r="DM3581" s="50"/>
      <c r="DQ3581" s="50"/>
    </row>
    <row r="3582" spans="117:121" x14ac:dyDescent="0.35">
      <c r="DM3582" s="50"/>
      <c r="DQ3582" s="50"/>
    </row>
    <row r="3583" spans="117:121" x14ac:dyDescent="0.35">
      <c r="DM3583" s="50"/>
      <c r="DQ3583" s="50"/>
    </row>
    <row r="3584" spans="117:121" x14ac:dyDescent="0.35">
      <c r="DM3584" s="50"/>
      <c r="DQ3584" s="50"/>
    </row>
    <row r="3585" spans="117:121" x14ac:dyDescent="0.35">
      <c r="DM3585" s="50"/>
      <c r="DQ3585" s="50"/>
    </row>
    <row r="3586" spans="117:121" x14ac:dyDescent="0.35">
      <c r="DM3586" s="50"/>
      <c r="DQ3586" s="50"/>
    </row>
    <row r="3587" spans="117:121" x14ac:dyDescent="0.35">
      <c r="DM3587" s="50"/>
      <c r="DQ3587" s="50"/>
    </row>
    <row r="3588" spans="117:121" x14ac:dyDescent="0.35">
      <c r="DM3588" s="50"/>
      <c r="DQ3588" s="50"/>
    </row>
    <row r="3589" spans="117:121" x14ac:dyDescent="0.35">
      <c r="DM3589" s="50"/>
      <c r="DQ3589" s="50"/>
    </row>
    <row r="3590" spans="117:121" x14ac:dyDescent="0.35">
      <c r="DM3590" s="50"/>
      <c r="DQ3590" s="50"/>
    </row>
    <row r="3591" spans="117:121" x14ac:dyDescent="0.35">
      <c r="DM3591" s="50"/>
      <c r="DQ3591" s="50"/>
    </row>
    <row r="3592" spans="117:121" x14ac:dyDescent="0.35">
      <c r="DM3592" s="50"/>
      <c r="DQ3592" s="50"/>
    </row>
    <row r="3593" spans="117:121" x14ac:dyDescent="0.35">
      <c r="DM3593" s="50"/>
      <c r="DQ3593" s="50"/>
    </row>
    <row r="3594" spans="117:121" x14ac:dyDescent="0.35">
      <c r="DM3594" s="50"/>
      <c r="DQ3594" s="50"/>
    </row>
    <row r="3595" spans="117:121" x14ac:dyDescent="0.35">
      <c r="DM3595" s="50"/>
      <c r="DQ3595" s="50"/>
    </row>
    <row r="3596" spans="117:121" x14ac:dyDescent="0.35">
      <c r="DM3596" s="50"/>
      <c r="DQ3596" s="50"/>
    </row>
    <row r="3597" spans="117:121" x14ac:dyDescent="0.35">
      <c r="DM3597" s="50"/>
      <c r="DQ3597" s="50"/>
    </row>
    <row r="3598" spans="117:121" x14ac:dyDescent="0.35">
      <c r="DM3598" s="50"/>
      <c r="DQ3598" s="50"/>
    </row>
    <row r="3599" spans="117:121" x14ac:dyDescent="0.35">
      <c r="DM3599" s="50"/>
      <c r="DQ3599" s="50"/>
    </row>
    <row r="3600" spans="117:121" x14ac:dyDescent="0.35">
      <c r="DM3600" s="50"/>
      <c r="DQ3600" s="50"/>
    </row>
    <row r="3601" spans="117:121" x14ac:dyDescent="0.35">
      <c r="DM3601" s="50"/>
      <c r="DQ3601" s="50"/>
    </row>
    <row r="3602" spans="117:121" x14ac:dyDescent="0.35">
      <c r="DM3602" s="50"/>
      <c r="DQ3602" s="50"/>
    </row>
    <row r="3603" spans="117:121" x14ac:dyDescent="0.35">
      <c r="DM3603" s="50"/>
      <c r="DQ3603" s="50"/>
    </row>
    <row r="3604" spans="117:121" x14ac:dyDescent="0.35">
      <c r="DM3604" s="50"/>
      <c r="DQ3604" s="50"/>
    </row>
    <row r="3605" spans="117:121" x14ac:dyDescent="0.35">
      <c r="DM3605" s="50"/>
      <c r="DQ3605" s="50"/>
    </row>
    <row r="3606" spans="117:121" x14ac:dyDescent="0.35">
      <c r="DM3606" s="50"/>
      <c r="DQ3606" s="50"/>
    </row>
    <row r="3607" spans="117:121" x14ac:dyDescent="0.35">
      <c r="DM3607" s="50"/>
      <c r="DQ3607" s="50"/>
    </row>
    <row r="3608" spans="117:121" x14ac:dyDescent="0.35">
      <c r="DM3608" s="50"/>
      <c r="DQ3608" s="50"/>
    </row>
    <row r="3609" spans="117:121" x14ac:dyDescent="0.35">
      <c r="DM3609" s="50"/>
      <c r="DQ3609" s="50"/>
    </row>
    <row r="3610" spans="117:121" x14ac:dyDescent="0.35">
      <c r="DM3610" s="50"/>
      <c r="DQ3610" s="50"/>
    </row>
    <row r="3611" spans="117:121" x14ac:dyDescent="0.35">
      <c r="DM3611" s="50"/>
      <c r="DQ3611" s="50"/>
    </row>
    <row r="3612" spans="117:121" x14ac:dyDescent="0.35">
      <c r="DM3612" s="50"/>
      <c r="DQ3612" s="50"/>
    </row>
    <row r="3613" spans="117:121" x14ac:dyDescent="0.35">
      <c r="DM3613" s="50"/>
      <c r="DQ3613" s="50"/>
    </row>
    <row r="3614" spans="117:121" x14ac:dyDescent="0.35">
      <c r="DM3614" s="50"/>
      <c r="DQ3614" s="50"/>
    </row>
    <row r="3615" spans="117:121" x14ac:dyDescent="0.35">
      <c r="DM3615" s="50"/>
      <c r="DQ3615" s="50"/>
    </row>
    <row r="3616" spans="117:121" x14ac:dyDescent="0.35">
      <c r="DM3616" s="50"/>
      <c r="DQ3616" s="50"/>
    </row>
    <row r="3617" spans="117:121" x14ac:dyDescent="0.35">
      <c r="DM3617" s="50"/>
      <c r="DQ3617" s="50"/>
    </row>
    <row r="3618" spans="117:121" x14ac:dyDescent="0.35">
      <c r="DM3618" s="50"/>
      <c r="DQ3618" s="50"/>
    </row>
    <row r="3619" spans="117:121" x14ac:dyDescent="0.35">
      <c r="DM3619" s="50"/>
      <c r="DQ3619" s="50"/>
    </row>
    <row r="3620" spans="117:121" x14ac:dyDescent="0.35">
      <c r="DM3620" s="50"/>
      <c r="DQ3620" s="50"/>
    </row>
    <row r="3621" spans="117:121" x14ac:dyDescent="0.35">
      <c r="DM3621" s="50"/>
      <c r="DQ3621" s="50"/>
    </row>
    <row r="3622" spans="117:121" x14ac:dyDescent="0.35">
      <c r="DM3622" s="50"/>
      <c r="DQ3622" s="50"/>
    </row>
    <row r="3623" spans="117:121" x14ac:dyDescent="0.35">
      <c r="DM3623" s="50"/>
      <c r="DQ3623" s="50"/>
    </row>
    <row r="3624" spans="117:121" x14ac:dyDescent="0.35">
      <c r="DM3624" s="50"/>
      <c r="DQ3624" s="50"/>
    </row>
    <row r="3625" spans="117:121" x14ac:dyDescent="0.35">
      <c r="DM3625" s="50"/>
      <c r="DQ3625" s="50"/>
    </row>
    <row r="3626" spans="117:121" x14ac:dyDescent="0.35">
      <c r="DM3626" s="50"/>
      <c r="DQ3626" s="50"/>
    </row>
    <row r="3627" spans="117:121" x14ac:dyDescent="0.35">
      <c r="DM3627" s="50"/>
      <c r="DQ3627" s="50"/>
    </row>
    <row r="3628" spans="117:121" x14ac:dyDescent="0.35">
      <c r="DM3628" s="50"/>
      <c r="DQ3628" s="50"/>
    </row>
    <row r="3629" spans="117:121" x14ac:dyDescent="0.35">
      <c r="DM3629" s="50"/>
      <c r="DQ3629" s="50"/>
    </row>
    <row r="3630" spans="117:121" x14ac:dyDescent="0.35">
      <c r="DM3630" s="50"/>
      <c r="DQ3630" s="50"/>
    </row>
    <row r="3631" spans="117:121" x14ac:dyDescent="0.35">
      <c r="DM3631" s="50"/>
      <c r="DQ3631" s="50"/>
    </row>
    <row r="3632" spans="117:121" x14ac:dyDescent="0.35">
      <c r="DM3632" s="50"/>
      <c r="DQ3632" s="50"/>
    </row>
    <row r="3633" spans="117:121" x14ac:dyDescent="0.35">
      <c r="DM3633" s="50"/>
      <c r="DQ3633" s="50"/>
    </row>
    <row r="3634" spans="117:121" x14ac:dyDescent="0.35">
      <c r="DM3634" s="50"/>
      <c r="DQ3634" s="50"/>
    </row>
    <row r="3635" spans="117:121" x14ac:dyDescent="0.35">
      <c r="DM3635" s="50"/>
      <c r="DQ3635" s="50"/>
    </row>
    <row r="3636" spans="117:121" x14ac:dyDescent="0.35">
      <c r="DM3636" s="50"/>
      <c r="DQ3636" s="50"/>
    </row>
    <row r="3637" spans="117:121" x14ac:dyDescent="0.35">
      <c r="DM3637" s="50"/>
      <c r="DQ3637" s="50"/>
    </row>
    <row r="3638" spans="117:121" x14ac:dyDescent="0.35">
      <c r="DM3638" s="50"/>
      <c r="DQ3638" s="50"/>
    </row>
    <row r="3639" spans="117:121" x14ac:dyDescent="0.35">
      <c r="DM3639" s="50"/>
      <c r="DQ3639" s="50"/>
    </row>
    <row r="3640" spans="117:121" x14ac:dyDescent="0.35">
      <c r="DM3640" s="50"/>
      <c r="DQ3640" s="50"/>
    </row>
    <row r="3641" spans="117:121" x14ac:dyDescent="0.35">
      <c r="DM3641" s="50"/>
      <c r="DQ3641" s="50"/>
    </row>
    <row r="3642" spans="117:121" x14ac:dyDescent="0.35">
      <c r="DM3642" s="50"/>
      <c r="DQ3642" s="50"/>
    </row>
    <row r="3643" spans="117:121" x14ac:dyDescent="0.35">
      <c r="DM3643" s="50"/>
      <c r="DQ3643" s="50"/>
    </row>
    <row r="3644" spans="117:121" x14ac:dyDescent="0.35">
      <c r="DM3644" s="50"/>
      <c r="DQ3644" s="50"/>
    </row>
    <row r="3645" spans="117:121" x14ac:dyDescent="0.35">
      <c r="DM3645" s="50"/>
      <c r="DQ3645" s="50"/>
    </row>
    <row r="3646" spans="117:121" x14ac:dyDescent="0.35">
      <c r="DM3646" s="50"/>
      <c r="DQ3646" s="50"/>
    </row>
    <row r="3647" spans="117:121" x14ac:dyDescent="0.35">
      <c r="DM3647" s="50"/>
      <c r="DQ3647" s="50"/>
    </row>
    <row r="3648" spans="117:121" x14ac:dyDescent="0.35">
      <c r="DM3648" s="50"/>
      <c r="DQ3648" s="50"/>
    </row>
    <row r="3649" spans="117:121" x14ac:dyDescent="0.35">
      <c r="DM3649" s="50"/>
      <c r="DQ3649" s="50"/>
    </row>
    <row r="3650" spans="117:121" x14ac:dyDescent="0.35">
      <c r="DM3650" s="50"/>
      <c r="DQ3650" s="50"/>
    </row>
    <row r="3651" spans="117:121" x14ac:dyDescent="0.35">
      <c r="DM3651" s="50"/>
      <c r="DQ3651" s="50"/>
    </row>
    <row r="3652" spans="117:121" x14ac:dyDescent="0.35">
      <c r="DM3652" s="50"/>
      <c r="DQ3652" s="50"/>
    </row>
    <row r="3653" spans="117:121" x14ac:dyDescent="0.35">
      <c r="DM3653" s="50"/>
      <c r="DQ3653" s="50"/>
    </row>
    <row r="3654" spans="117:121" x14ac:dyDescent="0.35">
      <c r="DM3654" s="50"/>
      <c r="DQ3654" s="50"/>
    </row>
    <row r="3655" spans="117:121" x14ac:dyDescent="0.35">
      <c r="DM3655" s="50"/>
      <c r="DQ3655" s="50"/>
    </row>
    <row r="3656" spans="117:121" x14ac:dyDescent="0.35">
      <c r="DM3656" s="50"/>
      <c r="DQ3656" s="50"/>
    </row>
    <row r="3657" spans="117:121" x14ac:dyDescent="0.35">
      <c r="DM3657" s="50"/>
      <c r="DQ3657" s="50"/>
    </row>
    <row r="3658" spans="117:121" x14ac:dyDescent="0.35">
      <c r="DM3658" s="50"/>
      <c r="DQ3658" s="50"/>
    </row>
    <row r="3659" spans="117:121" x14ac:dyDescent="0.35">
      <c r="DM3659" s="50"/>
      <c r="DQ3659" s="50"/>
    </row>
    <row r="3660" spans="117:121" x14ac:dyDescent="0.35">
      <c r="DM3660" s="50"/>
      <c r="DQ3660" s="50"/>
    </row>
    <row r="3661" spans="117:121" x14ac:dyDescent="0.35">
      <c r="DM3661" s="50"/>
      <c r="DQ3661" s="50"/>
    </row>
    <row r="3662" spans="117:121" x14ac:dyDescent="0.35">
      <c r="DM3662" s="50"/>
      <c r="DQ3662" s="50"/>
    </row>
    <row r="3663" spans="117:121" x14ac:dyDescent="0.35">
      <c r="DM3663" s="50"/>
      <c r="DQ3663" s="50"/>
    </row>
    <row r="3664" spans="117:121" x14ac:dyDescent="0.35">
      <c r="DM3664" s="50"/>
      <c r="DQ3664" s="50"/>
    </row>
    <row r="3665" spans="117:121" x14ac:dyDescent="0.35">
      <c r="DM3665" s="50"/>
      <c r="DQ3665" s="50"/>
    </row>
    <row r="3666" spans="117:121" x14ac:dyDescent="0.35">
      <c r="DM3666" s="50"/>
      <c r="DQ3666" s="50"/>
    </row>
    <row r="3667" spans="117:121" x14ac:dyDescent="0.35">
      <c r="DM3667" s="50"/>
      <c r="DQ3667" s="50"/>
    </row>
    <row r="3668" spans="117:121" x14ac:dyDescent="0.35">
      <c r="DM3668" s="50"/>
      <c r="DQ3668" s="50"/>
    </row>
    <row r="3669" spans="117:121" x14ac:dyDescent="0.35">
      <c r="DM3669" s="50"/>
      <c r="DQ3669" s="50"/>
    </row>
    <row r="3670" spans="117:121" x14ac:dyDescent="0.35">
      <c r="DM3670" s="50"/>
      <c r="DQ3670" s="50"/>
    </row>
    <row r="3671" spans="117:121" x14ac:dyDescent="0.35">
      <c r="DM3671" s="50"/>
      <c r="DQ3671" s="50"/>
    </row>
    <row r="3672" spans="117:121" x14ac:dyDescent="0.35">
      <c r="DM3672" s="50"/>
      <c r="DQ3672" s="50"/>
    </row>
    <row r="3673" spans="117:121" x14ac:dyDescent="0.35">
      <c r="DM3673" s="50"/>
      <c r="DQ3673" s="50"/>
    </row>
    <row r="3674" spans="117:121" x14ac:dyDescent="0.35">
      <c r="DM3674" s="50"/>
      <c r="DQ3674" s="50"/>
    </row>
    <row r="3675" spans="117:121" x14ac:dyDescent="0.35">
      <c r="DM3675" s="50"/>
      <c r="DQ3675" s="50"/>
    </row>
    <row r="3676" spans="117:121" x14ac:dyDescent="0.35">
      <c r="DM3676" s="50"/>
      <c r="DQ3676" s="50"/>
    </row>
    <row r="3677" spans="117:121" x14ac:dyDescent="0.35">
      <c r="DM3677" s="50"/>
      <c r="DQ3677" s="50"/>
    </row>
    <row r="3678" spans="117:121" x14ac:dyDescent="0.35">
      <c r="DM3678" s="50"/>
      <c r="DQ3678" s="50"/>
    </row>
    <row r="3679" spans="117:121" x14ac:dyDescent="0.35">
      <c r="DM3679" s="50"/>
      <c r="DQ3679" s="50"/>
    </row>
    <row r="3680" spans="117:121" x14ac:dyDescent="0.35">
      <c r="DM3680" s="50"/>
      <c r="DQ3680" s="50"/>
    </row>
    <row r="3681" spans="117:121" x14ac:dyDescent="0.35">
      <c r="DM3681" s="50"/>
      <c r="DQ3681" s="50"/>
    </row>
    <row r="3682" spans="117:121" x14ac:dyDescent="0.35">
      <c r="DM3682" s="50"/>
      <c r="DQ3682" s="50"/>
    </row>
    <row r="3683" spans="117:121" x14ac:dyDescent="0.35">
      <c r="DM3683" s="50"/>
      <c r="DQ3683" s="50"/>
    </row>
    <row r="3684" spans="117:121" x14ac:dyDescent="0.35">
      <c r="DM3684" s="50"/>
      <c r="DQ3684" s="50"/>
    </row>
    <row r="3685" spans="117:121" x14ac:dyDescent="0.35">
      <c r="DM3685" s="50"/>
      <c r="DQ3685" s="50"/>
    </row>
    <row r="3686" spans="117:121" x14ac:dyDescent="0.35">
      <c r="DM3686" s="50"/>
      <c r="DQ3686" s="50"/>
    </row>
    <row r="3687" spans="117:121" x14ac:dyDescent="0.35">
      <c r="DM3687" s="50"/>
      <c r="DQ3687" s="50"/>
    </row>
    <row r="3688" spans="117:121" x14ac:dyDescent="0.35">
      <c r="DM3688" s="50"/>
      <c r="DQ3688" s="50"/>
    </row>
    <row r="3689" spans="117:121" x14ac:dyDescent="0.35">
      <c r="DM3689" s="50"/>
      <c r="DQ3689" s="50"/>
    </row>
    <row r="3690" spans="117:121" x14ac:dyDescent="0.35">
      <c r="DM3690" s="50"/>
      <c r="DQ3690" s="50"/>
    </row>
    <row r="3691" spans="117:121" x14ac:dyDescent="0.35">
      <c r="DM3691" s="50"/>
      <c r="DQ3691" s="50"/>
    </row>
    <row r="3692" spans="117:121" x14ac:dyDescent="0.35">
      <c r="DM3692" s="50"/>
      <c r="DQ3692" s="50"/>
    </row>
    <row r="3693" spans="117:121" x14ac:dyDescent="0.35">
      <c r="DM3693" s="50"/>
      <c r="DQ3693" s="50"/>
    </row>
    <row r="3694" spans="117:121" x14ac:dyDescent="0.35">
      <c r="DM3694" s="50"/>
      <c r="DQ3694" s="50"/>
    </row>
    <row r="3695" spans="117:121" x14ac:dyDescent="0.35">
      <c r="DM3695" s="50"/>
      <c r="DQ3695" s="50"/>
    </row>
    <row r="3696" spans="117:121" x14ac:dyDescent="0.35">
      <c r="DM3696" s="50"/>
      <c r="DQ3696" s="50"/>
    </row>
    <row r="3697" spans="117:121" x14ac:dyDescent="0.35">
      <c r="DM3697" s="50"/>
      <c r="DQ3697" s="50"/>
    </row>
    <row r="3698" spans="117:121" x14ac:dyDescent="0.35">
      <c r="DM3698" s="50"/>
      <c r="DQ3698" s="50"/>
    </row>
    <row r="3699" spans="117:121" x14ac:dyDescent="0.35">
      <c r="DM3699" s="50"/>
      <c r="DQ3699" s="50"/>
    </row>
    <row r="3700" spans="117:121" x14ac:dyDescent="0.35">
      <c r="DM3700" s="50"/>
      <c r="DQ3700" s="50"/>
    </row>
    <row r="3701" spans="117:121" x14ac:dyDescent="0.35">
      <c r="DM3701" s="50"/>
      <c r="DQ3701" s="50"/>
    </row>
    <row r="3702" spans="117:121" x14ac:dyDescent="0.35">
      <c r="DM3702" s="50"/>
      <c r="DQ3702" s="50"/>
    </row>
    <row r="3703" spans="117:121" x14ac:dyDescent="0.35">
      <c r="DM3703" s="50"/>
      <c r="DQ3703" s="50"/>
    </row>
    <row r="3704" spans="117:121" x14ac:dyDescent="0.35">
      <c r="DM3704" s="50"/>
      <c r="DQ3704" s="50"/>
    </row>
    <row r="3705" spans="117:121" x14ac:dyDescent="0.35">
      <c r="DM3705" s="50"/>
      <c r="DQ3705" s="50"/>
    </row>
    <row r="3706" spans="117:121" x14ac:dyDescent="0.35">
      <c r="DM3706" s="50"/>
      <c r="DQ3706" s="50"/>
    </row>
    <row r="3707" spans="117:121" x14ac:dyDescent="0.35">
      <c r="DM3707" s="50"/>
      <c r="DQ3707" s="50"/>
    </row>
    <row r="3708" spans="117:121" x14ac:dyDescent="0.35">
      <c r="DM3708" s="50"/>
      <c r="DQ3708" s="50"/>
    </row>
    <row r="3709" spans="117:121" x14ac:dyDescent="0.35">
      <c r="DM3709" s="50"/>
      <c r="DQ3709" s="50"/>
    </row>
    <row r="3710" spans="117:121" x14ac:dyDescent="0.35">
      <c r="DM3710" s="50"/>
      <c r="DQ3710" s="50"/>
    </row>
    <row r="3711" spans="117:121" x14ac:dyDescent="0.35">
      <c r="DM3711" s="50"/>
      <c r="DQ3711" s="50"/>
    </row>
    <row r="3712" spans="117:121" x14ac:dyDescent="0.35">
      <c r="DM3712" s="50"/>
      <c r="DQ3712" s="50"/>
    </row>
    <row r="3713" spans="117:121" x14ac:dyDescent="0.35">
      <c r="DM3713" s="50"/>
      <c r="DQ3713" s="50"/>
    </row>
    <row r="3714" spans="117:121" x14ac:dyDescent="0.35">
      <c r="DM3714" s="50"/>
      <c r="DQ3714" s="50"/>
    </row>
    <row r="3715" spans="117:121" x14ac:dyDescent="0.35">
      <c r="DM3715" s="50"/>
      <c r="DQ3715" s="50"/>
    </row>
    <row r="3716" spans="117:121" x14ac:dyDescent="0.35">
      <c r="DM3716" s="50"/>
      <c r="DQ3716" s="50"/>
    </row>
    <row r="3717" spans="117:121" x14ac:dyDescent="0.35">
      <c r="DM3717" s="50"/>
      <c r="DQ3717" s="50"/>
    </row>
    <row r="3718" spans="117:121" x14ac:dyDescent="0.35">
      <c r="DM3718" s="50"/>
      <c r="DQ3718" s="50"/>
    </row>
    <row r="3719" spans="117:121" x14ac:dyDescent="0.35">
      <c r="DM3719" s="50"/>
      <c r="DQ3719" s="50"/>
    </row>
    <row r="3720" spans="117:121" x14ac:dyDescent="0.35">
      <c r="DM3720" s="50"/>
      <c r="DQ3720" s="50"/>
    </row>
    <row r="3721" spans="117:121" x14ac:dyDescent="0.35">
      <c r="DM3721" s="50"/>
      <c r="DQ3721" s="50"/>
    </row>
    <row r="3722" spans="117:121" x14ac:dyDescent="0.35">
      <c r="DM3722" s="50"/>
      <c r="DQ3722" s="50"/>
    </row>
    <row r="3723" spans="117:121" x14ac:dyDescent="0.35">
      <c r="DM3723" s="50"/>
      <c r="DQ3723" s="50"/>
    </row>
    <row r="3724" spans="117:121" x14ac:dyDescent="0.35">
      <c r="DM3724" s="50"/>
      <c r="DQ3724" s="50"/>
    </row>
    <row r="3725" spans="117:121" x14ac:dyDescent="0.35">
      <c r="DM3725" s="50"/>
      <c r="DQ3725" s="50"/>
    </row>
    <row r="3726" spans="117:121" x14ac:dyDescent="0.35">
      <c r="DM3726" s="50"/>
      <c r="DQ3726" s="50"/>
    </row>
    <row r="3727" spans="117:121" x14ac:dyDescent="0.35">
      <c r="DM3727" s="50"/>
      <c r="DQ3727" s="50"/>
    </row>
    <row r="3728" spans="117:121" x14ac:dyDescent="0.35">
      <c r="DM3728" s="50"/>
      <c r="DQ3728" s="50"/>
    </row>
    <row r="3729" spans="117:121" x14ac:dyDescent="0.35">
      <c r="DM3729" s="50"/>
      <c r="DQ3729" s="50"/>
    </row>
    <row r="3730" spans="117:121" x14ac:dyDescent="0.35">
      <c r="DM3730" s="50"/>
      <c r="DQ3730" s="50"/>
    </row>
    <row r="3731" spans="117:121" x14ac:dyDescent="0.35">
      <c r="DM3731" s="50"/>
      <c r="DQ3731" s="50"/>
    </row>
    <row r="3732" spans="117:121" x14ac:dyDescent="0.35">
      <c r="DM3732" s="50"/>
      <c r="DQ3732" s="50"/>
    </row>
    <row r="3733" spans="117:121" x14ac:dyDescent="0.35">
      <c r="DM3733" s="50"/>
      <c r="DQ3733" s="50"/>
    </row>
    <row r="3734" spans="117:121" x14ac:dyDescent="0.35">
      <c r="DM3734" s="50"/>
      <c r="DQ3734" s="50"/>
    </row>
    <row r="3735" spans="117:121" x14ac:dyDescent="0.35">
      <c r="DM3735" s="50"/>
      <c r="DQ3735" s="50"/>
    </row>
    <row r="3736" spans="117:121" x14ac:dyDescent="0.35">
      <c r="DM3736" s="50"/>
      <c r="DQ3736" s="50"/>
    </row>
    <row r="3737" spans="117:121" x14ac:dyDescent="0.35">
      <c r="DM3737" s="50"/>
      <c r="DQ3737" s="50"/>
    </row>
    <row r="3738" spans="117:121" x14ac:dyDescent="0.35">
      <c r="DM3738" s="50"/>
      <c r="DQ3738" s="50"/>
    </row>
    <row r="3739" spans="117:121" x14ac:dyDescent="0.35">
      <c r="DM3739" s="50"/>
      <c r="DQ3739" s="50"/>
    </row>
    <row r="3740" spans="117:121" x14ac:dyDescent="0.35">
      <c r="DM3740" s="50"/>
      <c r="DQ3740" s="50"/>
    </row>
    <row r="3741" spans="117:121" x14ac:dyDescent="0.35">
      <c r="DM3741" s="50"/>
      <c r="DQ3741" s="50"/>
    </row>
    <row r="3742" spans="117:121" x14ac:dyDescent="0.35">
      <c r="DM3742" s="50"/>
      <c r="DQ3742" s="50"/>
    </row>
    <row r="3743" spans="117:121" x14ac:dyDescent="0.35">
      <c r="DM3743" s="50"/>
      <c r="DQ3743" s="50"/>
    </row>
    <row r="3744" spans="117:121" x14ac:dyDescent="0.35">
      <c r="DM3744" s="50"/>
      <c r="DQ3744" s="50"/>
    </row>
    <row r="3745" spans="117:121" x14ac:dyDescent="0.35">
      <c r="DM3745" s="50"/>
      <c r="DQ3745" s="50"/>
    </row>
    <row r="3746" spans="117:121" x14ac:dyDescent="0.35">
      <c r="DM3746" s="50"/>
      <c r="DQ3746" s="50"/>
    </row>
    <row r="3747" spans="117:121" x14ac:dyDescent="0.35">
      <c r="DM3747" s="50"/>
      <c r="DQ3747" s="50"/>
    </row>
    <row r="3748" spans="117:121" x14ac:dyDescent="0.35">
      <c r="DM3748" s="50"/>
      <c r="DQ3748" s="50"/>
    </row>
    <row r="3749" spans="117:121" x14ac:dyDescent="0.35">
      <c r="DM3749" s="50"/>
      <c r="DQ3749" s="50"/>
    </row>
    <row r="3750" spans="117:121" x14ac:dyDescent="0.35">
      <c r="DM3750" s="50"/>
      <c r="DQ3750" s="50"/>
    </row>
    <row r="3751" spans="117:121" x14ac:dyDescent="0.35">
      <c r="DM3751" s="50"/>
      <c r="DQ3751" s="50"/>
    </row>
    <row r="3752" spans="117:121" x14ac:dyDescent="0.35">
      <c r="DM3752" s="50"/>
      <c r="DQ3752" s="50"/>
    </row>
    <row r="3753" spans="117:121" x14ac:dyDescent="0.35">
      <c r="DM3753" s="50"/>
      <c r="DQ3753" s="50"/>
    </row>
    <row r="3754" spans="117:121" x14ac:dyDescent="0.35">
      <c r="DM3754" s="50"/>
      <c r="DQ3754" s="50"/>
    </row>
    <row r="3755" spans="117:121" x14ac:dyDescent="0.35">
      <c r="DM3755" s="50"/>
      <c r="DQ3755" s="50"/>
    </row>
    <row r="3756" spans="117:121" x14ac:dyDescent="0.35">
      <c r="DM3756" s="50"/>
      <c r="DQ3756" s="50"/>
    </row>
    <row r="3757" spans="117:121" x14ac:dyDescent="0.35">
      <c r="DM3757" s="50"/>
      <c r="DQ3757" s="50"/>
    </row>
    <row r="3758" spans="117:121" x14ac:dyDescent="0.35">
      <c r="DM3758" s="50"/>
      <c r="DQ3758" s="50"/>
    </row>
    <row r="3759" spans="117:121" x14ac:dyDescent="0.35">
      <c r="DM3759" s="50"/>
      <c r="DQ3759" s="50"/>
    </row>
    <row r="3760" spans="117:121" x14ac:dyDescent="0.35">
      <c r="DM3760" s="50"/>
      <c r="DQ3760" s="50"/>
    </row>
    <row r="3761" spans="117:121" x14ac:dyDescent="0.35">
      <c r="DM3761" s="50"/>
      <c r="DQ3761" s="50"/>
    </row>
    <row r="3762" spans="117:121" x14ac:dyDescent="0.35">
      <c r="DM3762" s="50"/>
      <c r="DQ3762" s="50"/>
    </row>
    <row r="3763" spans="117:121" x14ac:dyDescent="0.35">
      <c r="DM3763" s="50"/>
      <c r="DQ3763" s="50"/>
    </row>
    <row r="3764" spans="117:121" x14ac:dyDescent="0.35">
      <c r="DM3764" s="50"/>
      <c r="DQ3764" s="50"/>
    </row>
    <row r="3765" spans="117:121" x14ac:dyDescent="0.35">
      <c r="DM3765" s="50"/>
      <c r="DQ3765" s="50"/>
    </row>
    <row r="3766" spans="117:121" x14ac:dyDescent="0.35">
      <c r="DM3766" s="50"/>
      <c r="DQ3766" s="50"/>
    </row>
    <row r="3767" spans="117:121" x14ac:dyDescent="0.35">
      <c r="DM3767" s="50"/>
      <c r="DQ3767" s="50"/>
    </row>
    <row r="3768" spans="117:121" x14ac:dyDescent="0.35">
      <c r="DM3768" s="50"/>
      <c r="DQ3768" s="50"/>
    </row>
    <row r="3769" spans="117:121" x14ac:dyDescent="0.35">
      <c r="DM3769" s="50"/>
      <c r="DQ3769" s="50"/>
    </row>
    <row r="3770" spans="117:121" x14ac:dyDescent="0.35">
      <c r="DM3770" s="50"/>
      <c r="DQ3770" s="50"/>
    </row>
    <row r="3771" spans="117:121" x14ac:dyDescent="0.35">
      <c r="DM3771" s="50"/>
      <c r="DQ3771" s="50"/>
    </row>
    <row r="3772" spans="117:121" x14ac:dyDescent="0.35">
      <c r="DM3772" s="50"/>
      <c r="DQ3772" s="50"/>
    </row>
    <row r="3773" spans="117:121" x14ac:dyDescent="0.35">
      <c r="DM3773" s="50"/>
      <c r="DQ3773" s="50"/>
    </row>
    <row r="3774" spans="117:121" x14ac:dyDescent="0.35">
      <c r="DM3774" s="50"/>
      <c r="DQ3774" s="50"/>
    </row>
    <row r="3775" spans="117:121" x14ac:dyDescent="0.35">
      <c r="DM3775" s="50"/>
      <c r="DQ3775" s="50"/>
    </row>
    <row r="3776" spans="117:121" x14ac:dyDescent="0.35">
      <c r="DM3776" s="50"/>
      <c r="DQ3776" s="50"/>
    </row>
    <row r="3777" spans="117:121" x14ac:dyDescent="0.35">
      <c r="DM3777" s="50"/>
      <c r="DQ3777" s="50"/>
    </row>
    <row r="3778" spans="117:121" x14ac:dyDescent="0.35">
      <c r="DM3778" s="50"/>
      <c r="DQ3778" s="50"/>
    </row>
    <row r="3779" spans="117:121" x14ac:dyDescent="0.35">
      <c r="DM3779" s="50"/>
      <c r="DQ3779" s="50"/>
    </row>
    <row r="3780" spans="117:121" x14ac:dyDescent="0.35">
      <c r="DM3780" s="50"/>
      <c r="DQ3780" s="50"/>
    </row>
    <row r="3781" spans="117:121" x14ac:dyDescent="0.35">
      <c r="DM3781" s="50"/>
      <c r="DQ3781" s="50"/>
    </row>
    <row r="3782" spans="117:121" x14ac:dyDescent="0.35">
      <c r="DM3782" s="50"/>
      <c r="DQ3782" s="50"/>
    </row>
    <row r="3783" spans="117:121" x14ac:dyDescent="0.35">
      <c r="DM3783" s="50"/>
      <c r="DQ3783" s="50"/>
    </row>
    <row r="3784" spans="117:121" x14ac:dyDescent="0.35">
      <c r="DM3784" s="50"/>
      <c r="DQ3784" s="50"/>
    </row>
    <row r="3785" spans="117:121" x14ac:dyDescent="0.35">
      <c r="DM3785" s="50"/>
      <c r="DQ3785" s="50"/>
    </row>
    <row r="3786" spans="117:121" x14ac:dyDescent="0.35">
      <c r="DM3786" s="50"/>
      <c r="DQ3786" s="50"/>
    </row>
    <row r="3787" spans="117:121" x14ac:dyDescent="0.35">
      <c r="DM3787" s="50"/>
      <c r="DQ3787" s="50"/>
    </row>
    <row r="3788" spans="117:121" x14ac:dyDescent="0.35">
      <c r="DM3788" s="50"/>
      <c r="DQ3788" s="50"/>
    </row>
    <row r="3789" spans="117:121" x14ac:dyDescent="0.35">
      <c r="DM3789" s="50"/>
      <c r="DQ3789" s="50"/>
    </row>
    <row r="3790" spans="117:121" x14ac:dyDescent="0.35">
      <c r="DM3790" s="50"/>
      <c r="DQ3790" s="50"/>
    </row>
    <row r="3791" spans="117:121" x14ac:dyDescent="0.35">
      <c r="DM3791" s="50"/>
      <c r="DQ3791" s="50"/>
    </row>
    <row r="3792" spans="117:121" x14ac:dyDescent="0.35">
      <c r="DM3792" s="50"/>
      <c r="DQ3792" s="50"/>
    </row>
    <row r="3793" spans="117:121" x14ac:dyDescent="0.35">
      <c r="DM3793" s="50"/>
      <c r="DQ3793" s="50"/>
    </row>
    <row r="3794" spans="117:121" x14ac:dyDescent="0.35">
      <c r="DM3794" s="50"/>
      <c r="DQ3794" s="50"/>
    </row>
    <row r="3795" spans="117:121" x14ac:dyDescent="0.35">
      <c r="DM3795" s="50"/>
      <c r="DQ3795" s="50"/>
    </row>
    <row r="3796" spans="117:121" x14ac:dyDescent="0.35">
      <c r="DM3796" s="50"/>
      <c r="DQ3796" s="50"/>
    </row>
    <row r="3797" spans="117:121" x14ac:dyDescent="0.35">
      <c r="DM3797" s="50"/>
      <c r="DQ3797" s="50"/>
    </row>
    <row r="3798" spans="117:121" x14ac:dyDescent="0.35">
      <c r="DM3798" s="50"/>
      <c r="DQ3798" s="50"/>
    </row>
    <row r="3799" spans="117:121" x14ac:dyDescent="0.35">
      <c r="DM3799" s="50"/>
      <c r="DQ3799" s="50"/>
    </row>
    <row r="3800" spans="117:121" x14ac:dyDescent="0.35">
      <c r="DM3800" s="50"/>
      <c r="DQ3800" s="50"/>
    </row>
    <row r="3801" spans="117:121" x14ac:dyDescent="0.35">
      <c r="DM3801" s="50"/>
      <c r="DQ3801" s="50"/>
    </row>
    <row r="3802" spans="117:121" x14ac:dyDescent="0.35">
      <c r="DM3802" s="50"/>
      <c r="DQ3802" s="50"/>
    </row>
    <row r="3803" spans="117:121" x14ac:dyDescent="0.35">
      <c r="DM3803" s="50"/>
      <c r="DQ3803" s="50"/>
    </row>
    <row r="3804" spans="117:121" x14ac:dyDescent="0.35">
      <c r="DM3804" s="50"/>
      <c r="DQ3804" s="50"/>
    </row>
    <row r="3805" spans="117:121" x14ac:dyDescent="0.35">
      <c r="DM3805" s="50"/>
      <c r="DQ3805" s="50"/>
    </row>
    <row r="3806" spans="117:121" x14ac:dyDescent="0.35">
      <c r="DM3806" s="50"/>
      <c r="DQ3806" s="50"/>
    </row>
    <row r="3807" spans="117:121" x14ac:dyDescent="0.35">
      <c r="DM3807" s="50"/>
      <c r="DQ3807" s="50"/>
    </row>
    <row r="3808" spans="117:121" x14ac:dyDescent="0.35">
      <c r="DM3808" s="50"/>
      <c r="DQ3808" s="50"/>
    </row>
    <row r="3809" spans="117:121" x14ac:dyDescent="0.35">
      <c r="DM3809" s="50"/>
      <c r="DQ3809" s="50"/>
    </row>
    <row r="3810" spans="117:121" x14ac:dyDescent="0.35">
      <c r="DM3810" s="50"/>
      <c r="DQ3810" s="50"/>
    </row>
    <row r="3811" spans="117:121" x14ac:dyDescent="0.35">
      <c r="DM3811" s="50"/>
      <c r="DQ3811" s="50"/>
    </row>
    <row r="3812" spans="117:121" x14ac:dyDescent="0.35">
      <c r="DM3812" s="50"/>
      <c r="DQ3812" s="50"/>
    </row>
    <row r="3813" spans="117:121" x14ac:dyDescent="0.35">
      <c r="DM3813" s="50"/>
      <c r="DQ3813" s="50"/>
    </row>
    <row r="3814" spans="117:121" x14ac:dyDescent="0.35">
      <c r="DM3814" s="50"/>
      <c r="DQ3814" s="50"/>
    </row>
    <row r="3815" spans="117:121" x14ac:dyDescent="0.35">
      <c r="DM3815" s="50"/>
      <c r="DQ3815" s="50"/>
    </row>
    <row r="3816" spans="117:121" x14ac:dyDescent="0.35">
      <c r="DM3816" s="50"/>
      <c r="DQ3816" s="50"/>
    </row>
    <row r="3817" spans="117:121" x14ac:dyDescent="0.35">
      <c r="DM3817" s="50"/>
      <c r="DQ3817" s="50"/>
    </row>
    <row r="3818" spans="117:121" x14ac:dyDescent="0.35">
      <c r="DM3818" s="50"/>
      <c r="DQ3818" s="50"/>
    </row>
    <row r="3819" spans="117:121" x14ac:dyDescent="0.35">
      <c r="DM3819" s="50"/>
      <c r="DQ3819" s="50"/>
    </row>
    <row r="3820" spans="117:121" x14ac:dyDescent="0.35">
      <c r="DM3820" s="50"/>
      <c r="DQ3820" s="50"/>
    </row>
    <row r="3821" spans="117:121" x14ac:dyDescent="0.35">
      <c r="DM3821" s="50"/>
      <c r="DQ3821" s="50"/>
    </row>
    <row r="3822" spans="117:121" x14ac:dyDescent="0.35">
      <c r="DM3822" s="50"/>
      <c r="DQ3822" s="50"/>
    </row>
    <row r="3823" spans="117:121" x14ac:dyDescent="0.35">
      <c r="DM3823" s="50"/>
      <c r="DQ3823" s="50"/>
    </row>
    <row r="3824" spans="117:121" x14ac:dyDescent="0.35">
      <c r="DM3824" s="50"/>
      <c r="DQ3824" s="50"/>
    </row>
    <row r="3825" spans="117:121" x14ac:dyDescent="0.35">
      <c r="DM3825" s="50"/>
      <c r="DQ3825" s="50"/>
    </row>
    <row r="3826" spans="117:121" x14ac:dyDescent="0.35">
      <c r="DM3826" s="50"/>
      <c r="DQ3826" s="50"/>
    </row>
    <row r="3827" spans="117:121" x14ac:dyDescent="0.35">
      <c r="DM3827" s="50"/>
      <c r="DQ3827" s="50"/>
    </row>
    <row r="3828" spans="117:121" x14ac:dyDescent="0.35">
      <c r="DM3828" s="50"/>
      <c r="DQ3828" s="50"/>
    </row>
    <row r="3829" spans="117:121" x14ac:dyDescent="0.35">
      <c r="DM3829" s="50"/>
      <c r="DQ3829" s="50"/>
    </row>
    <row r="3830" spans="117:121" x14ac:dyDescent="0.35">
      <c r="DM3830" s="50"/>
      <c r="DQ3830" s="50"/>
    </row>
    <row r="3831" spans="117:121" x14ac:dyDescent="0.35">
      <c r="DM3831" s="50"/>
      <c r="DQ3831" s="50"/>
    </row>
    <row r="3832" spans="117:121" x14ac:dyDescent="0.35">
      <c r="DM3832" s="50"/>
      <c r="DQ3832" s="50"/>
    </row>
    <row r="3833" spans="117:121" x14ac:dyDescent="0.35">
      <c r="DM3833" s="50"/>
      <c r="DQ3833" s="50"/>
    </row>
    <row r="3834" spans="117:121" x14ac:dyDescent="0.35">
      <c r="DM3834" s="50"/>
      <c r="DQ3834" s="50"/>
    </row>
    <row r="3835" spans="117:121" x14ac:dyDescent="0.35">
      <c r="DM3835" s="50"/>
      <c r="DQ3835" s="50"/>
    </row>
    <row r="3836" spans="117:121" x14ac:dyDescent="0.35">
      <c r="DM3836" s="50"/>
      <c r="DQ3836" s="50"/>
    </row>
    <row r="3837" spans="117:121" x14ac:dyDescent="0.35">
      <c r="DM3837" s="50"/>
      <c r="DQ3837" s="50"/>
    </row>
    <row r="3838" spans="117:121" x14ac:dyDescent="0.35">
      <c r="DM3838" s="50"/>
      <c r="DQ3838" s="50"/>
    </row>
    <row r="3839" spans="117:121" x14ac:dyDescent="0.35">
      <c r="DM3839" s="50"/>
      <c r="DQ3839" s="50"/>
    </row>
    <row r="3840" spans="117:121" x14ac:dyDescent="0.35">
      <c r="DM3840" s="50"/>
      <c r="DQ3840" s="50"/>
    </row>
    <row r="3841" spans="117:121" x14ac:dyDescent="0.35">
      <c r="DM3841" s="50"/>
      <c r="DQ3841" s="50"/>
    </row>
    <row r="3842" spans="117:121" x14ac:dyDescent="0.35">
      <c r="DM3842" s="50"/>
      <c r="DQ3842" s="50"/>
    </row>
    <row r="3843" spans="117:121" x14ac:dyDescent="0.35">
      <c r="DM3843" s="50"/>
      <c r="DQ3843" s="50"/>
    </row>
    <row r="3844" spans="117:121" x14ac:dyDescent="0.35">
      <c r="DM3844" s="50"/>
      <c r="DQ3844" s="50"/>
    </row>
    <row r="3845" spans="117:121" x14ac:dyDescent="0.35">
      <c r="DM3845" s="50"/>
      <c r="DQ3845" s="50"/>
    </row>
    <row r="3846" spans="117:121" x14ac:dyDescent="0.35">
      <c r="DM3846" s="50"/>
      <c r="DQ3846" s="50"/>
    </row>
    <row r="3847" spans="117:121" x14ac:dyDescent="0.35">
      <c r="DM3847" s="50"/>
      <c r="DQ3847" s="50"/>
    </row>
    <row r="3848" spans="117:121" x14ac:dyDescent="0.35">
      <c r="DM3848" s="50"/>
      <c r="DQ3848" s="50"/>
    </row>
    <row r="3849" spans="117:121" x14ac:dyDescent="0.35">
      <c r="DM3849" s="50"/>
      <c r="DQ3849" s="50"/>
    </row>
    <row r="3850" spans="117:121" x14ac:dyDescent="0.35">
      <c r="DM3850" s="50"/>
      <c r="DQ3850" s="50"/>
    </row>
    <row r="3851" spans="117:121" x14ac:dyDescent="0.35">
      <c r="DM3851" s="50"/>
      <c r="DQ3851" s="50"/>
    </row>
    <row r="3852" spans="117:121" x14ac:dyDescent="0.35">
      <c r="DM3852" s="50"/>
      <c r="DQ3852" s="50"/>
    </row>
    <row r="3853" spans="117:121" x14ac:dyDescent="0.35">
      <c r="DM3853" s="50"/>
      <c r="DQ3853" s="50"/>
    </row>
    <row r="3854" spans="117:121" x14ac:dyDescent="0.35">
      <c r="DM3854" s="50"/>
      <c r="DQ3854" s="50"/>
    </row>
    <row r="3855" spans="117:121" x14ac:dyDescent="0.35">
      <c r="DM3855" s="50"/>
      <c r="DQ3855" s="50"/>
    </row>
    <row r="3856" spans="117:121" x14ac:dyDescent="0.35">
      <c r="DM3856" s="50"/>
      <c r="DQ3856" s="50"/>
    </row>
    <row r="3857" spans="117:121" x14ac:dyDescent="0.35">
      <c r="DM3857" s="50"/>
      <c r="DQ3857" s="50"/>
    </row>
    <row r="3858" spans="117:121" x14ac:dyDescent="0.35">
      <c r="DM3858" s="50"/>
      <c r="DQ3858" s="50"/>
    </row>
    <row r="3859" spans="117:121" x14ac:dyDescent="0.35">
      <c r="DM3859" s="50"/>
      <c r="DQ3859" s="50"/>
    </row>
    <row r="3860" spans="117:121" x14ac:dyDescent="0.35">
      <c r="DM3860" s="50"/>
      <c r="DQ3860" s="50"/>
    </row>
    <row r="3861" spans="117:121" x14ac:dyDescent="0.35">
      <c r="DM3861" s="50"/>
      <c r="DQ3861" s="50"/>
    </row>
    <row r="3862" spans="117:121" x14ac:dyDescent="0.35">
      <c r="DM3862" s="50"/>
      <c r="DQ3862" s="50"/>
    </row>
    <row r="3863" spans="117:121" x14ac:dyDescent="0.35">
      <c r="DM3863" s="50"/>
      <c r="DQ3863" s="50"/>
    </row>
    <row r="3864" spans="117:121" x14ac:dyDescent="0.35">
      <c r="DM3864" s="50"/>
      <c r="DQ3864" s="50"/>
    </row>
    <row r="3865" spans="117:121" x14ac:dyDescent="0.35">
      <c r="DM3865" s="50"/>
      <c r="DQ3865" s="50"/>
    </row>
    <row r="3866" spans="117:121" x14ac:dyDescent="0.35">
      <c r="DM3866" s="50"/>
      <c r="DQ3866" s="50"/>
    </row>
    <row r="3867" spans="117:121" x14ac:dyDescent="0.35">
      <c r="DM3867" s="50"/>
      <c r="DQ3867" s="50"/>
    </row>
    <row r="3868" spans="117:121" x14ac:dyDescent="0.35">
      <c r="DM3868" s="50"/>
      <c r="DQ3868" s="50"/>
    </row>
    <row r="3869" spans="117:121" x14ac:dyDescent="0.35">
      <c r="DM3869" s="50"/>
      <c r="DQ3869" s="50"/>
    </row>
    <row r="3870" spans="117:121" x14ac:dyDescent="0.35">
      <c r="DM3870" s="50"/>
      <c r="DQ3870" s="50"/>
    </row>
    <row r="3871" spans="117:121" x14ac:dyDescent="0.35">
      <c r="DM3871" s="50"/>
      <c r="DQ3871" s="50"/>
    </row>
    <row r="3872" spans="117:121" x14ac:dyDescent="0.35">
      <c r="DM3872" s="50"/>
      <c r="DQ3872" s="50"/>
    </row>
    <row r="3873" spans="117:121" x14ac:dyDescent="0.35">
      <c r="DM3873" s="50"/>
      <c r="DQ3873" s="50"/>
    </row>
    <row r="3874" spans="117:121" x14ac:dyDescent="0.35">
      <c r="DM3874" s="50"/>
      <c r="DQ3874" s="50"/>
    </row>
    <row r="3875" spans="117:121" x14ac:dyDescent="0.35">
      <c r="DM3875" s="50"/>
      <c r="DQ3875" s="50"/>
    </row>
    <row r="3876" spans="117:121" x14ac:dyDescent="0.35">
      <c r="DM3876" s="50"/>
      <c r="DQ3876" s="50"/>
    </row>
    <row r="3877" spans="117:121" x14ac:dyDescent="0.35">
      <c r="DM3877" s="50"/>
      <c r="DQ3877" s="50"/>
    </row>
    <row r="3878" spans="117:121" x14ac:dyDescent="0.35">
      <c r="DM3878" s="50"/>
      <c r="DQ3878" s="50"/>
    </row>
    <row r="3879" spans="117:121" x14ac:dyDescent="0.35">
      <c r="DM3879" s="50"/>
      <c r="DQ3879" s="50"/>
    </row>
    <row r="3880" spans="117:121" x14ac:dyDescent="0.35">
      <c r="DM3880" s="50"/>
      <c r="DQ3880" s="50"/>
    </row>
    <row r="3881" spans="117:121" x14ac:dyDescent="0.35">
      <c r="DM3881" s="50"/>
      <c r="DQ3881" s="50"/>
    </row>
    <row r="3882" spans="117:121" x14ac:dyDescent="0.35">
      <c r="DM3882" s="50"/>
      <c r="DQ3882" s="50"/>
    </row>
    <row r="3883" spans="117:121" x14ac:dyDescent="0.35">
      <c r="DM3883" s="50"/>
      <c r="DQ3883" s="50"/>
    </row>
    <row r="3884" spans="117:121" x14ac:dyDescent="0.35">
      <c r="DM3884" s="50"/>
      <c r="DQ3884" s="50"/>
    </row>
    <row r="3885" spans="117:121" x14ac:dyDescent="0.35">
      <c r="DM3885" s="50"/>
      <c r="DQ3885" s="50"/>
    </row>
    <row r="3886" spans="117:121" x14ac:dyDescent="0.35">
      <c r="DM3886" s="50"/>
      <c r="DQ3886" s="50"/>
    </row>
    <row r="3887" spans="117:121" x14ac:dyDescent="0.35">
      <c r="DM3887" s="50"/>
      <c r="DQ3887" s="50"/>
    </row>
    <row r="3888" spans="117:121" x14ac:dyDescent="0.35">
      <c r="DM3888" s="50"/>
      <c r="DQ3888" s="50"/>
    </row>
    <row r="3889" spans="117:121" x14ac:dyDescent="0.35">
      <c r="DM3889" s="50"/>
      <c r="DQ3889" s="50"/>
    </row>
    <row r="3890" spans="117:121" x14ac:dyDescent="0.35">
      <c r="DM3890" s="50"/>
      <c r="DQ3890" s="50"/>
    </row>
    <row r="3891" spans="117:121" x14ac:dyDescent="0.35">
      <c r="DM3891" s="50"/>
      <c r="DQ3891" s="50"/>
    </row>
    <row r="3892" spans="117:121" x14ac:dyDescent="0.35">
      <c r="DM3892" s="50"/>
      <c r="DQ3892" s="50"/>
    </row>
    <row r="3893" spans="117:121" x14ac:dyDescent="0.35">
      <c r="DM3893" s="50"/>
      <c r="DQ3893" s="50"/>
    </row>
    <row r="3894" spans="117:121" x14ac:dyDescent="0.35">
      <c r="DM3894" s="50"/>
      <c r="DQ3894" s="50"/>
    </row>
    <row r="3895" spans="117:121" x14ac:dyDescent="0.35">
      <c r="DM3895" s="50"/>
      <c r="DQ3895" s="50"/>
    </row>
    <row r="3896" spans="117:121" x14ac:dyDescent="0.35">
      <c r="DM3896" s="50"/>
      <c r="DQ3896" s="50"/>
    </row>
    <row r="3897" spans="117:121" x14ac:dyDescent="0.35">
      <c r="DM3897" s="50"/>
      <c r="DQ3897" s="50"/>
    </row>
    <row r="3898" spans="117:121" x14ac:dyDescent="0.35">
      <c r="DM3898" s="50"/>
      <c r="DQ3898" s="50"/>
    </row>
    <row r="3899" spans="117:121" x14ac:dyDescent="0.35">
      <c r="DM3899" s="50"/>
      <c r="DQ3899" s="50"/>
    </row>
    <row r="3900" spans="117:121" x14ac:dyDescent="0.35">
      <c r="DM3900" s="50"/>
      <c r="DQ3900" s="50"/>
    </row>
    <row r="3901" spans="117:121" x14ac:dyDescent="0.35">
      <c r="DM3901" s="50"/>
      <c r="DQ3901" s="50"/>
    </row>
    <row r="3902" spans="117:121" x14ac:dyDescent="0.35">
      <c r="DM3902" s="50"/>
      <c r="DQ3902" s="50"/>
    </row>
    <row r="3903" spans="117:121" x14ac:dyDescent="0.35">
      <c r="DM3903" s="50"/>
      <c r="DQ3903" s="50"/>
    </row>
    <row r="3904" spans="117:121" x14ac:dyDescent="0.35">
      <c r="DM3904" s="50"/>
      <c r="DQ3904" s="50"/>
    </row>
    <row r="3905" spans="117:121" x14ac:dyDescent="0.35">
      <c r="DM3905" s="50"/>
      <c r="DQ3905" s="50"/>
    </row>
    <row r="3906" spans="117:121" x14ac:dyDescent="0.35">
      <c r="DM3906" s="50"/>
      <c r="DQ3906" s="50"/>
    </row>
    <row r="3907" spans="117:121" x14ac:dyDescent="0.35">
      <c r="DM3907" s="50"/>
      <c r="DQ3907" s="50"/>
    </row>
    <row r="3908" spans="117:121" x14ac:dyDescent="0.35">
      <c r="DM3908" s="50"/>
      <c r="DQ3908" s="50"/>
    </row>
    <row r="3909" spans="117:121" x14ac:dyDescent="0.35">
      <c r="DM3909" s="50"/>
      <c r="DQ3909" s="50"/>
    </row>
    <row r="3910" spans="117:121" x14ac:dyDescent="0.35">
      <c r="DM3910" s="50"/>
      <c r="DQ3910" s="50"/>
    </row>
    <row r="3911" spans="117:121" x14ac:dyDescent="0.35">
      <c r="DM3911" s="50"/>
      <c r="DQ3911" s="50"/>
    </row>
    <row r="3912" spans="117:121" x14ac:dyDescent="0.35">
      <c r="DM3912" s="50"/>
      <c r="DQ3912" s="50"/>
    </row>
    <row r="3913" spans="117:121" x14ac:dyDescent="0.35">
      <c r="DM3913" s="50"/>
      <c r="DQ3913" s="50"/>
    </row>
    <row r="3914" spans="117:121" x14ac:dyDescent="0.35">
      <c r="DM3914" s="50"/>
      <c r="DQ3914" s="50"/>
    </row>
    <row r="3915" spans="117:121" x14ac:dyDescent="0.35">
      <c r="DM3915" s="50"/>
      <c r="DQ3915" s="50"/>
    </row>
    <row r="3916" spans="117:121" x14ac:dyDescent="0.35">
      <c r="DM3916" s="50"/>
      <c r="DQ3916" s="50"/>
    </row>
    <row r="3917" spans="117:121" x14ac:dyDescent="0.35">
      <c r="DM3917" s="50"/>
      <c r="DQ3917" s="50"/>
    </row>
    <row r="3918" spans="117:121" x14ac:dyDescent="0.35">
      <c r="DM3918" s="50"/>
      <c r="DQ3918" s="50"/>
    </row>
    <row r="3919" spans="117:121" x14ac:dyDescent="0.35">
      <c r="DM3919" s="50"/>
      <c r="DQ3919" s="50"/>
    </row>
    <row r="3920" spans="117:121" x14ac:dyDescent="0.35">
      <c r="DM3920" s="50"/>
      <c r="DQ3920" s="50"/>
    </row>
    <row r="3921" spans="117:121" x14ac:dyDescent="0.35">
      <c r="DM3921" s="50"/>
      <c r="DQ3921" s="50"/>
    </row>
    <row r="3922" spans="117:121" x14ac:dyDescent="0.35">
      <c r="DM3922" s="50"/>
      <c r="DQ3922" s="50"/>
    </row>
    <row r="3923" spans="117:121" x14ac:dyDescent="0.35">
      <c r="DM3923" s="50"/>
      <c r="DQ3923" s="50"/>
    </row>
    <row r="3924" spans="117:121" x14ac:dyDescent="0.35">
      <c r="DM3924" s="50"/>
      <c r="DQ3924" s="50"/>
    </row>
    <row r="3925" spans="117:121" x14ac:dyDescent="0.35">
      <c r="DM3925" s="50"/>
      <c r="DQ3925" s="50"/>
    </row>
    <row r="3926" spans="117:121" x14ac:dyDescent="0.35">
      <c r="DM3926" s="50"/>
      <c r="DQ3926" s="50"/>
    </row>
    <row r="3927" spans="117:121" x14ac:dyDescent="0.35">
      <c r="DM3927" s="50"/>
      <c r="DQ3927" s="50"/>
    </row>
    <row r="3928" spans="117:121" x14ac:dyDescent="0.35">
      <c r="DM3928" s="50"/>
      <c r="DQ3928" s="50"/>
    </row>
    <row r="3929" spans="117:121" x14ac:dyDescent="0.35">
      <c r="DM3929" s="50"/>
      <c r="DQ3929" s="50"/>
    </row>
    <row r="3930" spans="117:121" x14ac:dyDescent="0.35">
      <c r="DM3930" s="50"/>
      <c r="DQ3930" s="50"/>
    </row>
    <row r="3931" spans="117:121" x14ac:dyDescent="0.35">
      <c r="DM3931" s="50"/>
      <c r="DQ3931" s="50"/>
    </row>
    <row r="3932" spans="117:121" x14ac:dyDescent="0.35">
      <c r="DM3932" s="50"/>
      <c r="DQ3932" s="50"/>
    </row>
    <row r="3933" spans="117:121" x14ac:dyDescent="0.35">
      <c r="DM3933" s="50"/>
      <c r="DQ3933" s="50"/>
    </row>
    <row r="3934" spans="117:121" x14ac:dyDescent="0.35">
      <c r="DM3934" s="50"/>
      <c r="DQ3934" s="50"/>
    </row>
    <row r="3935" spans="117:121" x14ac:dyDescent="0.35">
      <c r="DM3935" s="50"/>
      <c r="DQ3935" s="50"/>
    </row>
    <row r="3936" spans="117:121" x14ac:dyDescent="0.35">
      <c r="DM3936" s="50"/>
      <c r="DQ3936" s="50"/>
    </row>
    <row r="3937" spans="117:121" x14ac:dyDescent="0.35">
      <c r="DM3937" s="50"/>
      <c r="DQ3937" s="50"/>
    </row>
    <row r="3938" spans="117:121" x14ac:dyDescent="0.35">
      <c r="DM3938" s="50"/>
      <c r="DQ3938" s="50"/>
    </row>
    <row r="3939" spans="117:121" x14ac:dyDescent="0.35">
      <c r="DM3939" s="50"/>
      <c r="DQ3939" s="50"/>
    </row>
    <row r="3940" spans="117:121" x14ac:dyDescent="0.35">
      <c r="DM3940" s="50"/>
      <c r="DQ3940" s="50"/>
    </row>
    <row r="3941" spans="117:121" x14ac:dyDescent="0.35">
      <c r="DM3941" s="50"/>
      <c r="DQ3941" s="50"/>
    </row>
    <row r="3942" spans="117:121" x14ac:dyDescent="0.35">
      <c r="DM3942" s="50"/>
      <c r="DQ3942" s="50"/>
    </row>
    <row r="3943" spans="117:121" x14ac:dyDescent="0.35">
      <c r="DM3943" s="50"/>
      <c r="DQ3943" s="50"/>
    </row>
    <row r="3944" spans="117:121" x14ac:dyDescent="0.35">
      <c r="DM3944" s="50"/>
      <c r="DQ3944" s="50"/>
    </row>
    <row r="3945" spans="117:121" x14ac:dyDescent="0.35">
      <c r="DM3945" s="50"/>
      <c r="DQ3945" s="50"/>
    </row>
    <row r="3946" spans="117:121" x14ac:dyDescent="0.35">
      <c r="DM3946" s="50"/>
      <c r="DQ3946" s="50"/>
    </row>
    <row r="3947" spans="117:121" x14ac:dyDescent="0.35">
      <c r="DM3947" s="50"/>
      <c r="DQ3947" s="50"/>
    </row>
    <row r="3948" spans="117:121" x14ac:dyDescent="0.35">
      <c r="DM3948" s="50"/>
      <c r="DQ3948" s="50"/>
    </row>
    <row r="3949" spans="117:121" x14ac:dyDescent="0.35">
      <c r="DM3949" s="50"/>
      <c r="DQ3949" s="50"/>
    </row>
    <row r="3950" spans="117:121" x14ac:dyDescent="0.35">
      <c r="DM3950" s="50"/>
      <c r="DQ3950" s="50"/>
    </row>
    <row r="3951" spans="117:121" x14ac:dyDescent="0.35">
      <c r="DM3951" s="50"/>
      <c r="DQ3951" s="50"/>
    </row>
    <row r="3952" spans="117:121" x14ac:dyDescent="0.35">
      <c r="DM3952" s="50"/>
      <c r="DQ3952" s="50"/>
    </row>
    <row r="3953" spans="117:121" x14ac:dyDescent="0.35">
      <c r="DM3953" s="50"/>
      <c r="DQ3953" s="50"/>
    </row>
    <row r="3954" spans="117:121" x14ac:dyDescent="0.35">
      <c r="DM3954" s="50"/>
      <c r="DQ3954" s="50"/>
    </row>
    <row r="3955" spans="117:121" x14ac:dyDescent="0.35">
      <c r="DM3955" s="50"/>
      <c r="DQ3955" s="50"/>
    </row>
    <row r="3956" spans="117:121" x14ac:dyDescent="0.35">
      <c r="DM3956" s="50"/>
      <c r="DQ3956" s="50"/>
    </row>
    <row r="3957" spans="117:121" x14ac:dyDescent="0.35">
      <c r="DM3957" s="50"/>
      <c r="DQ3957" s="50"/>
    </row>
    <row r="3958" spans="117:121" x14ac:dyDescent="0.35">
      <c r="DM3958" s="50"/>
      <c r="DQ3958" s="50"/>
    </row>
    <row r="3959" spans="117:121" x14ac:dyDescent="0.35">
      <c r="DM3959" s="50"/>
      <c r="DQ3959" s="50"/>
    </row>
    <row r="3960" spans="117:121" x14ac:dyDescent="0.35">
      <c r="DM3960" s="50"/>
      <c r="DQ3960" s="50"/>
    </row>
    <row r="3961" spans="117:121" x14ac:dyDescent="0.35">
      <c r="DM3961" s="50"/>
      <c r="DQ3961" s="50"/>
    </row>
    <row r="3962" spans="117:121" x14ac:dyDescent="0.35">
      <c r="DM3962" s="50"/>
      <c r="DQ3962" s="50"/>
    </row>
    <row r="3963" spans="117:121" x14ac:dyDescent="0.35">
      <c r="DM3963" s="50"/>
      <c r="DQ3963" s="50"/>
    </row>
    <row r="3964" spans="117:121" x14ac:dyDescent="0.35">
      <c r="DM3964" s="50"/>
      <c r="DQ3964" s="50"/>
    </row>
    <row r="3965" spans="117:121" x14ac:dyDescent="0.35">
      <c r="DM3965" s="50"/>
      <c r="DQ3965" s="50"/>
    </row>
    <row r="3966" spans="117:121" x14ac:dyDescent="0.35">
      <c r="DM3966" s="50"/>
      <c r="DQ3966" s="50"/>
    </row>
    <row r="3967" spans="117:121" x14ac:dyDescent="0.35">
      <c r="DM3967" s="50"/>
      <c r="DQ3967" s="50"/>
    </row>
    <row r="3968" spans="117:121" x14ac:dyDescent="0.35">
      <c r="DM3968" s="50"/>
      <c r="DQ3968" s="50"/>
    </row>
    <row r="3969" spans="117:121" x14ac:dyDescent="0.35">
      <c r="DM3969" s="50"/>
      <c r="DQ3969" s="50"/>
    </row>
    <row r="3970" spans="117:121" x14ac:dyDescent="0.35">
      <c r="DM3970" s="50"/>
      <c r="DQ3970" s="50"/>
    </row>
    <row r="3971" spans="117:121" x14ac:dyDescent="0.35">
      <c r="DM3971" s="50"/>
      <c r="DQ3971" s="50"/>
    </row>
    <row r="3972" spans="117:121" x14ac:dyDescent="0.35">
      <c r="DM3972" s="50"/>
      <c r="DQ3972" s="50"/>
    </row>
    <row r="3973" spans="117:121" x14ac:dyDescent="0.35">
      <c r="DM3973" s="50"/>
      <c r="DQ3973" s="50"/>
    </row>
    <row r="3974" spans="117:121" x14ac:dyDescent="0.35">
      <c r="DM3974" s="50"/>
      <c r="DQ3974" s="50"/>
    </row>
    <row r="3975" spans="117:121" x14ac:dyDescent="0.35">
      <c r="DM3975" s="50"/>
      <c r="DQ3975" s="50"/>
    </row>
    <row r="3976" spans="117:121" x14ac:dyDescent="0.35">
      <c r="DM3976" s="50"/>
      <c r="DQ3976" s="50"/>
    </row>
    <row r="3977" spans="117:121" x14ac:dyDescent="0.35">
      <c r="DM3977" s="50"/>
      <c r="DQ3977" s="50"/>
    </row>
    <row r="3978" spans="117:121" x14ac:dyDescent="0.35">
      <c r="DM3978" s="50"/>
      <c r="DQ3978" s="50"/>
    </row>
    <row r="3979" spans="117:121" x14ac:dyDescent="0.35">
      <c r="DM3979" s="50"/>
      <c r="DQ3979" s="50"/>
    </row>
    <row r="3980" spans="117:121" x14ac:dyDescent="0.35">
      <c r="DM3980" s="50"/>
      <c r="DQ3980" s="50"/>
    </row>
    <row r="3981" spans="117:121" x14ac:dyDescent="0.35">
      <c r="DM3981" s="50"/>
      <c r="DQ3981" s="50"/>
    </row>
    <row r="3982" spans="117:121" x14ac:dyDescent="0.35">
      <c r="DM3982" s="50"/>
      <c r="DQ3982" s="50"/>
    </row>
    <row r="3983" spans="117:121" x14ac:dyDescent="0.35">
      <c r="DM3983" s="50"/>
      <c r="DQ3983" s="50"/>
    </row>
    <row r="3984" spans="117:121" x14ac:dyDescent="0.35">
      <c r="DM3984" s="50"/>
      <c r="DQ3984" s="50"/>
    </row>
    <row r="3985" spans="117:121" x14ac:dyDescent="0.35">
      <c r="DM3985" s="50"/>
      <c r="DQ3985" s="50"/>
    </row>
    <row r="3986" spans="117:121" x14ac:dyDescent="0.35">
      <c r="DM3986" s="50"/>
      <c r="DQ3986" s="50"/>
    </row>
    <row r="3987" spans="117:121" x14ac:dyDescent="0.35">
      <c r="DM3987" s="50"/>
      <c r="DQ3987" s="50"/>
    </row>
    <row r="3988" spans="117:121" x14ac:dyDescent="0.35">
      <c r="DM3988" s="50"/>
      <c r="DQ3988" s="50"/>
    </row>
    <row r="3989" spans="117:121" x14ac:dyDescent="0.35">
      <c r="DM3989" s="50"/>
      <c r="DQ3989" s="50"/>
    </row>
    <row r="3990" spans="117:121" x14ac:dyDescent="0.35">
      <c r="DM3990" s="50"/>
      <c r="DQ3990" s="50"/>
    </row>
    <row r="3991" spans="117:121" x14ac:dyDescent="0.35">
      <c r="DM3991" s="50"/>
      <c r="DQ3991" s="50"/>
    </row>
    <row r="3992" spans="117:121" x14ac:dyDescent="0.35">
      <c r="DM3992" s="50"/>
      <c r="DQ3992" s="50"/>
    </row>
    <row r="3993" spans="117:121" x14ac:dyDescent="0.35">
      <c r="DM3993" s="50"/>
      <c r="DQ3993" s="50"/>
    </row>
    <row r="3994" spans="117:121" x14ac:dyDescent="0.35">
      <c r="DM3994" s="50"/>
      <c r="DQ3994" s="50"/>
    </row>
    <row r="3995" spans="117:121" x14ac:dyDescent="0.35">
      <c r="DM3995" s="50"/>
      <c r="DQ3995" s="50"/>
    </row>
    <row r="3996" spans="117:121" x14ac:dyDescent="0.35">
      <c r="DM3996" s="50"/>
      <c r="DQ3996" s="50"/>
    </row>
    <row r="3997" spans="117:121" x14ac:dyDescent="0.35">
      <c r="DM3997" s="50"/>
      <c r="DQ3997" s="50"/>
    </row>
    <row r="3998" spans="117:121" x14ac:dyDescent="0.35">
      <c r="DM3998" s="50"/>
      <c r="DQ3998" s="50"/>
    </row>
    <row r="3999" spans="117:121" x14ac:dyDescent="0.35">
      <c r="DM3999" s="50"/>
      <c r="DQ3999" s="50"/>
    </row>
    <row r="4000" spans="117:121" x14ac:dyDescent="0.35">
      <c r="DM4000" s="50"/>
      <c r="DQ4000" s="50"/>
    </row>
    <row r="4001" spans="117:121" x14ac:dyDescent="0.35">
      <c r="DM4001" s="50"/>
      <c r="DQ4001" s="50"/>
    </row>
    <row r="4002" spans="117:121" x14ac:dyDescent="0.35">
      <c r="DM4002" s="50"/>
      <c r="DQ4002" s="50"/>
    </row>
    <row r="4003" spans="117:121" x14ac:dyDescent="0.35">
      <c r="DM4003" s="50"/>
      <c r="DQ4003" s="50"/>
    </row>
    <row r="4004" spans="117:121" x14ac:dyDescent="0.35">
      <c r="DM4004" s="50"/>
      <c r="DQ4004" s="50"/>
    </row>
    <row r="4005" spans="117:121" x14ac:dyDescent="0.35">
      <c r="DM4005" s="50"/>
      <c r="DQ4005" s="50"/>
    </row>
    <row r="4006" spans="117:121" x14ac:dyDescent="0.35">
      <c r="DM4006" s="50"/>
      <c r="DQ4006" s="50"/>
    </row>
    <row r="4007" spans="117:121" x14ac:dyDescent="0.35">
      <c r="DM4007" s="50"/>
      <c r="DQ4007" s="50"/>
    </row>
    <row r="4008" spans="117:121" x14ac:dyDescent="0.35">
      <c r="DM4008" s="50"/>
      <c r="DQ4008" s="50"/>
    </row>
    <row r="4009" spans="117:121" x14ac:dyDescent="0.35">
      <c r="DM4009" s="50"/>
      <c r="DQ4009" s="50"/>
    </row>
    <row r="4010" spans="117:121" x14ac:dyDescent="0.35">
      <c r="DM4010" s="50"/>
      <c r="DQ4010" s="50"/>
    </row>
    <row r="4011" spans="117:121" x14ac:dyDescent="0.35">
      <c r="DM4011" s="50"/>
      <c r="DQ4011" s="50"/>
    </row>
    <row r="4012" spans="117:121" x14ac:dyDescent="0.35">
      <c r="DM4012" s="50"/>
      <c r="DQ4012" s="50"/>
    </row>
    <row r="4013" spans="117:121" x14ac:dyDescent="0.35">
      <c r="DM4013" s="50"/>
      <c r="DQ4013" s="50"/>
    </row>
    <row r="4014" spans="117:121" x14ac:dyDescent="0.35">
      <c r="DM4014" s="50"/>
      <c r="DQ4014" s="50"/>
    </row>
    <row r="4015" spans="117:121" x14ac:dyDescent="0.35">
      <c r="DM4015" s="50"/>
      <c r="DQ4015" s="50"/>
    </row>
    <row r="4016" spans="117:121" x14ac:dyDescent="0.35">
      <c r="DM4016" s="50"/>
      <c r="DQ4016" s="50"/>
    </row>
    <row r="4017" spans="117:121" x14ac:dyDescent="0.35">
      <c r="DM4017" s="50"/>
      <c r="DQ4017" s="50"/>
    </row>
    <row r="4018" spans="117:121" x14ac:dyDescent="0.35">
      <c r="DM4018" s="50"/>
      <c r="DQ4018" s="50"/>
    </row>
    <row r="4019" spans="117:121" x14ac:dyDescent="0.35">
      <c r="DM4019" s="50"/>
      <c r="DQ4019" s="50"/>
    </row>
    <row r="4020" spans="117:121" x14ac:dyDescent="0.35">
      <c r="DM4020" s="50"/>
      <c r="DQ4020" s="50"/>
    </row>
    <row r="4021" spans="117:121" x14ac:dyDescent="0.35">
      <c r="DM4021" s="50"/>
      <c r="DQ4021" s="50"/>
    </row>
    <row r="4022" spans="117:121" x14ac:dyDescent="0.35">
      <c r="DM4022" s="50"/>
      <c r="DQ4022" s="50"/>
    </row>
    <row r="4023" spans="117:121" x14ac:dyDescent="0.35">
      <c r="DM4023" s="50"/>
      <c r="DQ4023" s="50"/>
    </row>
    <row r="4024" spans="117:121" x14ac:dyDescent="0.35">
      <c r="DM4024" s="50"/>
      <c r="DQ4024" s="50"/>
    </row>
    <row r="4025" spans="117:121" x14ac:dyDescent="0.35">
      <c r="DM4025" s="50"/>
      <c r="DQ4025" s="50"/>
    </row>
    <row r="4026" spans="117:121" x14ac:dyDescent="0.35">
      <c r="DM4026" s="50"/>
      <c r="DQ4026" s="50"/>
    </row>
    <row r="4027" spans="117:121" x14ac:dyDescent="0.35">
      <c r="DM4027" s="50"/>
      <c r="DQ4027" s="50"/>
    </row>
    <row r="4028" spans="117:121" x14ac:dyDescent="0.35">
      <c r="DM4028" s="50"/>
      <c r="DQ4028" s="50"/>
    </row>
    <row r="4029" spans="117:121" x14ac:dyDescent="0.35">
      <c r="DM4029" s="50"/>
      <c r="DQ4029" s="50"/>
    </row>
    <row r="4030" spans="117:121" x14ac:dyDescent="0.35">
      <c r="DM4030" s="50"/>
      <c r="DQ4030" s="50"/>
    </row>
    <row r="4031" spans="117:121" x14ac:dyDescent="0.35">
      <c r="DM4031" s="50"/>
      <c r="DQ4031" s="50"/>
    </row>
    <row r="4032" spans="117:121" x14ac:dyDescent="0.35">
      <c r="DM4032" s="50"/>
      <c r="DQ4032" s="50"/>
    </row>
    <row r="4033" spans="117:121" x14ac:dyDescent="0.35">
      <c r="DM4033" s="50"/>
      <c r="DQ4033" s="50"/>
    </row>
    <row r="4034" spans="117:121" x14ac:dyDescent="0.35">
      <c r="DM4034" s="50"/>
      <c r="DQ4034" s="50"/>
    </row>
    <row r="4035" spans="117:121" x14ac:dyDescent="0.35">
      <c r="DM4035" s="50"/>
      <c r="DQ4035" s="50"/>
    </row>
    <row r="4036" spans="117:121" x14ac:dyDescent="0.35">
      <c r="DM4036" s="50"/>
      <c r="DQ4036" s="50"/>
    </row>
    <row r="4037" spans="117:121" x14ac:dyDescent="0.35">
      <c r="DM4037" s="50"/>
      <c r="DQ4037" s="50"/>
    </row>
    <row r="4038" spans="117:121" x14ac:dyDescent="0.35">
      <c r="DM4038" s="50"/>
      <c r="DQ4038" s="50"/>
    </row>
    <row r="4039" spans="117:121" x14ac:dyDescent="0.35">
      <c r="DM4039" s="50"/>
      <c r="DQ4039" s="50"/>
    </row>
    <row r="4040" spans="117:121" x14ac:dyDescent="0.35">
      <c r="DM4040" s="50"/>
      <c r="DQ4040" s="50"/>
    </row>
    <row r="4041" spans="117:121" x14ac:dyDescent="0.35">
      <c r="DM4041" s="50"/>
      <c r="DQ4041" s="50"/>
    </row>
    <row r="4042" spans="117:121" x14ac:dyDescent="0.35">
      <c r="DM4042" s="50"/>
      <c r="DQ4042" s="50"/>
    </row>
    <row r="4043" spans="117:121" x14ac:dyDescent="0.35">
      <c r="DM4043" s="50"/>
      <c r="DQ4043" s="50"/>
    </row>
    <row r="4044" spans="117:121" x14ac:dyDescent="0.35">
      <c r="DM4044" s="50"/>
      <c r="DQ4044" s="50"/>
    </row>
    <row r="4045" spans="117:121" x14ac:dyDescent="0.35">
      <c r="DM4045" s="50"/>
      <c r="DQ4045" s="50"/>
    </row>
    <row r="4046" spans="117:121" x14ac:dyDescent="0.35">
      <c r="DM4046" s="50"/>
      <c r="DQ4046" s="50"/>
    </row>
    <row r="4047" spans="117:121" x14ac:dyDescent="0.35">
      <c r="DM4047" s="50"/>
      <c r="DQ4047" s="50"/>
    </row>
    <row r="4048" spans="117:121" x14ac:dyDescent="0.35">
      <c r="DM4048" s="50"/>
      <c r="DQ4048" s="50"/>
    </row>
    <row r="4049" spans="117:121" x14ac:dyDescent="0.35">
      <c r="DM4049" s="50"/>
      <c r="DQ4049" s="50"/>
    </row>
    <row r="4050" spans="117:121" x14ac:dyDescent="0.35">
      <c r="DM4050" s="50"/>
      <c r="DQ4050" s="50"/>
    </row>
    <row r="4051" spans="117:121" x14ac:dyDescent="0.35">
      <c r="DM4051" s="50"/>
      <c r="DQ4051" s="50"/>
    </row>
    <row r="4052" spans="117:121" x14ac:dyDescent="0.35">
      <c r="DM4052" s="50"/>
      <c r="DQ4052" s="50"/>
    </row>
    <row r="4053" spans="117:121" x14ac:dyDescent="0.35">
      <c r="DM4053" s="50"/>
      <c r="DQ4053" s="50"/>
    </row>
    <row r="4054" spans="117:121" x14ac:dyDescent="0.35">
      <c r="DM4054" s="50"/>
      <c r="DQ4054" s="50"/>
    </row>
    <row r="4055" spans="117:121" x14ac:dyDescent="0.35">
      <c r="DM4055" s="50"/>
      <c r="DQ4055" s="50"/>
    </row>
    <row r="4056" spans="117:121" x14ac:dyDescent="0.35">
      <c r="DM4056" s="50"/>
      <c r="DQ4056" s="50"/>
    </row>
    <row r="4057" spans="117:121" x14ac:dyDescent="0.35">
      <c r="DM4057" s="50"/>
      <c r="DQ4057" s="50"/>
    </row>
    <row r="4058" spans="117:121" x14ac:dyDescent="0.35">
      <c r="DM4058" s="50"/>
      <c r="DQ4058" s="50"/>
    </row>
    <row r="4059" spans="117:121" x14ac:dyDescent="0.35">
      <c r="DM4059" s="50"/>
      <c r="DQ4059" s="50"/>
    </row>
    <row r="4060" spans="117:121" x14ac:dyDescent="0.35">
      <c r="DM4060" s="50"/>
      <c r="DQ4060" s="50"/>
    </row>
    <row r="4061" spans="117:121" x14ac:dyDescent="0.35">
      <c r="DM4061" s="50"/>
      <c r="DQ4061" s="50"/>
    </row>
    <row r="4062" spans="117:121" x14ac:dyDescent="0.35">
      <c r="DM4062" s="50"/>
      <c r="DQ4062" s="50"/>
    </row>
    <row r="4063" spans="117:121" x14ac:dyDescent="0.35">
      <c r="DM4063" s="50"/>
      <c r="DQ4063" s="50"/>
    </row>
    <row r="4064" spans="117:121" x14ac:dyDescent="0.35">
      <c r="DM4064" s="50"/>
      <c r="DQ4064" s="50"/>
    </row>
    <row r="4065" spans="117:121" x14ac:dyDescent="0.35">
      <c r="DM4065" s="50"/>
      <c r="DQ4065" s="50"/>
    </row>
    <row r="4066" spans="117:121" x14ac:dyDescent="0.35">
      <c r="DM4066" s="50"/>
      <c r="DQ4066" s="50"/>
    </row>
    <row r="4067" spans="117:121" x14ac:dyDescent="0.35">
      <c r="DM4067" s="50"/>
      <c r="DQ4067" s="50"/>
    </row>
    <row r="4068" spans="117:121" x14ac:dyDescent="0.35">
      <c r="DM4068" s="50"/>
      <c r="DQ4068" s="50"/>
    </row>
    <row r="4069" spans="117:121" x14ac:dyDescent="0.35">
      <c r="DM4069" s="50"/>
      <c r="DQ4069" s="50"/>
    </row>
    <row r="4070" spans="117:121" x14ac:dyDescent="0.35">
      <c r="DM4070" s="50"/>
      <c r="DQ4070" s="50"/>
    </row>
    <row r="4071" spans="117:121" x14ac:dyDescent="0.35">
      <c r="DM4071" s="50"/>
      <c r="DQ4071" s="50"/>
    </row>
    <row r="4072" spans="117:121" x14ac:dyDescent="0.35">
      <c r="DM4072" s="50"/>
      <c r="DQ4072" s="50"/>
    </row>
    <row r="4073" spans="117:121" x14ac:dyDescent="0.35">
      <c r="DM4073" s="50"/>
      <c r="DQ4073" s="50"/>
    </row>
    <row r="4074" spans="117:121" x14ac:dyDescent="0.35">
      <c r="DM4074" s="50"/>
      <c r="DQ4074" s="50"/>
    </row>
    <row r="4075" spans="117:121" x14ac:dyDescent="0.35">
      <c r="DM4075" s="50"/>
      <c r="DQ4075" s="50"/>
    </row>
    <row r="4076" spans="117:121" x14ac:dyDescent="0.35">
      <c r="DM4076" s="50"/>
      <c r="DQ4076" s="50"/>
    </row>
    <row r="4077" spans="117:121" x14ac:dyDescent="0.35">
      <c r="DM4077" s="50"/>
      <c r="DQ4077" s="50"/>
    </row>
    <row r="4078" spans="117:121" x14ac:dyDescent="0.35">
      <c r="DM4078" s="50"/>
      <c r="DQ4078" s="50"/>
    </row>
    <row r="4079" spans="117:121" x14ac:dyDescent="0.35">
      <c r="DM4079" s="50"/>
      <c r="DQ4079" s="50"/>
    </row>
    <row r="4080" spans="117:121" x14ac:dyDescent="0.35">
      <c r="DM4080" s="50"/>
      <c r="DQ4080" s="50"/>
    </row>
    <row r="4081" spans="117:121" x14ac:dyDescent="0.35">
      <c r="DM4081" s="50"/>
      <c r="DQ4081" s="50"/>
    </row>
    <row r="4082" spans="117:121" x14ac:dyDescent="0.35">
      <c r="DM4082" s="50"/>
      <c r="DQ4082" s="50"/>
    </row>
    <row r="4083" spans="117:121" x14ac:dyDescent="0.35">
      <c r="DM4083" s="50"/>
      <c r="DQ4083" s="50"/>
    </row>
    <row r="4084" spans="117:121" x14ac:dyDescent="0.35">
      <c r="DM4084" s="50"/>
      <c r="DQ4084" s="50"/>
    </row>
    <row r="4085" spans="117:121" x14ac:dyDescent="0.35">
      <c r="DM4085" s="50"/>
      <c r="DQ4085" s="50"/>
    </row>
    <row r="4086" spans="117:121" x14ac:dyDescent="0.35">
      <c r="DM4086" s="50"/>
      <c r="DQ4086" s="50"/>
    </row>
    <row r="4087" spans="117:121" x14ac:dyDescent="0.35">
      <c r="DM4087" s="50"/>
      <c r="DQ4087" s="50"/>
    </row>
    <row r="4088" spans="117:121" x14ac:dyDescent="0.35">
      <c r="DM4088" s="50"/>
      <c r="DQ4088" s="50"/>
    </row>
    <row r="4089" spans="117:121" x14ac:dyDescent="0.35">
      <c r="DM4089" s="50"/>
      <c r="DQ4089" s="50"/>
    </row>
    <row r="4090" spans="117:121" x14ac:dyDescent="0.35">
      <c r="DM4090" s="50"/>
      <c r="DQ4090" s="50"/>
    </row>
    <row r="4091" spans="117:121" x14ac:dyDescent="0.35">
      <c r="DM4091" s="50"/>
      <c r="DQ4091" s="50"/>
    </row>
    <row r="4092" spans="117:121" x14ac:dyDescent="0.35">
      <c r="DM4092" s="50"/>
      <c r="DQ4092" s="50"/>
    </row>
    <row r="4093" spans="117:121" x14ac:dyDescent="0.35">
      <c r="DM4093" s="50"/>
      <c r="DQ4093" s="50"/>
    </row>
    <row r="4094" spans="117:121" x14ac:dyDescent="0.35">
      <c r="DM4094" s="50"/>
      <c r="DQ4094" s="50"/>
    </row>
    <row r="4095" spans="117:121" x14ac:dyDescent="0.35">
      <c r="DM4095" s="50"/>
      <c r="DQ4095" s="50"/>
    </row>
    <row r="4096" spans="117:121" x14ac:dyDescent="0.35">
      <c r="DM4096" s="50"/>
      <c r="DQ4096" s="50"/>
    </row>
    <row r="4097" spans="117:121" x14ac:dyDescent="0.35">
      <c r="DM4097" s="50"/>
      <c r="DQ4097" s="50"/>
    </row>
    <row r="4098" spans="117:121" x14ac:dyDescent="0.35">
      <c r="DM4098" s="50"/>
      <c r="DQ4098" s="50"/>
    </row>
    <row r="4099" spans="117:121" x14ac:dyDescent="0.35">
      <c r="DM4099" s="50"/>
      <c r="DQ4099" s="50"/>
    </row>
    <row r="4100" spans="117:121" x14ac:dyDescent="0.35">
      <c r="DM4100" s="50"/>
      <c r="DQ4100" s="50"/>
    </row>
    <row r="4101" spans="117:121" x14ac:dyDescent="0.35">
      <c r="DM4101" s="50"/>
      <c r="DQ4101" s="50"/>
    </row>
    <row r="4102" spans="117:121" x14ac:dyDescent="0.35">
      <c r="DM4102" s="50"/>
      <c r="DQ4102" s="50"/>
    </row>
    <row r="4103" spans="117:121" x14ac:dyDescent="0.35">
      <c r="DM4103" s="50"/>
      <c r="DQ4103" s="50"/>
    </row>
    <row r="4104" spans="117:121" x14ac:dyDescent="0.35">
      <c r="DM4104" s="50"/>
      <c r="DQ4104" s="50"/>
    </row>
    <row r="4105" spans="117:121" x14ac:dyDescent="0.35">
      <c r="DM4105" s="50"/>
      <c r="DQ4105" s="50"/>
    </row>
    <row r="4106" spans="117:121" x14ac:dyDescent="0.35">
      <c r="DM4106" s="50"/>
      <c r="DQ4106" s="50"/>
    </row>
    <row r="4107" spans="117:121" x14ac:dyDescent="0.35">
      <c r="DM4107" s="50"/>
      <c r="DQ4107" s="50"/>
    </row>
    <row r="4108" spans="117:121" x14ac:dyDescent="0.35">
      <c r="DM4108" s="50"/>
      <c r="DQ4108" s="50"/>
    </row>
    <row r="4109" spans="117:121" x14ac:dyDescent="0.35">
      <c r="DM4109" s="50"/>
      <c r="DQ4109" s="50"/>
    </row>
    <row r="4110" spans="117:121" x14ac:dyDescent="0.35">
      <c r="DM4110" s="50"/>
      <c r="DQ4110" s="50"/>
    </row>
    <row r="4111" spans="117:121" x14ac:dyDescent="0.35">
      <c r="DM4111" s="50"/>
      <c r="DQ4111" s="50"/>
    </row>
    <row r="4112" spans="117:121" x14ac:dyDescent="0.35">
      <c r="DM4112" s="50"/>
      <c r="DQ4112" s="50"/>
    </row>
    <row r="4113" spans="117:121" x14ac:dyDescent="0.35">
      <c r="DM4113" s="50"/>
      <c r="DQ4113" s="50"/>
    </row>
    <row r="4114" spans="117:121" x14ac:dyDescent="0.35">
      <c r="DM4114" s="50"/>
      <c r="DQ4114" s="50"/>
    </row>
    <row r="4115" spans="117:121" x14ac:dyDescent="0.35">
      <c r="DM4115" s="50"/>
      <c r="DQ4115" s="50"/>
    </row>
    <row r="4116" spans="117:121" x14ac:dyDescent="0.35">
      <c r="DM4116" s="50"/>
      <c r="DQ4116" s="50"/>
    </row>
    <row r="4117" spans="117:121" x14ac:dyDescent="0.35">
      <c r="DM4117" s="50"/>
      <c r="DQ4117" s="50"/>
    </row>
    <row r="4118" spans="117:121" x14ac:dyDescent="0.35">
      <c r="DM4118" s="50"/>
      <c r="DQ4118" s="50"/>
    </row>
    <row r="4119" spans="117:121" x14ac:dyDescent="0.35">
      <c r="DM4119" s="50"/>
      <c r="DQ4119" s="50"/>
    </row>
    <row r="4120" spans="117:121" x14ac:dyDescent="0.35">
      <c r="DM4120" s="50"/>
      <c r="DQ4120" s="50"/>
    </row>
    <row r="4121" spans="117:121" x14ac:dyDescent="0.35">
      <c r="DM4121" s="50"/>
      <c r="DQ4121" s="50"/>
    </row>
    <row r="4122" spans="117:121" x14ac:dyDescent="0.35">
      <c r="DM4122" s="50"/>
      <c r="DQ4122" s="50"/>
    </row>
    <row r="4123" spans="117:121" x14ac:dyDescent="0.35">
      <c r="DM4123" s="50"/>
      <c r="DQ4123" s="50"/>
    </row>
    <row r="4124" spans="117:121" x14ac:dyDescent="0.35">
      <c r="DM4124" s="50"/>
      <c r="DQ4124" s="50"/>
    </row>
    <row r="4125" spans="117:121" x14ac:dyDescent="0.35">
      <c r="DM4125" s="50"/>
      <c r="DQ4125" s="50"/>
    </row>
    <row r="4126" spans="117:121" x14ac:dyDescent="0.35">
      <c r="DM4126" s="50"/>
      <c r="DQ4126" s="50"/>
    </row>
    <row r="4127" spans="117:121" x14ac:dyDescent="0.35">
      <c r="DM4127" s="50"/>
      <c r="DQ4127" s="50"/>
    </row>
    <row r="4128" spans="117:121" x14ac:dyDescent="0.35">
      <c r="DM4128" s="50"/>
      <c r="DQ4128" s="50"/>
    </row>
    <row r="4129" spans="117:121" x14ac:dyDescent="0.35">
      <c r="DM4129" s="50"/>
      <c r="DQ4129" s="50"/>
    </row>
    <row r="4130" spans="117:121" x14ac:dyDescent="0.35">
      <c r="DM4130" s="50"/>
      <c r="DQ4130" s="50"/>
    </row>
    <row r="4131" spans="117:121" x14ac:dyDescent="0.35">
      <c r="DM4131" s="50"/>
      <c r="DQ4131" s="50"/>
    </row>
    <row r="4132" spans="117:121" x14ac:dyDescent="0.35">
      <c r="DM4132" s="50"/>
      <c r="DQ4132" s="50"/>
    </row>
    <row r="4133" spans="117:121" x14ac:dyDescent="0.35">
      <c r="DM4133" s="50"/>
      <c r="DQ4133" s="50"/>
    </row>
    <row r="4134" spans="117:121" x14ac:dyDescent="0.35">
      <c r="DM4134" s="50"/>
      <c r="DQ4134" s="50"/>
    </row>
    <row r="4135" spans="117:121" x14ac:dyDescent="0.35">
      <c r="DM4135" s="50"/>
      <c r="DQ4135" s="50"/>
    </row>
    <row r="4136" spans="117:121" x14ac:dyDescent="0.35">
      <c r="DM4136" s="50"/>
      <c r="DQ4136" s="50"/>
    </row>
    <row r="4137" spans="117:121" x14ac:dyDescent="0.35">
      <c r="DM4137" s="50"/>
      <c r="DQ4137" s="50"/>
    </row>
    <row r="4138" spans="117:121" x14ac:dyDescent="0.35">
      <c r="DM4138" s="50"/>
      <c r="DQ4138" s="50"/>
    </row>
    <row r="4139" spans="117:121" x14ac:dyDescent="0.35">
      <c r="DM4139" s="50"/>
      <c r="DQ4139" s="50"/>
    </row>
    <row r="4140" spans="117:121" x14ac:dyDescent="0.35">
      <c r="DM4140" s="50"/>
      <c r="DQ4140" s="50"/>
    </row>
    <row r="4141" spans="117:121" x14ac:dyDescent="0.35">
      <c r="DM4141" s="50"/>
      <c r="DQ4141" s="50"/>
    </row>
    <row r="4142" spans="117:121" x14ac:dyDescent="0.35">
      <c r="DM4142" s="50"/>
      <c r="DQ4142" s="50"/>
    </row>
    <row r="4143" spans="117:121" x14ac:dyDescent="0.35">
      <c r="DM4143" s="50"/>
      <c r="DQ4143" s="50"/>
    </row>
    <row r="4144" spans="117:121" x14ac:dyDescent="0.35">
      <c r="DM4144" s="50"/>
      <c r="DQ4144" s="50"/>
    </row>
    <row r="4145" spans="117:121" x14ac:dyDescent="0.35">
      <c r="DM4145" s="50"/>
      <c r="DQ4145" s="50"/>
    </row>
    <row r="4146" spans="117:121" x14ac:dyDescent="0.35">
      <c r="DM4146" s="50"/>
      <c r="DQ4146" s="50"/>
    </row>
    <row r="4147" spans="117:121" x14ac:dyDescent="0.35">
      <c r="DM4147" s="50"/>
      <c r="DQ4147" s="50"/>
    </row>
    <row r="4148" spans="117:121" x14ac:dyDescent="0.35">
      <c r="DM4148" s="50"/>
      <c r="DQ4148" s="50"/>
    </row>
    <row r="4149" spans="117:121" x14ac:dyDescent="0.35">
      <c r="DM4149" s="50"/>
      <c r="DQ4149" s="50"/>
    </row>
    <row r="4150" spans="117:121" x14ac:dyDescent="0.35">
      <c r="DM4150" s="50"/>
      <c r="DQ4150" s="50"/>
    </row>
    <row r="4151" spans="117:121" x14ac:dyDescent="0.35">
      <c r="DM4151" s="50"/>
      <c r="DQ4151" s="50"/>
    </row>
    <row r="4152" spans="117:121" x14ac:dyDescent="0.35">
      <c r="DM4152" s="50"/>
      <c r="DQ4152" s="50"/>
    </row>
    <row r="4153" spans="117:121" x14ac:dyDescent="0.35">
      <c r="DM4153" s="50"/>
      <c r="DQ4153" s="50"/>
    </row>
    <row r="4154" spans="117:121" x14ac:dyDescent="0.35">
      <c r="DM4154" s="50"/>
      <c r="DQ4154" s="50"/>
    </row>
    <row r="4155" spans="117:121" x14ac:dyDescent="0.35">
      <c r="DM4155" s="50"/>
      <c r="DQ4155" s="50"/>
    </row>
    <row r="4156" spans="117:121" x14ac:dyDescent="0.35">
      <c r="DM4156" s="50"/>
      <c r="DQ4156" s="50"/>
    </row>
    <row r="4157" spans="117:121" x14ac:dyDescent="0.35">
      <c r="DM4157" s="50"/>
      <c r="DQ4157" s="50"/>
    </row>
    <row r="4158" spans="117:121" x14ac:dyDescent="0.35">
      <c r="DM4158" s="50"/>
      <c r="DQ4158" s="50"/>
    </row>
    <row r="4159" spans="117:121" x14ac:dyDescent="0.35">
      <c r="DM4159" s="50"/>
      <c r="DQ4159" s="50"/>
    </row>
    <row r="4160" spans="117:121" x14ac:dyDescent="0.35">
      <c r="DM4160" s="50"/>
      <c r="DQ4160" s="50"/>
    </row>
    <row r="4161" spans="117:121" x14ac:dyDescent="0.35">
      <c r="DM4161" s="50"/>
      <c r="DQ4161" s="50"/>
    </row>
    <row r="4162" spans="117:121" x14ac:dyDescent="0.35">
      <c r="DM4162" s="50"/>
      <c r="DQ4162" s="50"/>
    </row>
    <row r="4163" spans="117:121" x14ac:dyDescent="0.35">
      <c r="DM4163" s="50"/>
      <c r="DQ4163" s="50"/>
    </row>
    <row r="4164" spans="117:121" x14ac:dyDescent="0.35">
      <c r="DM4164" s="50"/>
      <c r="DQ4164" s="50"/>
    </row>
    <row r="4165" spans="117:121" x14ac:dyDescent="0.35">
      <c r="DM4165" s="50"/>
      <c r="DQ4165" s="50"/>
    </row>
    <row r="4166" spans="117:121" x14ac:dyDescent="0.35">
      <c r="DM4166" s="50"/>
      <c r="DQ4166" s="50"/>
    </row>
    <row r="4167" spans="117:121" x14ac:dyDescent="0.35">
      <c r="DM4167" s="50"/>
      <c r="DQ4167" s="50"/>
    </row>
    <row r="4168" spans="117:121" x14ac:dyDescent="0.35">
      <c r="DM4168" s="50"/>
      <c r="DQ4168" s="50"/>
    </row>
    <row r="4169" spans="117:121" x14ac:dyDescent="0.35">
      <c r="DM4169" s="50"/>
      <c r="DQ4169" s="50"/>
    </row>
    <row r="4170" spans="117:121" x14ac:dyDescent="0.35">
      <c r="DM4170" s="50"/>
      <c r="DQ4170" s="50"/>
    </row>
    <row r="4171" spans="117:121" x14ac:dyDescent="0.35">
      <c r="DM4171" s="50"/>
      <c r="DQ4171" s="50"/>
    </row>
    <row r="4172" spans="117:121" x14ac:dyDescent="0.35">
      <c r="DM4172" s="50"/>
      <c r="DQ4172" s="50"/>
    </row>
    <row r="4173" spans="117:121" x14ac:dyDescent="0.35">
      <c r="DM4173" s="50"/>
      <c r="DQ4173" s="50"/>
    </row>
    <row r="4174" spans="117:121" x14ac:dyDescent="0.35">
      <c r="DM4174" s="50"/>
      <c r="DQ4174" s="50"/>
    </row>
    <row r="4175" spans="117:121" x14ac:dyDescent="0.35">
      <c r="DM4175" s="50"/>
      <c r="DQ4175" s="50"/>
    </row>
    <row r="4176" spans="117:121" x14ac:dyDescent="0.35">
      <c r="DM4176" s="50"/>
      <c r="DQ4176" s="50"/>
    </row>
    <row r="4177" spans="117:121" x14ac:dyDescent="0.35">
      <c r="DM4177" s="50"/>
      <c r="DQ4177" s="50"/>
    </row>
    <row r="4178" spans="117:121" x14ac:dyDescent="0.35">
      <c r="DM4178" s="50"/>
      <c r="DQ4178" s="50"/>
    </row>
    <row r="4179" spans="117:121" x14ac:dyDescent="0.35">
      <c r="DM4179" s="50"/>
      <c r="DQ4179" s="50"/>
    </row>
    <row r="4180" spans="117:121" x14ac:dyDescent="0.35">
      <c r="DM4180" s="50"/>
      <c r="DQ4180" s="50"/>
    </row>
    <row r="4181" spans="117:121" x14ac:dyDescent="0.35">
      <c r="DM4181" s="50"/>
      <c r="DQ4181" s="50"/>
    </row>
    <row r="4182" spans="117:121" x14ac:dyDescent="0.35">
      <c r="DM4182" s="50"/>
      <c r="DQ4182" s="50"/>
    </row>
    <row r="4183" spans="117:121" x14ac:dyDescent="0.35">
      <c r="DM4183" s="50"/>
      <c r="DQ4183" s="50"/>
    </row>
    <row r="4184" spans="117:121" x14ac:dyDescent="0.35">
      <c r="DM4184" s="50"/>
      <c r="DQ4184" s="50"/>
    </row>
    <row r="4185" spans="117:121" x14ac:dyDescent="0.35">
      <c r="DM4185" s="50"/>
      <c r="DQ4185" s="50"/>
    </row>
    <row r="4186" spans="117:121" x14ac:dyDescent="0.35">
      <c r="DM4186" s="50"/>
      <c r="DQ4186" s="50"/>
    </row>
    <row r="4187" spans="117:121" x14ac:dyDescent="0.35">
      <c r="DM4187" s="50"/>
      <c r="DQ4187" s="50"/>
    </row>
    <row r="4188" spans="117:121" x14ac:dyDescent="0.35">
      <c r="DM4188" s="50"/>
      <c r="DQ4188" s="50"/>
    </row>
    <row r="4189" spans="117:121" x14ac:dyDescent="0.35">
      <c r="DM4189" s="50"/>
      <c r="DQ4189" s="50"/>
    </row>
    <row r="4190" spans="117:121" x14ac:dyDescent="0.35">
      <c r="DM4190" s="50"/>
      <c r="DQ4190" s="50"/>
    </row>
    <row r="4191" spans="117:121" x14ac:dyDescent="0.35">
      <c r="DM4191" s="50"/>
      <c r="DQ4191" s="50"/>
    </row>
    <row r="4192" spans="117:121" x14ac:dyDescent="0.35">
      <c r="DM4192" s="50"/>
      <c r="DQ4192" s="50"/>
    </row>
    <row r="4193" spans="117:121" x14ac:dyDescent="0.35">
      <c r="DM4193" s="50"/>
      <c r="DQ4193" s="50"/>
    </row>
    <row r="4194" spans="117:121" x14ac:dyDescent="0.35">
      <c r="DM4194" s="50"/>
      <c r="DQ4194" s="50"/>
    </row>
    <row r="4195" spans="117:121" x14ac:dyDescent="0.35">
      <c r="DM4195" s="50"/>
      <c r="DQ4195" s="50"/>
    </row>
    <row r="4196" spans="117:121" x14ac:dyDescent="0.35">
      <c r="DM4196" s="50"/>
      <c r="DQ4196" s="50"/>
    </row>
    <row r="4197" spans="117:121" x14ac:dyDescent="0.35">
      <c r="DM4197" s="50"/>
      <c r="DQ4197" s="50"/>
    </row>
    <row r="4198" spans="117:121" x14ac:dyDescent="0.35">
      <c r="DM4198" s="50"/>
      <c r="DQ4198" s="50"/>
    </row>
    <row r="4199" spans="117:121" x14ac:dyDescent="0.35">
      <c r="DM4199" s="50"/>
      <c r="DQ4199" s="50"/>
    </row>
    <row r="4200" spans="117:121" x14ac:dyDescent="0.35">
      <c r="DM4200" s="50"/>
      <c r="DQ4200" s="50"/>
    </row>
    <row r="4201" spans="117:121" x14ac:dyDescent="0.35">
      <c r="DM4201" s="50"/>
      <c r="DQ4201" s="50"/>
    </row>
    <row r="4202" spans="117:121" x14ac:dyDescent="0.35">
      <c r="DM4202" s="50"/>
      <c r="DQ4202" s="50"/>
    </row>
    <row r="4203" spans="117:121" x14ac:dyDescent="0.35">
      <c r="DM4203" s="50"/>
      <c r="DQ4203" s="50"/>
    </row>
    <row r="4204" spans="117:121" x14ac:dyDescent="0.35">
      <c r="DM4204" s="50"/>
      <c r="DQ4204" s="50"/>
    </row>
    <row r="4205" spans="117:121" x14ac:dyDescent="0.35">
      <c r="DM4205" s="50"/>
      <c r="DQ4205" s="50"/>
    </row>
    <row r="4206" spans="117:121" x14ac:dyDescent="0.35">
      <c r="DM4206" s="50"/>
      <c r="DQ4206" s="50"/>
    </row>
    <row r="4207" spans="117:121" x14ac:dyDescent="0.35">
      <c r="DM4207" s="50"/>
      <c r="DQ4207" s="50"/>
    </row>
    <row r="4208" spans="117:121" x14ac:dyDescent="0.35">
      <c r="DM4208" s="50"/>
      <c r="DQ4208" s="50"/>
    </row>
    <row r="4209" spans="117:121" x14ac:dyDescent="0.35">
      <c r="DM4209" s="50"/>
      <c r="DQ4209" s="50"/>
    </row>
    <row r="4210" spans="117:121" x14ac:dyDescent="0.35">
      <c r="DM4210" s="50"/>
      <c r="DQ4210" s="50"/>
    </row>
    <row r="4211" spans="117:121" x14ac:dyDescent="0.35">
      <c r="DM4211" s="50"/>
      <c r="DQ4211" s="50"/>
    </row>
    <row r="4212" spans="117:121" x14ac:dyDescent="0.35">
      <c r="DM4212" s="50"/>
      <c r="DQ4212" s="50"/>
    </row>
    <row r="4213" spans="117:121" x14ac:dyDescent="0.35">
      <c r="DM4213" s="50"/>
      <c r="DQ4213" s="50"/>
    </row>
    <row r="4214" spans="117:121" x14ac:dyDescent="0.35">
      <c r="DM4214" s="50"/>
      <c r="DQ4214" s="50"/>
    </row>
    <row r="4215" spans="117:121" x14ac:dyDescent="0.35">
      <c r="DM4215" s="50"/>
      <c r="DQ4215" s="50"/>
    </row>
    <row r="4216" spans="117:121" x14ac:dyDescent="0.35">
      <c r="DM4216" s="50"/>
      <c r="DQ4216" s="50"/>
    </row>
    <row r="4217" spans="117:121" x14ac:dyDescent="0.35">
      <c r="DM4217" s="50"/>
      <c r="DQ4217" s="50"/>
    </row>
    <row r="4218" spans="117:121" x14ac:dyDescent="0.35">
      <c r="DM4218" s="50"/>
      <c r="DQ4218" s="50"/>
    </row>
    <row r="4219" spans="117:121" x14ac:dyDescent="0.35">
      <c r="DM4219" s="50"/>
      <c r="DQ4219" s="50"/>
    </row>
    <row r="4220" spans="117:121" x14ac:dyDescent="0.35">
      <c r="DM4220" s="50"/>
      <c r="DQ4220" s="50"/>
    </row>
    <row r="4221" spans="117:121" x14ac:dyDescent="0.35">
      <c r="DM4221" s="50"/>
      <c r="DQ4221" s="50"/>
    </row>
    <row r="4222" spans="117:121" x14ac:dyDescent="0.35">
      <c r="DM4222" s="50"/>
      <c r="DQ4222" s="50"/>
    </row>
    <row r="4223" spans="117:121" x14ac:dyDescent="0.35">
      <c r="DM4223" s="50"/>
      <c r="DQ4223" s="50"/>
    </row>
    <row r="4224" spans="117:121" x14ac:dyDescent="0.35">
      <c r="DM4224" s="50"/>
      <c r="DQ4224" s="50"/>
    </row>
    <row r="4225" spans="117:121" x14ac:dyDescent="0.35">
      <c r="DM4225" s="50"/>
      <c r="DQ4225" s="50"/>
    </row>
    <row r="4226" spans="117:121" x14ac:dyDescent="0.35">
      <c r="DM4226" s="50"/>
      <c r="DQ4226" s="50"/>
    </row>
    <row r="4227" spans="117:121" x14ac:dyDescent="0.35">
      <c r="DM4227" s="50"/>
      <c r="DQ4227" s="50"/>
    </row>
    <row r="4228" spans="117:121" x14ac:dyDescent="0.35">
      <c r="DM4228" s="50"/>
      <c r="DQ4228" s="50"/>
    </row>
    <row r="4229" spans="117:121" x14ac:dyDescent="0.35">
      <c r="DM4229" s="50"/>
      <c r="DQ4229" s="50"/>
    </row>
    <row r="4230" spans="117:121" x14ac:dyDescent="0.35">
      <c r="DM4230" s="50"/>
      <c r="DQ4230" s="50"/>
    </row>
    <row r="4231" spans="117:121" x14ac:dyDescent="0.35">
      <c r="DM4231" s="50"/>
      <c r="DQ4231" s="50"/>
    </row>
    <row r="4232" spans="117:121" x14ac:dyDescent="0.35">
      <c r="DM4232" s="50"/>
      <c r="DQ4232" s="50"/>
    </row>
    <row r="4233" spans="117:121" x14ac:dyDescent="0.35">
      <c r="DM4233" s="50"/>
      <c r="DQ4233" s="50"/>
    </row>
    <row r="4234" spans="117:121" x14ac:dyDescent="0.35">
      <c r="DM4234" s="50"/>
      <c r="DQ4234" s="50"/>
    </row>
    <row r="4235" spans="117:121" x14ac:dyDescent="0.35">
      <c r="DM4235" s="50"/>
      <c r="DQ4235" s="50"/>
    </row>
    <row r="4236" spans="117:121" x14ac:dyDescent="0.35">
      <c r="DM4236" s="50"/>
      <c r="DQ4236" s="50"/>
    </row>
    <row r="4237" spans="117:121" x14ac:dyDescent="0.35">
      <c r="DM4237" s="50"/>
      <c r="DQ4237" s="50"/>
    </row>
    <row r="4238" spans="117:121" x14ac:dyDescent="0.35">
      <c r="DM4238" s="50"/>
      <c r="DQ4238" s="50"/>
    </row>
    <row r="4239" spans="117:121" x14ac:dyDescent="0.35">
      <c r="DM4239" s="50"/>
      <c r="DQ4239" s="50"/>
    </row>
    <row r="4240" spans="117:121" x14ac:dyDescent="0.35">
      <c r="DM4240" s="50"/>
      <c r="DQ4240" s="50"/>
    </row>
    <row r="4241" spans="117:121" x14ac:dyDescent="0.35">
      <c r="DM4241" s="50"/>
      <c r="DQ4241" s="50"/>
    </row>
    <row r="4242" spans="117:121" x14ac:dyDescent="0.35">
      <c r="DM4242" s="50"/>
      <c r="DQ4242" s="50"/>
    </row>
    <row r="4243" spans="117:121" x14ac:dyDescent="0.35">
      <c r="DM4243" s="50"/>
      <c r="DQ4243" s="50"/>
    </row>
    <row r="4244" spans="117:121" x14ac:dyDescent="0.35">
      <c r="DM4244" s="50"/>
      <c r="DQ4244" s="50"/>
    </row>
    <row r="4245" spans="117:121" x14ac:dyDescent="0.35">
      <c r="DM4245" s="50"/>
      <c r="DQ4245" s="50"/>
    </row>
    <row r="4246" spans="117:121" x14ac:dyDescent="0.35">
      <c r="DM4246" s="50"/>
      <c r="DQ4246" s="50"/>
    </row>
    <row r="4247" spans="117:121" x14ac:dyDescent="0.35">
      <c r="DM4247" s="50"/>
      <c r="DQ4247" s="50"/>
    </row>
    <row r="4248" spans="117:121" x14ac:dyDescent="0.35">
      <c r="DM4248" s="50"/>
      <c r="DQ4248" s="50"/>
    </row>
    <row r="4249" spans="117:121" x14ac:dyDescent="0.35">
      <c r="DM4249" s="50"/>
      <c r="DQ4249" s="50"/>
    </row>
    <row r="4250" spans="117:121" x14ac:dyDescent="0.35">
      <c r="DM4250" s="50"/>
      <c r="DQ4250" s="50"/>
    </row>
    <row r="4251" spans="117:121" x14ac:dyDescent="0.35">
      <c r="DM4251" s="50"/>
      <c r="DQ4251" s="50"/>
    </row>
    <row r="4252" spans="117:121" x14ac:dyDescent="0.35">
      <c r="DM4252" s="50"/>
      <c r="DQ4252" s="50"/>
    </row>
    <row r="4253" spans="117:121" x14ac:dyDescent="0.35">
      <c r="DM4253" s="50"/>
      <c r="DQ4253" s="50"/>
    </row>
    <row r="4254" spans="117:121" x14ac:dyDescent="0.35">
      <c r="DM4254" s="50"/>
      <c r="DQ4254" s="50"/>
    </row>
    <row r="4255" spans="117:121" x14ac:dyDescent="0.35">
      <c r="DM4255" s="50"/>
      <c r="DQ4255" s="50"/>
    </row>
    <row r="4256" spans="117:121" x14ac:dyDescent="0.35">
      <c r="DM4256" s="50"/>
      <c r="DQ4256" s="50"/>
    </row>
    <row r="4257" spans="117:121" x14ac:dyDescent="0.35">
      <c r="DM4257" s="50"/>
      <c r="DQ4257" s="50"/>
    </row>
    <row r="4258" spans="117:121" x14ac:dyDescent="0.35">
      <c r="DM4258" s="50"/>
      <c r="DQ4258" s="50"/>
    </row>
    <row r="4259" spans="117:121" x14ac:dyDescent="0.35">
      <c r="DM4259" s="50"/>
      <c r="DQ4259" s="50"/>
    </row>
    <row r="4260" spans="117:121" x14ac:dyDescent="0.35">
      <c r="DM4260" s="50"/>
      <c r="DQ4260" s="50"/>
    </row>
    <row r="4261" spans="117:121" x14ac:dyDescent="0.35">
      <c r="DM4261" s="50"/>
      <c r="DQ4261" s="50"/>
    </row>
    <row r="4262" spans="117:121" x14ac:dyDescent="0.35">
      <c r="DM4262" s="50"/>
      <c r="DQ4262" s="50"/>
    </row>
    <row r="4263" spans="117:121" x14ac:dyDescent="0.35">
      <c r="DM4263" s="50"/>
      <c r="DQ4263" s="50"/>
    </row>
    <row r="4264" spans="117:121" x14ac:dyDescent="0.35">
      <c r="DM4264" s="50"/>
      <c r="DQ4264" s="50"/>
    </row>
    <row r="4265" spans="117:121" x14ac:dyDescent="0.35">
      <c r="DM4265" s="50"/>
      <c r="DQ4265" s="50"/>
    </row>
    <row r="4266" spans="117:121" x14ac:dyDescent="0.35">
      <c r="DM4266" s="50"/>
      <c r="DQ4266" s="50"/>
    </row>
    <row r="4267" spans="117:121" x14ac:dyDescent="0.35">
      <c r="DM4267" s="50"/>
      <c r="DQ4267" s="50"/>
    </row>
    <row r="4268" spans="117:121" x14ac:dyDescent="0.35">
      <c r="DM4268" s="50"/>
      <c r="DQ4268" s="50"/>
    </row>
    <row r="4269" spans="117:121" x14ac:dyDescent="0.35">
      <c r="DM4269" s="50"/>
      <c r="DQ4269" s="50"/>
    </row>
    <row r="4270" spans="117:121" x14ac:dyDescent="0.35">
      <c r="DM4270" s="50"/>
      <c r="DQ4270" s="50"/>
    </row>
    <row r="4271" spans="117:121" x14ac:dyDescent="0.35">
      <c r="DM4271" s="50"/>
      <c r="DQ4271" s="50"/>
    </row>
    <row r="4272" spans="117:121" x14ac:dyDescent="0.35">
      <c r="DM4272" s="50"/>
      <c r="DQ4272" s="50"/>
    </row>
    <row r="4273" spans="117:121" x14ac:dyDescent="0.35">
      <c r="DM4273" s="50"/>
      <c r="DQ4273" s="50"/>
    </row>
    <row r="4274" spans="117:121" x14ac:dyDescent="0.35">
      <c r="DM4274" s="50"/>
      <c r="DQ4274" s="50"/>
    </row>
    <row r="4275" spans="117:121" x14ac:dyDescent="0.35">
      <c r="DM4275" s="50"/>
      <c r="DQ4275" s="50"/>
    </row>
    <row r="4276" spans="117:121" x14ac:dyDescent="0.35">
      <c r="DM4276" s="50"/>
      <c r="DQ4276" s="50"/>
    </row>
    <row r="4277" spans="117:121" x14ac:dyDescent="0.35">
      <c r="DM4277" s="50"/>
      <c r="DQ4277" s="50"/>
    </row>
    <row r="4278" spans="117:121" x14ac:dyDescent="0.35">
      <c r="DM4278" s="50"/>
      <c r="DQ4278" s="50"/>
    </row>
    <row r="4279" spans="117:121" x14ac:dyDescent="0.35">
      <c r="DM4279" s="50"/>
      <c r="DQ4279" s="50"/>
    </row>
    <row r="4280" spans="117:121" x14ac:dyDescent="0.35">
      <c r="DM4280" s="50"/>
      <c r="DQ4280" s="50"/>
    </row>
    <row r="4281" spans="117:121" x14ac:dyDescent="0.35">
      <c r="DM4281" s="50"/>
      <c r="DQ4281" s="50"/>
    </row>
    <row r="4282" spans="117:121" x14ac:dyDescent="0.35">
      <c r="DM4282" s="50"/>
      <c r="DQ4282" s="50"/>
    </row>
    <row r="4283" spans="117:121" x14ac:dyDescent="0.35">
      <c r="DM4283" s="50"/>
      <c r="DQ4283" s="50"/>
    </row>
    <row r="4284" spans="117:121" x14ac:dyDescent="0.35">
      <c r="DM4284" s="50"/>
      <c r="DQ4284" s="50"/>
    </row>
    <row r="4285" spans="117:121" x14ac:dyDescent="0.35">
      <c r="DM4285" s="50"/>
      <c r="DQ4285" s="50"/>
    </row>
    <row r="4286" spans="117:121" x14ac:dyDescent="0.35">
      <c r="DM4286" s="50"/>
      <c r="DQ4286" s="50"/>
    </row>
    <row r="4287" spans="117:121" x14ac:dyDescent="0.35">
      <c r="DM4287" s="50"/>
      <c r="DQ4287" s="50"/>
    </row>
    <row r="4288" spans="117:121" x14ac:dyDescent="0.35">
      <c r="DM4288" s="50"/>
      <c r="DQ4288" s="50"/>
    </row>
    <row r="4289" spans="117:121" x14ac:dyDescent="0.35">
      <c r="DM4289" s="50"/>
      <c r="DQ4289" s="50"/>
    </row>
    <row r="4290" spans="117:121" x14ac:dyDescent="0.35">
      <c r="DM4290" s="50"/>
      <c r="DQ4290" s="50"/>
    </row>
    <row r="4291" spans="117:121" x14ac:dyDescent="0.35">
      <c r="DM4291" s="50"/>
      <c r="DQ4291" s="50"/>
    </row>
    <row r="4292" spans="117:121" x14ac:dyDescent="0.35">
      <c r="DM4292" s="50"/>
      <c r="DQ4292" s="50"/>
    </row>
    <row r="4293" spans="117:121" x14ac:dyDescent="0.35">
      <c r="DM4293" s="50"/>
      <c r="DQ4293" s="50"/>
    </row>
    <row r="4294" spans="117:121" x14ac:dyDescent="0.35">
      <c r="DM4294" s="50"/>
      <c r="DQ4294" s="50"/>
    </row>
    <row r="4295" spans="117:121" x14ac:dyDescent="0.35">
      <c r="DM4295" s="50"/>
      <c r="DQ4295" s="50"/>
    </row>
    <row r="4296" spans="117:121" x14ac:dyDescent="0.35">
      <c r="DM4296" s="50"/>
      <c r="DQ4296" s="50"/>
    </row>
    <row r="4297" spans="117:121" x14ac:dyDescent="0.35">
      <c r="DM4297" s="50"/>
      <c r="DQ4297" s="50"/>
    </row>
    <row r="4298" spans="117:121" x14ac:dyDescent="0.35">
      <c r="DM4298" s="50"/>
      <c r="DQ4298" s="50"/>
    </row>
    <row r="4299" spans="117:121" x14ac:dyDescent="0.35">
      <c r="DM4299" s="50"/>
      <c r="DQ4299" s="50"/>
    </row>
    <row r="4300" spans="117:121" x14ac:dyDescent="0.35">
      <c r="DM4300" s="50"/>
      <c r="DQ4300" s="50"/>
    </row>
    <row r="4301" spans="117:121" x14ac:dyDescent="0.35">
      <c r="DM4301" s="50"/>
      <c r="DQ4301" s="50"/>
    </row>
    <row r="4302" spans="117:121" x14ac:dyDescent="0.35">
      <c r="DM4302" s="50"/>
      <c r="DQ4302" s="50"/>
    </row>
    <row r="4303" spans="117:121" x14ac:dyDescent="0.35">
      <c r="DM4303" s="50"/>
      <c r="DQ4303" s="50"/>
    </row>
    <row r="4304" spans="117:121" x14ac:dyDescent="0.35">
      <c r="DM4304" s="50"/>
      <c r="DQ4304" s="50"/>
    </row>
    <row r="4305" spans="117:121" x14ac:dyDescent="0.35">
      <c r="DM4305" s="50"/>
      <c r="DQ4305" s="50"/>
    </row>
    <row r="4306" spans="117:121" x14ac:dyDescent="0.35">
      <c r="DM4306" s="50"/>
      <c r="DQ4306" s="50"/>
    </row>
    <row r="4307" spans="117:121" x14ac:dyDescent="0.35">
      <c r="DM4307" s="50"/>
      <c r="DQ4307" s="50"/>
    </row>
    <row r="4308" spans="117:121" x14ac:dyDescent="0.35">
      <c r="DM4308" s="50"/>
      <c r="DQ4308" s="50"/>
    </row>
    <row r="4309" spans="117:121" x14ac:dyDescent="0.35">
      <c r="DM4309" s="50"/>
      <c r="DQ4309" s="50"/>
    </row>
    <row r="4310" spans="117:121" x14ac:dyDescent="0.35">
      <c r="DM4310" s="50"/>
      <c r="DQ4310" s="50"/>
    </row>
    <row r="4311" spans="117:121" x14ac:dyDescent="0.35">
      <c r="DM4311" s="50"/>
      <c r="DQ4311" s="50"/>
    </row>
    <row r="4312" spans="117:121" x14ac:dyDescent="0.35">
      <c r="DM4312" s="50"/>
      <c r="DQ4312" s="50"/>
    </row>
    <row r="4313" spans="117:121" x14ac:dyDescent="0.35">
      <c r="DM4313" s="50"/>
      <c r="DQ4313" s="50"/>
    </row>
    <row r="4314" spans="117:121" x14ac:dyDescent="0.35">
      <c r="DM4314" s="50"/>
      <c r="DQ4314" s="50"/>
    </row>
    <row r="4315" spans="117:121" x14ac:dyDescent="0.35">
      <c r="DM4315" s="50"/>
      <c r="DQ4315" s="50"/>
    </row>
    <row r="4316" spans="117:121" x14ac:dyDescent="0.35">
      <c r="DM4316" s="50"/>
      <c r="DQ4316" s="50"/>
    </row>
    <row r="4317" spans="117:121" x14ac:dyDescent="0.35">
      <c r="DM4317" s="50"/>
      <c r="DQ4317" s="50"/>
    </row>
    <row r="4318" spans="117:121" x14ac:dyDescent="0.35">
      <c r="DM4318" s="50"/>
      <c r="DQ4318" s="50"/>
    </row>
    <row r="4319" spans="117:121" x14ac:dyDescent="0.35">
      <c r="DM4319" s="50"/>
      <c r="DQ4319" s="50"/>
    </row>
    <row r="4320" spans="117:121" x14ac:dyDescent="0.35">
      <c r="DM4320" s="50"/>
      <c r="DQ4320" s="50"/>
    </row>
    <row r="4321" spans="117:121" x14ac:dyDescent="0.35">
      <c r="DM4321" s="50"/>
      <c r="DQ4321" s="50"/>
    </row>
    <row r="4322" spans="117:121" x14ac:dyDescent="0.35">
      <c r="DM4322" s="50"/>
      <c r="DQ4322" s="50"/>
    </row>
    <row r="4323" spans="117:121" x14ac:dyDescent="0.35">
      <c r="DM4323" s="50"/>
      <c r="DQ4323" s="50"/>
    </row>
    <row r="4324" spans="117:121" x14ac:dyDescent="0.35">
      <c r="DM4324" s="50"/>
      <c r="DQ4324" s="50"/>
    </row>
    <row r="4325" spans="117:121" x14ac:dyDescent="0.35">
      <c r="DM4325" s="50"/>
      <c r="DQ4325" s="50"/>
    </row>
    <row r="4326" spans="117:121" x14ac:dyDescent="0.35">
      <c r="DM4326" s="50"/>
      <c r="DQ4326" s="50"/>
    </row>
    <row r="4327" spans="117:121" x14ac:dyDescent="0.35">
      <c r="DM4327" s="50"/>
      <c r="DQ4327" s="50"/>
    </row>
    <row r="4328" spans="117:121" x14ac:dyDescent="0.35">
      <c r="DM4328" s="50"/>
      <c r="DQ4328" s="50"/>
    </row>
    <row r="4329" spans="117:121" x14ac:dyDescent="0.35">
      <c r="DM4329" s="50"/>
      <c r="DQ4329" s="50"/>
    </row>
    <row r="4330" spans="117:121" x14ac:dyDescent="0.35">
      <c r="DM4330" s="50"/>
      <c r="DQ4330" s="50"/>
    </row>
    <row r="4331" spans="117:121" x14ac:dyDescent="0.35">
      <c r="DM4331" s="50"/>
      <c r="DQ4331" s="50"/>
    </row>
    <row r="4332" spans="117:121" x14ac:dyDescent="0.35">
      <c r="DM4332" s="50"/>
      <c r="DQ4332" s="50"/>
    </row>
    <row r="4333" spans="117:121" x14ac:dyDescent="0.35">
      <c r="DM4333" s="50"/>
      <c r="DQ4333" s="50"/>
    </row>
    <row r="4334" spans="117:121" x14ac:dyDescent="0.35">
      <c r="DM4334" s="50"/>
      <c r="DQ4334" s="50"/>
    </row>
    <row r="4335" spans="117:121" x14ac:dyDescent="0.35">
      <c r="DM4335" s="50"/>
      <c r="DQ4335" s="50"/>
    </row>
    <row r="4336" spans="117:121" x14ac:dyDescent="0.35">
      <c r="DM4336" s="50"/>
      <c r="DQ4336" s="50"/>
    </row>
    <row r="4337" spans="117:121" x14ac:dyDescent="0.35">
      <c r="DM4337" s="50"/>
      <c r="DQ4337" s="50"/>
    </row>
    <row r="4338" spans="117:121" x14ac:dyDescent="0.35">
      <c r="DM4338" s="50"/>
      <c r="DQ4338" s="50"/>
    </row>
    <row r="4339" spans="117:121" x14ac:dyDescent="0.35">
      <c r="DM4339" s="50"/>
      <c r="DQ4339" s="50"/>
    </row>
    <row r="4340" spans="117:121" x14ac:dyDescent="0.35">
      <c r="DM4340" s="50"/>
      <c r="DQ4340" s="50"/>
    </row>
    <row r="4341" spans="117:121" x14ac:dyDescent="0.35">
      <c r="DM4341" s="50"/>
      <c r="DQ4341" s="50"/>
    </row>
    <row r="4342" spans="117:121" x14ac:dyDescent="0.35">
      <c r="DM4342" s="50"/>
      <c r="DQ4342" s="50"/>
    </row>
    <row r="4343" spans="117:121" x14ac:dyDescent="0.35">
      <c r="DM4343" s="50"/>
      <c r="DQ4343" s="50"/>
    </row>
    <row r="4344" spans="117:121" x14ac:dyDescent="0.35">
      <c r="DM4344" s="50"/>
      <c r="DQ4344" s="50"/>
    </row>
    <row r="4345" spans="117:121" x14ac:dyDescent="0.35">
      <c r="DM4345" s="50"/>
      <c r="DQ4345" s="50"/>
    </row>
    <row r="4346" spans="117:121" x14ac:dyDescent="0.35">
      <c r="DM4346" s="50"/>
      <c r="DQ4346" s="50"/>
    </row>
    <row r="4347" spans="117:121" x14ac:dyDescent="0.35">
      <c r="DM4347" s="50"/>
      <c r="DQ4347" s="50"/>
    </row>
    <row r="4348" spans="117:121" x14ac:dyDescent="0.35">
      <c r="DM4348" s="50"/>
      <c r="DQ4348" s="50"/>
    </row>
    <row r="4349" spans="117:121" x14ac:dyDescent="0.35">
      <c r="DM4349" s="50"/>
      <c r="DQ4349" s="50"/>
    </row>
    <row r="4350" spans="117:121" x14ac:dyDescent="0.35">
      <c r="DM4350" s="50"/>
      <c r="DQ4350" s="50"/>
    </row>
    <row r="4351" spans="117:121" x14ac:dyDescent="0.35">
      <c r="DM4351" s="50"/>
      <c r="DQ4351" s="50"/>
    </row>
    <row r="4352" spans="117:121" x14ac:dyDescent="0.35">
      <c r="DM4352" s="50"/>
      <c r="DQ4352" s="50"/>
    </row>
    <row r="4353" spans="117:121" x14ac:dyDescent="0.35">
      <c r="DM4353" s="50"/>
      <c r="DQ4353" s="50"/>
    </row>
    <row r="4354" spans="117:121" x14ac:dyDescent="0.35">
      <c r="DM4354" s="50"/>
      <c r="DQ4354" s="50"/>
    </row>
    <row r="4355" spans="117:121" x14ac:dyDescent="0.35">
      <c r="DM4355" s="50"/>
      <c r="DQ4355" s="50"/>
    </row>
    <row r="4356" spans="117:121" x14ac:dyDescent="0.35">
      <c r="DM4356" s="50"/>
      <c r="DQ4356" s="50"/>
    </row>
    <row r="4357" spans="117:121" x14ac:dyDescent="0.35">
      <c r="DM4357" s="50"/>
      <c r="DQ4357" s="50"/>
    </row>
    <row r="4358" spans="117:121" x14ac:dyDescent="0.35">
      <c r="DM4358" s="50"/>
      <c r="DQ4358" s="50"/>
    </row>
    <row r="4359" spans="117:121" x14ac:dyDescent="0.35">
      <c r="DM4359" s="50"/>
      <c r="DQ4359" s="50"/>
    </row>
    <row r="4360" spans="117:121" x14ac:dyDescent="0.35">
      <c r="DM4360" s="50"/>
      <c r="DQ4360" s="50"/>
    </row>
    <row r="4361" spans="117:121" x14ac:dyDescent="0.35">
      <c r="DM4361" s="50"/>
      <c r="DQ4361" s="50"/>
    </row>
    <row r="4362" spans="117:121" x14ac:dyDescent="0.35">
      <c r="DM4362" s="50"/>
      <c r="DQ4362" s="50"/>
    </row>
    <row r="4363" spans="117:121" x14ac:dyDescent="0.35">
      <c r="DM4363" s="50"/>
      <c r="DQ4363" s="50"/>
    </row>
    <row r="4364" spans="117:121" x14ac:dyDescent="0.35">
      <c r="DM4364" s="50"/>
      <c r="DQ4364" s="50"/>
    </row>
    <row r="4365" spans="117:121" x14ac:dyDescent="0.35">
      <c r="DM4365" s="50"/>
      <c r="DQ4365" s="50"/>
    </row>
    <row r="4366" spans="117:121" x14ac:dyDescent="0.35">
      <c r="DM4366" s="50"/>
      <c r="DQ4366" s="50"/>
    </row>
    <row r="4367" spans="117:121" x14ac:dyDescent="0.35">
      <c r="DM4367" s="50"/>
      <c r="DQ4367" s="50"/>
    </row>
    <row r="4368" spans="117:121" x14ac:dyDescent="0.35">
      <c r="DM4368" s="50"/>
      <c r="DQ4368" s="50"/>
    </row>
    <row r="4369" spans="117:121" x14ac:dyDescent="0.35">
      <c r="DM4369" s="50"/>
      <c r="DQ4369" s="50"/>
    </row>
    <row r="4370" spans="117:121" x14ac:dyDescent="0.35">
      <c r="DM4370" s="50"/>
      <c r="DQ4370" s="50"/>
    </row>
    <row r="4371" spans="117:121" x14ac:dyDescent="0.35">
      <c r="DM4371" s="50"/>
      <c r="DQ4371" s="50"/>
    </row>
    <row r="4372" spans="117:121" x14ac:dyDescent="0.35">
      <c r="DM4372" s="50"/>
      <c r="DQ4372" s="50"/>
    </row>
    <row r="4373" spans="117:121" x14ac:dyDescent="0.35">
      <c r="DM4373" s="50"/>
      <c r="DQ4373" s="50"/>
    </row>
    <row r="4374" spans="117:121" x14ac:dyDescent="0.35">
      <c r="DM4374" s="50"/>
      <c r="DQ4374" s="50"/>
    </row>
    <row r="4375" spans="117:121" x14ac:dyDescent="0.35">
      <c r="DM4375" s="50"/>
      <c r="DQ4375" s="50"/>
    </row>
    <row r="4376" spans="117:121" x14ac:dyDescent="0.35">
      <c r="DM4376" s="50"/>
      <c r="DQ4376" s="50"/>
    </row>
    <row r="4377" spans="117:121" x14ac:dyDescent="0.35">
      <c r="DM4377" s="50"/>
      <c r="DQ4377" s="50"/>
    </row>
    <row r="4378" spans="117:121" x14ac:dyDescent="0.35">
      <c r="DM4378" s="50"/>
      <c r="DQ4378" s="50"/>
    </row>
    <row r="4379" spans="117:121" x14ac:dyDescent="0.35">
      <c r="DM4379" s="50"/>
      <c r="DQ4379" s="50"/>
    </row>
    <row r="4380" spans="117:121" x14ac:dyDescent="0.35">
      <c r="DM4380" s="50"/>
      <c r="DQ4380" s="50"/>
    </row>
    <row r="4381" spans="117:121" x14ac:dyDescent="0.35">
      <c r="DM4381" s="50"/>
      <c r="DQ4381" s="50"/>
    </row>
    <row r="4382" spans="117:121" x14ac:dyDescent="0.35">
      <c r="DM4382" s="50"/>
      <c r="DQ4382" s="50"/>
    </row>
    <row r="4383" spans="117:121" x14ac:dyDescent="0.35">
      <c r="DM4383" s="50"/>
      <c r="DQ4383" s="50"/>
    </row>
    <row r="4384" spans="117:121" x14ac:dyDescent="0.35">
      <c r="DM4384" s="50"/>
      <c r="DQ4384" s="50"/>
    </row>
    <row r="4385" spans="117:121" x14ac:dyDescent="0.35">
      <c r="DM4385" s="50"/>
      <c r="DQ4385" s="50"/>
    </row>
    <row r="4386" spans="117:121" x14ac:dyDescent="0.35">
      <c r="DM4386" s="50"/>
      <c r="DQ4386" s="50"/>
    </row>
    <row r="4387" spans="117:121" x14ac:dyDescent="0.35">
      <c r="DM4387" s="50"/>
      <c r="DQ4387" s="50"/>
    </row>
    <row r="4388" spans="117:121" x14ac:dyDescent="0.35">
      <c r="DM4388" s="50"/>
      <c r="DQ4388" s="50"/>
    </row>
    <row r="4389" spans="117:121" x14ac:dyDescent="0.35">
      <c r="DM4389" s="50"/>
      <c r="DQ4389" s="50"/>
    </row>
    <row r="4390" spans="117:121" x14ac:dyDescent="0.35">
      <c r="DM4390" s="50"/>
      <c r="DQ4390" s="50"/>
    </row>
    <row r="4391" spans="117:121" x14ac:dyDescent="0.35">
      <c r="DM4391" s="50"/>
      <c r="DQ4391" s="50"/>
    </row>
    <row r="4392" spans="117:121" x14ac:dyDescent="0.35">
      <c r="DM4392" s="50"/>
      <c r="DQ4392" s="50"/>
    </row>
    <row r="4393" spans="117:121" x14ac:dyDescent="0.35">
      <c r="DM4393" s="50"/>
      <c r="DQ4393" s="50"/>
    </row>
    <row r="4394" spans="117:121" x14ac:dyDescent="0.35">
      <c r="DM4394" s="50"/>
      <c r="DQ4394" s="50"/>
    </row>
    <row r="4395" spans="117:121" x14ac:dyDescent="0.35">
      <c r="DM4395" s="50"/>
      <c r="DQ4395" s="50"/>
    </row>
    <row r="4396" spans="117:121" x14ac:dyDescent="0.35">
      <c r="DM4396" s="50"/>
      <c r="DQ4396" s="50"/>
    </row>
    <row r="4397" spans="117:121" x14ac:dyDescent="0.35">
      <c r="DM4397" s="50"/>
      <c r="DQ4397" s="50"/>
    </row>
    <row r="4398" spans="117:121" x14ac:dyDescent="0.35">
      <c r="DM4398" s="50"/>
      <c r="DQ4398" s="50"/>
    </row>
    <row r="4399" spans="117:121" x14ac:dyDescent="0.35">
      <c r="DM4399" s="50"/>
      <c r="DQ4399" s="50"/>
    </row>
    <row r="4400" spans="117:121" x14ac:dyDescent="0.35">
      <c r="DM4400" s="50"/>
      <c r="DQ4400" s="50"/>
    </row>
    <row r="4401" spans="117:121" x14ac:dyDescent="0.35">
      <c r="DM4401" s="50"/>
      <c r="DQ4401" s="50"/>
    </row>
    <row r="4402" spans="117:121" x14ac:dyDescent="0.35">
      <c r="DM4402" s="50"/>
      <c r="DQ4402" s="50"/>
    </row>
    <row r="4403" spans="117:121" x14ac:dyDescent="0.35">
      <c r="DM4403" s="50"/>
      <c r="DQ4403" s="50"/>
    </row>
    <row r="4404" spans="117:121" x14ac:dyDescent="0.35">
      <c r="DM4404" s="50"/>
      <c r="DQ4404" s="50"/>
    </row>
    <row r="4405" spans="117:121" x14ac:dyDescent="0.35">
      <c r="DM4405" s="50"/>
      <c r="DQ4405" s="50"/>
    </row>
    <row r="4406" spans="117:121" x14ac:dyDescent="0.35">
      <c r="DM4406" s="50"/>
      <c r="DQ4406" s="50"/>
    </row>
    <row r="4407" spans="117:121" x14ac:dyDescent="0.35">
      <c r="DM4407" s="50"/>
      <c r="DQ4407" s="50"/>
    </row>
    <row r="4408" spans="117:121" x14ac:dyDescent="0.35">
      <c r="DM4408" s="50"/>
      <c r="DQ4408" s="50"/>
    </row>
    <row r="4409" spans="117:121" x14ac:dyDescent="0.35">
      <c r="DM4409" s="50"/>
      <c r="DQ4409" s="50"/>
    </row>
    <row r="4410" spans="117:121" x14ac:dyDescent="0.35">
      <c r="DM4410" s="50"/>
      <c r="DQ4410" s="50"/>
    </row>
    <row r="4411" spans="117:121" x14ac:dyDescent="0.35">
      <c r="DM4411" s="50"/>
      <c r="DQ4411" s="50"/>
    </row>
    <row r="4412" spans="117:121" x14ac:dyDescent="0.35">
      <c r="DM4412" s="50"/>
      <c r="DQ4412" s="50"/>
    </row>
    <row r="4413" spans="117:121" x14ac:dyDescent="0.35">
      <c r="DM4413" s="50"/>
      <c r="DQ4413" s="50"/>
    </row>
    <row r="4414" spans="117:121" x14ac:dyDescent="0.35">
      <c r="DM4414" s="50"/>
      <c r="DQ4414" s="50"/>
    </row>
    <row r="4415" spans="117:121" x14ac:dyDescent="0.35">
      <c r="DM4415" s="50"/>
      <c r="DQ4415" s="50"/>
    </row>
    <row r="4416" spans="117:121" x14ac:dyDescent="0.35">
      <c r="DM4416" s="50"/>
      <c r="DQ4416" s="50"/>
    </row>
    <row r="4417" spans="117:121" x14ac:dyDescent="0.35">
      <c r="DM4417" s="50"/>
      <c r="DQ4417" s="50"/>
    </row>
    <row r="4418" spans="117:121" x14ac:dyDescent="0.35">
      <c r="DM4418" s="50"/>
      <c r="DQ4418" s="50"/>
    </row>
    <row r="4419" spans="117:121" x14ac:dyDescent="0.35">
      <c r="DM4419" s="50"/>
      <c r="DQ4419" s="50"/>
    </row>
    <row r="4420" spans="117:121" x14ac:dyDescent="0.35">
      <c r="DM4420" s="50"/>
      <c r="DQ4420" s="50"/>
    </row>
    <row r="4421" spans="117:121" x14ac:dyDescent="0.35">
      <c r="DM4421" s="50"/>
      <c r="DQ4421" s="50"/>
    </row>
    <row r="4422" spans="117:121" x14ac:dyDescent="0.35">
      <c r="DM4422" s="50"/>
      <c r="DQ4422" s="50"/>
    </row>
    <row r="4423" spans="117:121" x14ac:dyDescent="0.35">
      <c r="DM4423" s="50"/>
      <c r="DQ4423" s="50"/>
    </row>
    <row r="4424" spans="117:121" x14ac:dyDescent="0.35">
      <c r="DM4424" s="50"/>
      <c r="DQ4424" s="50"/>
    </row>
    <row r="4425" spans="117:121" x14ac:dyDescent="0.35">
      <c r="DM4425" s="50"/>
      <c r="DQ4425" s="50"/>
    </row>
    <row r="4426" spans="117:121" x14ac:dyDescent="0.35">
      <c r="DM4426" s="50"/>
      <c r="DQ4426" s="50"/>
    </row>
    <row r="4427" spans="117:121" x14ac:dyDescent="0.35">
      <c r="DM4427" s="50"/>
      <c r="DQ4427" s="50"/>
    </row>
    <row r="4428" spans="117:121" x14ac:dyDescent="0.35">
      <c r="DM4428" s="50"/>
      <c r="DQ4428" s="50"/>
    </row>
    <row r="4429" spans="117:121" x14ac:dyDescent="0.35">
      <c r="DM4429" s="50"/>
      <c r="DQ4429" s="50"/>
    </row>
    <row r="4430" spans="117:121" x14ac:dyDescent="0.35">
      <c r="DM4430" s="50"/>
      <c r="DQ4430" s="50"/>
    </row>
    <row r="4431" spans="117:121" x14ac:dyDescent="0.35">
      <c r="DM4431" s="50"/>
      <c r="DQ4431" s="50"/>
    </row>
    <row r="4432" spans="117:121" x14ac:dyDescent="0.35">
      <c r="DM4432" s="50"/>
      <c r="DQ4432" s="50"/>
    </row>
    <row r="4433" spans="117:121" x14ac:dyDescent="0.35">
      <c r="DM4433" s="50"/>
      <c r="DQ4433" s="50"/>
    </row>
    <row r="4434" spans="117:121" x14ac:dyDescent="0.35">
      <c r="DM4434" s="50"/>
      <c r="DQ4434" s="50"/>
    </row>
    <row r="4435" spans="117:121" x14ac:dyDescent="0.35">
      <c r="DM4435" s="50"/>
      <c r="DQ4435" s="50"/>
    </row>
    <row r="4436" spans="117:121" x14ac:dyDescent="0.35">
      <c r="DM4436" s="50"/>
      <c r="DQ4436" s="50"/>
    </row>
    <row r="4437" spans="117:121" x14ac:dyDescent="0.35">
      <c r="DM4437" s="50"/>
      <c r="DQ4437" s="50"/>
    </row>
    <row r="4438" spans="117:121" x14ac:dyDescent="0.35">
      <c r="DM4438" s="50"/>
      <c r="DQ4438" s="50"/>
    </row>
    <row r="4439" spans="117:121" x14ac:dyDescent="0.35">
      <c r="DM4439" s="50"/>
      <c r="DQ4439" s="50"/>
    </row>
    <row r="4440" spans="117:121" x14ac:dyDescent="0.35">
      <c r="DM4440" s="50"/>
      <c r="DQ4440" s="50"/>
    </row>
    <row r="4441" spans="117:121" x14ac:dyDescent="0.35">
      <c r="DM4441" s="50"/>
      <c r="DQ4441" s="50"/>
    </row>
    <row r="4442" spans="117:121" x14ac:dyDescent="0.35">
      <c r="DM4442" s="50"/>
      <c r="DQ4442" s="50"/>
    </row>
    <row r="4443" spans="117:121" x14ac:dyDescent="0.35">
      <c r="DM4443" s="50"/>
      <c r="DQ4443" s="50"/>
    </row>
    <row r="4444" spans="117:121" x14ac:dyDescent="0.35">
      <c r="DM4444" s="50"/>
      <c r="DQ4444" s="50"/>
    </row>
    <row r="4445" spans="117:121" x14ac:dyDescent="0.35">
      <c r="DM4445" s="50"/>
      <c r="DQ4445" s="50"/>
    </row>
    <row r="4446" spans="117:121" x14ac:dyDescent="0.35">
      <c r="DM4446" s="50"/>
      <c r="DQ4446" s="50"/>
    </row>
    <row r="4447" spans="117:121" x14ac:dyDescent="0.35">
      <c r="DM4447" s="50"/>
      <c r="DQ4447" s="50"/>
    </row>
    <row r="4448" spans="117:121" x14ac:dyDescent="0.35">
      <c r="DM4448" s="50"/>
      <c r="DQ4448" s="50"/>
    </row>
    <row r="4449" spans="117:121" x14ac:dyDescent="0.35">
      <c r="DM4449" s="50"/>
      <c r="DQ4449" s="50"/>
    </row>
    <row r="4450" spans="117:121" x14ac:dyDescent="0.35">
      <c r="DM4450" s="50"/>
      <c r="DQ4450" s="50"/>
    </row>
    <row r="4451" spans="117:121" x14ac:dyDescent="0.35">
      <c r="DM4451" s="50"/>
      <c r="DQ4451" s="50"/>
    </row>
    <row r="4452" spans="117:121" x14ac:dyDescent="0.35">
      <c r="DM4452" s="50"/>
      <c r="DQ4452" s="50"/>
    </row>
    <row r="4453" spans="117:121" x14ac:dyDescent="0.35">
      <c r="DM4453" s="50"/>
      <c r="DQ4453" s="50"/>
    </row>
    <row r="4454" spans="117:121" x14ac:dyDescent="0.35">
      <c r="DM4454" s="50"/>
      <c r="DQ4454" s="50"/>
    </row>
    <row r="4455" spans="117:121" x14ac:dyDescent="0.35">
      <c r="DM4455" s="50"/>
      <c r="DQ4455" s="50"/>
    </row>
    <row r="4456" spans="117:121" x14ac:dyDescent="0.35">
      <c r="DM4456" s="50"/>
      <c r="DQ4456" s="50"/>
    </row>
    <row r="4457" spans="117:121" x14ac:dyDescent="0.35">
      <c r="DM4457" s="50"/>
      <c r="DQ4457" s="50"/>
    </row>
    <row r="4458" spans="117:121" x14ac:dyDescent="0.35">
      <c r="DM4458" s="50"/>
      <c r="DQ4458" s="50"/>
    </row>
    <row r="4459" spans="117:121" x14ac:dyDescent="0.35">
      <c r="DM4459" s="50"/>
      <c r="DQ4459" s="50"/>
    </row>
    <row r="4460" spans="117:121" x14ac:dyDescent="0.35">
      <c r="DM4460" s="50"/>
      <c r="DQ4460" s="50"/>
    </row>
    <row r="4461" spans="117:121" x14ac:dyDescent="0.35">
      <c r="DM4461" s="50"/>
      <c r="DQ4461" s="50"/>
    </row>
    <row r="4462" spans="117:121" x14ac:dyDescent="0.35">
      <c r="DM4462" s="50"/>
      <c r="DQ4462" s="50"/>
    </row>
    <row r="4463" spans="117:121" x14ac:dyDescent="0.35">
      <c r="DM4463" s="50"/>
      <c r="DQ4463" s="50"/>
    </row>
    <row r="4464" spans="117:121" x14ac:dyDescent="0.35">
      <c r="DM4464" s="50"/>
      <c r="DQ4464" s="50"/>
    </row>
    <row r="4465" spans="117:121" x14ac:dyDescent="0.35">
      <c r="DM4465" s="50"/>
      <c r="DQ4465" s="50"/>
    </row>
    <row r="4466" spans="117:121" x14ac:dyDescent="0.35">
      <c r="DM4466" s="50"/>
      <c r="DQ4466" s="50"/>
    </row>
    <row r="4467" spans="117:121" x14ac:dyDescent="0.35">
      <c r="DM4467" s="50"/>
      <c r="DQ4467" s="50"/>
    </row>
    <row r="4468" spans="117:121" x14ac:dyDescent="0.35">
      <c r="DM4468" s="50"/>
      <c r="DQ4468" s="50"/>
    </row>
    <row r="4469" spans="117:121" x14ac:dyDescent="0.35">
      <c r="DM4469" s="50"/>
      <c r="DQ4469" s="50"/>
    </row>
    <row r="4470" spans="117:121" x14ac:dyDescent="0.35">
      <c r="DM4470" s="50"/>
      <c r="DQ4470" s="50"/>
    </row>
    <row r="4471" spans="117:121" x14ac:dyDescent="0.35">
      <c r="DM4471" s="50"/>
      <c r="DQ4471" s="50"/>
    </row>
    <row r="4472" spans="117:121" x14ac:dyDescent="0.35">
      <c r="DM4472" s="50"/>
      <c r="DQ4472" s="50"/>
    </row>
    <row r="4473" spans="117:121" x14ac:dyDescent="0.35">
      <c r="DM4473" s="50"/>
      <c r="DQ4473" s="50"/>
    </row>
    <row r="4474" spans="117:121" x14ac:dyDescent="0.35">
      <c r="DM4474" s="50"/>
      <c r="DQ4474" s="50"/>
    </row>
    <row r="4475" spans="117:121" x14ac:dyDescent="0.35">
      <c r="DM4475" s="50"/>
      <c r="DQ4475" s="50"/>
    </row>
    <row r="4476" spans="117:121" x14ac:dyDescent="0.35">
      <c r="DM4476" s="50"/>
      <c r="DQ4476" s="50"/>
    </row>
    <row r="4477" spans="117:121" x14ac:dyDescent="0.35">
      <c r="DM4477" s="50"/>
      <c r="DQ4477" s="50"/>
    </row>
    <row r="4478" spans="117:121" x14ac:dyDescent="0.35">
      <c r="DM4478" s="50"/>
      <c r="DQ4478" s="50"/>
    </row>
    <row r="4479" spans="117:121" x14ac:dyDescent="0.35">
      <c r="DM4479" s="50"/>
      <c r="DQ4479" s="50"/>
    </row>
    <row r="4480" spans="117:121" x14ac:dyDescent="0.35">
      <c r="DM4480" s="50"/>
      <c r="DQ4480" s="50"/>
    </row>
    <row r="4481" spans="117:121" x14ac:dyDescent="0.35">
      <c r="DM4481" s="50"/>
      <c r="DQ4481" s="50"/>
    </row>
    <row r="4482" spans="117:121" x14ac:dyDescent="0.35">
      <c r="DM4482" s="50"/>
      <c r="DQ4482" s="50"/>
    </row>
    <row r="4483" spans="117:121" x14ac:dyDescent="0.35">
      <c r="DM4483" s="50"/>
      <c r="DQ4483" s="50"/>
    </row>
    <row r="4484" spans="117:121" x14ac:dyDescent="0.35">
      <c r="DM4484" s="50"/>
      <c r="DQ4484" s="50"/>
    </row>
    <row r="4485" spans="117:121" x14ac:dyDescent="0.35">
      <c r="DM4485" s="50"/>
      <c r="DQ4485" s="50"/>
    </row>
    <row r="4486" spans="117:121" x14ac:dyDescent="0.35">
      <c r="DM4486" s="50"/>
      <c r="DQ4486" s="50"/>
    </row>
    <row r="4487" spans="117:121" x14ac:dyDescent="0.35">
      <c r="DM4487" s="50"/>
      <c r="DQ4487" s="50"/>
    </row>
    <row r="4488" spans="117:121" x14ac:dyDescent="0.35">
      <c r="DM4488" s="50"/>
      <c r="DQ4488" s="50"/>
    </row>
    <row r="4489" spans="117:121" x14ac:dyDescent="0.35">
      <c r="DM4489" s="50"/>
      <c r="DQ4489" s="50"/>
    </row>
    <row r="4490" spans="117:121" x14ac:dyDescent="0.35">
      <c r="DM4490" s="50"/>
      <c r="DQ4490" s="50"/>
    </row>
    <row r="4491" spans="117:121" x14ac:dyDescent="0.35">
      <c r="DM4491" s="50"/>
      <c r="DQ4491" s="50"/>
    </row>
    <row r="4492" spans="117:121" x14ac:dyDescent="0.35">
      <c r="DM4492" s="50"/>
      <c r="DQ4492" s="50"/>
    </row>
    <row r="4493" spans="117:121" x14ac:dyDescent="0.35">
      <c r="DM4493" s="50"/>
      <c r="DQ4493" s="50"/>
    </row>
    <row r="4494" spans="117:121" x14ac:dyDescent="0.35">
      <c r="DM4494" s="50"/>
      <c r="DQ4494" s="50"/>
    </row>
    <row r="4495" spans="117:121" x14ac:dyDescent="0.35">
      <c r="DM4495" s="50"/>
      <c r="DQ4495" s="50"/>
    </row>
    <row r="4496" spans="117:121" x14ac:dyDescent="0.35">
      <c r="DM4496" s="50"/>
      <c r="DQ4496" s="50"/>
    </row>
    <row r="4497" spans="117:121" x14ac:dyDescent="0.35">
      <c r="DM4497" s="50"/>
      <c r="DQ4497" s="50"/>
    </row>
    <row r="4498" spans="117:121" x14ac:dyDescent="0.35">
      <c r="DM4498" s="50"/>
      <c r="DQ4498" s="50"/>
    </row>
    <row r="4499" spans="117:121" x14ac:dyDescent="0.35">
      <c r="DM4499" s="50"/>
      <c r="DQ4499" s="50"/>
    </row>
    <row r="4500" spans="117:121" x14ac:dyDescent="0.35">
      <c r="DM4500" s="50"/>
      <c r="DQ4500" s="50"/>
    </row>
    <row r="4501" spans="117:121" x14ac:dyDescent="0.35">
      <c r="DM4501" s="50"/>
      <c r="DQ4501" s="50"/>
    </row>
    <row r="4502" spans="117:121" x14ac:dyDescent="0.35">
      <c r="DM4502" s="50"/>
      <c r="DQ4502" s="50"/>
    </row>
    <row r="4503" spans="117:121" x14ac:dyDescent="0.35">
      <c r="DM4503" s="50"/>
      <c r="DQ4503" s="50"/>
    </row>
    <row r="4504" spans="117:121" x14ac:dyDescent="0.35">
      <c r="DM4504" s="50"/>
      <c r="DQ4504" s="50"/>
    </row>
    <row r="4505" spans="117:121" x14ac:dyDescent="0.35">
      <c r="DM4505" s="50"/>
      <c r="DQ4505" s="50"/>
    </row>
    <row r="4506" spans="117:121" x14ac:dyDescent="0.35">
      <c r="DM4506" s="50"/>
      <c r="DQ4506" s="50"/>
    </row>
    <row r="4507" spans="117:121" x14ac:dyDescent="0.35">
      <c r="DM4507" s="50"/>
      <c r="DQ4507" s="50"/>
    </row>
    <row r="4508" spans="117:121" x14ac:dyDescent="0.35">
      <c r="DM4508" s="50"/>
      <c r="DQ4508" s="50"/>
    </row>
    <row r="4509" spans="117:121" x14ac:dyDescent="0.35">
      <c r="DM4509" s="50"/>
      <c r="DQ4509" s="50"/>
    </row>
    <row r="4510" spans="117:121" x14ac:dyDescent="0.35">
      <c r="DM4510" s="50"/>
      <c r="DQ4510" s="50"/>
    </row>
    <row r="4511" spans="117:121" x14ac:dyDescent="0.35">
      <c r="DM4511" s="50"/>
      <c r="DQ4511" s="50"/>
    </row>
    <row r="4512" spans="117:121" x14ac:dyDescent="0.35">
      <c r="DM4512" s="50"/>
      <c r="DQ4512" s="50"/>
    </row>
    <row r="4513" spans="117:121" x14ac:dyDescent="0.35">
      <c r="DM4513" s="50"/>
      <c r="DQ4513" s="50"/>
    </row>
    <row r="4514" spans="117:121" x14ac:dyDescent="0.35">
      <c r="DM4514" s="50"/>
      <c r="DQ4514" s="50"/>
    </row>
    <row r="4515" spans="117:121" x14ac:dyDescent="0.35">
      <c r="DM4515" s="50"/>
      <c r="DQ4515" s="50"/>
    </row>
    <row r="4516" spans="117:121" x14ac:dyDescent="0.35">
      <c r="DM4516" s="50"/>
      <c r="DQ4516" s="50"/>
    </row>
    <row r="4517" spans="117:121" x14ac:dyDescent="0.35">
      <c r="DM4517" s="50"/>
      <c r="DQ4517" s="50"/>
    </row>
    <row r="4518" spans="117:121" x14ac:dyDescent="0.35">
      <c r="DM4518" s="50"/>
      <c r="DQ4518" s="50"/>
    </row>
    <row r="4519" spans="117:121" x14ac:dyDescent="0.35">
      <c r="DM4519" s="50"/>
      <c r="DQ4519" s="50"/>
    </row>
    <row r="4520" spans="117:121" x14ac:dyDescent="0.35">
      <c r="DM4520" s="50"/>
      <c r="DQ4520" s="50"/>
    </row>
    <row r="4521" spans="117:121" x14ac:dyDescent="0.35">
      <c r="DM4521" s="50"/>
      <c r="DQ4521" s="50"/>
    </row>
    <row r="4522" spans="117:121" x14ac:dyDescent="0.35">
      <c r="DM4522" s="50"/>
      <c r="DQ4522" s="50"/>
    </row>
    <row r="4523" spans="117:121" x14ac:dyDescent="0.35">
      <c r="DM4523" s="50"/>
      <c r="DQ4523" s="50"/>
    </row>
    <row r="4524" spans="117:121" x14ac:dyDescent="0.35">
      <c r="DM4524" s="50"/>
      <c r="DQ4524" s="50"/>
    </row>
    <row r="4525" spans="117:121" x14ac:dyDescent="0.35">
      <c r="DM4525" s="50"/>
      <c r="DQ4525" s="50"/>
    </row>
    <row r="4526" spans="117:121" x14ac:dyDescent="0.35">
      <c r="DM4526" s="50"/>
      <c r="DQ4526" s="50"/>
    </row>
    <row r="4527" spans="117:121" x14ac:dyDescent="0.35">
      <c r="DM4527" s="50"/>
      <c r="DQ4527" s="50"/>
    </row>
    <row r="4528" spans="117:121" x14ac:dyDescent="0.35">
      <c r="DM4528" s="50"/>
      <c r="DQ4528" s="50"/>
    </row>
    <row r="4529" spans="117:121" x14ac:dyDescent="0.35">
      <c r="DM4529" s="50"/>
      <c r="DQ4529" s="50"/>
    </row>
    <row r="4530" spans="117:121" x14ac:dyDescent="0.35">
      <c r="DM4530" s="50"/>
      <c r="DQ4530" s="50"/>
    </row>
    <row r="4531" spans="117:121" x14ac:dyDescent="0.35">
      <c r="DM4531" s="50"/>
      <c r="DQ4531" s="50"/>
    </row>
    <row r="4532" spans="117:121" x14ac:dyDescent="0.35">
      <c r="DM4532" s="50"/>
      <c r="DQ4532" s="50"/>
    </row>
    <row r="4533" spans="117:121" x14ac:dyDescent="0.35">
      <c r="DM4533" s="50"/>
      <c r="DQ4533" s="50"/>
    </row>
    <row r="4534" spans="117:121" x14ac:dyDescent="0.35">
      <c r="DM4534" s="50"/>
      <c r="DQ4534" s="50"/>
    </row>
    <row r="4535" spans="117:121" x14ac:dyDescent="0.35">
      <c r="DM4535" s="50"/>
      <c r="DQ4535" s="50"/>
    </row>
    <row r="4536" spans="117:121" x14ac:dyDescent="0.35">
      <c r="DM4536" s="50"/>
      <c r="DQ4536" s="50"/>
    </row>
    <row r="4537" spans="117:121" x14ac:dyDescent="0.35">
      <c r="DM4537" s="50"/>
      <c r="DQ4537" s="50"/>
    </row>
    <row r="4538" spans="117:121" x14ac:dyDescent="0.35">
      <c r="DM4538" s="50"/>
      <c r="DQ4538" s="50"/>
    </row>
    <row r="4539" spans="117:121" x14ac:dyDescent="0.35">
      <c r="DM4539" s="50"/>
      <c r="DQ4539" s="50"/>
    </row>
    <row r="4540" spans="117:121" x14ac:dyDescent="0.35">
      <c r="DM4540" s="50"/>
      <c r="DQ4540" s="50"/>
    </row>
    <row r="4541" spans="117:121" x14ac:dyDescent="0.35">
      <c r="DM4541" s="50"/>
      <c r="DQ4541" s="50"/>
    </row>
    <row r="4542" spans="117:121" x14ac:dyDescent="0.35">
      <c r="DM4542" s="50"/>
      <c r="DQ4542" s="50"/>
    </row>
    <row r="4543" spans="117:121" x14ac:dyDescent="0.35">
      <c r="DM4543" s="50"/>
      <c r="DQ4543" s="50"/>
    </row>
    <row r="4544" spans="117:121" x14ac:dyDescent="0.35">
      <c r="DM4544" s="50"/>
      <c r="DQ4544" s="50"/>
    </row>
    <row r="4545" spans="117:121" x14ac:dyDescent="0.35">
      <c r="DM4545" s="50"/>
      <c r="DQ4545" s="50"/>
    </row>
    <row r="4546" spans="117:121" x14ac:dyDescent="0.35">
      <c r="DM4546" s="50"/>
      <c r="DQ4546" s="50"/>
    </row>
    <row r="4547" spans="117:121" x14ac:dyDescent="0.35">
      <c r="DM4547" s="50"/>
      <c r="DQ4547" s="50"/>
    </row>
    <row r="4548" spans="117:121" x14ac:dyDescent="0.35">
      <c r="DM4548" s="50"/>
      <c r="DQ4548" s="50"/>
    </row>
    <row r="4549" spans="117:121" x14ac:dyDescent="0.35">
      <c r="DM4549" s="50"/>
      <c r="DQ4549" s="50"/>
    </row>
    <row r="4550" spans="117:121" x14ac:dyDescent="0.35">
      <c r="DM4550" s="50"/>
      <c r="DQ4550" s="50"/>
    </row>
    <row r="4551" spans="117:121" x14ac:dyDescent="0.35">
      <c r="DM4551" s="50"/>
      <c r="DQ4551" s="50"/>
    </row>
    <row r="4552" spans="117:121" x14ac:dyDescent="0.35">
      <c r="DM4552" s="50"/>
      <c r="DQ4552" s="50"/>
    </row>
    <row r="4553" spans="117:121" x14ac:dyDescent="0.35">
      <c r="DM4553" s="50"/>
      <c r="DQ4553" s="50"/>
    </row>
    <row r="4554" spans="117:121" x14ac:dyDescent="0.35">
      <c r="DM4554" s="50"/>
      <c r="DQ4554" s="50"/>
    </row>
    <row r="4555" spans="117:121" x14ac:dyDescent="0.35">
      <c r="DM4555" s="50"/>
      <c r="DQ4555" s="50"/>
    </row>
    <row r="4556" spans="117:121" x14ac:dyDescent="0.35">
      <c r="DM4556" s="50"/>
      <c r="DQ4556" s="50"/>
    </row>
    <row r="4557" spans="117:121" x14ac:dyDescent="0.35">
      <c r="DM4557" s="50"/>
      <c r="DQ4557" s="50"/>
    </row>
    <row r="4558" spans="117:121" x14ac:dyDescent="0.35">
      <c r="DM4558" s="50"/>
      <c r="DQ4558" s="50"/>
    </row>
    <row r="4559" spans="117:121" x14ac:dyDescent="0.35">
      <c r="DM4559" s="50"/>
      <c r="DQ4559" s="50"/>
    </row>
    <row r="4560" spans="117:121" x14ac:dyDescent="0.35">
      <c r="DM4560" s="50"/>
      <c r="DQ4560" s="50"/>
    </row>
    <row r="4561" spans="117:121" x14ac:dyDescent="0.35">
      <c r="DM4561" s="50"/>
      <c r="DQ4561" s="50"/>
    </row>
    <row r="4562" spans="117:121" x14ac:dyDescent="0.35">
      <c r="DM4562" s="50"/>
      <c r="DQ4562" s="50"/>
    </row>
    <row r="4563" spans="117:121" x14ac:dyDescent="0.35">
      <c r="DM4563" s="50"/>
      <c r="DQ4563" s="50"/>
    </row>
    <row r="4564" spans="117:121" x14ac:dyDescent="0.35">
      <c r="DM4564" s="50"/>
      <c r="DQ4564" s="50"/>
    </row>
    <row r="4565" spans="117:121" x14ac:dyDescent="0.35">
      <c r="DM4565" s="50"/>
      <c r="DQ4565" s="50"/>
    </row>
    <row r="4566" spans="117:121" x14ac:dyDescent="0.35">
      <c r="DM4566" s="50"/>
      <c r="DQ4566" s="50"/>
    </row>
    <row r="4567" spans="117:121" x14ac:dyDescent="0.35">
      <c r="DM4567" s="50"/>
      <c r="DQ4567" s="50"/>
    </row>
    <row r="4568" spans="117:121" x14ac:dyDescent="0.35">
      <c r="DM4568" s="50"/>
      <c r="DQ4568" s="50"/>
    </row>
    <row r="4569" spans="117:121" x14ac:dyDescent="0.35">
      <c r="DM4569" s="50"/>
      <c r="DQ4569" s="50"/>
    </row>
    <row r="4570" spans="117:121" x14ac:dyDescent="0.35">
      <c r="DM4570" s="50"/>
      <c r="DQ4570" s="50"/>
    </row>
    <row r="4571" spans="117:121" x14ac:dyDescent="0.35">
      <c r="DM4571" s="50"/>
      <c r="DQ4571" s="50"/>
    </row>
    <row r="4572" spans="117:121" x14ac:dyDescent="0.35">
      <c r="DM4572" s="50"/>
      <c r="DQ4572" s="50"/>
    </row>
    <row r="4573" spans="117:121" x14ac:dyDescent="0.35">
      <c r="DM4573" s="50"/>
      <c r="DQ4573" s="50"/>
    </row>
    <row r="4574" spans="117:121" x14ac:dyDescent="0.35">
      <c r="DM4574" s="50"/>
      <c r="DQ4574" s="50"/>
    </row>
    <row r="4575" spans="117:121" x14ac:dyDescent="0.35">
      <c r="DM4575" s="50"/>
      <c r="DQ4575" s="50"/>
    </row>
    <row r="4576" spans="117:121" x14ac:dyDescent="0.35">
      <c r="DM4576" s="50"/>
      <c r="DQ4576" s="50"/>
    </row>
    <row r="4577" spans="117:121" x14ac:dyDescent="0.35">
      <c r="DM4577" s="50"/>
      <c r="DQ4577" s="50"/>
    </row>
    <row r="4578" spans="117:121" x14ac:dyDescent="0.35">
      <c r="DM4578" s="50"/>
      <c r="DQ4578" s="50"/>
    </row>
    <row r="4579" spans="117:121" x14ac:dyDescent="0.35">
      <c r="DM4579" s="50"/>
      <c r="DQ4579" s="50"/>
    </row>
    <row r="4580" spans="117:121" x14ac:dyDescent="0.35">
      <c r="DM4580" s="50"/>
      <c r="DQ4580" s="50"/>
    </row>
    <row r="4581" spans="117:121" x14ac:dyDescent="0.35">
      <c r="DM4581" s="50"/>
      <c r="DQ4581" s="50"/>
    </row>
    <row r="4582" spans="117:121" x14ac:dyDescent="0.35">
      <c r="DM4582" s="50"/>
      <c r="DQ4582" s="50"/>
    </row>
    <row r="4583" spans="117:121" x14ac:dyDescent="0.35">
      <c r="DM4583" s="50"/>
      <c r="DQ4583" s="50"/>
    </row>
    <row r="4584" spans="117:121" x14ac:dyDescent="0.35">
      <c r="DM4584" s="50"/>
      <c r="DQ4584" s="50"/>
    </row>
    <row r="4585" spans="117:121" x14ac:dyDescent="0.35">
      <c r="DM4585" s="50"/>
      <c r="DQ4585" s="50"/>
    </row>
    <row r="4586" spans="117:121" x14ac:dyDescent="0.35">
      <c r="DM4586" s="50"/>
      <c r="DQ4586" s="50"/>
    </row>
    <row r="4587" spans="117:121" x14ac:dyDescent="0.35">
      <c r="DM4587" s="50"/>
      <c r="DQ4587" s="50"/>
    </row>
    <row r="4588" spans="117:121" x14ac:dyDescent="0.35">
      <c r="DM4588" s="50"/>
      <c r="DQ4588" s="50"/>
    </row>
    <row r="4589" spans="117:121" x14ac:dyDescent="0.35">
      <c r="DM4589" s="50"/>
      <c r="DQ4589" s="50"/>
    </row>
    <row r="4590" spans="117:121" x14ac:dyDescent="0.35">
      <c r="DM4590" s="50"/>
      <c r="DQ4590" s="50"/>
    </row>
    <row r="4591" spans="117:121" x14ac:dyDescent="0.35">
      <c r="DM4591" s="50"/>
      <c r="DQ4591" s="50"/>
    </row>
    <row r="4592" spans="117:121" x14ac:dyDescent="0.35">
      <c r="DM4592" s="50"/>
      <c r="DQ4592" s="50"/>
    </row>
    <row r="4593" spans="117:121" x14ac:dyDescent="0.35">
      <c r="DM4593" s="50"/>
      <c r="DQ4593" s="50"/>
    </row>
    <row r="4594" spans="117:121" x14ac:dyDescent="0.35">
      <c r="DM4594" s="50"/>
      <c r="DQ4594" s="50"/>
    </row>
    <row r="4595" spans="117:121" x14ac:dyDescent="0.35">
      <c r="DM4595" s="50"/>
      <c r="DQ4595" s="50"/>
    </row>
    <row r="4596" spans="117:121" x14ac:dyDescent="0.35">
      <c r="DM4596" s="50"/>
      <c r="DQ4596" s="50"/>
    </row>
    <row r="4597" spans="117:121" x14ac:dyDescent="0.35">
      <c r="DM4597" s="50"/>
      <c r="DQ4597" s="50"/>
    </row>
    <row r="4598" spans="117:121" x14ac:dyDescent="0.35">
      <c r="DM4598" s="50"/>
      <c r="DQ4598" s="50"/>
    </row>
    <row r="4599" spans="117:121" x14ac:dyDescent="0.35">
      <c r="DM4599" s="50"/>
      <c r="DQ4599" s="50"/>
    </row>
    <row r="4600" spans="117:121" x14ac:dyDescent="0.35">
      <c r="DM4600" s="50"/>
      <c r="DQ4600" s="50"/>
    </row>
    <row r="4601" spans="117:121" x14ac:dyDescent="0.35">
      <c r="DM4601" s="50"/>
      <c r="DQ4601" s="50"/>
    </row>
    <row r="4602" spans="117:121" x14ac:dyDescent="0.35">
      <c r="DM4602" s="50"/>
      <c r="DQ4602" s="50"/>
    </row>
    <row r="4603" spans="117:121" x14ac:dyDescent="0.35">
      <c r="DM4603" s="50"/>
      <c r="DQ4603" s="50"/>
    </row>
    <row r="4604" spans="117:121" x14ac:dyDescent="0.35">
      <c r="DM4604" s="50"/>
      <c r="DQ4604" s="50"/>
    </row>
    <row r="4605" spans="117:121" x14ac:dyDescent="0.35">
      <c r="DM4605" s="50"/>
      <c r="DQ4605" s="50"/>
    </row>
    <row r="4606" spans="117:121" x14ac:dyDescent="0.35">
      <c r="DM4606" s="50"/>
      <c r="DQ4606" s="50"/>
    </row>
    <row r="4607" spans="117:121" x14ac:dyDescent="0.35">
      <c r="DM4607" s="50"/>
      <c r="DQ4607" s="50"/>
    </row>
    <row r="4608" spans="117:121" x14ac:dyDescent="0.35">
      <c r="DM4608" s="50"/>
      <c r="DQ4608" s="50"/>
    </row>
    <row r="4609" spans="117:121" x14ac:dyDescent="0.35">
      <c r="DM4609" s="50"/>
      <c r="DQ4609" s="50"/>
    </row>
    <row r="4610" spans="117:121" x14ac:dyDescent="0.35">
      <c r="DM4610" s="50"/>
      <c r="DQ4610" s="50"/>
    </row>
    <row r="4611" spans="117:121" x14ac:dyDescent="0.35">
      <c r="DM4611" s="50"/>
      <c r="DQ4611" s="50"/>
    </row>
    <row r="4612" spans="117:121" x14ac:dyDescent="0.35">
      <c r="DM4612" s="50"/>
      <c r="DQ4612" s="50"/>
    </row>
    <row r="4613" spans="117:121" x14ac:dyDescent="0.35">
      <c r="DM4613" s="50"/>
      <c r="DQ4613" s="50"/>
    </row>
    <row r="4614" spans="117:121" x14ac:dyDescent="0.35">
      <c r="DM4614" s="50"/>
      <c r="DQ4614" s="50"/>
    </row>
    <row r="4615" spans="117:121" x14ac:dyDescent="0.35">
      <c r="DM4615" s="50"/>
      <c r="DQ4615" s="50"/>
    </row>
    <row r="4616" spans="117:121" x14ac:dyDescent="0.35">
      <c r="DM4616" s="50"/>
      <c r="DQ4616" s="50"/>
    </row>
    <row r="4617" spans="117:121" x14ac:dyDescent="0.35">
      <c r="DM4617" s="50"/>
      <c r="DQ4617" s="50"/>
    </row>
    <row r="4618" spans="117:121" x14ac:dyDescent="0.35">
      <c r="DM4618" s="50"/>
      <c r="DQ4618" s="50"/>
    </row>
    <row r="4619" spans="117:121" x14ac:dyDescent="0.35">
      <c r="DM4619" s="50"/>
      <c r="DQ4619" s="50"/>
    </row>
    <row r="4620" spans="117:121" x14ac:dyDescent="0.35">
      <c r="DM4620" s="50"/>
      <c r="DQ4620" s="50"/>
    </row>
    <row r="4621" spans="117:121" x14ac:dyDescent="0.35">
      <c r="DM4621" s="50"/>
      <c r="DQ4621" s="50"/>
    </row>
    <row r="4622" spans="117:121" x14ac:dyDescent="0.35">
      <c r="DM4622" s="50"/>
      <c r="DQ4622" s="50"/>
    </row>
    <row r="4623" spans="117:121" x14ac:dyDescent="0.35">
      <c r="DM4623" s="50"/>
      <c r="DQ4623" s="50"/>
    </row>
    <row r="4624" spans="117:121" x14ac:dyDescent="0.35">
      <c r="DM4624" s="50"/>
      <c r="DQ4624" s="50"/>
    </row>
    <row r="4625" spans="117:121" x14ac:dyDescent="0.35">
      <c r="DM4625" s="50"/>
      <c r="DQ4625" s="50"/>
    </row>
    <row r="4626" spans="117:121" x14ac:dyDescent="0.35">
      <c r="DM4626" s="50"/>
      <c r="DQ4626" s="50"/>
    </row>
    <row r="4627" spans="117:121" x14ac:dyDescent="0.35">
      <c r="DM4627" s="50"/>
      <c r="DQ4627" s="50"/>
    </row>
    <row r="4628" spans="117:121" x14ac:dyDescent="0.35">
      <c r="DM4628" s="50"/>
      <c r="DQ4628" s="50"/>
    </row>
    <row r="4629" spans="117:121" x14ac:dyDescent="0.35">
      <c r="DM4629" s="50"/>
      <c r="DQ4629" s="50"/>
    </row>
    <row r="4630" spans="117:121" x14ac:dyDescent="0.35">
      <c r="DM4630" s="50"/>
      <c r="DQ4630" s="50"/>
    </row>
    <row r="4631" spans="117:121" x14ac:dyDescent="0.35">
      <c r="DM4631" s="50"/>
      <c r="DQ4631" s="50"/>
    </row>
    <row r="4632" spans="117:121" x14ac:dyDescent="0.35">
      <c r="DM4632" s="50"/>
      <c r="DQ4632" s="50"/>
    </row>
    <row r="4633" spans="117:121" x14ac:dyDescent="0.35">
      <c r="DM4633" s="50"/>
      <c r="DQ4633" s="50"/>
    </row>
    <row r="4634" spans="117:121" x14ac:dyDescent="0.35">
      <c r="DM4634" s="50"/>
      <c r="DQ4634" s="50"/>
    </row>
    <row r="4635" spans="117:121" x14ac:dyDescent="0.35">
      <c r="DM4635" s="50"/>
      <c r="DQ4635" s="50"/>
    </row>
    <row r="4636" spans="117:121" x14ac:dyDescent="0.35">
      <c r="DM4636" s="50"/>
      <c r="DQ4636" s="50"/>
    </row>
    <row r="4637" spans="117:121" x14ac:dyDescent="0.35">
      <c r="DM4637" s="50"/>
      <c r="DQ4637" s="50"/>
    </row>
    <row r="4638" spans="117:121" x14ac:dyDescent="0.35">
      <c r="DM4638" s="50"/>
      <c r="DQ4638" s="50"/>
    </row>
    <row r="4639" spans="117:121" x14ac:dyDescent="0.35">
      <c r="DM4639" s="50"/>
      <c r="DQ4639" s="50"/>
    </row>
    <row r="4640" spans="117:121" x14ac:dyDescent="0.35">
      <c r="DM4640" s="50"/>
      <c r="DQ4640" s="50"/>
    </row>
    <row r="4641" spans="117:121" x14ac:dyDescent="0.35">
      <c r="DM4641" s="50"/>
      <c r="DQ4641" s="50"/>
    </row>
    <row r="4642" spans="117:121" x14ac:dyDescent="0.35">
      <c r="DM4642" s="50"/>
      <c r="DQ4642" s="50"/>
    </row>
    <row r="4643" spans="117:121" x14ac:dyDescent="0.35">
      <c r="DM4643" s="50"/>
      <c r="DQ4643" s="50"/>
    </row>
    <row r="4644" spans="117:121" x14ac:dyDescent="0.35">
      <c r="DM4644" s="50"/>
      <c r="DQ4644" s="50"/>
    </row>
    <row r="4645" spans="117:121" x14ac:dyDescent="0.35">
      <c r="DM4645" s="50"/>
      <c r="DQ4645" s="50"/>
    </row>
    <row r="4646" spans="117:121" x14ac:dyDescent="0.35">
      <c r="DM4646" s="50"/>
      <c r="DQ4646" s="50"/>
    </row>
    <row r="4647" spans="117:121" x14ac:dyDescent="0.35">
      <c r="DM4647" s="50"/>
      <c r="DQ4647" s="50"/>
    </row>
    <row r="4648" spans="117:121" x14ac:dyDescent="0.35">
      <c r="DM4648" s="50"/>
      <c r="DQ4648" s="50"/>
    </row>
    <row r="4649" spans="117:121" x14ac:dyDescent="0.35">
      <c r="DM4649" s="50"/>
      <c r="DQ4649" s="50"/>
    </row>
    <row r="4650" spans="117:121" x14ac:dyDescent="0.35">
      <c r="DM4650" s="50"/>
      <c r="DQ4650" s="50"/>
    </row>
    <row r="4651" spans="117:121" x14ac:dyDescent="0.35">
      <c r="DM4651" s="50"/>
      <c r="DQ4651" s="50"/>
    </row>
    <row r="4652" spans="117:121" x14ac:dyDescent="0.35">
      <c r="DM4652" s="50"/>
      <c r="DQ4652" s="50"/>
    </row>
    <row r="4653" spans="117:121" x14ac:dyDescent="0.35">
      <c r="DM4653" s="50"/>
      <c r="DQ4653" s="50"/>
    </row>
    <row r="4654" spans="117:121" x14ac:dyDescent="0.35">
      <c r="DM4654" s="50"/>
      <c r="DQ4654" s="50"/>
    </row>
    <row r="4655" spans="117:121" x14ac:dyDescent="0.35">
      <c r="DM4655" s="50"/>
      <c r="DQ4655" s="50"/>
    </row>
    <row r="4656" spans="117:121" x14ac:dyDescent="0.35">
      <c r="DM4656" s="50"/>
      <c r="DQ4656" s="50"/>
    </row>
    <row r="4657" spans="117:121" x14ac:dyDescent="0.35">
      <c r="DM4657" s="50"/>
      <c r="DQ4657" s="50"/>
    </row>
    <row r="4658" spans="117:121" x14ac:dyDescent="0.35">
      <c r="DM4658" s="50"/>
      <c r="DQ4658" s="50"/>
    </row>
    <row r="4659" spans="117:121" x14ac:dyDescent="0.35">
      <c r="DM4659" s="50"/>
      <c r="DQ4659" s="50"/>
    </row>
    <row r="4660" spans="117:121" x14ac:dyDescent="0.35">
      <c r="DM4660" s="50"/>
      <c r="DQ4660" s="50"/>
    </row>
    <row r="4661" spans="117:121" x14ac:dyDescent="0.35">
      <c r="DM4661" s="50"/>
      <c r="DQ4661" s="50"/>
    </row>
    <row r="4662" spans="117:121" x14ac:dyDescent="0.35">
      <c r="DM4662" s="50"/>
      <c r="DQ4662" s="50"/>
    </row>
    <row r="4663" spans="117:121" x14ac:dyDescent="0.35">
      <c r="DM4663" s="50"/>
      <c r="DQ4663" s="50"/>
    </row>
    <row r="4664" spans="117:121" x14ac:dyDescent="0.35">
      <c r="DM4664" s="50"/>
      <c r="DQ4664" s="50"/>
    </row>
    <row r="4665" spans="117:121" x14ac:dyDescent="0.35">
      <c r="DM4665" s="50"/>
      <c r="DQ4665" s="50"/>
    </row>
    <row r="4666" spans="117:121" x14ac:dyDescent="0.35">
      <c r="DM4666" s="50"/>
      <c r="DQ4666" s="50"/>
    </row>
    <row r="4667" spans="117:121" x14ac:dyDescent="0.35">
      <c r="DM4667" s="50"/>
      <c r="DQ4667" s="50"/>
    </row>
    <row r="4668" spans="117:121" x14ac:dyDescent="0.35">
      <c r="DM4668" s="50"/>
      <c r="DQ4668" s="50"/>
    </row>
    <row r="4669" spans="117:121" x14ac:dyDescent="0.35">
      <c r="DM4669" s="50"/>
      <c r="DQ4669" s="50"/>
    </row>
    <row r="4670" spans="117:121" x14ac:dyDescent="0.35">
      <c r="DM4670" s="50"/>
      <c r="DQ4670" s="50"/>
    </row>
    <row r="4671" spans="117:121" x14ac:dyDescent="0.35">
      <c r="DM4671" s="50"/>
      <c r="DQ4671" s="50"/>
    </row>
    <row r="4672" spans="117:121" x14ac:dyDescent="0.35">
      <c r="DM4672" s="50"/>
      <c r="DQ4672" s="50"/>
    </row>
    <row r="4673" spans="117:121" x14ac:dyDescent="0.35">
      <c r="DM4673" s="50"/>
      <c r="DQ4673" s="50"/>
    </row>
    <row r="4674" spans="117:121" x14ac:dyDescent="0.35">
      <c r="DM4674" s="50"/>
      <c r="DQ4674" s="50"/>
    </row>
    <row r="4675" spans="117:121" x14ac:dyDescent="0.35">
      <c r="DM4675" s="50"/>
      <c r="DQ4675" s="50"/>
    </row>
    <row r="4676" spans="117:121" x14ac:dyDescent="0.35">
      <c r="DM4676" s="50"/>
      <c r="DQ4676" s="50"/>
    </row>
    <row r="4677" spans="117:121" x14ac:dyDescent="0.35">
      <c r="DM4677" s="50"/>
      <c r="DQ4677" s="50"/>
    </row>
    <row r="4678" spans="117:121" x14ac:dyDescent="0.35">
      <c r="DM4678" s="50"/>
      <c r="DQ4678" s="50"/>
    </row>
    <row r="4679" spans="117:121" x14ac:dyDescent="0.35">
      <c r="DM4679" s="50"/>
      <c r="DQ4679" s="50"/>
    </row>
    <row r="4680" spans="117:121" x14ac:dyDescent="0.35">
      <c r="DM4680" s="50"/>
      <c r="DQ4680" s="50"/>
    </row>
    <row r="4681" spans="117:121" x14ac:dyDescent="0.35">
      <c r="DM4681" s="50"/>
      <c r="DQ4681" s="50"/>
    </row>
    <row r="4682" spans="117:121" x14ac:dyDescent="0.35">
      <c r="DM4682" s="50"/>
      <c r="DQ4682" s="50"/>
    </row>
    <row r="4683" spans="117:121" x14ac:dyDescent="0.35">
      <c r="DM4683" s="50"/>
      <c r="DQ4683" s="50"/>
    </row>
    <row r="4684" spans="117:121" x14ac:dyDescent="0.35">
      <c r="DM4684" s="50"/>
      <c r="DQ4684" s="50"/>
    </row>
    <row r="4685" spans="117:121" x14ac:dyDescent="0.35">
      <c r="DM4685" s="50"/>
      <c r="DQ4685" s="50"/>
    </row>
    <row r="4686" spans="117:121" x14ac:dyDescent="0.35">
      <c r="DM4686" s="50"/>
      <c r="DQ4686" s="50"/>
    </row>
    <row r="4687" spans="117:121" x14ac:dyDescent="0.35">
      <c r="DM4687" s="50"/>
      <c r="DQ4687" s="50"/>
    </row>
    <row r="4688" spans="117:121" x14ac:dyDescent="0.35">
      <c r="DM4688" s="50"/>
      <c r="DQ4688" s="50"/>
    </row>
    <row r="4689" spans="117:121" x14ac:dyDescent="0.35">
      <c r="DM4689" s="50"/>
      <c r="DQ4689" s="50"/>
    </row>
    <row r="4690" spans="117:121" x14ac:dyDescent="0.35">
      <c r="DM4690" s="50"/>
      <c r="DQ4690" s="50"/>
    </row>
    <row r="4691" spans="117:121" x14ac:dyDescent="0.35">
      <c r="DM4691" s="50"/>
      <c r="DQ4691" s="50"/>
    </row>
    <row r="4692" spans="117:121" x14ac:dyDescent="0.35">
      <c r="DM4692" s="50"/>
      <c r="DQ4692" s="50"/>
    </row>
    <row r="4693" spans="117:121" x14ac:dyDescent="0.35">
      <c r="DM4693" s="50"/>
      <c r="DQ4693" s="50"/>
    </row>
    <row r="4694" spans="117:121" x14ac:dyDescent="0.35">
      <c r="DM4694" s="50"/>
      <c r="DQ4694" s="50"/>
    </row>
    <row r="4695" spans="117:121" x14ac:dyDescent="0.35">
      <c r="DM4695" s="50"/>
      <c r="DQ4695" s="50"/>
    </row>
    <row r="4696" spans="117:121" x14ac:dyDescent="0.35">
      <c r="DM4696" s="50"/>
      <c r="DQ4696" s="50"/>
    </row>
    <row r="4697" spans="117:121" x14ac:dyDescent="0.35">
      <c r="DM4697" s="50"/>
      <c r="DQ4697" s="50"/>
    </row>
    <row r="4698" spans="117:121" x14ac:dyDescent="0.35">
      <c r="DM4698" s="50"/>
      <c r="DQ4698" s="50"/>
    </row>
    <row r="4699" spans="117:121" x14ac:dyDescent="0.35">
      <c r="DM4699" s="50"/>
      <c r="DQ4699" s="50"/>
    </row>
    <row r="4700" spans="117:121" x14ac:dyDescent="0.35">
      <c r="DM4700" s="50"/>
      <c r="DQ4700" s="50"/>
    </row>
    <row r="4701" spans="117:121" x14ac:dyDescent="0.35">
      <c r="DM4701" s="50"/>
      <c r="DQ4701" s="50"/>
    </row>
    <row r="4702" spans="117:121" x14ac:dyDescent="0.35">
      <c r="DM4702" s="50"/>
      <c r="DQ4702" s="50"/>
    </row>
    <row r="4703" spans="117:121" x14ac:dyDescent="0.35">
      <c r="DM4703" s="50"/>
      <c r="DQ4703" s="50"/>
    </row>
    <row r="4704" spans="117:121" x14ac:dyDescent="0.35">
      <c r="DM4704" s="50"/>
      <c r="DQ4704" s="50"/>
    </row>
    <row r="4705" spans="117:121" x14ac:dyDescent="0.35">
      <c r="DM4705" s="50"/>
      <c r="DQ4705" s="50"/>
    </row>
    <row r="4706" spans="117:121" x14ac:dyDescent="0.35">
      <c r="DM4706" s="50"/>
      <c r="DQ4706" s="50"/>
    </row>
    <row r="4707" spans="117:121" x14ac:dyDescent="0.35">
      <c r="DM4707" s="50"/>
      <c r="DQ4707" s="50"/>
    </row>
    <row r="4708" spans="117:121" x14ac:dyDescent="0.35">
      <c r="DM4708" s="50"/>
      <c r="DQ4708" s="50"/>
    </row>
    <row r="4709" spans="117:121" x14ac:dyDescent="0.35">
      <c r="DM4709" s="50"/>
      <c r="DQ4709" s="50"/>
    </row>
    <row r="4710" spans="117:121" x14ac:dyDescent="0.35">
      <c r="DM4710" s="50"/>
      <c r="DQ4710" s="50"/>
    </row>
    <row r="4711" spans="117:121" x14ac:dyDescent="0.35">
      <c r="DM4711" s="50"/>
      <c r="DQ4711" s="50"/>
    </row>
    <row r="4712" spans="117:121" x14ac:dyDescent="0.35">
      <c r="DM4712" s="50"/>
      <c r="DQ4712" s="50"/>
    </row>
    <row r="4713" spans="117:121" x14ac:dyDescent="0.35">
      <c r="DM4713" s="50"/>
      <c r="DQ4713" s="50"/>
    </row>
    <row r="4714" spans="117:121" x14ac:dyDescent="0.35">
      <c r="DM4714" s="50"/>
      <c r="DQ4714" s="50"/>
    </row>
    <row r="4715" spans="117:121" x14ac:dyDescent="0.35">
      <c r="DM4715" s="50"/>
      <c r="DQ4715" s="50"/>
    </row>
    <row r="4716" spans="117:121" x14ac:dyDescent="0.35">
      <c r="DM4716" s="50"/>
      <c r="DQ4716" s="50"/>
    </row>
    <row r="4717" spans="117:121" x14ac:dyDescent="0.35">
      <c r="DM4717" s="50"/>
      <c r="DQ4717" s="50"/>
    </row>
    <row r="4718" spans="117:121" x14ac:dyDescent="0.35">
      <c r="DM4718" s="50"/>
      <c r="DQ4718" s="50"/>
    </row>
    <row r="4719" spans="117:121" x14ac:dyDescent="0.35">
      <c r="DM4719" s="50"/>
      <c r="DQ4719" s="50"/>
    </row>
    <row r="4720" spans="117:121" x14ac:dyDescent="0.35">
      <c r="DM4720" s="50"/>
      <c r="DQ4720" s="50"/>
    </row>
    <row r="4721" spans="117:121" x14ac:dyDescent="0.35">
      <c r="DM4721" s="50"/>
      <c r="DQ4721" s="50"/>
    </row>
    <row r="4722" spans="117:121" x14ac:dyDescent="0.35">
      <c r="DM4722" s="50"/>
      <c r="DQ4722" s="50"/>
    </row>
    <row r="4723" spans="117:121" x14ac:dyDescent="0.35">
      <c r="DM4723" s="50"/>
      <c r="DQ4723" s="50"/>
    </row>
    <row r="4724" spans="117:121" x14ac:dyDescent="0.35">
      <c r="DM4724" s="50"/>
      <c r="DQ4724" s="50"/>
    </row>
    <row r="4725" spans="117:121" x14ac:dyDescent="0.35">
      <c r="DM4725" s="50"/>
      <c r="DQ4725" s="50"/>
    </row>
    <row r="4726" spans="117:121" x14ac:dyDescent="0.35">
      <c r="DM4726" s="50"/>
      <c r="DQ4726" s="50"/>
    </row>
    <row r="4727" spans="117:121" x14ac:dyDescent="0.35">
      <c r="DM4727" s="50"/>
      <c r="DQ4727" s="50"/>
    </row>
    <row r="4728" spans="117:121" x14ac:dyDescent="0.35">
      <c r="DM4728" s="50"/>
      <c r="DQ4728" s="50"/>
    </row>
    <row r="4729" spans="117:121" x14ac:dyDescent="0.35">
      <c r="DM4729" s="50"/>
      <c r="DQ4729" s="50"/>
    </row>
    <row r="4730" spans="117:121" x14ac:dyDescent="0.35">
      <c r="DM4730" s="50"/>
      <c r="DQ4730" s="50"/>
    </row>
    <row r="4731" spans="117:121" x14ac:dyDescent="0.35">
      <c r="DM4731" s="50"/>
      <c r="DQ4731" s="50"/>
    </row>
    <row r="4732" spans="117:121" x14ac:dyDescent="0.35">
      <c r="DM4732" s="50"/>
      <c r="DQ4732" s="50"/>
    </row>
    <row r="4733" spans="117:121" x14ac:dyDescent="0.35">
      <c r="DM4733" s="50"/>
      <c r="DQ4733" s="50"/>
    </row>
    <row r="4734" spans="117:121" x14ac:dyDescent="0.35">
      <c r="DM4734" s="50"/>
      <c r="DQ4734" s="50"/>
    </row>
    <row r="4735" spans="117:121" x14ac:dyDescent="0.35">
      <c r="DM4735" s="50"/>
      <c r="DQ4735" s="50"/>
    </row>
    <row r="4736" spans="117:121" x14ac:dyDescent="0.35">
      <c r="DM4736" s="50"/>
      <c r="DQ4736" s="50"/>
    </row>
    <row r="4737" spans="117:121" x14ac:dyDescent="0.35">
      <c r="DM4737" s="50"/>
      <c r="DQ4737" s="50"/>
    </row>
    <row r="4738" spans="117:121" x14ac:dyDescent="0.35">
      <c r="DM4738" s="50"/>
      <c r="DQ4738" s="50"/>
    </row>
    <row r="4739" spans="117:121" x14ac:dyDescent="0.35">
      <c r="DM4739" s="50"/>
      <c r="DQ4739" s="50"/>
    </row>
    <row r="4740" spans="117:121" x14ac:dyDescent="0.35">
      <c r="DM4740" s="50"/>
      <c r="DQ4740" s="50"/>
    </row>
    <row r="4741" spans="117:121" x14ac:dyDescent="0.35">
      <c r="DM4741" s="50"/>
      <c r="DQ4741" s="50"/>
    </row>
    <row r="4742" spans="117:121" x14ac:dyDescent="0.35">
      <c r="DM4742" s="50"/>
      <c r="DQ4742" s="50"/>
    </row>
    <row r="4743" spans="117:121" x14ac:dyDescent="0.35">
      <c r="DM4743" s="50"/>
      <c r="DQ4743" s="50"/>
    </row>
    <row r="4744" spans="117:121" x14ac:dyDescent="0.35">
      <c r="DM4744" s="50"/>
      <c r="DQ4744" s="50"/>
    </row>
    <row r="4745" spans="117:121" x14ac:dyDescent="0.35">
      <c r="DM4745" s="50"/>
      <c r="DQ4745" s="50"/>
    </row>
    <row r="4746" spans="117:121" x14ac:dyDescent="0.35">
      <c r="DM4746" s="50"/>
      <c r="DQ4746" s="50"/>
    </row>
    <row r="4747" spans="117:121" x14ac:dyDescent="0.35">
      <c r="DM4747" s="50"/>
      <c r="DQ4747" s="50"/>
    </row>
    <row r="4748" spans="117:121" x14ac:dyDescent="0.35">
      <c r="DM4748" s="50"/>
      <c r="DQ4748" s="50"/>
    </row>
    <row r="4749" spans="117:121" x14ac:dyDescent="0.35">
      <c r="DM4749" s="50"/>
      <c r="DQ4749" s="50"/>
    </row>
    <row r="4750" spans="117:121" x14ac:dyDescent="0.35">
      <c r="DM4750" s="50"/>
      <c r="DQ4750" s="50"/>
    </row>
    <row r="4751" spans="117:121" x14ac:dyDescent="0.35">
      <c r="DM4751" s="50"/>
      <c r="DQ4751" s="50"/>
    </row>
    <row r="4752" spans="117:121" x14ac:dyDescent="0.35">
      <c r="DM4752" s="50"/>
      <c r="DQ4752" s="50"/>
    </row>
    <row r="4753" spans="117:121" x14ac:dyDescent="0.35">
      <c r="DM4753" s="50"/>
      <c r="DQ4753" s="50"/>
    </row>
    <row r="4754" spans="117:121" x14ac:dyDescent="0.35">
      <c r="DM4754" s="50"/>
      <c r="DQ4754" s="50"/>
    </row>
    <row r="4755" spans="117:121" x14ac:dyDescent="0.35">
      <c r="DM4755" s="50"/>
      <c r="DQ4755" s="50"/>
    </row>
    <row r="4756" spans="117:121" x14ac:dyDescent="0.35">
      <c r="DM4756" s="50"/>
      <c r="DQ4756" s="50"/>
    </row>
    <row r="4757" spans="117:121" x14ac:dyDescent="0.35">
      <c r="DM4757" s="50"/>
      <c r="DQ4757" s="50"/>
    </row>
    <row r="4758" spans="117:121" x14ac:dyDescent="0.35">
      <c r="DM4758" s="50"/>
      <c r="DQ4758" s="50"/>
    </row>
    <row r="4759" spans="117:121" x14ac:dyDescent="0.35">
      <c r="DM4759" s="50"/>
      <c r="DQ4759" s="50"/>
    </row>
    <row r="4760" spans="117:121" x14ac:dyDescent="0.35">
      <c r="DM4760" s="50"/>
      <c r="DQ4760" s="50"/>
    </row>
    <row r="4761" spans="117:121" x14ac:dyDescent="0.35">
      <c r="DM4761" s="50"/>
      <c r="DQ4761" s="50"/>
    </row>
    <row r="4762" spans="117:121" x14ac:dyDescent="0.35">
      <c r="DM4762" s="50"/>
      <c r="DQ4762" s="50"/>
    </row>
    <row r="4763" spans="117:121" x14ac:dyDescent="0.35">
      <c r="DM4763" s="50"/>
      <c r="DQ4763" s="50"/>
    </row>
    <row r="4764" spans="117:121" x14ac:dyDescent="0.35">
      <c r="DM4764" s="50"/>
      <c r="DQ4764" s="50"/>
    </row>
    <row r="4765" spans="117:121" x14ac:dyDescent="0.35">
      <c r="DM4765" s="50"/>
      <c r="DQ4765" s="50"/>
    </row>
    <row r="4766" spans="117:121" x14ac:dyDescent="0.35">
      <c r="DM4766" s="50"/>
      <c r="DQ4766" s="50"/>
    </row>
    <row r="4767" spans="117:121" x14ac:dyDescent="0.35">
      <c r="DM4767" s="50"/>
      <c r="DQ4767" s="50"/>
    </row>
    <row r="4768" spans="117:121" x14ac:dyDescent="0.35">
      <c r="DM4768" s="50"/>
      <c r="DQ4768" s="50"/>
    </row>
    <row r="4769" spans="117:121" x14ac:dyDescent="0.35">
      <c r="DM4769" s="50"/>
      <c r="DQ4769" s="50"/>
    </row>
    <row r="4770" spans="117:121" x14ac:dyDescent="0.35">
      <c r="DM4770" s="50"/>
      <c r="DQ4770" s="50"/>
    </row>
    <row r="4771" spans="117:121" x14ac:dyDescent="0.35">
      <c r="DM4771" s="50"/>
      <c r="DQ4771" s="50"/>
    </row>
    <row r="4772" spans="117:121" x14ac:dyDescent="0.35">
      <c r="DM4772" s="50"/>
      <c r="DQ4772" s="50"/>
    </row>
    <row r="4773" spans="117:121" x14ac:dyDescent="0.35">
      <c r="DM4773" s="50"/>
      <c r="DQ4773" s="50"/>
    </row>
    <row r="4774" spans="117:121" x14ac:dyDescent="0.35">
      <c r="DM4774" s="50"/>
      <c r="DQ4774" s="50"/>
    </row>
    <row r="4775" spans="117:121" x14ac:dyDescent="0.35">
      <c r="DM4775" s="50"/>
      <c r="DQ4775" s="50"/>
    </row>
    <row r="4776" spans="117:121" x14ac:dyDescent="0.35">
      <c r="DM4776" s="50"/>
      <c r="DQ4776" s="50"/>
    </row>
    <row r="4777" spans="117:121" x14ac:dyDescent="0.35">
      <c r="DM4777" s="50"/>
      <c r="DQ4777" s="50"/>
    </row>
    <row r="4778" spans="117:121" x14ac:dyDescent="0.35">
      <c r="DM4778" s="50"/>
      <c r="DQ4778" s="50"/>
    </row>
    <row r="4779" spans="117:121" x14ac:dyDescent="0.35">
      <c r="DM4779" s="50"/>
      <c r="DQ4779" s="50"/>
    </row>
    <row r="4780" spans="117:121" x14ac:dyDescent="0.35">
      <c r="DM4780" s="50"/>
      <c r="DQ4780" s="50"/>
    </row>
    <row r="4781" spans="117:121" x14ac:dyDescent="0.35">
      <c r="DM4781" s="50"/>
      <c r="DQ4781" s="50"/>
    </row>
    <row r="4782" spans="117:121" x14ac:dyDescent="0.35">
      <c r="DM4782" s="50"/>
      <c r="DQ4782" s="50"/>
    </row>
    <row r="4783" spans="117:121" x14ac:dyDescent="0.35">
      <c r="DM4783" s="50"/>
      <c r="DQ4783" s="50"/>
    </row>
    <row r="4784" spans="117:121" x14ac:dyDescent="0.35">
      <c r="DM4784" s="50"/>
      <c r="DQ4784" s="50"/>
    </row>
    <row r="4785" spans="117:121" x14ac:dyDescent="0.35">
      <c r="DM4785" s="50"/>
      <c r="DQ4785" s="50"/>
    </row>
    <row r="4786" spans="117:121" x14ac:dyDescent="0.35">
      <c r="DM4786" s="50"/>
      <c r="DQ4786" s="50"/>
    </row>
    <row r="4787" spans="117:121" x14ac:dyDescent="0.35">
      <c r="DM4787" s="50"/>
      <c r="DQ4787" s="50"/>
    </row>
    <row r="4788" spans="117:121" x14ac:dyDescent="0.35">
      <c r="DM4788" s="50"/>
      <c r="DQ4788" s="50"/>
    </row>
    <row r="4789" spans="117:121" x14ac:dyDescent="0.35">
      <c r="DM4789" s="50"/>
      <c r="DQ4789" s="50"/>
    </row>
    <row r="4790" spans="117:121" x14ac:dyDescent="0.35">
      <c r="DM4790" s="50"/>
      <c r="DQ4790" s="50"/>
    </row>
    <row r="4791" spans="117:121" x14ac:dyDescent="0.35">
      <c r="DM4791" s="50"/>
      <c r="DQ4791" s="50"/>
    </row>
    <row r="4792" spans="117:121" x14ac:dyDescent="0.35">
      <c r="DM4792" s="50"/>
      <c r="DQ4792" s="50"/>
    </row>
    <row r="4793" spans="117:121" x14ac:dyDescent="0.35">
      <c r="DM4793" s="50"/>
      <c r="DQ4793" s="50"/>
    </row>
    <row r="4794" spans="117:121" x14ac:dyDescent="0.35">
      <c r="DM4794" s="50"/>
      <c r="DQ4794" s="50"/>
    </row>
    <row r="4795" spans="117:121" x14ac:dyDescent="0.35">
      <c r="DM4795" s="50"/>
      <c r="DQ4795" s="50"/>
    </row>
    <row r="4796" spans="117:121" x14ac:dyDescent="0.35">
      <c r="DM4796" s="50"/>
      <c r="DQ4796" s="50"/>
    </row>
    <row r="4797" spans="117:121" x14ac:dyDescent="0.35">
      <c r="DM4797" s="50"/>
      <c r="DQ4797" s="50"/>
    </row>
    <row r="4798" spans="117:121" x14ac:dyDescent="0.35">
      <c r="DM4798" s="50"/>
      <c r="DQ4798" s="50"/>
    </row>
    <row r="4799" spans="117:121" x14ac:dyDescent="0.35">
      <c r="DM4799" s="50"/>
      <c r="DQ4799" s="50"/>
    </row>
    <row r="4800" spans="117:121" x14ac:dyDescent="0.35">
      <c r="DM4800" s="50"/>
      <c r="DQ4800" s="50"/>
    </row>
    <row r="4801" spans="117:121" x14ac:dyDescent="0.35">
      <c r="DM4801" s="50"/>
      <c r="DQ4801" s="50"/>
    </row>
    <row r="4802" spans="117:121" x14ac:dyDescent="0.35">
      <c r="DM4802" s="50"/>
      <c r="DQ4802" s="50"/>
    </row>
    <row r="4803" spans="117:121" x14ac:dyDescent="0.35">
      <c r="DM4803" s="50"/>
      <c r="DQ4803" s="50"/>
    </row>
    <row r="4804" spans="117:121" x14ac:dyDescent="0.35">
      <c r="DM4804" s="50"/>
      <c r="DQ4804" s="50"/>
    </row>
    <row r="4805" spans="117:121" x14ac:dyDescent="0.35">
      <c r="DM4805" s="50"/>
      <c r="DQ4805" s="50"/>
    </row>
    <row r="4806" spans="117:121" x14ac:dyDescent="0.35">
      <c r="DM4806" s="50"/>
      <c r="DQ4806" s="50"/>
    </row>
    <row r="4807" spans="117:121" x14ac:dyDescent="0.35">
      <c r="DM4807" s="50"/>
      <c r="DQ4807" s="50"/>
    </row>
    <row r="4808" spans="117:121" x14ac:dyDescent="0.35">
      <c r="DM4808" s="50"/>
      <c r="DQ4808" s="50"/>
    </row>
    <row r="4809" spans="117:121" x14ac:dyDescent="0.35">
      <c r="DM4809" s="50"/>
      <c r="DQ4809" s="50"/>
    </row>
    <row r="4810" spans="117:121" x14ac:dyDescent="0.35">
      <c r="DM4810" s="50"/>
      <c r="DQ4810" s="50"/>
    </row>
    <row r="4811" spans="117:121" x14ac:dyDescent="0.35">
      <c r="DM4811" s="50"/>
      <c r="DQ4811" s="50"/>
    </row>
    <row r="4812" spans="117:121" x14ac:dyDescent="0.35">
      <c r="DM4812" s="50"/>
      <c r="DQ4812" s="50"/>
    </row>
    <row r="4813" spans="117:121" x14ac:dyDescent="0.35">
      <c r="DM4813" s="50"/>
      <c r="DQ4813" s="50"/>
    </row>
    <row r="4814" spans="117:121" x14ac:dyDescent="0.35">
      <c r="DM4814" s="50"/>
      <c r="DQ4814" s="50"/>
    </row>
    <row r="4815" spans="117:121" x14ac:dyDescent="0.35">
      <c r="DM4815" s="50"/>
      <c r="DQ4815" s="50"/>
    </row>
    <row r="4816" spans="117:121" x14ac:dyDescent="0.35">
      <c r="DM4816" s="50"/>
      <c r="DQ4816" s="50"/>
    </row>
    <row r="4817" spans="117:121" x14ac:dyDescent="0.35">
      <c r="DM4817" s="50"/>
      <c r="DQ4817" s="50"/>
    </row>
    <row r="4818" spans="117:121" x14ac:dyDescent="0.35">
      <c r="DM4818" s="50"/>
      <c r="DQ4818" s="50"/>
    </row>
    <row r="4819" spans="117:121" x14ac:dyDescent="0.35">
      <c r="DM4819" s="50"/>
      <c r="DQ4819" s="50"/>
    </row>
    <row r="4820" spans="117:121" x14ac:dyDescent="0.35">
      <c r="DM4820" s="50"/>
      <c r="DQ4820" s="50"/>
    </row>
    <row r="4821" spans="117:121" x14ac:dyDescent="0.35">
      <c r="DM4821" s="50"/>
      <c r="DQ4821" s="50"/>
    </row>
    <row r="4822" spans="117:121" x14ac:dyDescent="0.35">
      <c r="DM4822" s="50"/>
      <c r="DQ4822" s="50"/>
    </row>
    <row r="4823" spans="117:121" x14ac:dyDescent="0.35">
      <c r="DM4823" s="50"/>
      <c r="DQ4823" s="50"/>
    </row>
    <row r="4824" spans="117:121" x14ac:dyDescent="0.35">
      <c r="DM4824" s="50"/>
      <c r="DQ4824" s="50"/>
    </row>
    <row r="4825" spans="117:121" x14ac:dyDescent="0.35">
      <c r="DM4825" s="50"/>
      <c r="DQ4825" s="50"/>
    </row>
    <row r="4826" spans="117:121" x14ac:dyDescent="0.35">
      <c r="DM4826" s="50"/>
      <c r="DQ4826" s="50"/>
    </row>
    <row r="4827" spans="117:121" x14ac:dyDescent="0.35">
      <c r="DM4827" s="50"/>
      <c r="DQ4827" s="50"/>
    </row>
    <row r="4828" spans="117:121" x14ac:dyDescent="0.35">
      <c r="DM4828" s="50"/>
      <c r="DQ4828" s="50"/>
    </row>
    <row r="4829" spans="117:121" x14ac:dyDescent="0.35">
      <c r="DM4829" s="50"/>
      <c r="DQ4829" s="50"/>
    </row>
    <row r="4830" spans="117:121" x14ac:dyDescent="0.35">
      <c r="DM4830" s="50"/>
      <c r="DQ4830" s="50"/>
    </row>
    <row r="4831" spans="117:121" x14ac:dyDescent="0.35">
      <c r="DM4831" s="50"/>
      <c r="DQ4831" s="50"/>
    </row>
    <row r="4832" spans="117:121" x14ac:dyDescent="0.35">
      <c r="DM4832" s="50"/>
      <c r="DQ4832" s="50"/>
    </row>
    <row r="4833" spans="117:121" x14ac:dyDescent="0.35">
      <c r="DM4833" s="50"/>
      <c r="DQ4833" s="50"/>
    </row>
    <row r="4834" spans="117:121" x14ac:dyDescent="0.35">
      <c r="DM4834" s="50"/>
      <c r="DQ4834" s="50"/>
    </row>
    <row r="4835" spans="117:121" x14ac:dyDescent="0.35">
      <c r="DM4835" s="50"/>
      <c r="DQ4835" s="50"/>
    </row>
    <row r="4836" spans="117:121" x14ac:dyDescent="0.35">
      <c r="DM4836" s="50"/>
      <c r="DQ4836" s="50"/>
    </row>
    <row r="4837" spans="117:121" x14ac:dyDescent="0.35">
      <c r="DM4837" s="50"/>
      <c r="DQ4837" s="50"/>
    </row>
    <row r="4838" spans="117:121" x14ac:dyDescent="0.35">
      <c r="DM4838" s="50"/>
      <c r="DQ4838" s="50"/>
    </row>
    <row r="4839" spans="117:121" x14ac:dyDescent="0.35">
      <c r="DM4839" s="50"/>
      <c r="DQ4839" s="50"/>
    </row>
    <row r="4840" spans="117:121" x14ac:dyDescent="0.35">
      <c r="DM4840" s="50"/>
      <c r="DQ4840" s="50"/>
    </row>
    <row r="4841" spans="117:121" x14ac:dyDescent="0.35">
      <c r="DM4841" s="50"/>
      <c r="DQ4841" s="50"/>
    </row>
    <row r="4842" spans="117:121" x14ac:dyDescent="0.35">
      <c r="DM4842" s="50"/>
      <c r="DQ4842" s="50"/>
    </row>
    <row r="4843" spans="117:121" x14ac:dyDescent="0.35">
      <c r="DM4843" s="50"/>
      <c r="DQ4843" s="50"/>
    </row>
    <row r="4844" spans="117:121" x14ac:dyDescent="0.35">
      <c r="DM4844" s="50"/>
      <c r="DQ4844" s="50"/>
    </row>
    <row r="4845" spans="117:121" x14ac:dyDescent="0.35">
      <c r="DM4845" s="50"/>
      <c r="DQ4845" s="50"/>
    </row>
    <row r="4846" spans="117:121" x14ac:dyDescent="0.35">
      <c r="DM4846" s="50"/>
      <c r="DQ4846" s="50"/>
    </row>
    <row r="4847" spans="117:121" x14ac:dyDescent="0.35">
      <c r="DM4847" s="50"/>
      <c r="DQ4847" s="50"/>
    </row>
    <row r="4848" spans="117:121" x14ac:dyDescent="0.35">
      <c r="DM4848" s="50"/>
      <c r="DQ4848" s="50"/>
    </row>
    <row r="4849" spans="117:121" x14ac:dyDescent="0.35">
      <c r="DM4849" s="50"/>
      <c r="DQ4849" s="50"/>
    </row>
    <row r="4850" spans="117:121" x14ac:dyDescent="0.35">
      <c r="DM4850" s="50"/>
      <c r="DQ4850" s="50"/>
    </row>
    <row r="4851" spans="117:121" x14ac:dyDescent="0.35">
      <c r="DM4851" s="50"/>
      <c r="DQ4851" s="50"/>
    </row>
    <row r="4852" spans="117:121" x14ac:dyDescent="0.35">
      <c r="DM4852" s="50"/>
      <c r="DQ4852" s="50"/>
    </row>
    <row r="4853" spans="117:121" x14ac:dyDescent="0.35">
      <c r="DM4853" s="50"/>
      <c r="DQ4853" s="50"/>
    </row>
    <row r="4854" spans="117:121" x14ac:dyDescent="0.35">
      <c r="DM4854" s="50"/>
      <c r="DQ4854" s="50"/>
    </row>
    <row r="4855" spans="117:121" x14ac:dyDescent="0.35">
      <c r="DM4855" s="50"/>
      <c r="DQ4855" s="50"/>
    </row>
    <row r="4856" spans="117:121" x14ac:dyDescent="0.35">
      <c r="DM4856" s="50"/>
      <c r="DQ4856" s="50"/>
    </row>
    <row r="4857" spans="117:121" x14ac:dyDescent="0.35">
      <c r="DM4857" s="50"/>
      <c r="DQ4857" s="50"/>
    </row>
    <row r="4858" spans="117:121" x14ac:dyDescent="0.35">
      <c r="DM4858" s="50"/>
      <c r="DQ4858" s="50"/>
    </row>
    <row r="4859" spans="117:121" x14ac:dyDescent="0.35">
      <c r="DM4859" s="50"/>
      <c r="DQ4859" s="50"/>
    </row>
    <row r="4860" spans="117:121" x14ac:dyDescent="0.35">
      <c r="DM4860" s="50"/>
      <c r="DQ4860" s="50"/>
    </row>
    <row r="4861" spans="117:121" x14ac:dyDescent="0.35">
      <c r="DM4861" s="50"/>
      <c r="DQ4861" s="50"/>
    </row>
    <row r="4862" spans="117:121" x14ac:dyDescent="0.35">
      <c r="DM4862" s="50"/>
      <c r="DQ4862" s="50"/>
    </row>
    <row r="4863" spans="117:121" x14ac:dyDescent="0.35">
      <c r="DM4863" s="50"/>
      <c r="DQ4863" s="50"/>
    </row>
    <row r="4864" spans="117:121" x14ac:dyDescent="0.35">
      <c r="DM4864" s="50"/>
      <c r="DQ4864" s="50"/>
    </row>
    <row r="4865" spans="117:121" x14ac:dyDescent="0.35">
      <c r="DM4865" s="50"/>
      <c r="DQ4865" s="50"/>
    </row>
    <row r="4866" spans="117:121" x14ac:dyDescent="0.35">
      <c r="DM4866" s="50"/>
      <c r="DQ4866" s="50"/>
    </row>
    <row r="4867" spans="117:121" x14ac:dyDescent="0.35">
      <c r="DM4867" s="50"/>
      <c r="DQ4867" s="50"/>
    </row>
    <row r="4868" spans="117:121" x14ac:dyDescent="0.35">
      <c r="DM4868" s="50"/>
      <c r="DQ4868" s="50"/>
    </row>
    <row r="4869" spans="117:121" x14ac:dyDescent="0.35">
      <c r="DM4869" s="50"/>
      <c r="DQ4869" s="50"/>
    </row>
    <row r="4870" spans="117:121" x14ac:dyDescent="0.35">
      <c r="DM4870" s="50"/>
      <c r="DQ4870" s="50"/>
    </row>
    <row r="4871" spans="117:121" x14ac:dyDescent="0.35">
      <c r="DM4871" s="50"/>
      <c r="DQ4871" s="50"/>
    </row>
    <row r="4872" spans="117:121" x14ac:dyDescent="0.35">
      <c r="DM4872" s="50"/>
      <c r="DQ4872" s="50"/>
    </row>
    <row r="4873" spans="117:121" x14ac:dyDescent="0.35">
      <c r="DM4873" s="50"/>
      <c r="DQ4873" s="50"/>
    </row>
    <row r="4874" spans="117:121" x14ac:dyDescent="0.35">
      <c r="DM4874" s="50"/>
      <c r="DQ4874" s="50"/>
    </row>
    <row r="4875" spans="117:121" x14ac:dyDescent="0.35">
      <c r="DM4875" s="50"/>
      <c r="DQ4875" s="50"/>
    </row>
    <row r="4876" spans="117:121" x14ac:dyDescent="0.35">
      <c r="DM4876" s="50"/>
      <c r="DQ4876" s="50"/>
    </row>
    <row r="4877" spans="117:121" x14ac:dyDescent="0.35">
      <c r="DM4877" s="50"/>
      <c r="DQ4877" s="50"/>
    </row>
    <row r="4878" spans="117:121" x14ac:dyDescent="0.35">
      <c r="DM4878" s="50"/>
      <c r="DQ4878" s="50"/>
    </row>
    <row r="4879" spans="117:121" x14ac:dyDescent="0.35">
      <c r="DM4879" s="50"/>
      <c r="DQ4879" s="50"/>
    </row>
    <row r="4880" spans="117:121" x14ac:dyDescent="0.35">
      <c r="DM4880" s="50"/>
      <c r="DQ4880" s="50"/>
    </row>
    <row r="4881" spans="117:121" x14ac:dyDescent="0.35">
      <c r="DM4881" s="50"/>
      <c r="DQ4881" s="50"/>
    </row>
    <row r="4882" spans="117:121" x14ac:dyDescent="0.35">
      <c r="DM4882" s="50"/>
      <c r="DQ4882" s="50"/>
    </row>
    <row r="4883" spans="117:121" x14ac:dyDescent="0.35">
      <c r="DM4883" s="50"/>
      <c r="DQ4883" s="50"/>
    </row>
    <row r="4884" spans="117:121" x14ac:dyDescent="0.35">
      <c r="DM4884" s="50"/>
      <c r="DQ4884" s="50"/>
    </row>
    <row r="4885" spans="117:121" x14ac:dyDescent="0.35">
      <c r="DM4885" s="50"/>
      <c r="DQ4885" s="50"/>
    </row>
    <row r="4886" spans="117:121" x14ac:dyDescent="0.35">
      <c r="DM4886" s="50"/>
      <c r="DQ4886" s="50"/>
    </row>
    <row r="4887" spans="117:121" x14ac:dyDescent="0.35">
      <c r="DM4887" s="50"/>
      <c r="DQ4887" s="50"/>
    </row>
    <row r="4888" spans="117:121" x14ac:dyDescent="0.35">
      <c r="DM4888" s="50"/>
      <c r="DQ4888" s="50"/>
    </row>
    <row r="4889" spans="117:121" x14ac:dyDescent="0.35">
      <c r="DM4889" s="50"/>
      <c r="DQ4889" s="50"/>
    </row>
    <row r="4890" spans="117:121" x14ac:dyDescent="0.35">
      <c r="DM4890" s="50"/>
      <c r="DQ4890" s="50"/>
    </row>
    <row r="4891" spans="117:121" x14ac:dyDescent="0.35">
      <c r="DM4891" s="50"/>
      <c r="DQ4891" s="50"/>
    </row>
    <row r="4892" spans="117:121" x14ac:dyDescent="0.35">
      <c r="DM4892" s="50"/>
      <c r="DQ4892" s="50"/>
    </row>
    <row r="4893" spans="117:121" x14ac:dyDescent="0.35">
      <c r="DM4893" s="50"/>
      <c r="DQ4893" s="50"/>
    </row>
    <row r="4894" spans="117:121" x14ac:dyDescent="0.35">
      <c r="DM4894" s="50"/>
      <c r="DQ4894" s="50"/>
    </row>
    <row r="4895" spans="117:121" x14ac:dyDescent="0.35">
      <c r="DM4895" s="50"/>
      <c r="DQ4895" s="50"/>
    </row>
    <row r="4896" spans="117:121" x14ac:dyDescent="0.35">
      <c r="DM4896" s="50"/>
      <c r="DQ4896" s="50"/>
    </row>
    <row r="4897" spans="117:121" x14ac:dyDescent="0.35">
      <c r="DM4897" s="50"/>
      <c r="DQ4897" s="50"/>
    </row>
    <row r="4898" spans="117:121" x14ac:dyDescent="0.35">
      <c r="DM4898" s="50"/>
      <c r="DQ4898" s="50"/>
    </row>
    <row r="4899" spans="117:121" x14ac:dyDescent="0.35">
      <c r="DM4899" s="50"/>
      <c r="DQ4899" s="50"/>
    </row>
    <row r="4900" spans="117:121" x14ac:dyDescent="0.35">
      <c r="DM4900" s="50"/>
      <c r="DQ4900" s="50"/>
    </row>
    <row r="4901" spans="117:121" x14ac:dyDescent="0.35">
      <c r="DM4901" s="50"/>
      <c r="DQ4901" s="50"/>
    </row>
    <row r="4902" spans="117:121" x14ac:dyDescent="0.35">
      <c r="DM4902" s="50"/>
      <c r="DQ4902" s="50"/>
    </row>
    <row r="4903" spans="117:121" x14ac:dyDescent="0.35">
      <c r="DM4903" s="50"/>
      <c r="DQ4903" s="50"/>
    </row>
    <row r="4904" spans="117:121" x14ac:dyDescent="0.35">
      <c r="DM4904" s="50"/>
      <c r="DQ4904" s="50"/>
    </row>
    <row r="4905" spans="117:121" x14ac:dyDescent="0.35">
      <c r="DM4905" s="50"/>
      <c r="DQ4905" s="50"/>
    </row>
    <row r="4906" spans="117:121" x14ac:dyDescent="0.35">
      <c r="DM4906" s="50"/>
      <c r="DQ4906" s="50"/>
    </row>
    <row r="4907" spans="117:121" x14ac:dyDescent="0.35">
      <c r="DM4907" s="50"/>
      <c r="DQ4907" s="50"/>
    </row>
    <row r="4908" spans="117:121" x14ac:dyDescent="0.35">
      <c r="DM4908" s="50"/>
      <c r="DQ4908" s="50"/>
    </row>
    <row r="4909" spans="117:121" x14ac:dyDescent="0.35">
      <c r="DM4909" s="50"/>
      <c r="DQ4909" s="50"/>
    </row>
    <row r="4910" spans="117:121" x14ac:dyDescent="0.35">
      <c r="DM4910" s="50"/>
      <c r="DQ4910" s="50"/>
    </row>
    <row r="4911" spans="117:121" x14ac:dyDescent="0.35">
      <c r="DM4911" s="50"/>
      <c r="DQ4911" s="50"/>
    </row>
    <row r="4912" spans="117:121" x14ac:dyDescent="0.35">
      <c r="DM4912" s="50"/>
      <c r="DQ4912" s="50"/>
    </row>
    <row r="4913" spans="117:121" x14ac:dyDescent="0.35">
      <c r="DM4913" s="50"/>
      <c r="DQ4913" s="50"/>
    </row>
    <row r="4914" spans="117:121" x14ac:dyDescent="0.35">
      <c r="DM4914" s="50"/>
      <c r="DQ4914" s="50"/>
    </row>
    <row r="4915" spans="117:121" x14ac:dyDescent="0.35">
      <c r="DM4915" s="50"/>
      <c r="DQ4915" s="50"/>
    </row>
    <row r="4916" spans="117:121" x14ac:dyDescent="0.35">
      <c r="DM4916" s="50"/>
      <c r="DQ4916" s="50"/>
    </row>
    <row r="4917" spans="117:121" x14ac:dyDescent="0.35">
      <c r="DM4917" s="50"/>
      <c r="DQ4917" s="50"/>
    </row>
    <row r="4918" spans="117:121" x14ac:dyDescent="0.35">
      <c r="DM4918" s="50"/>
      <c r="DQ4918" s="50"/>
    </row>
    <row r="4919" spans="117:121" x14ac:dyDescent="0.35">
      <c r="DM4919" s="50"/>
      <c r="DQ4919" s="50"/>
    </row>
    <row r="4920" spans="117:121" x14ac:dyDescent="0.35">
      <c r="DM4920" s="50"/>
      <c r="DQ4920" s="50"/>
    </row>
    <row r="4921" spans="117:121" x14ac:dyDescent="0.35">
      <c r="DM4921" s="50"/>
      <c r="DQ4921" s="50"/>
    </row>
    <row r="4922" spans="117:121" x14ac:dyDescent="0.35">
      <c r="DM4922" s="50"/>
      <c r="DQ4922" s="50"/>
    </row>
    <row r="4923" spans="117:121" x14ac:dyDescent="0.35">
      <c r="DM4923" s="50"/>
      <c r="DQ4923" s="50"/>
    </row>
    <row r="4924" spans="117:121" x14ac:dyDescent="0.35">
      <c r="DM4924" s="50"/>
      <c r="DQ4924" s="50"/>
    </row>
    <row r="4925" spans="117:121" x14ac:dyDescent="0.35">
      <c r="DM4925" s="50"/>
      <c r="DQ4925" s="50"/>
    </row>
    <row r="4926" spans="117:121" x14ac:dyDescent="0.35">
      <c r="DM4926" s="50"/>
      <c r="DQ4926" s="50"/>
    </row>
    <row r="4927" spans="117:121" x14ac:dyDescent="0.35">
      <c r="DM4927" s="50"/>
      <c r="DQ4927" s="50"/>
    </row>
    <row r="4928" spans="117:121" x14ac:dyDescent="0.35">
      <c r="DM4928" s="50"/>
      <c r="DQ4928" s="50"/>
    </row>
    <row r="4929" spans="117:121" x14ac:dyDescent="0.35">
      <c r="DM4929" s="50"/>
      <c r="DQ4929" s="50"/>
    </row>
    <row r="4930" spans="117:121" x14ac:dyDescent="0.35">
      <c r="DM4930" s="50"/>
      <c r="DQ4930" s="50"/>
    </row>
    <row r="4931" spans="117:121" x14ac:dyDescent="0.35">
      <c r="DM4931" s="50"/>
      <c r="DQ4931" s="50"/>
    </row>
    <row r="4932" spans="117:121" x14ac:dyDescent="0.35">
      <c r="DM4932" s="50"/>
      <c r="DQ4932" s="50"/>
    </row>
    <row r="4933" spans="117:121" x14ac:dyDescent="0.35">
      <c r="DM4933" s="50"/>
      <c r="DQ4933" s="50"/>
    </row>
    <row r="4934" spans="117:121" x14ac:dyDescent="0.35">
      <c r="DM4934" s="50"/>
      <c r="DQ4934" s="50"/>
    </row>
    <row r="4935" spans="117:121" x14ac:dyDescent="0.35">
      <c r="DM4935" s="50"/>
      <c r="DQ4935" s="50"/>
    </row>
    <row r="4936" spans="117:121" x14ac:dyDescent="0.35">
      <c r="DM4936" s="50"/>
      <c r="DQ4936" s="50"/>
    </row>
    <row r="4937" spans="117:121" x14ac:dyDescent="0.35">
      <c r="DM4937" s="50"/>
      <c r="DQ4937" s="50"/>
    </row>
    <row r="4938" spans="117:121" x14ac:dyDescent="0.35">
      <c r="DM4938" s="50"/>
      <c r="DQ4938" s="50"/>
    </row>
    <row r="4939" spans="117:121" x14ac:dyDescent="0.35">
      <c r="DM4939" s="50"/>
      <c r="DQ4939" s="50"/>
    </row>
    <row r="4940" spans="117:121" x14ac:dyDescent="0.35">
      <c r="DM4940" s="50"/>
      <c r="DQ4940" s="50"/>
    </row>
    <row r="4941" spans="117:121" x14ac:dyDescent="0.35">
      <c r="DM4941" s="50"/>
      <c r="DQ4941" s="50"/>
    </row>
    <row r="4942" spans="117:121" x14ac:dyDescent="0.35">
      <c r="DM4942" s="50"/>
      <c r="DQ4942" s="50"/>
    </row>
    <row r="4943" spans="117:121" x14ac:dyDescent="0.35">
      <c r="DM4943" s="50"/>
      <c r="DQ4943" s="50"/>
    </row>
    <row r="4944" spans="117:121" x14ac:dyDescent="0.35">
      <c r="DM4944" s="50"/>
      <c r="DQ4944" s="50"/>
    </row>
    <row r="4945" spans="117:121" x14ac:dyDescent="0.35">
      <c r="DM4945" s="50"/>
      <c r="DQ4945" s="50"/>
    </row>
    <row r="4946" spans="117:121" x14ac:dyDescent="0.35">
      <c r="DM4946" s="50"/>
      <c r="DQ4946" s="50"/>
    </row>
    <row r="4947" spans="117:121" x14ac:dyDescent="0.35">
      <c r="DM4947" s="50"/>
      <c r="DQ4947" s="50"/>
    </row>
    <row r="4948" spans="117:121" x14ac:dyDescent="0.35">
      <c r="DM4948" s="50"/>
      <c r="DQ4948" s="50"/>
    </row>
    <row r="4949" spans="117:121" x14ac:dyDescent="0.35">
      <c r="DM4949" s="50"/>
      <c r="DQ4949" s="50"/>
    </row>
    <row r="4950" spans="117:121" x14ac:dyDescent="0.35">
      <c r="DM4950" s="50"/>
      <c r="DQ4950" s="50"/>
    </row>
    <row r="4951" spans="117:121" x14ac:dyDescent="0.35">
      <c r="DM4951" s="50"/>
      <c r="DQ4951" s="50"/>
    </row>
    <row r="4952" spans="117:121" x14ac:dyDescent="0.35">
      <c r="DM4952" s="50"/>
      <c r="DQ4952" s="50"/>
    </row>
    <row r="4953" spans="117:121" x14ac:dyDescent="0.35">
      <c r="DM4953" s="50"/>
      <c r="DQ4953" s="50"/>
    </row>
    <row r="4954" spans="117:121" x14ac:dyDescent="0.35">
      <c r="DM4954" s="50"/>
      <c r="DQ4954" s="50"/>
    </row>
    <row r="4955" spans="117:121" x14ac:dyDescent="0.35">
      <c r="DM4955" s="50"/>
      <c r="DQ4955" s="50"/>
    </row>
    <row r="4956" spans="117:121" x14ac:dyDescent="0.35">
      <c r="DM4956" s="50"/>
      <c r="DQ4956" s="50"/>
    </row>
    <row r="4957" spans="117:121" x14ac:dyDescent="0.35">
      <c r="DM4957" s="50"/>
      <c r="DQ4957" s="50"/>
    </row>
    <row r="4958" spans="117:121" x14ac:dyDescent="0.35">
      <c r="DM4958" s="50"/>
      <c r="DQ4958" s="50"/>
    </row>
    <row r="4959" spans="117:121" x14ac:dyDescent="0.35">
      <c r="DM4959" s="50"/>
      <c r="DQ4959" s="50"/>
    </row>
    <row r="4960" spans="117:121" x14ac:dyDescent="0.35">
      <c r="DM4960" s="50"/>
      <c r="DQ4960" s="50"/>
    </row>
    <row r="4961" spans="117:121" x14ac:dyDescent="0.35">
      <c r="DM4961" s="50"/>
      <c r="DQ4961" s="50"/>
    </row>
    <row r="4962" spans="117:121" x14ac:dyDescent="0.35">
      <c r="DM4962" s="50"/>
      <c r="DQ4962" s="50"/>
    </row>
    <row r="4963" spans="117:121" x14ac:dyDescent="0.35">
      <c r="DM4963" s="50"/>
      <c r="DQ4963" s="50"/>
    </row>
    <row r="4964" spans="117:121" x14ac:dyDescent="0.35">
      <c r="DM4964" s="50"/>
      <c r="DQ4964" s="50"/>
    </row>
    <row r="4965" spans="117:121" x14ac:dyDescent="0.35">
      <c r="DM4965" s="50"/>
      <c r="DQ4965" s="50"/>
    </row>
    <row r="4966" spans="117:121" x14ac:dyDescent="0.35">
      <c r="DM4966" s="50"/>
      <c r="DQ4966" s="50"/>
    </row>
    <row r="4967" spans="117:121" x14ac:dyDescent="0.35">
      <c r="DM4967" s="50"/>
      <c r="DQ4967" s="50"/>
    </row>
    <row r="4968" spans="117:121" x14ac:dyDescent="0.35">
      <c r="DM4968" s="50"/>
      <c r="DQ4968" s="50"/>
    </row>
    <row r="4969" spans="117:121" x14ac:dyDescent="0.35">
      <c r="DM4969" s="50"/>
      <c r="DQ4969" s="50"/>
    </row>
    <row r="4970" spans="117:121" x14ac:dyDescent="0.35">
      <c r="DM4970" s="50"/>
      <c r="DQ4970" s="50"/>
    </row>
    <row r="4971" spans="117:121" x14ac:dyDescent="0.35">
      <c r="DM4971" s="50"/>
      <c r="DQ4971" s="50"/>
    </row>
    <row r="4972" spans="117:121" x14ac:dyDescent="0.35">
      <c r="DM4972" s="50"/>
      <c r="DQ4972" s="50"/>
    </row>
    <row r="4973" spans="117:121" x14ac:dyDescent="0.35">
      <c r="DM4973" s="50"/>
      <c r="DQ4973" s="50"/>
    </row>
    <row r="4974" spans="117:121" x14ac:dyDescent="0.35">
      <c r="DM4974" s="50"/>
      <c r="DQ4974" s="50"/>
    </row>
    <row r="4975" spans="117:121" x14ac:dyDescent="0.35">
      <c r="DM4975" s="50"/>
      <c r="DQ4975" s="50"/>
    </row>
    <row r="4976" spans="117:121" x14ac:dyDescent="0.35">
      <c r="DM4976" s="50"/>
      <c r="DQ4976" s="50"/>
    </row>
    <row r="4977" spans="117:121" x14ac:dyDescent="0.35">
      <c r="DM4977" s="50"/>
      <c r="DQ4977" s="50"/>
    </row>
    <row r="4978" spans="117:121" x14ac:dyDescent="0.35">
      <c r="DM4978" s="50"/>
      <c r="DQ4978" s="50"/>
    </row>
    <row r="4979" spans="117:121" x14ac:dyDescent="0.35">
      <c r="DM4979" s="50"/>
      <c r="DQ4979" s="50"/>
    </row>
    <row r="4980" spans="117:121" x14ac:dyDescent="0.35">
      <c r="DM4980" s="50"/>
      <c r="DQ4980" s="50"/>
    </row>
    <row r="4981" spans="117:121" x14ac:dyDescent="0.35">
      <c r="DM4981" s="50"/>
      <c r="DQ4981" s="50"/>
    </row>
    <row r="4982" spans="117:121" x14ac:dyDescent="0.35">
      <c r="DM4982" s="50"/>
      <c r="DQ4982" s="50"/>
    </row>
    <row r="4983" spans="117:121" x14ac:dyDescent="0.35">
      <c r="DM4983" s="50"/>
      <c r="DQ4983" s="50"/>
    </row>
    <row r="4984" spans="117:121" x14ac:dyDescent="0.35">
      <c r="DM4984" s="50"/>
      <c r="DQ4984" s="50"/>
    </row>
    <row r="4985" spans="117:121" x14ac:dyDescent="0.35">
      <c r="DM4985" s="50"/>
      <c r="DQ4985" s="50"/>
    </row>
    <row r="4986" spans="117:121" x14ac:dyDescent="0.35">
      <c r="DM4986" s="50"/>
      <c r="DQ4986" s="50"/>
    </row>
    <row r="4987" spans="117:121" x14ac:dyDescent="0.35">
      <c r="DM4987" s="50"/>
      <c r="DQ4987" s="50"/>
    </row>
    <row r="4988" spans="117:121" x14ac:dyDescent="0.35">
      <c r="DM4988" s="50"/>
      <c r="DQ4988" s="50"/>
    </row>
    <row r="4989" spans="117:121" x14ac:dyDescent="0.35">
      <c r="DM4989" s="50"/>
      <c r="DQ4989" s="50"/>
    </row>
    <row r="4990" spans="117:121" x14ac:dyDescent="0.35">
      <c r="DM4990" s="50"/>
      <c r="DQ4990" s="50"/>
    </row>
    <row r="4991" spans="117:121" x14ac:dyDescent="0.35">
      <c r="DM4991" s="50"/>
      <c r="DQ4991" s="50"/>
    </row>
    <row r="4992" spans="117:121" x14ac:dyDescent="0.35">
      <c r="DM4992" s="50"/>
      <c r="DQ4992" s="50"/>
    </row>
    <row r="4993" spans="117:121" x14ac:dyDescent="0.35">
      <c r="DM4993" s="50"/>
      <c r="DQ4993" s="50"/>
    </row>
    <row r="4994" spans="117:121" x14ac:dyDescent="0.35">
      <c r="DM4994" s="50"/>
      <c r="DQ4994" s="50"/>
    </row>
    <row r="4995" spans="117:121" x14ac:dyDescent="0.35">
      <c r="DM4995" s="50"/>
      <c r="DQ4995" s="50"/>
    </row>
    <row r="4996" spans="117:121" x14ac:dyDescent="0.35">
      <c r="DM4996" s="50"/>
      <c r="DQ4996" s="50"/>
    </row>
    <row r="4997" spans="117:121" x14ac:dyDescent="0.35">
      <c r="DM4997" s="50"/>
      <c r="DQ4997" s="50"/>
    </row>
    <row r="4998" spans="117:121" x14ac:dyDescent="0.35">
      <c r="DM4998" s="50"/>
      <c r="DQ4998" s="50"/>
    </row>
    <row r="4999" spans="117:121" x14ac:dyDescent="0.35">
      <c r="DM4999" s="50"/>
      <c r="DQ4999" s="50"/>
    </row>
    <row r="5000" spans="117:121" x14ac:dyDescent="0.35">
      <c r="DM5000" s="50"/>
      <c r="DQ5000" s="50"/>
    </row>
    <row r="5001" spans="117:121" x14ac:dyDescent="0.35">
      <c r="DM5001" s="50"/>
      <c r="DQ5001" s="50"/>
    </row>
    <row r="5002" spans="117:121" x14ac:dyDescent="0.35">
      <c r="DM5002" s="50"/>
      <c r="DQ5002" s="50"/>
    </row>
    <row r="5003" spans="117:121" x14ac:dyDescent="0.35">
      <c r="DM5003" s="50"/>
      <c r="DQ5003" s="50"/>
    </row>
    <row r="5004" spans="117:121" x14ac:dyDescent="0.35">
      <c r="DM5004" s="50"/>
      <c r="DQ5004" s="50"/>
    </row>
    <row r="5005" spans="117:121" x14ac:dyDescent="0.35">
      <c r="DM5005" s="50"/>
      <c r="DQ5005" s="50"/>
    </row>
    <row r="5006" spans="117:121" x14ac:dyDescent="0.35">
      <c r="DM5006" s="50"/>
      <c r="DQ5006" s="50"/>
    </row>
    <row r="5007" spans="117:121" x14ac:dyDescent="0.35">
      <c r="DM5007" s="50"/>
      <c r="DQ5007" s="50"/>
    </row>
    <row r="5008" spans="117:121" x14ac:dyDescent="0.35">
      <c r="DM5008" s="50"/>
      <c r="DQ5008" s="50"/>
    </row>
    <row r="5009" spans="117:121" x14ac:dyDescent="0.35">
      <c r="DM5009" s="50"/>
      <c r="DQ5009" s="50"/>
    </row>
    <row r="5010" spans="117:121" x14ac:dyDescent="0.35">
      <c r="DM5010" s="50"/>
      <c r="DQ5010" s="50"/>
    </row>
    <row r="5011" spans="117:121" x14ac:dyDescent="0.35">
      <c r="DM5011" s="50"/>
      <c r="DQ5011" s="50"/>
    </row>
    <row r="5012" spans="117:121" x14ac:dyDescent="0.35">
      <c r="DM5012" s="50"/>
      <c r="DQ5012" s="50"/>
    </row>
    <row r="5013" spans="117:121" x14ac:dyDescent="0.35">
      <c r="DM5013" s="50"/>
      <c r="DQ5013" s="50"/>
    </row>
    <row r="5014" spans="117:121" x14ac:dyDescent="0.35">
      <c r="DM5014" s="50"/>
      <c r="DQ5014" s="50"/>
    </row>
    <row r="5015" spans="117:121" x14ac:dyDescent="0.35">
      <c r="DM5015" s="50"/>
      <c r="DQ5015" s="50"/>
    </row>
    <row r="5016" spans="117:121" x14ac:dyDescent="0.35">
      <c r="DM5016" s="50"/>
      <c r="DQ5016" s="50"/>
    </row>
    <row r="5017" spans="117:121" x14ac:dyDescent="0.35">
      <c r="DM5017" s="50"/>
      <c r="DQ5017" s="50"/>
    </row>
    <row r="5018" spans="117:121" x14ac:dyDescent="0.35">
      <c r="DM5018" s="50"/>
      <c r="DQ5018" s="50"/>
    </row>
    <row r="5019" spans="117:121" x14ac:dyDescent="0.35">
      <c r="DM5019" s="50"/>
      <c r="DQ5019" s="50"/>
    </row>
    <row r="5020" spans="117:121" x14ac:dyDescent="0.35">
      <c r="DM5020" s="50"/>
      <c r="DQ5020" s="50"/>
    </row>
    <row r="5021" spans="117:121" x14ac:dyDescent="0.35">
      <c r="DM5021" s="50"/>
      <c r="DQ5021" s="50"/>
    </row>
    <row r="5022" spans="117:121" x14ac:dyDescent="0.35">
      <c r="DM5022" s="50"/>
      <c r="DQ5022" s="50"/>
    </row>
    <row r="5023" spans="117:121" x14ac:dyDescent="0.35">
      <c r="DM5023" s="50"/>
      <c r="DQ5023" s="50"/>
    </row>
    <row r="5024" spans="117:121" x14ac:dyDescent="0.35">
      <c r="DM5024" s="50"/>
      <c r="DQ5024" s="50"/>
    </row>
    <row r="5025" spans="117:121" x14ac:dyDescent="0.35">
      <c r="DM5025" s="50"/>
      <c r="DQ5025" s="50"/>
    </row>
    <row r="5026" spans="117:121" x14ac:dyDescent="0.35">
      <c r="DM5026" s="50"/>
      <c r="DQ5026" s="50"/>
    </row>
    <row r="5027" spans="117:121" x14ac:dyDescent="0.35">
      <c r="DM5027" s="50"/>
      <c r="DQ5027" s="50"/>
    </row>
    <row r="5028" spans="117:121" x14ac:dyDescent="0.35">
      <c r="DM5028" s="50"/>
      <c r="DQ5028" s="50"/>
    </row>
    <row r="5029" spans="117:121" x14ac:dyDescent="0.35">
      <c r="DM5029" s="50"/>
      <c r="DQ5029" s="50"/>
    </row>
    <row r="5030" spans="117:121" x14ac:dyDescent="0.35">
      <c r="DM5030" s="50"/>
      <c r="DQ5030" s="50"/>
    </row>
    <row r="5031" spans="117:121" x14ac:dyDescent="0.35">
      <c r="DM5031" s="50"/>
      <c r="DQ5031" s="50"/>
    </row>
    <row r="5032" spans="117:121" x14ac:dyDescent="0.35">
      <c r="DM5032" s="50"/>
      <c r="DQ5032" s="50"/>
    </row>
    <row r="5033" spans="117:121" x14ac:dyDescent="0.35">
      <c r="DM5033" s="50"/>
      <c r="DQ5033" s="50"/>
    </row>
    <row r="5034" spans="117:121" x14ac:dyDescent="0.35">
      <c r="DM5034" s="50"/>
      <c r="DQ5034" s="50"/>
    </row>
    <row r="5035" spans="117:121" x14ac:dyDescent="0.35">
      <c r="DM5035" s="50"/>
      <c r="DQ5035" s="50"/>
    </row>
    <row r="5036" spans="117:121" x14ac:dyDescent="0.35">
      <c r="DM5036" s="50"/>
      <c r="DQ5036" s="50"/>
    </row>
    <row r="5037" spans="117:121" x14ac:dyDescent="0.35">
      <c r="DM5037" s="50"/>
      <c r="DQ5037" s="50"/>
    </row>
    <row r="5038" spans="117:121" x14ac:dyDescent="0.35">
      <c r="DM5038" s="50"/>
      <c r="DQ5038" s="50"/>
    </row>
    <row r="5039" spans="117:121" x14ac:dyDescent="0.35">
      <c r="DM5039" s="50"/>
      <c r="DQ5039" s="50"/>
    </row>
    <row r="5040" spans="117:121" x14ac:dyDescent="0.35">
      <c r="DM5040" s="50"/>
      <c r="DQ5040" s="50"/>
    </row>
    <row r="5041" spans="117:121" x14ac:dyDescent="0.35">
      <c r="DM5041" s="50"/>
      <c r="DQ5041" s="50"/>
    </row>
    <row r="5042" spans="117:121" x14ac:dyDescent="0.35">
      <c r="DM5042" s="50"/>
      <c r="DQ5042" s="50"/>
    </row>
    <row r="5043" spans="117:121" x14ac:dyDescent="0.35">
      <c r="DM5043" s="50"/>
      <c r="DQ5043" s="50"/>
    </row>
    <row r="5044" spans="117:121" x14ac:dyDescent="0.35">
      <c r="DM5044" s="50"/>
      <c r="DQ5044" s="50"/>
    </row>
    <row r="5045" spans="117:121" x14ac:dyDescent="0.35">
      <c r="DM5045" s="50"/>
      <c r="DQ5045" s="50"/>
    </row>
    <row r="5046" spans="117:121" x14ac:dyDescent="0.35">
      <c r="DM5046" s="50"/>
      <c r="DQ5046" s="50"/>
    </row>
    <row r="5047" spans="117:121" x14ac:dyDescent="0.35">
      <c r="DM5047" s="50"/>
      <c r="DQ5047" s="50"/>
    </row>
    <row r="5048" spans="117:121" x14ac:dyDescent="0.35">
      <c r="DM5048" s="50"/>
      <c r="DQ5048" s="50"/>
    </row>
    <row r="5049" spans="117:121" x14ac:dyDescent="0.35">
      <c r="DM5049" s="50"/>
      <c r="DQ5049" s="50"/>
    </row>
    <row r="5050" spans="117:121" x14ac:dyDescent="0.35">
      <c r="DM5050" s="50"/>
      <c r="DQ5050" s="50"/>
    </row>
    <row r="5051" spans="117:121" x14ac:dyDescent="0.35">
      <c r="DM5051" s="50"/>
      <c r="DQ5051" s="50"/>
    </row>
    <row r="5052" spans="117:121" x14ac:dyDescent="0.35">
      <c r="DM5052" s="50"/>
      <c r="DQ5052" s="50"/>
    </row>
    <row r="5053" spans="117:121" x14ac:dyDescent="0.35">
      <c r="DM5053" s="50"/>
      <c r="DQ5053" s="50"/>
    </row>
    <row r="5054" spans="117:121" x14ac:dyDescent="0.35">
      <c r="DM5054" s="50"/>
      <c r="DQ5054" s="50"/>
    </row>
    <row r="5055" spans="117:121" x14ac:dyDescent="0.35">
      <c r="DM5055" s="50"/>
      <c r="DQ5055" s="50"/>
    </row>
    <row r="5056" spans="117:121" x14ac:dyDescent="0.35">
      <c r="DM5056" s="50"/>
      <c r="DQ5056" s="50"/>
    </row>
    <row r="5057" spans="117:121" x14ac:dyDescent="0.35">
      <c r="DM5057" s="50"/>
      <c r="DQ5057" s="50"/>
    </row>
    <row r="5058" spans="117:121" x14ac:dyDescent="0.35">
      <c r="DM5058" s="50"/>
      <c r="DQ5058" s="50"/>
    </row>
    <row r="5059" spans="117:121" x14ac:dyDescent="0.35">
      <c r="DM5059" s="50"/>
      <c r="DQ5059" s="50"/>
    </row>
    <row r="5060" spans="117:121" x14ac:dyDescent="0.35">
      <c r="DM5060" s="50"/>
      <c r="DQ5060" s="50"/>
    </row>
    <row r="5061" spans="117:121" x14ac:dyDescent="0.35">
      <c r="DM5061" s="50"/>
      <c r="DQ5061" s="50"/>
    </row>
    <row r="5062" spans="117:121" x14ac:dyDescent="0.35">
      <c r="DM5062" s="50"/>
      <c r="DQ5062" s="50"/>
    </row>
    <row r="5063" spans="117:121" x14ac:dyDescent="0.35">
      <c r="DM5063" s="50"/>
      <c r="DQ5063" s="50"/>
    </row>
    <row r="5064" spans="117:121" x14ac:dyDescent="0.35">
      <c r="DM5064" s="50"/>
      <c r="DQ5064" s="50"/>
    </row>
    <row r="5065" spans="117:121" x14ac:dyDescent="0.35">
      <c r="DM5065" s="50"/>
      <c r="DQ5065" s="50"/>
    </row>
    <row r="5066" spans="117:121" x14ac:dyDescent="0.35">
      <c r="DM5066" s="50"/>
      <c r="DQ5066" s="50"/>
    </row>
    <row r="5067" spans="117:121" x14ac:dyDescent="0.35">
      <c r="DM5067" s="50"/>
      <c r="DQ5067" s="50"/>
    </row>
    <row r="5068" spans="117:121" x14ac:dyDescent="0.35">
      <c r="DM5068" s="50"/>
      <c r="DQ5068" s="50"/>
    </row>
    <row r="5069" spans="117:121" x14ac:dyDescent="0.35">
      <c r="DM5069" s="50"/>
      <c r="DQ5069" s="50"/>
    </row>
    <row r="5070" spans="117:121" x14ac:dyDescent="0.35">
      <c r="DM5070" s="50"/>
      <c r="DQ5070" s="50"/>
    </row>
    <row r="5071" spans="117:121" x14ac:dyDescent="0.35">
      <c r="DM5071" s="50"/>
      <c r="DQ5071" s="50"/>
    </row>
    <row r="5072" spans="117:121" x14ac:dyDescent="0.35">
      <c r="DM5072" s="50"/>
      <c r="DQ5072" s="50"/>
    </row>
    <row r="5073" spans="117:121" x14ac:dyDescent="0.35">
      <c r="DM5073" s="50"/>
      <c r="DQ5073" s="50"/>
    </row>
    <row r="5074" spans="117:121" x14ac:dyDescent="0.35">
      <c r="DM5074" s="50"/>
      <c r="DQ5074" s="50"/>
    </row>
    <row r="5075" spans="117:121" x14ac:dyDescent="0.35">
      <c r="DM5075" s="50"/>
      <c r="DQ5075" s="50"/>
    </row>
    <row r="5076" spans="117:121" x14ac:dyDescent="0.35">
      <c r="DM5076" s="50"/>
      <c r="DQ5076" s="50"/>
    </row>
    <row r="5077" spans="117:121" x14ac:dyDescent="0.35">
      <c r="DM5077" s="50"/>
      <c r="DQ5077" s="50"/>
    </row>
    <row r="5078" spans="117:121" x14ac:dyDescent="0.35">
      <c r="DM5078" s="50"/>
      <c r="DQ5078" s="50"/>
    </row>
    <row r="5079" spans="117:121" x14ac:dyDescent="0.35">
      <c r="DM5079" s="50"/>
      <c r="DQ5079" s="50"/>
    </row>
    <row r="5080" spans="117:121" x14ac:dyDescent="0.35">
      <c r="DM5080" s="50"/>
      <c r="DQ5080" s="50"/>
    </row>
    <row r="5081" spans="117:121" x14ac:dyDescent="0.35">
      <c r="DM5081" s="50"/>
      <c r="DQ5081" s="50"/>
    </row>
    <row r="5082" spans="117:121" x14ac:dyDescent="0.35">
      <c r="DM5082" s="50"/>
      <c r="DQ5082" s="50"/>
    </row>
    <row r="5083" spans="117:121" x14ac:dyDescent="0.35">
      <c r="DM5083" s="50"/>
      <c r="DQ5083" s="50"/>
    </row>
    <row r="5084" spans="117:121" x14ac:dyDescent="0.35">
      <c r="DM5084" s="50"/>
      <c r="DQ5084" s="50"/>
    </row>
    <row r="5085" spans="117:121" x14ac:dyDescent="0.35">
      <c r="DM5085" s="50"/>
      <c r="DQ5085" s="50"/>
    </row>
    <row r="5086" spans="117:121" x14ac:dyDescent="0.35">
      <c r="DM5086" s="50"/>
      <c r="DQ5086" s="50"/>
    </row>
    <row r="5087" spans="117:121" x14ac:dyDescent="0.35">
      <c r="DM5087" s="50"/>
      <c r="DQ5087" s="50"/>
    </row>
    <row r="5088" spans="117:121" x14ac:dyDescent="0.35">
      <c r="DM5088" s="50"/>
      <c r="DQ5088" s="50"/>
    </row>
    <row r="5089" spans="117:121" x14ac:dyDescent="0.35">
      <c r="DM5089" s="50"/>
      <c r="DQ5089" s="50"/>
    </row>
    <row r="5090" spans="117:121" x14ac:dyDescent="0.35">
      <c r="DM5090" s="50"/>
      <c r="DQ5090" s="50"/>
    </row>
    <row r="5091" spans="117:121" x14ac:dyDescent="0.35">
      <c r="DM5091" s="50"/>
      <c r="DQ5091" s="50"/>
    </row>
    <row r="5092" spans="117:121" x14ac:dyDescent="0.35">
      <c r="DM5092" s="50"/>
      <c r="DQ5092" s="50"/>
    </row>
    <row r="5093" spans="117:121" x14ac:dyDescent="0.35">
      <c r="DM5093" s="50"/>
      <c r="DQ5093" s="50"/>
    </row>
    <row r="5094" spans="117:121" x14ac:dyDescent="0.35">
      <c r="DM5094" s="50"/>
      <c r="DQ5094" s="50"/>
    </row>
    <row r="5095" spans="117:121" x14ac:dyDescent="0.35">
      <c r="DM5095" s="50"/>
      <c r="DQ5095" s="50"/>
    </row>
    <row r="5096" spans="117:121" x14ac:dyDescent="0.35">
      <c r="DM5096" s="50"/>
      <c r="DQ5096" s="50"/>
    </row>
    <row r="5097" spans="117:121" x14ac:dyDescent="0.35">
      <c r="DM5097" s="50"/>
      <c r="DQ5097" s="50"/>
    </row>
    <row r="5098" spans="117:121" x14ac:dyDescent="0.35">
      <c r="DM5098" s="50"/>
      <c r="DQ5098" s="50"/>
    </row>
    <row r="5099" spans="117:121" x14ac:dyDescent="0.35">
      <c r="DM5099" s="50"/>
      <c r="DQ5099" s="50"/>
    </row>
    <row r="5100" spans="117:121" x14ac:dyDescent="0.35">
      <c r="DM5100" s="50"/>
      <c r="DQ5100" s="50"/>
    </row>
    <row r="5101" spans="117:121" x14ac:dyDescent="0.35">
      <c r="DM5101" s="50"/>
      <c r="DQ5101" s="50"/>
    </row>
    <row r="5102" spans="117:121" x14ac:dyDescent="0.35">
      <c r="DM5102" s="50"/>
      <c r="DQ5102" s="50"/>
    </row>
    <row r="5103" spans="117:121" x14ac:dyDescent="0.35">
      <c r="DM5103" s="50"/>
      <c r="DQ5103" s="50"/>
    </row>
    <row r="5104" spans="117:121" x14ac:dyDescent="0.35">
      <c r="DM5104" s="50"/>
      <c r="DQ5104" s="50"/>
    </row>
    <row r="5105" spans="117:121" x14ac:dyDescent="0.35">
      <c r="DM5105" s="50"/>
      <c r="DQ5105" s="50"/>
    </row>
    <row r="5106" spans="117:121" x14ac:dyDescent="0.35">
      <c r="DM5106" s="50"/>
      <c r="DQ5106" s="50"/>
    </row>
    <row r="5107" spans="117:121" x14ac:dyDescent="0.35">
      <c r="DM5107" s="50"/>
      <c r="DQ5107" s="50"/>
    </row>
    <row r="5108" spans="117:121" x14ac:dyDescent="0.35">
      <c r="DM5108" s="50"/>
      <c r="DQ5108" s="50"/>
    </row>
    <row r="5109" spans="117:121" x14ac:dyDescent="0.35">
      <c r="DM5109" s="50"/>
      <c r="DQ5109" s="50"/>
    </row>
    <row r="5110" spans="117:121" x14ac:dyDescent="0.35">
      <c r="DM5110" s="50"/>
      <c r="DQ5110" s="50"/>
    </row>
    <row r="5111" spans="117:121" x14ac:dyDescent="0.35">
      <c r="DM5111" s="50"/>
      <c r="DQ5111" s="50"/>
    </row>
    <row r="5112" spans="117:121" x14ac:dyDescent="0.35">
      <c r="DM5112" s="50"/>
      <c r="DQ5112" s="50"/>
    </row>
    <row r="5113" spans="117:121" x14ac:dyDescent="0.35">
      <c r="DM5113" s="50"/>
      <c r="DQ5113" s="50"/>
    </row>
    <row r="5114" spans="117:121" x14ac:dyDescent="0.35">
      <c r="DM5114" s="50"/>
      <c r="DQ5114" s="50"/>
    </row>
    <row r="5115" spans="117:121" x14ac:dyDescent="0.35">
      <c r="DM5115" s="50"/>
      <c r="DQ5115" s="50"/>
    </row>
    <row r="5116" spans="117:121" x14ac:dyDescent="0.35">
      <c r="DM5116" s="50"/>
      <c r="DQ5116" s="50"/>
    </row>
    <row r="5117" spans="117:121" x14ac:dyDescent="0.35">
      <c r="DM5117" s="50"/>
      <c r="DQ5117" s="50"/>
    </row>
    <row r="5118" spans="117:121" x14ac:dyDescent="0.35">
      <c r="DM5118" s="50"/>
      <c r="DQ5118" s="50"/>
    </row>
    <row r="5119" spans="117:121" x14ac:dyDescent="0.35">
      <c r="DM5119" s="50"/>
      <c r="DQ5119" s="50"/>
    </row>
    <row r="5120" spans="117:121" x14ac:dyDescent="0.35">
      <c r="DM5120" s="50"/>
      <c r="DQ5120" s="50"/>
    </row>
    <row r="5121" spans="117:121" x14ac:dyDescent="0.35">
      <c r="DM5121" s="50"/>
      <c r="DQ5121" s="50"/>
    </row>
    <row r="5122" spans="117:121" x14ac:dyDescent="0.35">
      <c r="DM5122" s="50"/>
      <c r="DQ5122" s="50"/>
    </row>
    <row r="5123" spans="117:121" x14ac:dyDescent="0.35">
      <c r="DM5123" s="50"/>
      <c r="DQ5123" s="50"/>
    </row>
    <row r="5124" spans="117:121" x14ac:dyDescent="0.35">
      <c r="DM5124" s="50"/>
      <c r="DQ5124" s="50"/>
    </row>
    <row r="5125" spans="117:121" x14ac:dyDescent="0.35">
      <c r="DM5125" s="50"/>
      <c r="DQ5125" s="50"/>
    </row>
    <row r="5126" spans="117:121" x14ac:dyDescent="0.35">
      <c r="DM5126" s="50"/>
      <c r="DQ5126" s="50"/>
    </row>
    <row r="5127" spans="117:121" x14ac:dyDescent="0.35">
      <c r="DM5127" s="50"/>
      <c r="DQ5127" s="50"/>
    </row>
    <row r="5128" spans="117:121" x14ac:dyDescent="0.35">
      <c r="DM5128" s="50"/>
      <c r="DQ5128" s="50"/>
    </row>
    <row r="5129" spans="117:121" x14ac:dyDescent="0.35">
      <c r="DM5129" s="50"/>
      <c r="DQ5129" s="50"/>
    </row>
    <row r="5130" spans="117:121" x14ac:dyDescent="0.35">
      <c r="DM5130" s="50"/>
      <c r="DQ5130" s="50"/>
    </row>
    <row r="5131" spans="117:121" x14ac:dyDescent="0.35">
      <c r="DM5131" s="50"/>
      <c r="DQ5131" s="50"/>
    </row>
    <row r="5132" spans="117:121" x14ac:dyDescent="0.35">
      <c r="DM5132" s="50"/>
      <c r="DQ5132" s="50"/>
    </row>
    <row r="5133" spans="117:121" x14ac:dyDescent="0.35">
      <c r="DM5133" s="50"/>
      <c r="DQ5133" s="50"/>
    </row>
    <row r="5134" spans="117:121" x14ac:dyDescent="0.35">
      <c r="DM5134" s="50"/>
      <c r="DQ5134" s="50"/>
    </row>
    <row r="5135" spans="117:121" x14ac:dyDescent="0.35">
      <c r="DM5135" s="50"/>
      <c r="DQ5135" s="50"/>
    </row>
    <row r="5136" spans="117:121" x14ac:dyDescent="0.35">
      <c r="DM5136" s="50"/>
      <c r="DQ5136" s="50"/>
    </row>
    <row r="5137" spans="117:121" x14ac:dyDescent="0.35">
      <c r="DM5137" s="50"/>
      <c r="DQ5137" s="50"/>
    </row>
    <row r="5138" spans="117:121" x14ac:dyDescent="0.35">
      <c r="DM5138" s="50"/>
      <c r="DQ5138" s="50"/>
    </row>
    <row r="5139" spans="117:121" x14ac:dyDescent="0.35">
      <c r="DM5139" s="50"/>
      <c r="DQ5139" s="50"/>
    </row>
    <row r="5140" spans="117:121" x14ac:dyDescent="0.35">
      <c r="DM5140" s="50"/>
      <c r="DQ5140" s="50"/>
    </row>
    <row r="5141" spans="117:121" x14ac:dyDescent="0.35">
      <c r="DM5141" s="50"/>
      <c r="DQ5141" s="50"/>
    </row>
    <row r="5142" spans="117:121" x14ac:dyDescent="0.35">
      <c r="DM5142" s="50"/>
      <c r="DQ5142" s="50"/>
    </row>
    <row r="5143" spans="117:121" x14ac:dyDescent="0.35">
      <c r="DM5143" s="50"/>
      <c r="DQ5143" s="50"/>
    </row>
    <row r="5144" spans="117:121" x14ac:dyDescent="0.35">
      <c r="DM5144" s="50"/>
      <c r="DQ5144" s="50"/>
    </row>
    <row r="5145" spans="117:121" x14ac:dyDescent="0.35">
      <c r="DM5145" s="50"/>
      <c r="DQ5145" s="50"/>
    </row>
    <row r="5146" spans="117:121" x14ac:dyDescent="0.35">
      <c r="DM5146" s="50"/>
      <c r="DQ5146" s="50"/>
    </row>
    <row r="5147" spans="117:121" x14ac:dyDescent="0.35">
      <c r="DM5147" s="50"/>
      <c r="DQ5147" s="50"/>
    </row>
    <row r="5148" spans="117:121" x14ac:dyDescent="0.35">
      <c r="DM5148" s="50"/>
      <c r="DQ5148" s="50"/>
    </row>
    <row r="5149" spans="117:121" x14ac:dyDescent="0.35">
      <c r="DM5149" s="50"/>
      <c r="DQ5149" s="50"/>
    </row>
    <row r="5150" spans="117:121" x14ac:dyDescent="0.35">
      <c r="DM5150" s="50"/>
      <c r="DQ5150" s="50"/>
    </row>
    <row r="5151" spans="117:121" x14ac:dyDescent="0.35">
      <c r="DM5151" s="50"/>
      <c r="DQ5151" s="50"/>
    </row>
    <row r="5152" spans="117:121" x14ac:dyDescent="0.35">
      <c r="DM5152" s="50"/>
      <c r="DQ5152" s="50"/>
    </row>
    <row r="5153" spans="117:121" x14ac:dyDescent="0.35">
      <c r="DM5153" s="50"/>
      <c r="DQ5153" s="50"/>
    </row>
    <row r="5154" spans="117:121" x14ac:dyDescent="0.35">
      <c r="DM5154" s="50"/>
      <c r="DQ5154" s="50"/>
    </row>
    <row r="5155" spans="117:121" x14ac:dyDescent="0.35">
      <c r="DM5155" s="50"/>
      <c r="DQ5155" s="50"/>
    </row>
    <row r="5156" spans="117:121" x14ac:dyDescent="0.35">
      <c r="DM5156" s="50"/>
      <c r="DQ5156" s="50"/>
    </row>
    <row r="5157" spans="117:121" x14ac:dyDescent="0.35">
      <c r="DM5157" s="50"/>
      <c r="DQ5157" s="50"/>
    </row>
    <row r="5158" spans="117:121" x14ac:dyDescent="0.35">
      <c r="DM5158" s="50"/>
      <c r="DQ5158" s="50"/>
    </row>
    <row r="5159" spans="117:121" x14ac:dyDescent="0.35">
      <c r="DM5159" s="50"/>
      <c r="DQ5159" s="50"/>
    </row>
    <row r="5160" spans="117:121" x14ac:dyDescent="0.35">
      <c r="DM5160" s="50"/>
      <c r="DQ5160" s="50"/>
    </row>
    <row r="5161" spans="117:121" x14ac:dyDescent="0.35">
      <c r="DM5161" s="50"/>
      <c r="DQ5161" s="50"/>
    </row>
    <row r="5162" spans="117:121" x14ac:dyDescent="0.35">
      <c r="DM5162" s="50"/>
      <c r="DQ5162" s="50"/>
    </row>
    <row r="5163" spans="117:121" x14ac:dyDescent="0.35">
      <c r="DM5163" s="50"/>
      <c r="DQ5163" s="50"/>
    </row>
    <row r="5164" spans="117:121" x14ac:dyDescent="0.35">
      <c r="DM5164" s="50"/>
      <c r="DQ5164" s="50"/>
    </row>
    <row r="5165" spans="117:121" x14ac:dyDescent="0.35">
      <c r="DM5165" s="50"/>
      <c r="DQ5165" s="50"/>
    </row>
    <row r="5166" spans="117:121" x14ac:dyDescent="0.35">
      <c r="DM5166" s="50"/>
      <c r="DQ5166" s="50"/>
    </row>
    <row r="5167" spans="117:121" x14ac:dyDescent="0.35">
      <c r="DM5167" s="50"/>
      <c r="DQ5167" s="50"/>
    </row>
    <row r="5168" spans="117:121" x14ac:dyDescent="0.35">
      <c r="DM5168" s="50"/>
      <c r="DQ5168" s="50"/>
    </row>
    <row r="5169" spans="117:121" x14ac:dyDescent="0.35">
      <c r="DM5169" s="50"/>
      <c r="DQ5169" s="50"/>
    </row>
    <row r="5170" spans="117:121" x14ac:dyDescent="0.35">
      <c r="DM5170" s="50"/>
      <c r="DQ5170" s="50"/>
    </row>
    <row r="5171" spans="117:121" x14ac:dyDescent="0.35">
      <c r="DM5171" s="50"/>
      <c r="DQ5171" s="50"/>
    </row>
    <row r="5172" spans="117:121" x14ac:dyDescent="0.35">
      <c r="DM5172" s="50"/>
      <c r="DQ5172" s="50"/>
    </row>
    <row r="5173" spans="117:121" x14ac:dyDescent="0.35">
      <c r="DM5173" s="50"/>
      <c r="DQ5173" s="50"/>
    </row>
    <row r="5174" spans="117:121" x14ac:dyDescent="0.35">
      <c r="DM5174" s="50"/>
      <c r="DQ5174" s="50"/>
    </row>
    <row r="5175" spans="117:121" x14ac:dyDescent="0.35">
      <c r="DM5175" s="50"/>
      <c r="DQ5175" s="50"/>
    </row>
    <row r="5176" spans="117:121" x14ac:dyDescent="0.35">
      <c r="DM5176" s="50"/>
      <c r="DQ5176" s="50"/>
    </row>
    <row r="5177" spans="117:121" x14ac:dyDescent="0.35">
      <c r="DM5177" s="50"/>
      <c r="DQ5177" s="50"/>
    </row>
    <row r="5178" spans="117:121" x14ac:dyDescent="0.35">
      <c r="DM5178" s="50"/>
      <c r="DQ5178" s="50"/>
    </row>
    <row r="5179" spans="117:121" x14ac:dyDescent="0.35">
      <c r="DM5179" s="50"/>
      <c r="DQ5179" s="50"/>
    </row>
    <row r="5180" spans="117:121" x14ac:dyDescent="0.35">
      <c r="DM5180" s="50"/>
      <c r="DQ5180" s="50"/>
    </row>
    <row r="5181" spans="117:121" x14ac:dyDescent="0.35">
      <c r="DM5181" s="50"/>
      <c r="DQ5181" s="50"/>
    </row>
    <row r="5182" spans="117:121" x14ac:dyDescent="0.35">
      <c r="DM5182" s="50"/>
      <c r="DQ5182" s="50"/>
    </row>
    <row r="5183" spans="117:121" x14ac:dyDescent="0.35">
      <c r="DM5183" s="50"/>
      <c r="DQ5183" s="50"/>
    </row>
    <row r="5184" spans="117:121" x14ac:dyDescent="0.35">
      <c r="DM5184" s="50"/>
      <c r="DQ5184" s="50"/>
    </row>
    <row r="5185" spans="117:121" x14ac:dyDescent="0.35">
      <c r="DM5185" s="50"/>
      <c r="DQ5185" s="50"/>
    </row>
    <row r="5186" spans="117:121" x14ac:dyDescent="0.35">
      <c r="DM5186" s="50"/>
      <c r="DQ5186" s="50"/>
    </row>
    <row r="5187" spans="117:121" x14ac:dyDescent="0.35">
      <c r="DM5187" s="50"/>
      <c r="DQ5187" s="50"/>
    </row>
    <row r="5188" spans="117:121" x14ac:dyDescent="0.35">
      <c r="DM5188" s="50"/>
      <c r="DQ5188" s="50"/>
    </row>
    <row r="5189" spans="117:121" x14ac:dyDescent="0.35">
      <c r="DM5189" s="50"/>
      <c r="DQ5189" s="50"/>
    </row>
    <row r="5190" spans="117:121" x14ac:dyDescent="0.35">
      <c r="DM5190" s="50"/>
      <c r="DQ5190" s="50"/>
    </row>
    <row r="5191" spans="117:121" x14ac:dyDescent="0.35">
      <c r="DM5191" s="50"/>
      <c r="DQ5191" s="50"/>
    </row>
    <row r="5192" spans="117:121" x14ac:dyDescent="0.35">
      <c r="DM5192" s="50"/>
      <c r="DQ5192" s="50"/>
    </row>
    <row r="5193" spans="117:121" x14ac:dyDescent="0.35">
      <c r="DM5193" s="50"/>
      <c r="DQ5193" s="50"/>
    </row>
    <row r="5194" spans="117:121" x14ac:dyDescent="0.35">
      <c r="DM5194" s="50"/>
      <c r="DQ5194" s="50"/>
    </row>
    <row r="5195" spans="117:121" x14ac:dyDescent="0.35">
      <c r="DM5195" s="50"/>
      <c r="DQ5195" s="50"/>
    </row>
    <row r="5196" spans="117:121" x14ac:dyDescent="0.35">
      <c r="DM5196" s="50"/>
      <c r="DQ5196" s="50"/>
    </row>
    <row r="5197" spans="117:121" x14ac:dyDescent="0.35">
      <c r="DM5197" s="50"/>
      <c r="DQ5197" s="50"/>
    </row>
    <row r="5198" spans="117:121" x14ac:dyDescent="0.35">
      <c r="DM5198" s="50"/>
      <c r="DQ5198" s="50"/>
    </row>
    <row r="5199" spans="117:121" x14ac:dyDescent="0.35">
      <c r="DM5199" s="50"/>
      <c r="DQ5199" s="50"/>
    </row>
    <row r="5200" spans="117:121" x14ac:dyDescent="0.35">
      <c r="DM5200" s="50"/>
      <c r="DQ5200" s="50"/>
    </row>
    <row r="5201" spans="117:121" x14ac:dyDescent="0.35">
      <c r="DM5201" s="50"/>
      <c r="DQ5201" s="50"/>
    </row>
    <row r="5202" spans="117:121" x14ac:dyDescent="0.35">
      <c r="DM5202" s="50"/>
      <c r="DQ5202" s="50"/>
    </row>
    <row r="5203" spans="117:121" x14ac:dyDescent="0.35">
      <c r="DM5203" s="50"/>
      <c r="DQ5203" s="50"/>
    </row>
    <row r="5204" spans="117:121" x14ac:dyDescent="0.35">
      <c r="DM5204" s="50"/>
      <c r="DQ5204" s="50"/>
    </row>
    <row r="5205" spans="117:121" x14ac:dyDescent="0.35">
      <c r="DM5205" s="50"/>
      <c r="DQ5205" s="50"/>
    </row>
    <row r="5206" spans="117:121" x14ac:dyDescent="0.35">
      <c r="DM5206" s="50"/>
      <c r="DQ5206" s="50"/>
    </row>
    <row r="5207" spans="117:121" x14ac:dyDescent="0.35">
      <c r="DM5207" s="50"/>
      <c r="DQ5207" s="50"/>
    </row>
    <row r="5208" spans="117:121" x14ac:dyDescent="0.35">
      <c r="DM5208" s="50"/>
      <c r="DQ5208" s="50"/>
    </row>
    <row r="5209" spans="117:121" x14ac:dyDescent="0.35">
      <c r="DM5209" s="50"/>
      <c r="DQ5209" s="50"/>
    </row>
    <row r="5210" spans="117:121" x14ac:dyDescent="0.35">
      <c r="DM5210" s="50"/>
      <c r="DQ5210" s="50"/>
    </row>
    <row r="5211" spans="117:121" x14ac:dyDescent="0.35">
      <c r="DM5211" s="50"/>
      <c r="DQ5211" s="50"/>
    </row>
    <row r="5212" spans="117:121" x14ac:dyDescent="0.35">
      <c r="DM5212" s="50"/>
      <c r="DQ5212" s="50"/>
    </row>
    <row r="5213" spans="117:121" x14ac:dyDescent="0.35">
      <c r="DM5213" s="50"/>
      <c r="DQ5213" s="50"/>
    </row>
    <row r="5214" spans="117:121" x14ac:dyDescent="0.35">
      <c r="DM5214" s="50"/>
      <c r="DQ5214" s="50"/>
    </row>
    <row r="5215" spans="117:121" x14ac:dyDescent="0.35">
      <c r="DM5215" s="50"/>
      <c r="DQ5215" s="50"/>
    </row>
    <row r="5216" spans="117:121" x14ac:dyDescent="0.35">
      <c r="DM5216" s="50"/>
      <c r="DQ5216" s="50"/>
    </row>
    <row r="5217" spans="117:121" x14ac:dyDescent="0.35">
      <c r="DM5217" s="50"/>
      <c r="DQ5217" s="50"/>
    </row>
    <row r="5218" spans="117:121" x14ac:dyDescent="0.35">
      <c r="DM5218" s="50"/>
      <c r="DQ5218" s="50"/>
    </row>
    <row r="5219" spans="117:121" x14ac:dyDescent="0.35">
      <c r="DM5219" s="50"/>
      <c r="DQ5219" s="50"/>
    </row>
    <row r="5220" spans="117:121" x14ac:dyDescent="0.35">
      <c r="DM5220" s="50"/>
      <c r="DQ5220" s="50"/>
    </row>
    <row r="5221" spans="117:121" x14ac:dyDescent="0.35">
      <c r="DM5221" s="50"/>
      <c r="DQ5221" s="50"/>
    </row>
    <row r="5222" spans="117:121" x14ac:dyDescent="0.35">
      <c r="DM5222" s="50"/>
      <c r="DQ5222" s="50"/>
    </row>
    <row r="5223" spans="117:121" x14ac:dyDescent="0.35">
      <c r="DM5223" s="50"/>
      <c r="DQ5223" s="50"/>
    </row>
    <row r="5224" spans="117:121" x14ac:dyDescent="0.35">
      <c r="DM5224" s="50"/>
      <c r="DQ5224" s="50"/>
    </row>
    <row r="5225" spans="117:121" x14ac:dyDescent="0.35">
      <c r="DM5225" s="50"/>
      <c r="DQ5225" s="50"/>
    </row>
    <row r="5226" spans="117:121" x14ac:dyDescent="0.35">
      <c r="DM5226" s="50"/>
      <c r="DQ5226" s="50"/>
    </row>
    <row r="5227" spans="117:121" x14ac:dyDescent="0.35">
      <c r="DM5227" s="50"/>
      <c r="DQ5227" s="50"/>
    </row>
    <row r="5228" spans="117:121" x14ac:dyDescent="0.35">
      <c r="DM5228" s="50"/>
      <c r="DQ5228" s="50"/>
    </row>
    <row r="5229" spans="117:121" x14ac:dyDescent="0.35">
      <c r="DM5229" s="50"/>
      <c r="DQ5229" s="50"/>
    </row>
    <row r="5230" spans="117:121" x14ac:dyDescent="0.35">
      <c r="DM5230" s="50"/>
      <c r="DQ5230" s="50"/>
    </row>
    <row r="5231" spans="117:121" x14ac:dyDescent="0.35">
      <c r="DM5231" s="50"/>
      <c r="DQ5231" s="50"/>
    </row>
    <row r="5232" spans="117:121" x14ac:dyDescent="0.35">
      <c r="DM5232" s="50"/>
      <c r="DQ5232" s="50"/>
    </row>
    <row r="5233" spans="117:121" x14ac:dyDescent="0.35">
      <c r="DM5233" s="50"/>
      <c r="DQ5233" s="50"/>
    </row>
    <row r="5234" spans="117:121" x14ac:dyDescent="0.35">
      <c r="DM5234" s="50"/>
      <c r="DQ5234" s="50"/>
    </row>
    <row r="5235" spans="117:121" x14ac:dyDescent="0.35">
      <c r="DM5235" s="50"/>
      <c r="DQ5235" s="50"/>
    </row>
    <row r="5236" spans="117:121" x14ac:dyDescent="0.35">
      <c r="DM5236" s="50"/>
      <c r="DQ5236" s="50"/>
    </row>
    <row r="5237" spans="117:121" x14ac:dyDescent="0.35">
      <c r="DM5237" s="50"/>
      <c r="DQ5237" s="50"/>
    </row>
    <row r="5238" spans="117:121" x14ac:dyDescent="0.35">
      <c r="DM5238" s="50"/>
      <c r="DQ5238" s="50"/>
    </row>
    <row r="5239" spans="117:121" x14ac:dyDescent="0.35">
      <c r="DM5239" s="50"/>
      <c r="DQ5239" s="50"/>
    </row>
    <row r="5240" spans="117:121" x14ac:dyDescent="0.35">
      <c r="DM5240" s="50"/>
      <c r="DQ5240" s="50"/>
    </row>
    <row r="5241" spans="117:121" x14ac:dyDescent="0.35">
      <c r="DM5241" s="50"/>
      <c r="DQ5241" s="50"/>
    </row>
    <row r="5242" spans="117:121" x14ac:dyDescent="0.35">
      <c r="DM5242" s="50"/>
      <c r="DQ5242" s="50"/>
    </row>
    <row r="5243" spans="117:121" x14ac:dyDescent="0.35">
      <c r="DM5243" s="50"/>
      <c r="DQ5243" s="50"/>
    </row>
    <row r="5244" spans="117:121" x14ac:dyDescent="0.35">
      <c r="DM5244" s="50"/>
      <c r="DQ5244" s="50"/>
    </row>
    <row r="5245" spans="117:121" x14ac:dyDescent="0.35">
      <c r="DM5245" s="50"/>
      <c r="DQ5245" s="50"/>
    </row>
    <row r="5246" spans="117:121" x14ac:dyDescent="0.35">
      <c r="DM5246" s="50"/>
      <c r="DQ5246" s="50"/>
    </row>
    <row r="5247" spans="117:121" x14ac:dyDescent="0.35">
      <c r="DM5247" s="50"/>
      <c r="DQ5247" s="50"/>
    </row>
    <row r="5248" spans="117:121" x14ac:dyDescent="0.35">
      <c r="DM5248" s="50"/>
      <c r="DQ5248" s="50"/>
    </row>
    <row r="5249" spans="117:121" x14ac:dyDescent="0.35">
      <c r="DM5249" s="50"/>
      <c r="DQ5249" s="50"/>
    </row>
    <row r="5250" spans="117:121" x14ac:dyDescent="0.35">
      <c r="DM5250" s="50"/>
      <c r="DQ5250" s="50"/>
    </row>
    <row r="5251" spans="117:121" x14ac:dyDescent="0.35">
      <c r="DM5251" s="50"/>
      <c r="DQ5251" s="50"/>
    </row>
    <row r="5252" spans="117:121" x14ac:dyDescent="0.35">
      <c r="DM5252" s="50"/>
      <c r="DQ5252" s="50"/>
    </row>
    <row r="5253" spans="117:121" x14ac:dyDescent="0.35">
      <c r="DM5253" s="50"/>
      <c r="DQ5253" s="50"/>
    </row>
    <row r="5254" spans="117:121" x14ac:dyDescent="0.35">
      <c r="DM5254" s="50"/>
      <c r="DQ5254" s="50"/>
    </row>
    <row r="5255" spans="117:121" x14ac:dyDescent="0.35">
      <c r="DM5255" s="50"/>
      <c r="DQ5255" s="50"/>
    </row>
    <row r="5256" spans="117:121" x14ac:dyDescent="0.35">
      <c r="DM5256" s="50"/>
      <c r="DQ5256" s="50"/>
    </row>
    <row r="5257" spans="117:121" x14ac:dyDescent="0.35">
      <c r="DM5257" s="50"/>
      <c r="DQ5257" s="50"/>
    </row>
    <row r="5258" spans="117:121" x14ac:dyDescent="0.35">
      <c r="DM5258" s="50"/>
      <c r="DQ5258" s="50"/>
    </row>
    <row r="5259" spans="117:121" x14ac:dyDescent="0.35">
      <c r="DM5259" s="50"/>
      <c r="DQ5259" s="50"/>
    </row>
    <row r="5260" spans="117:121" x14ac:dyDescent="0.35">
      <c r="DM5260" s="50"/>
      <c r="DQ5260" s="50"/>
    </row>
    <row r="5261" spans="117:121" x14ac:dyDescent="0.35">
      <c r="DM5261" s="50"/>
      <c r="DQ5261" s="50"/>
    </row>
    <row r="5262" spans="117:121" x14ac:dyDescent="0.35">
      <c r="DM5262" s="50"/>
      <c r="DQ5262" s="50"/>
    </row>
    <row r="5263" spans="117:121" x14ac:dyDescent="0.35">
      <c r="DM5263" s="50"/>
      <c r="DQ5263" s="50"/>
    </row>
    <row r="5264" spans="117:121" x14ac:dyDescent="0.35">
      <c r="DM5264" s="50"/>
      <c r="DQ5264" s="50"/>
    </row>
    <row r="5265" spans="117:121" x14ac:dyDescent="0.35">
      <c r="DM5265" s="50"/>
      <c r="DQ5265" s="50"/>
    </row>
    <row r="5266" spans="117:121" x14ac:dyDescent="0.35">
      <c r="DM5266" s="50"/>
      <c r="DQ5266" s="50"/>
    </row>
    <row r="5267" spans="117:121" x14ac:dyDescent="0.35">
      <c r="DM5267" s="50"/>
      <c r="DQ5267" s="50"/>
    </row>
    <row r="5268" spans="117:121" x14ac:dyDescent="0.35">
      <c r="DM5268" s="50"/>
      <c r="DQ5268" s="50"/>
    </row>
    <row r="5269" spans="117:121" x14ac:dyDescent="0.35">
      <c r="DM5269" s="50"/>
      <c r="DQ5269" s="50"/>
    </row>
    <row r="5270" spans="117:121" x14ac:dyDescent="0.35">
      <c r="DM5270" s="50"/>
      <c r="DQ5270" s="50"/>
    </row>
    <row r="5271" spans="117:121" x14ac:dyDescent="0.35">
      <c r="DM5271" s="50"/>
      <c r="DQ5271" s="50"/>
    </row>
    <row r="5272" spans="117:121" x14ac:dyDescent="0.35">
      <c r="DM5272" s="50"/>
      <c r="DQ5272" s="50"/>
    </row>
    <row r="5273" spans="117:121" x14ac:dyDescent="0.35">
      <c r="DM5273" s="50"/>
      <c r="DQ5273" s="50"/>
    </row>
    <row r="5274" spans="117:121" x14ac:dyDescent="0.35">
      <c r="DM5274" s="50"/>
      <c r="DQ5274" s="50"/>
    </row>
    <row r="5275" spans="117:121" x14ac:dyDescent="0.35">
      <c r="DM5275" s="50"/>
      <c r="DQ5275" s="50"/>
    </row>
    <row r="5276" spans="117:121" x14ac:dyDescent="0.35">
      <c r="DM5276" s="50"/>
      <c r="DQ5276" s="50"/>
    </row>
    <row r="5277" spans="117:121" x14ac:dyDescent="0.35">
      <c r="DM5277" s="50"/>
      <c r="DQ5277" s="50"/>
    </row>
    <row r="5278" spans="117:121" x14ac:dyDescent="0.35">
      <c r="DM5278" s="50"/>
      <c r="DQ5278" s="50"/>
    </row>
    <row r="5279" spans="117:121" x14ac:dyDescent="0.35">
      <c r="DM5279" s="50"/>
      <c r="DQ5279" s="50"/>
    </row>
    <row r="5280" spans="117:121" x14ac:dyDescent="0.35">
      <c r="DM5280" s="50"/>
      <c r="DQ5280" s="50"/>
    </row>
    <row r="5281" spans="117:121" x14ac:dyDescent="0.35">
      <c r="DM5281" s="50"/>
      <c r="DQ5281" s="50"/>
    </row>
    <row r="5282" spans="117:121" x14ac:dyDescent="0.35">
      <c r="DM5282" s="50"/>
      <c r="DQ5282" s="50"/>
    </row>
    <row r="5283" spans="117:121" x14ac:dyDescent="0.35">
      <c r="DM5283" s="50"/>
      <c r="DQ5283" s="50"/>
    </row>
    <row r="5284" spans="117:121" x14ac:dyDescent="0.35">
      <c r="DM5284" s="50"/>
      <c r="DQ5284" s="50"/>
    </row>
    <row r="5285" spans="117:121" x14ac:dyDescent="0.35">
      <c r="DM5285" s="50"/>
      <c r="DQ5285" s="50"/>
    </row>
    <row r="5286" spans="117:121" x14ac:dyDescent="0.35">
      <c r="DM5286" s="50"/>
      <c r="DQ5286" s="50"/>
    </row>
    <row r="5287" spans="117:121" x14ac:dyDescent="0.35">
      <c r="DM5287" s="50"/>
      <c r="DQ5287" s="50"/>
    </row>
    <row r="5288" spans="117:121" x14ac:dyDescent="0.35">
      <c r="DM5288" s="50"/>
      <c r="DQ5288" s="50"/>
    </row>
    <row r="5289" spans="117:121" x14ac:dyDescent="0.35">
      <c r="DM5289" s="50"/>
      <c r="DQ5289" s="50"/>
    </row>
    <row r="5290" spans="117:121" x14ac:dyDescent="0.35">
      <c r="DM5290" s="50"/>
      <c r="DQ5290" s="50"/>
    </row>
    <row r="5291" spans="117:121" x14ac:dyDescent="0.35">
      <c r="DM5291" s="50"/>
      <c r="DQ5291" s="50"/>
    </row>
    <row r="5292" spans="117:121" x14ac:dyDescent="0.35">
      <c r="DM5292" s="50"/>
      <c r="DQ5292" s="50"/>
    </row>
    <row r="5293" spans="117:121" x14ac:dyDescent="0.35">
      <c r="DM5293" s="50"/>
      <c r="DQ5293" s="50"/>
    </row>
    <row r="5294" spans="117:121" x14ac:dyDescent="0.35">
      <c r="DM5294" s="50"/>
      <c r="DQ5294" s="50"/>
    </row>
    <row r="5295" spans="117:121" x14ac:dyDescent="0.35">
      <c r="DM5295" s="50"/>
      <c r="DQ5295" s="50"/>
    </row>
    <row r="5296" spans="117:121" x14ac:dyDescent="0.35">
      <c r="DM5296" s="50"/>
      <c r="DQ5296" s="50"/>
    </row>
    <row r="5297" spans="117:121" x14ac:dyDescent="0.35">
      <c r="DM5297" s="50"/>
      <c r="DQ5297" s="50"/>
    </row>
    <row r="5298" spans="117:121" x14ac:dyDescent="0.35">
      <c r="DM5298" s="50"/>
      <c r="DQ5298" s="50"/>
    </row>
    <row r="5299" spans="117:121" x14ac:dyDescent="0.35">
      <c r="DM5299" s="50"/>
      <c r="DQ5299" s="50"/>
    </row>
    <row r="5300" spans="117:121" x14ac:dyDescent="0.35">
      <c r="DM5300" s="50"/>
      <c r="DQ5300" s="50"/>
    </row>
    <row r="5301" spans="117:121" x14ac:dyDescent="0.35">
      <c r="DM5301" s="50"/>
      <c r="DQ5301" s="50"/>
    </row>
    <row r="5302" spans="117:121" x14ac:dyDescent="0.35">
      <c r="DM5302" s="50"/>
      <c r="DQ5302" s="50"/>
    </row>
    <row r="5303" spans="117:121" x14ac:dyDescent="0.35">
      <c r="DM5303" s="50"/>
      <c r="DQ5303" s="50"/>
    </row>
    <row r="5304" spans="117:121" x14ac:dyDescent="0.35">
      <c r="DM5304" s="50"/>
      <c r="DQ5304" s="50"/>
    </row>
    <row r="5305" spans="117:121" x14ac:dyDescent="0.35">
      <c r="DM5305" s="50"/>
      <c r="DQ5305" s="50"/>
    </row>
    <row r="5306" spans="117:121" x14ac:dyDescent="0.35">
      <c r="DM5306" s="50"/>
      <c r="DQ5306" s="50"/>
    </row>
    <row r="5307" spans="117:121" x14ac:dyDescent="0.35">
      <c r="DM5307" s="50"/>
      <c r="DQ5307" s="50"/>
    </row>
    <row r="5308" spans="117:121" x14ac:dyDescent="0.35">
      <c r="DM5308" s="50"/>
      <c r="DQ5308" s="50"/>
    </row>
    <row r="5309" spans="117:121" x14ac:dyDescent="0.35">
      <c r="DM5309" s="50"/>
      <c r="DQ5309" s="50"/>
    </row>
    <row r="5310" spans="117:121" x14ac:dyDescent="0.35">
      <c r="DM5310" s="50"/>
      <c r="DQ5310" s="50"/>
    </row>
    <row r="5311" spans="117:121" x14ac:dyDescent="0.35">
      <c r="DM5311" s="50"/>
      <c r="DQ5311" s="50"/>
    </row>
    <row r="5312" spans="117:121" x14ac:dyDescent="0.35">
      <c r="DM5312" s="50"/>
      <c r="DQ5312" s="50"/>
    </row>
    <row r="5313" spans="117:121" x14ac:dyDescent="0.35">
      <c r="DM5313" s="50"/>
      <c r="DQ5313" s="50"/>
    </row>
    <row r="5314" spans="117:121" x14ac:dyDescent="0.35">
      <c r="DM5314" s="50"/>
      <c r="DQ5314" s="50"/>
    </row>
    <row r="5315" spans="117:121" x14ac:dyDescent="0.35">
      <c r="DM5315" s="50"/>
      <c r="DQ5315" s="50"/>
    </row>
    <row r="5316" spans="117:121" x14ac:dyDescent="0.35">
      <c r="DM5316" s="50"/>
      <c r="DQ5316" s="50"/>
    </row>
    <row r="5317" spans="117:121" x14ac:dyDescent="0.35">
      <c r="DM5317" s="50"/>
      <c r="DQ5317" s="50"/>
    </row>
    <row r="5318" spans="117:121" x14ac:dyDescent="0.35">
      <c r="DM5318" s="50"/>
      <c r="DQ5318" s="50"/>
    </row>
    <row r="5319" spans="117:121" x14ac:dyDescent="0.35">
      <c r="DM5319" s="50"/>
      <c r="DQ5319" s="50"/>
    </row>
    <row r="5320" spans="117:121" x14ac:dyDescent="0.35">
      <c r="DM5320" s="50"/>
      <c r="DQ5320" s="50"/>
    </row>
    <row r="5321" spans="117:121" x14ac:dyDescent="0.35">
      <c r="DM5321" s="50"/>
      <c r="DQ5321" s="50"/>
    </row>
    <row r="5322" spans="117:121" x14ac:dyDescent="0.35">
      <c r="DM5322" s="50"/>
      <c r="DQ5322" s="50"/>
    </row>
    <row r="5323" spans="117:121" x14ac:dyDescent="0.35">
      <c r="DM5323" s="50"/>
      <c r="DQ5323" s="50"/>
    </row>
    <row r="5324" spans="117:121" x14ac:dyDescent="0.35">
      <c r="DM5324" s="50"/>
      <c r="DQ5324" s="50"/>
    </row>
    <row r="5325" spans="117:121" x14ac:dyDescent="0.35">
      <c r="DM5325" s="50"/>
      <c r="DQ5325" s="50"/>
    </row>
    <row r="5326" spans="117:121" x14ac:dyDescent="0.35">
      <c r="DM5326" s="50"/>
      <c r="DQ5326" s="50"/>
    </row>
    <row r="5327" spans="117:121" x14ac:dyDescent="0.35">
      <c r="DM5327" s="50"/>
      <c r="DQ5327" s="50"/>
    </row>
    <row r="5328" spans="117:121" x14ac:dyDescent="0.35">
      <c r="DM5328" s="50"/>
      <c r="DQ5328" s="50"/>
    </row>
    <row r="5329" spans="117:121" x14ac:dyDescent="0.35">
      <c r="DM5329" s="50"/>
      <c r="DQ5329" s="50"/>
    </row>
    <row r="5330" spans="117:121" x14ac:dyDescent="0.35">
      <c r="DM5330" s="50"/>
      <c r="DQ5330" s="50"/>
    </row>
    <row r="5331" spans="117:121" x14ac:dyDescent="0.35">
      <c r="DM5331" s="50"/>
      <c r="DQ5331" s="50"/>
    </row>
    <row r="5332" spans="117:121" x14ac:dyDescent="0.35">
      <c r="DM5332" s="50"/>
      <c r="DQ5332" s="50"/>
    </row>
    <row r="5333" spans="117:121" x14ac:dyDescent="0.35">
      <c r="DM5333" s="50"/>
      <c r="DQ5333" s="50"/>
    </row>
    <row r="5334" spans="117:121" x14ac:dyDescent="0.35">
      <c r="DM5334" s="50"/>
      <c r="DQ5334" s="50"/>
    </row>
    <row r="5335" spans="117:121" x14ac:dyDescent="0.35">
      <c r="DM5335" s="50"/>
      <c r="DQ5335" s="50"/>
    </row>
    <row r="5336" spans="117:121" x14ac:dyDescent="0.35">
      <c r="DM5336" s="50"/>
      <c r="DQ5336" s="50"/>
    </row>
    <row r="5337" spans="117:121" x14ac:dyDescent="0.35">
      <c r="DM5337" s="50"/>
      <c r="DQ5337" s="50"/>
    </row>
    <row r="5338" spans="117:121" x14ac:dyDescent="0.35">
      <c r="DM5338" s="50"/>
      <c r="DQ5338" s="50"/>
    </row>
    <row r="5339" spans="117:121" x14ac:dyDescent="0.35">
      <c r="DM5339" s="50"/>
      <c r="DQ5339" s="50"/>
    </row>
    <row r="5340" spans="117:121" x14ac:dyDescent="0.35">
      <c r="DM5340" s="50"/>
      <c r="DQ5340" s="50"/>
    </row>
    <row r="5341" spans="117:121" x14ac:dyDescent="0.35">
      <c r="DM5341" s="50"/>
      <c r="DQ5341" s="50"/>
    </row>
    <row r="5342" spans="117:121" x14ac:dyDescent="0.35">
      <c r="DM5342" s="50"/>
      <c r="DQ5342" s="50"/>
    </row>
    <row r="5343" spans="117:121" x14ac:dyDescent="0.35">
      <c r="DM5343" s="50"/>
      <c r="DQ5343" s="50"/>
    </row>
    <row r="5344" spans="117:121" x14ac:dyDescent="0.35">
      <c r="DM5344" s="50"/>
      <c r="DQ5344" s="50"/>
    </row>
    <row r="5345" spans="117:121" x14ac:dyDescent="0.35">
      <c r="DM5345" s="50"/>
      <c r="DQ5345" s="50"/>
    </row>
    <row r="5346" spans="117:121" x14ac:dyDescent="0.35">
      <c r="DM5346" s="50"/>
      <c r="DQ5346" s="50"/>
    </row>
    <row r="5347" spans="117:121" x14ac:dyDescent="0.35">
      <c r="DM5347" s="50"/>
      <c r="DQ5347" s="50"/>
    </row>
    <row r="5348" spans="117:121" x14ac:dyDescent="0.35">
      <c r="DM5348" s="50"/>
      <c r="DQ5348" s="50"/>
    </row>
    <row r="5349" spans="117:121" x14ac:dyDescent="0.35">
      <c r="DM5349" s="50"/>
      <c r="DQ5349" s="50"/>
    </row>
    <row r="5350" spans="117:121" x14ac:dyDescent="0.35">
      <c r="DM5350" s="50"/>
      <c r="DQ5350" s="50"/>
    </row>
    <row r="5351" spans="117:121" x14ac:dyDescent="0.35">
      <c r="DM5351" s="50"/>
      <c r="DQ5351" s="50"/>
    </row>
    <row r="5352" spans="117:121" x14ac:dyDescent="0.35">
      <c r="DM5352" s="50"/>
      <c r="DQ5352" s="50"/>
    </row>
    <row r="5353" spans="117:121" x14ac:dyDescent="0.35">
      <c r="DM5353" s="50"/>
      <c r="DQ5353" s="50"/>
    </row>
    <row r="5354" spans="117:121" x14ac:dyDescent="0.35">
      <c r="DM5354" s="50"/>
      <c r="DQ5354" s="50"/>
    </row>
    <row r="5355" spans="117:121" x14ac:dyDescent="0.35">
      <c r="DM5355" s="50"/>
      <c r="DQ5355" s="50"/>
    </row>
    <row r="5356" spans="117:121" x14ac:dyDescent="0.35">
      <c r="DM5356" s="50"/>
      <c r="DQ5356" s="50"/>
    </row>
    <row r="5357" spans="117:121" x14ac:dyDescent="0.35">
      <c r="DM5357" s="50"/>
      <c r="DQ5357" s="50"/>
    </row>
    <row r="5358" spans="117:121" x14ac:dyDescent="0.35">
      <c r="DM5358" s="50"/>
      <c r="DQ5358" s="50"/>
    </row>
    <row r="5359" spans="117:121" x14ac:dyDescent="0.35">
      <c r="DM5359" s="50"/>
      <c r="DQ5359" s="50"/>
    </row>
    <row r="5360" spans="117:121" x14ac:dyDescent="0.35">
      <c r="DM5360" s="50"/>
      <c r="DQ5360" s="50"/>
    </row>
    <row r="5361" spans="117:121" x14ac:dyDescent="0.35">
      <c r="DM5361" s="50"/>
      <c r="DQ5361" s="50"/>
    </row>
    <row r="5362" spans="117:121" x14ac:dyDescent="0.35">
      <c r="DM5362" s="50"/>
      <c r="DQ5362" s="50"/>
    </row>
    <row r="5363" spans="117:121" x14ac:dyDescent="0.35">
      <c r="DM5363" s="50"/>
      <c r="DQ5363" s="50"/>
    </row>
    <row r="5364" spans="117:121" x14ac:dyDescent="0.35">
      <c r="DM5364" s="50"/>
      <c r="DQ5364" s="50"/>
    </row>
    <row r="5365" spans="117:121" x14ac:dyDescent="0.35">
      <c r="DM5365" s="50"/>
      <c r="DQ5365" s="50"/>
    </row>
    <row r="5366" spans="117:121" x14ac:dyDescent="0.35">
      <c r="DM5366" s="50"/>
      <c r="DQ5366" s="50"/>
    </row>
    <row r="5367" spans="117:121" x14ac:dyDescent="0.35">
      <c r="DM5367" s="50"/>
      <c r="DQ5367" s="50"/>
    </row>
    <row r="5368" spans="117:121" x14ac:dyDescent="0.35">
      <c r="DM5368" s="50"/>
      <c r="DQ5368" s="50"/>
    </row>
    <row r="5369" spans="117:121" x14ac:dyDescent="0.35">
      <c r="DM5369" s="50"/>
      <c r="DQ5369" s="50"/>
    </row>
    <row r="5370" spans="117:121" x14ac:dyDescent="0.35">
      <c r="DM5370" s="50"/>
      <c r="DQ5370" s="50"/>
    </row>
    <row r="5371" spans="117:121" x14ac:dyDescent="0.35">
      <c r="DM5371" s="50"/>
      <c r="DQ5371" s="50"/>
    </row>
    <row r="5372" spans="117:121" x14ac:dyDescent="0.35">
      <c r="DM5372" s="50"/>
      <c r="DQ5372" s="50"/>
    </row>
    <row r="5373" spans="117:121" x14ac:dyDescent="0.35">
      <c r="DM5373" s="50"/>
      <c r="DQ5373" s="50"/>
    </row>
    <row r="5374" spans="117:121" x14ac:dyDescent="0.35">
      <c r="DM5374" s="50"/>
      <c r="DQ5374" s="50"/>
    </row>
    <row r="5375" spans="117:121" x14ac:dyDescent="0.35">
      <c r="DM5375" s="50"/>
      <c r="DQ5375" s="50"/>
    </row>
    <row r="5376" spans="117:121" x14ac:dyDescent="0.35">
      <c r="DM5376" s="50"/>
      <c r="DQ5376" s="50"/>
    </row>
    <row r="5377" spans="117:121" x14ac:dyDescent="0.35">
      <c r="DM5377" s="50"/>
      <c r="DQ5377" s="50"/>
    </row>
    <row r="5378" spans="117:121" x14ac:dyDescent="0.35">
      <c r="DM5378" s="50"/>
      <c r="DQ5378" s="50"/>
    </row>
    <row r="5379" spans="117:121" x14ac:dyDescent="0.35">
      <c r="DM5379" s="50"/>
      <c r="DQ5379" s="50"/>
    </row>
    <row r="5380" spans="117:121" x14ac:dyDescent="0.35">
      <c r="DM5380" s="50"/>
      <c r="DQ5380" s="50"/>
    </row>
    <row r="5381" spans="117:121" x14ac:dyDescent="0.35">
      <c r="DM5381" s="50"/>
      <c r="DQ5381" s="50"/>
    </row>
    <row r="5382" spans="117:121" x14ac:dyDescent="0.35">
      <c r="DM5382" s="50"/>
      <c r="DQ5382" s="50"/>
    </row>
    <row r="5383" spans="117:121" x14ac:dyDescent="0.35">
      <c r="DM5383" s="50"/>
      <c r="DQ5383" s="50"/>
    </row>
    <row r="5384" spans="117:121" x14ac:dyDescent="0.35">
      <c r="DM5384" s="50"/>
      <c r="DQ5384" s="50"/>
    </row>
    <row r="5385" spans="117:121" x14ac:dyDescent="0.35">
      <c r="DM5385" s="50"/>
      <c r="DQ5385" s="50"/>
    </row>
    <row r="5386" spans="117:121" x14ac:dyDescent="0.35">
      <c r="DM5386" s="50"/>
      <c r="DQ5386" s="50"/>
    </row>
    <row r="5387" spans="117:121" x14ac:dyDescent="0.35">
      <c r="DM5387" s="50"/>
      <c r="DQ5387" s="50"/>
    </row>
    <row r="5388" spans="117:121" x14ac:dyDescent="0.35">
      <c r="DM5388" s="50"/>
      <c r="DQ5388" s="50"/>
    </row>
    <row r="5389" spans="117:121" x14ac:dyDescent="0.35">
      <c r="DM5389" s="50"/>
      <c r="DQ5389" s="50"/>
    </row>
    <row r="5390" spans="117:121" x14ac:dyDescent="0.35">
      <c r="DM5390" s="50"/>
      <c r="DQ5390" s="50"/>
    </row>
    <row r="5391" spans="117:121" x14ac:dyDescent="0.35">
      <c r="DM5391" s="50"/>
      <c r="DQ5391" s="50"/>
    </row>
    <row r="5392" spans="117:121" x14ac:dyDescent="0.35">
      <c r="DM5392" s="50"/>
      <c r="DQ5392" s="50"/>
    </row>
    <row r="5393" spans="117:121" x14ac:dyDescent="0.35">
      <c r="DM5393" s="50"/>
      <c r="DQ5393" s="50"/>
    </row>
    <row r="5394" spans="117:121" x14ac:dyDescent="0.35">
      <c r="DM5394" s="50"/>
      <c r="DQ5394" s="50"/>
    </row>
    <row r="5395" spans="117:121" x14ac:dyDescent="0.35">
      <c r="DM5395" s="50"/>
      <c r="DQ5395" s="50"/>
    </row>
    <row r="5396" spans="117:121" x14ac:dyDescent="0.35">
      <c r="DM5396" s="50"/>
      <c r="DQ5396" s="50"/>
    </row>
    <row r="5397" spans="117:121" x14ac:dyDescent="0.35">
      <c r="DM5397" s="50"/>
      <c r="DQ5397" s="50"/>
    </row>
    <row r="5398" spans="117:121" x14ac:dyDescent="0.35">
      <c r="DM5398" s="50"/>
      <c r="DQ5398" s="50"/>
    </row>
    <row r="5399" spans="117:121" x14ac:dyDescent="0.35">
      <c r="DM5399" s="50"/>
      <c r="DQ5399" s="50"/>
    </row>
    <row r="5400" spans="117:121" x14ac:dyDescent="0.35">
      <c r="DM5400" s="50"/>
      <c r="DQ5400" s="50"/>
    </row>
    <row r="5401" spans="117:121" x14ac:dyDescent="0.35">
      <c r="DM5401" s="50"/>
      <c r="DQ5401" s="50"/>
    </row>
    <row r="5402" spans="117:121" x14ac:dyDescent="0.35">
      <c r="DM5402" s="50"/>
      <c r="DQ5402" s="50"/>
    </row>
    <row r="5403" spans="117:121" x14ac:dyDescent="0.35">
      <c r="DM5403" s="50"/>
      <c r="DQ5403" s="50"/>
    </row>
    <row r="5404" spans="117:121" x14ac:dyDescent="0.35">
      <c r="DM5404" s="50"/>
      <c r="DQ5404" s="50"/>
    </row>
    <row r="5405" spans="117:121" x14ac:dyDescent="0.35">
      <c r="DM5405" s="50"/>
      <c r="DQ5405" s="50"/>
    </row>
    <row r="5406" spans="117:121" x14ac:dyDescent="0.35">
      <c r="DM5406" s="50"/>
      <c r="DQ5406" s="50"/>
    </row>
    <row r="5407" spans="117:121" x14ac:dyDescent="0.35">
      <c r="DM5407" s="50"/>
      <c r="DQ5407" s="50"/>
    </row>
    <row r="5408" spans="117:121" x14ac:dyDescent="0.35">
      <c r="DM5408" s="50"/>
      <c r="DQ5408" s="50"/>
    </row>
    <row r="5409" spans="117:121" x14ac:dyDescent="0.35">
      <c r="DM5409" s="50"/>
      <c r="DQ5409" s="50"/>
    </row>
    <row r="5410" spans="117:121" x14ac:dyDescent="0.35">
      <c r="DM5410" s="50"/>
      <c r="DQ5410" s="50"/>
    </row>
    <row r="5411" spans="117:121" x14ac:dyDescent="0.35">
      <c r="DM5411" s="50"/>
      <c r="DQ5411" s="50"/>
    </row>
    <row r="5412" spans="117:121" x14ac:dyDescent="0.35">
      <c r="DM5412" s="50"/>
      <c r="DQ5412" s="50"/>
    </row>
    <row r="5413" spans="117:121" x14ac:dyDescent="0.35">
      <c r="DM5413" s="50"/>
      <c r="DQ5413" s="50"/>
    </row>
    <row r="5414" spans="117:121" x14ac:dyDescent="0.35">
      <c r="DM5414" s="50"/>
      <c r="DQ5414" s="50"/>
    </row>
    <row r="5415" spans="117:121" x14ac:dyDescent="0.35">
      <c r="DM5415" s="50"/>
      <c r="DQ5415" s="50"/>
    </row>
    <row r="5416" spans="117:121" x14ac:dyDescent="0.35">
      <c r="DM5416" s="50"/>
      <c r="DQ5416" s="50"/>
    </row>
    <row r="5417" spans="117:121" x14ac:dyDescent="0.35">
      <c r="DM5417" s="50"/>
      <c r="DQ5417" s="50"/>
    </row>
    <row r="5418" spans="117:121" x14ac:dyDescent="0.35">
      <c r="DM5418" s="50"/>
      <c r="DQ5418" s="50"/>
    </row>
    <row r="5419" spans="117:121" x14ac:dyDescent="0.35">
      <c r="DM5419" s="50"/>
      <c r="DQ5419" s="50"/>
    </row>
    <row r="5420" spans="117:121" x14ac:dyDescent="0.35">
      <c r="DM5420" s="50"/>
      <c r="DQ5420" s="50"/>
    </row>
    <row r="5421" spans="117:121" x14ac:dyDescent="0.35">
      <c r="DM5421" s="50"/>
      <c r="DQ5421" s="50"/>
    </row>
    <row r="5422" spans="117:121" x14ac:dyDescent="0.35">
      <c r="DM5422" s="50"/>
      <c r="DQ5422" s="50"/>
    </row>
    <row r="5423" spans="117:121" x14ac:dyDescent="0.35">
      <c r="DM5423" s="50"/>
      <c r="DQ5423" s="50"/>
    </row>
    <row r="5424" spans="117:121" x14ac:dyDescent="0.35">
      <c r="DM5424" s="50"/>
      <c r="DQ5424" s="50"/>
    </row>
    <row r="5425" spans="117:121" x14ac:dyDescent="0.35">
      <c r="DM5425" s="50"/>
      <c r="DQ5425" s="50"/>
    </row>
    <row r="5426" spans="117:121" x14ac:dyDescent="0.35">
      <c r="DM5426" s="50"/>
      <c r="DQ5426" s="50"/>
    </row>
    <row r="5427" spans="117:121" x14ac:dyDescent="0.35">
      <c r="DM5427" s="50"/>
      <c r="DQ5427" s="50"/>
    </row>
    <row r="5428" spans="117:121" x14ac:dyDescent="0.35">
      <c r="DM5428" s="50"/>
      <c r="DQ5428" s="50"/>
    </row>
    <row r="5429" spans="117:121" x14ac:dyDescent="0.35">
      <c r="DM5429" s="50"/>
      <c r="DQ5429" s="50"/>
    </row>
    <row r="5430" spans="117:121" x14ac:dyDescent="0.35">
      <c r="DM5430" s="50"/>
      <c r="DQ5430" s="50"/>
    </row>
    <row r="5431" spans="117:121" x14ac:dyDescent="0.35">
      <c r="DM5431" s="50"/>
      <c r="DQ5431" s="50"/>
    </row>
    <row r="5432" spans="117:121" x14ac:dyDescent="0.35">
      <c r="DM5432" s="50"/>
      <c r="DQ5432" s="50"/>
    </row>
    <row r="5433" spans="117:121" x14ac:dyDescent="0.35">
      <c r="DM5433" s="50"/>
      <c r="DQ5433" s="50"/>
    </row>
    <row r="5434" spans="117:121" x14ac:dyDescent="0.35">
      <c r="DM5434" s="50"/>
      <c r="DQ5434" s="50"/>
    </row>
    <row r="5435" spans="117:121" x14ac:dyDescent="0.35">
      <c r="DM5435" s="50"/>
      <c r="DQ5435" s="50"/>
    </row>
    <row r="5436" spans="117:121" x14ac:dyDescent="0.35">
      <c r="DM5436" s="50"/>
      <c r="DQ5436" s="50"/>
    </row>
    <row r="5437" spans="117:121" x14ac:dyDescent="0.35">
      <c r="DM5437" s="50"/>
      <c r="DQ5437" s="50"/>
    </row>
    <row r="5438" spans="117:121" x14ac:dyDescent="0.35">
      <c r="DM5438" s="50"/>
      <c r="DQ5438" s="50"/>
    </row>
    <row r="5439" spans="117:121" x14ac:dyDescent="0.35">
      <c r="DM5439" s="50"/>
      <c r="DQ5439" s="50"/>
    </row>
    <row r="5440" spans="117:121" x14ac:dyDescent="0.35">
      <c r="DM5440" s="50"/>
      <c r="DQ5440" s="50"/>
    </row>
    <row r="5441" spans="117:121" x14ac:dyDescent="0.35">
      <c r="DM5441" s="50"/>
      <c r="DQ5441" s="50"/>
    </row>
    <row r="5442" spans="117:121" x14ac:dyDescent="0.35">
      <c r="DM5442" s="50"/>
      <c r="DQ5442" s="50"/>
    </row>
    <row r="5443" spans="117:121" x14ac:dyDescent="0.35">
      <c r="DM5443" s="50"/>
      <c r="DQ5443" s="50"/>
    </row>
    <row r="5444" spans="117:121" x14ac:dyDescent="0.35">
      <c r="DM5444" s="50"/>
      <c r="DQ5444" s="50"/>
    </row>
    <row r="5445" spans="117:121" x14ac:dyDescent="0.35">
      <c r="DM5445" s="50"/>
      <c r="DQ5445" s="50"/>
    </row>
    <row r="5446" spans="117:121" x14ac:dyDescent="0.35">
      <c r="DM5446" s="50"/>
      <c r="DQ5446" s="50"/>
    </row>
    <row r="5447" spans="117:121" x14ac:dyDescent="0.35">
      <c r="DM5447" s="50"/>
      <c r="DQ5447" s="50"/>
    </row>
    <row r="5448" spans="117:121" x14ac:dyDescent="0.35">
      <c r="DM5448" s="50"/>
      <c r="DQ5448" s="50"/>
    </row>
    <row r="5449" spans="117:121" x14ac:dyDescent="0.35">
      <c r="DM5449" s="50"/>
      <c r="DQ5449" s="50"/>
    </row>
    <row r="5450" spans="117:121" x14ac:dyDescent="0.35">
      <c r="DM5450" s="50"/>
      <c r="DQ5450" s="50"/>
    </row>
    <row r="5451" spans="117:121" x14ac:dyDescent="0.35">
      <c r="DM5451" s="50"/>
      <c r="DQ5451" s="50"/>
    </row>
    <row r="5452" spans="117:121" x14ac:dyDescent="0.35">
      <c r="DM5452" s="50"/>
      <c r="DQ5452" s="50"/>
    </row>
    <row r="5453" spans="117:121" x14ac:dyDescent="0.35">
      <c r="DM5453" s="50"/>
      <c r="DQ5453" s="50"/>
    </row>
    <row r="5454" spans="117:121" x14ac:dyDescent="0.35">
      <c r="DM5454" s="50"/>
      <c r="DQ5454" s="50"/>
    </row>
    <row r="5455" spans="117:121" x14ac:dyDescent="0.35">
      <c r="DM5455" s="50"/>
      <c r="DQ5455" s="50"/>
    </row>
    <row r="5456" spans="117:121" x14ac:dyDescent="0.35">
      <c r="DM5456" s="50"/>
      <c r="DQ5456" s="50"/>
    </row>
    <row r="5457" spans="117:121" x14ac:dyDescent="0.35">
      <c r="DM5457" s="50"/>
      <c r="DQ5457" s="50"/>
    </row>
    <row r="5458" spans="117:121" x14ac:dyDescent="0.35">
      <c r="DM5458" s="50"/>
      <c r="DQ5458" s="50"/>
    </row>
    <row r="5459" spans="117:121" x14ac:dyDescent="0.35">
      <c r="DM5459" s="50"/>
      <c r="DQ5459" s="50"/>
    </row>
    <row r="5460" spans="117:121" x14ac:dyDescent="0.35">
      <c r="DM5460" s="50"/>
      <c r="DQ5460" s="50"/>
    </row>
    <row r="5461" spans="117:121" x14ac:dyDescent="0.35">
      <c r="DM5461" s="50"/>
      <c r="DQ5461" s="50"/>
    </row>
    <row r="5462" spans="117:121" x14ac:dyDescent="0.35">
      <c r="DM5462" s="50"/>
      <c r="DQ5462" s="50"/>
    </row>
    <row r="5463" spans="117:121" x14ac:dyDescent="0.35">
      <c r="DM5463" s="50"/>
      <c r="DQ5463" s="50"/>
    </row>
    <row r="5464" spans="117:121" x14ac:dyDescent="0.35">
      <c r="DM5464" s="50"/>
      <c r="DQ5464" s="50"/>
    </row>
    <row r="5465" spans="117:121" x14ac:dyDescent="0.35">
      <c r="DM5465" s="50"/>
      <c r="DQ5465" s="50"/>
    </row>
    <row r="5466" spans="117:121" x14ac:dyDescent="0.35">
      <c r="DM5466" s="50"/>
      <c r="DQ5466" s="50"/>
    </row>
    <row r="5467" spans="117:121" x14ac:dyDescent="0.35">
      <c r="DM5467" s="50"/>
      <c r="DQ5467" s="50"/>
    </row>
    <row r="5468" spans="117:121" x14ac:dyDescent="0.35">
      <c r="DM5468" s="50"/>
      <c r="DQ5468" s="50"/>
    </row>
    <row r="5469" spans="117:121" x14ac:dyDescent="0.35">
      <c r="DM5469" s="50"/>
      <c r="DQ5469" s="50"/>
    </row>
    <row r="5470" spans="117:121" x14ac:dyDescent="0.35">
      <c r="DM5470" s="50"/>
      <c r="DQ5470" s="50"/>
    </row>
    <row r="5471" spans="117:121" x14ac:dyDescent="0.35">
      <c r="DM5471" s="50"/>
      <c r="DQ5471" s="50"/>
    </row>
    <row r="5472" spans="117:121" x14ac:dyDescent="0.35">
      <c r="DM5472" s="50"/>
      <c r="DQ5472" s="50"/>
    </row>
    <row r="5473" spans="117:121" x14ac:dyDescent="0.35">
      <c r="DM5473" s="50"/>
      <c r="DQ5473" s="50"/>
    </row>
    <row r="5474" spans="117:121" x14ac:dyDescent="0.35">
      <c r="DM5474" s="50"/>
      <c r="DQ5474" s="50"/>
    </row>
    <row r="5475" spans="117:121" x14ac:dyDescent="0.35">
      <c r="DM5475" s="50"/>
      <c r="DQ5475" s="50"/>
    </row>
    <row r="5476" spans="117:121" x14ac:dyDescent="0.35">
      <c r="DM5476" s="50"/>
      <c r="DQ5476" s="50"/>
    </row>
    <row r="5477" spans="117:121" x14ac:dyDescent="0.35">
      <c r="DM5477" s="50"/>
      <c r="DQ5477" s="50"/>
    </row>
    <row r="5478" spans="117:121" x14ac:dyDescent="0.35">
      <c r="DM5478" s="50"/>
      <c r="DQ5478" s="50"/>
    </row>
    <row r="5479" spans="117:121" x14ac:dyDescent="0.35">
      <c r="DM5479" s="50"/>
      <c r="DQ5479" s="50"/>
    </row>
    <row r="5480" spans="117:121" x14ac:dyDescent="0.35">
      <c r="DM5480" s="50"/>
      <c r="DQ5480" s="50"/>
    </row>
    <row r="5481" spans="117:121" x14ac:dyDescent="0.35">
      <c r="DM5481" s="50"/>
      <c r="DQ5481" s="50"/>
    </row>
    <row r="5482" spans="117:121" x14ac:dyDescent="0.35">
      <c r="DM5482" s="50"/>
      <c r="DQ5482" s="50"/>
    </row>
    <row r="5483" spans="117:121" x14ac:dyDescent="0.35">
      <c r="DM5483" s="50"/>
      <c r="DQ5483" s="50"/>
    </row>
    <row r="5484" spans="117:121" x14ac:dyDescent="0.35">
      <c r="DM5484" s="50"/>
      <c r="DQ5484" s="50"/>
    </row>
    <row r="5485" spans="117:121" x14ac:dyDescent="0.35">
      <c r="DM5485" s="50"/>
      <c r="DQ5485" s="50"/>
    </row>
    <row r="5486" spans="117:121" x14ac:dyDescent="0.35">
      <c r="DM5486" s="50"/>
      <c r="DQ5486" s="50"/>
    </row>
    <row r="5487" spans="117:121" x14ac:dyDescent="0.35">
      <c r="DM5487" s="50"/>
      <c r="DQ5487" s="50"/>
    </row>
    <row r="5488" spans="117:121" x14ac:dyDescent="0.35">
      <c r="DM5488" s="50"/>
      <c r="DQ5488" s="50"/>
    </row>
    <row r="5489" spans="117:121" x14ac:dyDescent="0.35">
      <c r="DM5489" s="50"/>
      <c r="DQ5489" s="50"/>
    </row>
    <row r="5490" spans="117:121" x14ac:dyDescent="0.35">
      <c r="DM5490" s="50"/>
      <c r="DQ5490" s="50"/>
    </row>
    <row r="5491" spans="117:121" x14ac:dyDescent="0.35">
      <c r="DM5491" s="50"/>
      <c r="DQ5491" s="50"/>
    </row>
    <row r="5492" spans="117:121" x14ac:dyDescent="0.35">
      <c r="DM5492" s="50"/>
      <c r="DQ5492" s="50"/>
    </row>
    <row r="5493" spans="117:121" x14ac:dyDescent="0.35">
      <c r="DM5493" s="50"/>
      <c r="DQ5493" s="50"/>
    </row>
    <row r="5494" spans="117:121" x14ac:dyDescent="0.35">
      <c r="DM5494" s="50"/>
      <c r="DQ5494" s="50"/>
    </row>
    <row r="5495" spans="117:121" x14ac:dyDescent="0.35">
      <c r="DM5495" s="50"/>
      <c r="DQ5495" s="50"/>
    </row>
    <row r="5496" spans="117:121" x14ac:dyDescent="0.35">
      <c r="DM5496" s="50"/>
      <c r="DQ5496" s="50"/>
    </row>
    <row r="5497" spans="117:121" x14ac:dyDescent="0.35">
      <c r="DM5497" s="50"/>
      <c r="DQ5497" s="50"/>
    </row>
    <row r="5498" spans="117:121" x14ac:dyDescent="0.35">
      <c r="DM5498" s="50"/>
      <c r="DQ5498" s="50"/>
    </row>
    <row r="5499" spans="117:121" x14ac:dyDescent="0.35">
      <c r="DM5499" s="50"/>
      <c r="DQ5499" s="50"/>
    </row>
    <row r="5500" spans="117:121" x14ac:dyDescent="0.35">
      <c r="DM5500" s="50"/>
      <c r="DQ5500" s="50"/>
    </row>
    <row r="5501" spans="117:121" x14ac:dyDescent="0.35">
      <c r="DM5501" s="50"/>
      <c r="DQ5501" s="50"/>
    </row>
    <row r="5502" spans="117:121" x14ac:dyDescent="0.35">
      <c r="DM5502" s="50"/>
      <c r="DQ5502" s="50"/>
    </row>
    <row r="5503" spans="117:121" x14ac:dyDescent="0.35">
      <c r="DM5503" s="50"/>
      <c r="DQ5503" s="50"/>
    </row>
    <row r="5504" spans="117:121" x14ac:dyDescent="0.35">
      <c r="DM5504" s="50"/>
      <c r="DQ5504" s="50"/>
    </row>
    <row r="5505" spans="117:121" x14ac:dyDescent="0.35">
      <c r="DM5505" s="50"/>
      <c r="DQ5505" s="50"/>
    </row>
    <row r="5506" spans="117:121" x14ac:dyDescent="0.35">
      <c r="DM5506" s="50"/>
      <c r="DQ5506" s="50"/>
    </row>
    <row r="5507" spans="117:121" x14ac:dyDescent="0.35">
      <c r="DM5507" s="50"/>
      <c r="DQ5507" s="50"/>
    </row>
    <row r="5508" spans="117:121" x14ac:dyDescent="0.35">
      <c r="DM5508" s="50"/>
      <c r="DQ5508" s="50"/>
    </row>
    <row r="5509" spans="117:121" x14ac:dyDescent="0.35">
      <c r="DM5509" s="50"/>
      <c r="DQ5509" s="50"/>
    </row>
    <row r="5510" spans="117:121" x14ac:dyDescent="0.35">
      <c r="DM5510" s="50"/>
      <c r="DQ5510" s="50"/>
    </row>
    <row r="5511" spans="117:121" x14ac:dyDescent="0.35">
      <c r="DM5511" s="50"/>
      <c r="DQ5511" s="50"/>
    </row>
    <row r="5512" spans="117:121" x14ac:dyDescent="0.35">
      <c r="DM5512" s="50"/>
      <c r="DQ5512" s="50"/>
    </row>
    <row r="5513" spans="117:121" x14ac:dyDescent="0.35">
      <c r="DM5513" s="50"/>
      <c r="DQ5513" s="50"/>
    </row>
    <row r="5514" spans="117:121" x14ac:dyDescent="0.35">
      <c r="DM5514" s="50"/>
      <c r="DQ5514" s="50"/>
    </row>
    <row r="5515" spans="117:121" x14ac:dyDescent="0.35">
      <c r="DM5515" s="50"/>
      <c r="DQ5515" s="50"/>
    </row>
    <row r="5516" spans="117:121" x14ac:dyDescent="0.35">
      <c r="DM5516" s="50"/>
      <c r="DQ5516" s="50"/>
    </row>
    <row r="5517" spans="117:121" x14ac:dyDescent="0.35">
      <c r="DM5517" s="50"/>
      <c r="DQ5517" s="50"/>
    </row>
    <row r="5518" spans="117:121" x14ac:dyDescent="0.35">
      <c r="DM5518" s="50"/>
      <c r="DQ5518" s="50"/>
    </row>
    <row r="5519" spans="117:121" x14ac:dyDescent="0.35">
      <c r="DM5519" s="50"/>
      <c r="DQ5519" s="50"/>
    </row>
    <row r="5520" spans="117:121" x14ac:dyDescent="0.35">
      <c r="DM5520" s="50"/>
      <c r="DQ5520" s="50"/>
    </row>
    <row r="5521" spans="117:121" x14ac:dyDescent="0.35">
      <c r="DM5521" s="50"/>
      <c r="DQ5521" s="50"/>
    </row>
    <row r="5522" spans="117:121" x14ac:dyDescent="0.35">
      <c r="DM5522" s="50"/>
      <c r="DQ5522" s="50"/>
    </row>
    <row r="5523" spans="117:121" x14ac:dyDescent="0.35">
      <c r="DM5523" s="50"/>
      <c r="DQ5523" s="50"/>
    </row>
    <row r="5524" spans="117:121" x14ac:dyDescent="0.35">
      <c r="DM5524" s="50"/>
      <c r="DQ5524" s="50"/>
    </row>
    <row r="5525" spans="117:121" x14ac:dyDescent="0.35">
      <c r="DM5525" s="50"/>
      <c r="DQ5525" s="50"/>
    </row>
    <row r="5526" spans="117:121" x14ac:dyDescent="0.35">
      <c r="DM5526" s="50"/>
      <c r="DQ5526" s="50"/>
    </row>
    <row r="5527" spans="117:121" x14ac:dyDescent="0.35">
      <c r="DM5527" s="50"/>
      <c r="DQ5527" s="50"/>
    </row>
    <row r="5528" spans="117:121" x14ac:dyDescent="0.35">
      <c r="DM5528" s="50"/>
      <c r="DQ5528" s="50"/>
    </row>
    <row r="5529" spans="117:121" x14ac:dyDescent="0.35">
      <c r="DM5529" s="50"/>
      <c r="DQ5529" s="50"/>
    </row>
    <row r="5530" spans="117:121" x14ac:dyDescent="0.35">
      <c r="DM5530" s="50"/>
      <c r="DQ5530" s="50"/>
    </row>
    <row r="5531" spans="117:121" x14ac:dyDescent="0.35">
      <c r="DM5531" s="50"/>
      <c r="DQ5531" s="50"/>
    </row>
    <row r="5532" spans="117:121" x14ac:dyDescent="0.35">
      <c r="DM5532" s="50"/>
      <c r="DQ5532" s="50"/>
    </row>
    <row r="5533" spans="117:121" x14ac:dyDescent="0.35">
      <c r="DM5533" s="50"/>
      <c r="DQ5533" s="50"/>
    </row>
    <row r="5534" spans="117:121" x14ac:dyDescent="0.35">
      <c r="DM5534" s="50"/>
      <c r="DQ5534" s="50"/>
    </row>
    <row r="5535" spans="117:121" x14ac:dyDescent="0.35">
      <c r="DM5535" s="50"/>
      <c r="DQ5535" s="50"/>
    </row>
    <row r="5536" spans="117:121" x14ac:dyDescent="0.35">
      <c r="DM5536" s="50"/>
      <c r="DQ5536" s="50"/>
    </row>
    <row r="5537" spans="117:121" x14ac:dyDescent="0.35">
      <c r="DM5537" s="50"/>
      <c r="DQ5537" s="50"/>
    </row>
    <row r="5538" spans="117:121" x14ac:dyDescent="0.35">
      <c r="DM5538" s="50"/>
      <c r="DQ5538" s="50"/>
    </row>
    <row r="5539" spans="117:121" x14ac:dyDescent="0.35">
      <c r="DM5539" s="50"/>
      <c r="DQ5539" s="50"/>
    </row>
    <row r="5540" spans="117:121" x14ac:dyDescent="0.35">
      <c r="DM5540" s="50"/>
      <c r="DQ5540" s="50"/>
    </row>
    <row r="5541" spans="117:121" x14ac:dyDescent="0.35">
      <c r="DM5541" s="50"/>
      <c r="DQ5541" s="50"/>
    </row>
    <row r="5542" spans="117:121" x14ac:dyDescent="0.35">
      <c r="DM5542" s="50"/>
      <c r="DQ5542" s="50"/>
    </row>
    <row r="5543" spans="117:121" x14ac:dyDescent="0.35">
      <c r="DM5543" s="50"/>
      <c r="DQ5543" s="50"/>
    </row>
    <row r="5544" spans="117:121" x14ac:dyDescent="0.35">
      <c r="DM5544" s="50"/>
      <c r="DQ5544" s="50"/>
    </row>
    <row r="5545" spans="117:121" x14ac:dyDescent="0.35">
      <c r="DM5545" s="50"/>
      <c r="DQ5545" s="50"/>
    </row>
    <row r="5546" spans="117:121" x14ac:dyDescent="0.35">
      <c r="DM5546" s="50"/>
      <c r="DQ5546" s="50"/>
    </row>
    <row r="5547" spans="117:121" x14ac:dyDescent="0.35">
      <c r="DM5547" s="50"/>
      <c r="DQ5547" s="50"/>
    </row>
    <row r="5548" spans="117:121" x14ac:dyDescent="0.35">
      <c r="DM5548" s="50"/>
      <c r="DQ5548" s="50"/>
    </row>
    <row r="5549" spans="117:121" x14ac:dyDescent="0.35">
      <c r="DM5549" s="50"/>
      <c r="DQ5549" s="50"/>
    </row>
    <row r="5550" spans="117:121" x14ac:dyDescent="0.35">
      <c r="DM5550" s="50"/>
      <c r="DQ5550" s="50"/>
    </row>
    <row r="5551" spans="117:121" x14ac:dyDescent="0.35">
      <c r="DM5551" s="50"/>
      <c r="DQ5551" s="50"/>
    </row>
    <row r="5552" spans="117:121" x14ac:dyDescent="0.35">
      <c r="DM5552" s="50"/>
      <c r="DQ5552" s="50"/>
    </row>
    <row r="5553" spans="117:121" x14ac:dyDescent="0.35">
      <c r="DM5553" s="50"/>
      <c r="DQ5553" s="50"/>
    </row>
    <row r="5554" spans="117:121" x14ac:dyDescent="0.35">
      <c r="DM5554" s="50"/>
      <c r="DQ5554" s="50"/>
    </row>
    <row r="5555" spans="117:121" x14ac:dyDescent="0.35">
      <c r="DM5555" s="50"/>
      <c r="DQ5555" s="50"/>
    </row>
    <row r="5556" spans="117:121" x14ac:dyDescent="0.35">
      <c r="DM5556" s="50"/>
      <c r="DQ5556" s="50"/>
    </row>
    <row r="5557" spans="117:121" x14ac:dyDescent="0.35">
      <c r="DM5557" s="50"/>
      <c r="DQ5557" s="50"/>
    </row>
    <row r="5558" spans="117:121" x14ac:dyDescent="0.35">
      <c r="DM5558" s="50"/>
      <c r="DQ5558" s="50"/>
    </row>
    <row r="5559" spans="117:121" x14ac:dyDescent="0.35">
      <c r="DM5559" s="50"/>
      <c r="DQ5559" s="50"/>
    </row>
    <row r="5560" spans="117:121" x14ac:dyDescent="0.35">
      <c r="DM5560" s="50"/>
      <c r="DQ5560" s="50"/>
    </row>
    <row r="5561" spans="117:121" x14ac:dyDescent="0.35">
      <c r="DM5561" s="50"/>
      <c r="DQ5561" s="50"/>
    </row>
    <row r="5562" spans="117:121" x14ac:dyDescent="0.35">
      <c r="DM5562" s="50"/>
      <c r="DQ5562" s="50"/>
    </row>
    <row r="5563" spans="117:121" x14ac:dyDescent="0.35">
      <c r="DM5563" s="50"/>
      <c r="DQ5563" s="50"/>
    </row>
    <row r="5564" spans="117:121" x14ac:dyDescent="0.35">
      <c r="DM5564" s="50"/>
      <c r="DQ5564" s="50"/>
    </row>
    <row r="5565" spans="117:121" x14ac:dyDescent="0.35">
      <c r="DM5565" s="50"/>
      <c r="DQ5565" s="50"/>
    </row>
    <row r="5566" spans="117:121" x14ac:dyDescent="0.35">
      <c r="DM5566" s="50"/>
      <c r="DQ5566" s="50"/>
    </row>
    <row r="5567" spans="117:121" x14ac:dyDescent="0.35">
      <c r="DM5567" s="50"/>
      <c r="DQ5567" s="50"/>
    </row>
    <row r="5568" spans="117:121" x14ac:dyDescent="0.35">
      <c r="DM5568" s="50"/>
      <c r="DQ5568" s="50"/>
    </row>
    <row r="5569" spans="117:121" x14ac:dyDescent="0.35">
      <c r="DM5569" s="50"/>
      <c r="DQ5569" s="50"/>
    </row>
    <row r="5570" spans="117:121" x14ac:dyDescent="0.35">
      <c r="DM5570" s="50"/>
      <c r="DQ5570" s="50"/>
    </row>
    <row r="5571" spans="117:121" x14ac:dyDescent="0.35">
      <c r="DM5571" s="50"/>
      <c r="DQ5571" s="50"/>
    </row>
    <row r="5572" spans="117:121" x14ac:dyDescent="0.35">
      <c r="DM5572" s="50"/>
      <c r="DQ5572" s="50"/>
    </row>
    <row r="5573" spans="117:121" x14ac:dyDescent="0.35">
      <c r="DM5573" s="50"/>
      <c r="DQ5573" s="50"/>
    </row>
    <row r="5574" spans="117:121" x14ac:dyDescent="0.35">
      <c r="DM5574" s="50"/>
      <c r="DQ5574" s="50"/>
    </row>
    <row r="5575" spans="117:121" x14ac:dyDescent="0.35">
      <c r="DM5575" s="50"/>
      <c r="DQ5575" s="50"/>
    </row>
    <row r="5576" spans="117:121" x14ac:dyDescent="0.35">
      <c r="DM5576" s="50"/>
      <c r="DQ5576" s="50"/>
    </row>
    <row r="5577" spans="117:121" x14ac:dyDescent="0.35">
      <c r="DM5577" s="50"/>
      <c r="DQ5577" s="50"/>
    </row>
    <row r="5578" spans="117:121" x14ac:dyDescent="0.35">
      <c r="DM5578" s="50"/>
      <c r="DQ5578" s="50"/>
    </row>
    <row r="5579" spans="117:121" x14ac:dyDescent="0.35">
      <c r="DM5579" s="50"/>
      <c r="DQ5579" s="50"/>
    </row>
    <row r="5580" spans="117:121" x14ac:dyDescent="0.35">
      <c r="DM5580" s="50"/>
      <c r="DQ5580" s="50"/>
    </row>
    <row r="5581" spans="117:121" x14ac:dyDescent="0.35">
      <c r="DM5581" s="50"/>
      <c r="DQ5581" s="50"/>
    </row>
    <row r="5582" spans="117:121" x14ac:dyDescent="0.35">
      <c r="DM5582" s="50"/>
      <c r="DQ5582" s="50"/>
    </row>
    <row r="5583" spans="117:121" x14ac:dyDescent="0.35">
      <c r="DM5583" s="50"/>
      <c r="DQ5583" s="50"/>
    </row>
    <row r="5584" spans="117:121" x14ac:dyDescent="0.35">
      <c r="DM5584" s="50"/>
      <c r="DQ5584" s="50"/>
    </row>
    <row r="5585" spans="117:121" x14ac:dyDescent="0.35">
      <c r="DM5585" s="50"/>
      <c r="DQ5585" s="50"/>
    </row>
    <row r="5586" spans="117:121" x14ac:dyDescent="0.35">
      <c r="DM5586" s="50"/>
      <c r="DQ5586" s="50"/>
    </row>
    <row r="5587" spans="117:121" x14ac:dyDescent="0.35">
      <c r="DM5587" s="50"/>
      <c r="DQ5587" s="50"/>
    </row>
    <row r="5588" spans="117:121" x14ac:dyDescent="0.35">
      <c r="DM5588" s="50"/>
      <c r="DQ5588" s="50"/>
    </row>
    <row r="5589" spans="117:121" x14ac:dyDescent="0.35">
      <c r="DM5589" s="50"/>
      <c r="DQ5589" s="50"/>
    </row>
    <row r="5590" spans="117:121" x14ac:dyDescent="0.35">
      <c r="DM5590" s="50"/>
      <c r="DQ5590" s="50"/>
    </row>
    <row r="5591" spans="117:121" x14ac:dyDescent="0.35">
      <c r="DM5591" s="50"/>
      <c r="DQ5591" s="50"/>
    </row>
    <row r="5592" spans="117:121" x14ac:dyDescent="0.35">
      <c r="DM5592" s="50"/>
      <c r="DQ5592" s="50"/>
    </row>
    <row r="5593" spans="117:121" x14ac:dyDescent="0.35">
      <c r="DM5593" s="50"/>
      <c r="DQ5593" s="50"/>
    </row>
    <row r="5594" spans="117:121" x14ac:dyDescent="0.35">
      <c r="DM5594" s="50"/>
      <c r="DQ5594" s="50"/>
    </row>
    <row r="5595" spans="117:121" x14ac:dyDescent="0.35">
      <c r="DM5595" s="50"/>
      <c r="DQ5595" s="50"/>
    </row>
    <row r="5596" spans="117:121" x14ac:dyDescent="0.35">
      <c r="DM5596" s="50"/>
      <c r="DQ5596" s="50"/>
    </row>
    <row r="5597" spans="117:121" x14ac:dyDescent="0.35">
      <c r="DM5597" s="50"/>
      <c r="DQ5597" s="50"/>
    </row>
    <row r="5598" spans="117:121" x14ac:dyDescent="0.35">
      <c r="DM5598" s="50"/>
      <c r="DQ5598" s="50"/>
    </row>
    <row r="5599" spans="117:121" x14ac:dyDescent="0.35">
      <c r="DM5599" s="50"/>
      <c r="DQ5599" s="50"/>
    </row>
    <row r="5600" spans="117:121" x14ac:dyDescent="0.35">
      <c r="DM5600" s="50"/>
      <c r="DQ5600" s="50"/>
    </row>
    <row r="5601" spans="117:121" x14ac:dyDescent="0.35">
      <c r="DM5601" s="50"/>
      <c r="DQ5601" s="50"/>
    </row>
    <row r="5602" spans="117:121" x14ac:dyDescent="0.35">
      <c r="DM5602" s="50"/>
      <c r="DQ5602" s="50"/>
    </row>
    <row r="5603" spans="117:121" x14ac:dyDescent="0.35">
      <c r="DM5603" s="50"/>
      <c r="DQ5603" s="50"/>
    </row>
    <row r="5604" spans="117:121" x14ac:dyDescent="0.35">
      <c r="DM5604" s="50"/>
      <c r="DQ5604" s="50"/>
    </row>
    <row r="5605" spans="117:121" x14ac:dyDescent="0.35">
      <c r="DM5605" s="50"/>
      <c r="DQ5605" s="50"/>
    </row>
    <row r="5606" spans="117:121" x14ac:dyDescent="0.35">
      <c r="DM5606" s="50"/>
      <c r="DQ5606" s="50"/>
    </row>
    <row r="5607" spans="117:121" x14ac:dyDescent="0.35">
      <c r="DM5607" s="50"/>
      <c r="DQ5607" s="50"/>
    </row>
    <row r="5608" spans="117:121" x14ac:dyDescent="0.35">
      <c r="DM5608" s="50"/>
      <c r="DQ5608" s="50"/>
    </row>
    <row r="5609" spans="117:121" x14ac:dyDescent="0.35">
      <c r="DM5609" s="50"/>
      <c r="DQ5609" s="50"/>
    </row>
    <row r="5610" spans="117:121" x14ac:dyDescent="0.35">
      <c r="DM5610" s="50"/>
      <c r="DQ5610" s="50"/>
    </row>
    <row r="5611" spans="117:121" x14ac:dyDescent="0.35">
      <c r="DM5611" s="50"/>
      <c r="DQ5611" s="50"/>
    </row>
    <row r="5612" spans="117:121" x14ac:dyDescent="0.35">
      <c r="DM5612" s="50"/>
      <c r="DQ5612" s="50"/>
    </row>
    <row r="5613" spans="117:121" x14ac:dyDescent="0.35">
      <c r="DM5613" s="50"/>
      <c r="DQ5613" s="50"/>
    </row>
    <row r="5614" spans="117:121" x14ac:dyDescent="0.35">
      <c r="DM5614" s="50"/>
      <c r="DQ5614" s="50"/>
    </row>
    <row r="5615" spans="117:121" x14ac:dyDescent="0.35">
      <c r="DM5615" s="50"/>
      <c r="DQ5615" s="50"/>
    </row>
    <row r="5616" spans="117:121" x14ac:dyDescent="0.35">
      <c r="DM5616" s="50"/>
      <c r="DQ5616" s="50"/>
    </row>
    <row r="5617" spans="117:121" x14ac:dyDescent="0.35">
      <c r="DM5617" s="50"/>
      <c r="DQ5617" s="50"/>
    </row>
    <row r="5618" spans="117:121" x14ac:dyDescent="0.35">
      <c r="DM5618" s="50"/>
      <c r="DQ5618" s="50"/>
    </row>
    <row r="5619" spans="117:121" x14ac:dyDescent="0.35">
      <c r="DM5619" s="50"/>
      <c r="DQ5619" s="50"/>
    </row>
    <row r="5620" spans="117:121" x14ac:dyDescent="0.35">
      <c r="DM5620" s="50"/>
      <c r="DQ5620" s="50"/>
    </row>
    <row r="5621" spans="117:121" x14ac:dyDescent="0.35">
      <c r="DM5621" s="50"/>
      <c r="DQ5621" s="50"/>
    </row>
    <row r="5622" spans="117:121" x14ac:dyDescent="0.35">
      <c r="DM5622" s="50"/>
      <c r="DQ5622" s="50"/>
    </row>
    <row r="5623" spans="117:121" x14ac:dyDescent="0.35">
      <c r="DM5623" s="50"/>
      <c r="DQ5623" s="50"/>
    </row>
    <row r="5624" spans="117:121" x14ac:dyDescent="0.35">
      <c r="DM5624" s="50"/>
      <c r="DQ5624" s="50"/>
    </row>
    <row r="5625" spans="117:121" x14ac:dyDescent="0.35">
      <c r="DM5625" s="50"/>
      <c r="DQ5625" s="50"/>
    </row>
    <row r="5626" spans="117:121" x14ac:dyDescent="0.35">
      <c r="DM5626" s="50"/>
      <c r="DQ5626" s="50"/>
    </row>
    <row r="5627" spans="117:121" x14ac:dyDescent="0.35">
      <c r="DM5627" s="50"/>
      <c r="DQ5627" s="50"/>
    </row>
    <row r="5628" spans="117:121" x14ac:dyDescent="0.35">
      <c r="DM5628" s="50"/>
      <c r="DQ5628" s="50"/>
    </row>
    <row r="5629" spans="117:121" x14ac:dyDescent="0.35">
      <c r="DM5629" s="50"/>
      <c r="DQ5629" s="50"/>
    </row>
    <row r="5630" spans="117:121" x14ac:dyDescent="0.35">
      <c r="DM5630" s="50"/>
      <c r="DQ5630" s="50"/>
    </row>
    <row r="5631" spans="117:121" x14ac:dyDescent="0.35">
      <c r="DM5631" s="50"/>
      <c r="DQ5631" s="50"/>
    </row>
    <row r="5632" spans="117:121" x14ac:dyDescent="0.35">
      <c r="DM5632" s="50"/>
      <c r="DQ5632" s="50"/>
    </row>
    <row r="5633" spans="117:121" x14ac:dyDescent="0.35">
      <c r="DM5633" s="50"/>
      <c r="DQ5633" s="50"/>
    </row>
    <row r="5634" spans="117:121" x14ac:dyDescent="0.35">
      <c r="DM5634" s="50"/>
      <c r="DQ5634" s="50"/>
    </row>
    <row r="5635" spans="117:121" x14ac:dyDescent="0.35">
      <c r="DM5635" s="50"/>
      <c r="DQ5635" s="50"/>
    </row>
    <row r="5636" spans="117:121" x14ac:dyDescent="0.35">
      <c r="DM5636" s="50"/>
      <c r="DQ5636" s="50"/>
    </row>
    <row r="5637" spans="117:121" x14ac:dyDescent="0.35">
      <c r="DM5637" s="50"/>
      <c r="DQ5637" s="50"/>
    </row>
    <row r="5638" spans="117:121" x14ac:dyDescent="0.35">
      <c r="DM5638" s="50"/>
      <c r="DQ5638" s="50"/>
    </row>
    <row r="5639" spans="117:121" x14ac:dyDescent="0.35">
      <c r="DM5639" s="50"/>
      <c r="DQ5639" s="50"/>
    </row>
    <row r="5640" spans="117:121" x14ac:dyDescent="0.35">
      <c r="DM5640" s="50"/>
      <c r="DQ5640" s="50"/>
    </row>
    <row r="5641" spans="117:121" x14ac:dyDescent="0.35">
      <c r="DM5641" s="50"/>
      <c r="DQ5641" s="50"/>
    </row>
    <row r="5642" spans="117:121" x14ac:dyDescent="0.35">
      <c r="DM5642" s="50"/>
      <c r="DQ5642" s="50"/>
    </row>
    <row r="5643" spans="117:121" x14ac:dyDescent="0.35">
      <c r="DM5643" s="50"/>
      <c r="DQ5643" s="50"/>
    </row>
    <row r="5644" spans="117:121" x14ac:dyDescent="0.35">
      <c r="DM5644" s="50"/>
      <c r="DQ5644" s="50"/>
    </row>
    <row r="5645" spans="117:121" x14ac:dyDescent="0.35">
      <c r="DM5645" s="50"/>
      <c r="DQ5645" s="50"/>
    </row>
    <row r="5646" spans="117:121" x14ac:dyDescent="0.35">
      <c r="DM5646" s="50"/>
      <c r="DQ5646" s="50"/>
    </row>
    <row r="5647" spans="117:121" x14ac:dyDescent="0.35">
      <c r="DM5647" s="50"/>
      <c r="DQ5647" s="50"/>
    </row>
    <row r="5648" spans="117:121" x14ac:dyDescent="0.35">
      <c r="DM5648" s="50"/>
      <c r="DQ5648" s="50"/>
    </row>
    <row r="5649" spans="117:121" x14ac:dyDescent="0.35">
      <c r="DM5649" s="50"/>
      <c r="DQ5649" s="50"/>
    </row>
    <row r="5650" spans="117:121" x14ac:dyDescent="0.35">
      <c r="DM5650" s="50"/>
      <c r="DQ5650" s="50"/>
    </row>
    <row r="5651" spans="117:121" x14ac:dyDescent="0.35">
      <c r="DM5651" s="50"/>
      <c r="DQ5651" s="50"/>
    </row>
    <row r="5652" spans="117:121" x14ac:dyDescent="0.35">
      <c r="DM5652" s="50"/>
      <c r="DQ5652" s="50"/>
    </row>
    <row r="5653" spans="117:121" x14ac:dyDescent="0.35">
      <c r="DM5653" s="50"/>
      <c r="DQ5653" s="50"/>
    </row>
    <row r="5654" spans="117:121" x14ac:dyDescent="0.35">
      <c r="DM5654" s="50"/>
      <c r="DQ5654" s="50"/>
    </row>
    <row r="5655" spans="117:121" x14ac:dyDescent="0.35">
      <c r="DM5655" s="50"/>
      <c r="DQ5655" s="50"/>
    </row>
    <row r="5656" spans="117:121" x14ac:dyDescent="0.35">
      <c r="DM5656" s="50"/>
      <c r="DQ5656" s="50"/>
    </row>
    <row r="5657" spans="117:121" x14ac:dyDescent="0.35">
      <c r="DM5657" s="50"/>
      <c r="DQ5657" s="50"/>
    </row>
    <row r="5658" spans="117:121" x14ac:dyDescent="0.35">
      <c r="DM5658" s="50"/>
      <c r="DQ5658" s="50"/>
    </row>
    <row r="5659" spans="117:121" x14ac:dyDescent="0.35">
      <c r="DM5659" s="50"/>
      <c r="DQ5659" s="50"/>
    </row>
    <row r="5660" spans="117:121" x14ac:dyDescent="0.35">
      <c r="DM5660" s="50"/>
      <c r="DQ5660" s="50"/>
    </row>
    <row r="5661" spans="117:121" x14ac:dyDescent="0.35">
      <c r="DM5661" s="50"/>
      <c r="DQ5661" s="50"/>
    </row>
    <row r="5662" spans="117:121" x14ac:dyDescent="0.35">
      <c r="DM5662" s="50"/>
      <c r="DQ5662" s="50"/>
    </row>
    <row r="5663" spans="117:121" x14ac:dyDescent="0.35">
      <c r="DM5663" s="50"/>
      <c r="DQ5663" s="50"/>
    </row>
    <row r="5664" spans="117:121" x14ac:dyDescent="0.35">
      <c r="DM5664" s="50"/>
      <c r="DQ5664" s="50"/>
    </row>
    <row r="5665" spans="117:121" x14ac:dyDescent="0.35">
      <c r="DM5665" s="50"/>
      <c r="DQ5665" s="50"/>
    </row>
    <row r="5666" spans="117:121" x14ac:dyDescent="0.35">
      <c r="DM5666" s="50"/>
      <c r="DQ5666" s="50"/>
    </row>
    <row r="5667" spans="117:121" x14ac:dyDescent="0.35">
      <c r="DM5667" s="50"/>
      <c r="DQ5667" s="50"/>
    </row>
    <row r="5668" spans="117:121" x14ac:dyDescent="0.35">
      <c r="DM5668" s="50"/>
      <c r="DQ5668" s="50"/>
    </row>
    <row r="5669" spans="117:121" x14ac:dyDescent="0.35">
      <c r="DM5669" s="50"/>
      <c r="DQ5669" s="50"/>
    </row>
    <row r="5670" spans="117:121" x14ac:dyDescent="0.35">
      <c r="DM5670" s="50"/>
      <c r="DQ5670" s="50"/>
    </row>
    <row r="5671" spans="117:121" x14ac:dyDescent="0.35">
      <c r="DM5671" s="50"/>
      <c r="DQ5671" s="50"/>
    </row>
    <row r="5672" spans="117:121" x14ac:dyDescent="0.35">
      <c r="DM5672" s="50"/>
      <c r="DQ5672" s="50"/>
    </row>
    <row r="5673" spans="117:121" x14ac:dyDescent="0.35">
      <c r="DM5673" s="50"/>
      <c r="DQ5673" s="50"/>
    </row>
    <row r="5674" spans="117:121" x14ac:dyDescent="0.35">
      <c r="DM5674" s="50"/>
      <c r="DQ5674" s="50"/>
    </row>
    <row r="5675" spans="117:121" x14ac:dyDescent="0.35">
      <c r="DM5675" s="50"/>
      <c r="DQ5675" s="50"/>
    </row>
    <row r="5676" spans="117:121" x14ac:dyDescent="0.35">
      <c r="DM5676" s="50"/>
      <c r="DQ5676" s="50"/>
    </row>
    <row r="5677" spans="117:121" x14ac:dyDescent="0.35">
      <c r="DM5677" s="50"/>
      <c r="DQ5677" s="50"/>
    </row>
    <row r="5678" spans="117:121" x14ac:dyDescent="0.35">
      <c r="DM5678" s="50"/>
      <c r="DQ5678" s="50"/>
    </row>
    <row r="5679" spans="117:121" x14ac:dyDescent="0.35">
      <c r="DM5679" s="50"/>
      <c r="DQ5679" s="50"/>
    </row>
    <row r="5680" spans="117:121" x14ac:dyDescent="0.35">
      <c r="DM5680" s="50"/>
      <c r="DQ5680" s="50"/>
    </row>
    <row r="5681" spans="117:121" x14ac:dyDescent="0.35">
      <c r="DM5681" s="50"/>
      <c r="DQ5681" s="50"/>
    </row>
    <row r="5682" spans="117:121" x14ac:dyDescent="0.35">
      <c r="DM5682" s="50"/>
      <c r="DQ5682" s="50"/>
    </row>
    <row r="5683" spans="117:121" x14ac:dyDescent="0.35">
      <c r="DM5683" s="50"/>
      <c r="DQ5683" s="50"/>
    </row>
    <row r="5684" spans="117:121" x14ac:dyDescent="0.35">
      <c r="DM5684" s="50"/>
      <c r="DQ5684" s="50"/>
    </row>
    <row r="5685" spans="117:121" x14ac:dyDescent="0.35">
      <c r="DM5685" s="50"/>
      <c r="DQ5685" s="50"/>
    </row>
    <row r="5686" spans="117:121" x14ac:dyDescent="0.35">
      <c r="DM5686" s="50"/>
      <c r="DQ5686" s="50"/>
    </row>
    <row r="5687" spans="117:121" x14ac:dyDescent="0.35">
      <c r="DM5687" s="50"/>
      <c r="DQ5687" s="50"/>
    </row>
    <row r="5688" spans="117:121" x14ac:dyDescent="0.35">
      <c r="DM5688" s="50"/>
      <c r="DQ5688" s="50"/>
    </row>
    <row r="5689" spans="117:121" x14ac:dyDescent="0.35">
      <c r="DM5689" s="50"/>
      <c r="DQ5689" s="50"/>
    </row>
    <row r="5690" spans="117:121" x14ac:dyDescent="0.35">
      <c r="DM5690" s="50"/>
      <c r="DQ5690" s="50"/>
    </row>
    <row r="5691" spans="117:121" x14ac:dyDescent="0.35">
      <c r="DM5691" s="50"/>
      <c r="DQ5691" s="50"/>
    </row>
    <row r="5692" spans="117:121" x14ac:dyDescent="0.35">
      <c r="DM5692" s="50"/>
      <c r="DQ5692" s="50"/>
    </row>
    <row r="5693" spans="117:121" x14ac:dyDescent="0.35">
      <c r="DM5693" s="50"/>
      <c r="DQ5693" s="50"/>
    </row>
    <row r="5694" spans="117:121" x14ac:dyDescent="0.35">
      <c r="DM5694" s="50"/>
      <c r="DQ5694" s="50"/>
    </row>
    <row r="5695" spans="117:121" x14ac:dyDescent="0.35">
      <c r="DM5695" s="50"/>
      <c r="DQ5695" s="50"/>
    </row>
    <row r="5696" spans="117:121" x14ac:dyDescent="0.35">
      <c r="DM5696" s="50"/>
      <c r="DQ5696" s="50"/>
    </row>
    <row r="5697" spans="117:121" x14ac:dyDescent="0.35">
      <c r="DM5697" s="50"/>
      <c r="DQ5697" s="50"/>
    </row>
    <row r="5698" spans="117:121" x14ac:dyDescent="0.35">
      <c r="DM5698" s="50"/>
      <c r="DQ5698" s="50"/>
    </row>
    <row r="5699" spans="117:121" x14ac:dyDescent="0.35">
      <c r="DM5699" s="50"/>
      <c r="DQ5699" s="50"/>
    </row>
    <row r="5700" spans="117:121" x14ac:dyDescent="0.35">
      <c r="DM5700" s="50"/>
      <c r="DQ5700" s="50"/>
    </row>
    <row r="5701" spans="117:121" x14ac:dyDescent="0.35">
      <c r="DM5701" s="50"/>
      <c r="DQ5701" s="50"/>
    </row>
    <row r="5702" spans="117:121" x14ac:dyDescent="0.35">
      <c r="DM5702" s="50"/>
      <c r="DQ5702" s="50"/>
    </row>
    <row r="5703" spans="117:121" x14ac:dyDescent="0.35">
      <c r="DM5703" s="50"/>
      <c r="DQ5703" s="50"/>
    </row>
    <row r="5704" spans="117:121" x14ac:dyDescent="0.35">
      <c r="DM5704" s="50"/>
      <c r="DQ5704" s="50"/>
    </row>
    <row r="5705" spans="117:121" x14ac:dyDescent="0.35">
      <c r="DM5705" s="50"/>
      <c r="DQ5705" s="50"/>
    </row>
    <row r="5706" spans="117:121" x14ac:dyDescent="0.35">
      <c r="DM5706" s="50"/>
      <c r="DQ5706" s="50"/>
    </row>
    <row r="5707" spans="117:121" x14ac:dyDescent="0.35">
      <c r="DM5707" s="50"/>
      <c r="DQ5707" s="50"/>
    </row>
    <row r="5708" spans="117:121" x14ac:dyDescent="0.35">
      <c r="DM5708" s="50"/>
      <c r="DQ5708" s="50"/>
    </row>
    <row r="5709" spans="117:121" x14ac:dyDescent="0.35">
      <c r="DM5709" s="50"/>
      <c r="DQ5709" s="50"/>
    </row>
    <row r="5710" spans="117:121" x14ac:dyDescent="0.35">
      <c r="DM5710" s="50"/>
      <c r="DQ5710" s="50"/>
    </row>
    <row r="5711" spans="117:121" x14ac:dyDescent="0.35">
      <c r="DM5711" s="50"/>
      <c r="DQ5711" s="50"/>
    </row>
    <row r="5712" spans="117:121" x14ac:dyDescent="0.35">
      <c r="DM5712" s="50"/>
      <c r="DQ5712" s="50"/>
    </row>
    <row r="5713" spans="117:121" x14ac:dyDescent="0.35">
      <c r="DM5713" s="50"/>
      <c r="DQ5713" s="50"/>
    </row>
    <row r="5714" spans="117:121" x14ac:dyDescent="0.35">
      <c r="DM5714" s="50"/>
      <c r="DQ5714" s="50"/>
    </row>
    <row r="5715" spans="117:121" x14ac:dyDescent="0.35">
      <c r="DM5715" s="50"/>
      <c r="DQ5715" s="50"/>
    </row>
    <row r="5716" spans="117:121" x14ac:dyDescent="0.35">
      <c r="DM5716" s="50"/>
      <c r="DQ5716" s="50"/>
    </row>
    <row r="5717" spans="117:121" x14ac:dyDescent="0.35">
      <c r="DM5717" s="50"/>
      <c r="DQ5717" s="50"/>
    </row>
    <row r="5718" spans="117:121" x14ac:dyDescent="0.35">
      <c r="DM5718" s="50"/>
      <c r="DQ5718" s="50"/>
    </row>
    <row r="5719" spans="117:121" x14ac:dyDescent="0.35">
      <c r="DM5719" s="50"/>
      <c r="DQ5719" s="50"/>
    </row>
    <row r="5720" spans="117:121" x14ac:dyDescent="0.35">
      <c r="DM5720" s="50"/>
      <c r="DQ5720" s="50"/>
    </row>
    <row r="5721" spans="117:121" x14ac:dyDescent="0.35">
      <c r="DM5721" s="50"/>
      <c r="DQ5721" s="50"/>
    </row>
    <row r="5722" spans="117:121" x14ac:dyDescent="0.35">
      <c r="DM5722" s="50"/>
      <c r="DQ5722" s="50"/>
    </row>
    <row r="5723" spans="117:121" x14ac:dyDescent="0.35">
      <c r="DM5723" s="50"/>
      <c r="DQ5723" s="50"/>
    </row>
    <row r="5724" spans="117:121" x14ac:dyDescent="0.35">
      <c r="DM5724" s="50"/>
      <c r="DQ5724" s="50"/>
    </row>
    <row r="5725" spans="117:121" x14ac:dyDescent="0.35">
      <c r="DM5725" s="50"/>
      <c r="DQ5725" s="50"/>
    </row>
    <row r="5726" spans="117:121" x14ac:dyDescent="0.35">
      <c r="DM5726" s="50"/>
      <c r="DQ5726" s="50"/>
    </row>
    <row r="5727" spans="117:121" x14ac:dyDescent="0.35">
      <c r="DM5727" s="50"/>
      <c r="DQ5727" s="50"/>
    </row>
    <row r="5728" spans="117:121" x14ac:dyDescent="0.35">
      <c r="DM5728" s="50"/>
      <c r="DQ5728" s="50"/>
    </row>
    <row r="5729" spans="117:121" x14ac:dyDescent="0.35">
      <c r="DM5729" s="50"/>
      <c r="DQ5729" s="50"/>
    </row>
    <row r="5730" spans="117:121" x14ac:dyDescent="0.35">
      <c r="DM5730" s="50"/>
      <c r="DQ5730" s="50"/>
    </row>
    <row r="5731" spans="117:121" x14ac:dyDescent="0.35">
      <c r="DM5731" s="50"/>
      <c r="DQ5731" s="50"/>
    </row>
    <row r="5732" spans="117:121" x14ac:dyDescent="0.35">
      <c r="DM5732" s="50"/>
      <c r="DQ5732" s="50"/>
    </row>
    <row r="5733" spans="117:121" x14ac:dyDescent="0.35">
      <c r="DM5733" s="50"/>
      <c r="DQ5733" s="50"/>
    </row>
    <row r="5734" spans="117:121" x14ac:dyDescent="0.35">
      <c r="DM5734" s="50"/>
      <c r="DQ5734" s="50"/>
    </row>
    <row r="5735" spans="117:121" x14ac:dyDescent="0.35">
      <c r="DM5735" s="50"/>
      <c r="DQ5735" s="50"/>
    </row>
    <row r="5736" spans="117:121" x14ac:dyDescent="0.35">
      <c r="DM5736" s="50"/>
      <c r="DQ5736" s="50"/>
    </row>
    <row r="5737" spans="117:121" x14ac:dyDescent="0.35">
      <c r="DM5737" s="50"/>
      <c r="DQ5737" s="50"/>
    </row>
    <row r="5738" spans="117:121" x14ac:dyDescent="0.35">
      <c r="DM5738" s="50"/>
      <c r="DQ5738" s="50"/>
    </row>
    <row r="5739" spans="117:121" x14ac:dyDescent="0.35">
      <c r="DM5739" s="50"/>
      <c r="DQ5739" s="50"/>
    </row>
    <row r="5740" spans="117:121" x14ac:dyDescent="0.35">
      <c r="DM5740" s="50"/>
      <c r="DQ5740" s="50"/>
    </row>
    <row r="5741" spans="117:121" x14ac:dyDescent="0.35">
      <c r="DM5741" s="50"/>
      <c r="DQ5741" s="50"/>
    </row>
    <row r="5742" spans="117:121" x14ac:dyDescent="0.35">
      <c r="DM5742" s="50"/>
      <c r="DQ5742" s="50"/>
    </row>
    <row r="5743" spans="117:121" x14ac:dyDescent="0.35">
      <c r="DM5743" s="50"/>
      <c r="DQ5743" s="50"/>
    </row>
    <row r="5744" spans="117:121" x14ac:dyDescent="0.35">
      <c r="DM5744" s="50"/>
      <c r="DQ5744" s="50"/>
    </row>
    <row r="5745" spans="117:121" x14ac:dyDescent="0.35">
      <c r="DM5745" s="50"/>
      <c r="DQ5745" s="50"/>
    </row>
    <row r="5746" spans="117:121" x14ac:dyDescent="0.35">
      <c r="DM5746" s="50"/>
      <c r="DQ5746" s="50"/>
    </row>
    <row r="5747" spans="117:121" x14ac:dyDescent="0.35">
      <c r="DM5747" s="50"/>
      <c r="DQ5747" s="50"/>
    </row>
    <row r="5748" spans="117:121" x14ac:dyDescent="0.35">
      <c r="DM5748" s="50"/>
      <c r="DQ5748" s="50"/>
    </row>
    <row r="5749" spans="117:121" x14ac:dyDescent="0.35">
      <c r="DM5749" s="50"/>
      <c r="DQ5749" s="50"/>
    </row>
    <row r="5750" spans="117:121" x14ac:dyDescent="0.35">
      <c r="DM5750" s="50"/>
      <c r="DQ5750" s="50"/>
    </row>
    <row r="5751" spans="117:121" x14ac:dyDescent="0.35">
      <c r="DM5751" s="50"/>
      <c r="DQ5751" s="50"/>
    </row>
    <row r="5752" spans="117:121" x14ac:dyDescent="0.35">
      <c r="DM5752" s="50"/>
      <c r="DQ5752" s="50"/>
    </row>
    <row r="5753" spans="117:121" x14ac:dyDescent="0.35">
      <c r="DM5753" s="50"/>
      <c r="DQ5753" s="50"/>
    </row>
    <row r="5754" spans="117:121" x14ac:dyDescent="0.35">
      <c r="DM5754" s="50"/>
      <c r="DQ5754" s="50"/>
    </row>
    <row r="5755" spans="117:121" x14ac:dyDescent="0.35">
      <c r="DM5755" s="50"/>
      <c r="DQ5755" s="50"/>
    </row>
    <row r="5756" spans="117:121" x14ac:dyDescent="0.35">
      <c r="DM5756" s="50"/>
      <c r="DQ5756" s="50"/>
    </row>
    <row r="5757" spans="117:121" x14ac:dyDescent="0.35">
      <c r="DM5757" s="50"/>
      <c r="DQ5757" s="50"/>
    </row>
    <row r="5758" spans="117:121" x14ac:dyDescent="0.35">
      <c r="DM5758" s="50"/>
      <c r="DQ5758" s="50"/>
    </row>
    <row r="5759" spans="117:121" x14ac:dyDescent="0.35">
      <c r="DM5759" s="50"/>
      <c r="DQ5759" s="50"/>
    </row>
    <row r="5760" spans="117:121" x14ac:dyDescent="0.35">
      <c r="DM5760" s="50"/>
      <c r="DQ5760" s="50"/>
    </row>
    <row r="5761" spans="117:121" x14ac:dyDescent="0.35">
      <c r="DM5761" s="50"/>
      <c r="DQ5761" s="50"/>
    </row>
    <row r="5762" spans="117:121" x14ac:dyDescent="0.35">
      <c r="DM5762" s="50"/>
      <c r="DQ5762" s="50"/>
    </row>
    <row r="5763" spans="117:121" x14ac:dyDescent="0.35">
      <c r="DM5763" s="50"/>
      <c r="DQ5763" s="50"/>
    </row>
    <row r="5764" spans="117:121" x14ac:dyDescent="0.35">
      <c r="DM5764" s="50"/>
      <c r="DQ5764" s="50"/>
    </row>
    <row r="5765" spans="117:121" x14ac:dyDescent="0.35">
      <c r="DM5765" s="50"/>
      <c r="DQ5765" s="50"/>
    </row>
    <row r="5766" spans="117:121" x14ac:dyDescent="0.35">
      <c r="DM5766" s="50"/>
      <c r="DQ5766" s="50"/>
    </row>
    <row r="5767" spans="117:121" x14ac:dyDescent="0.35">
      <c r="DM5767" s="50"/>
      <c r="DQ5767" s="50"/>
    </row>
    <row r="5768" spans="117:121" x14ac:dyDescent="0.35">
      <c r="DM5768" s="50"/>
      <c r="DQ5768" s="50"/>
    </row>
    <row r="5769" spans="117:121" x14ac:dyDescent="0.35">
      <c r="DM5769" s="50"/>
      <c r="DQ5769" s="50"/>
    </row>
    <row r="5770" spans="117:121" x14ac:dyDescent="0.35">
      <c r="DM5770" s="50"/>
      <c r="DQ5770" s="50"/>
    </row>
    <row r="5771" spans="117:121" x14ac:dyDescent="0.35">
      <c r="DM5771" s="50"/>
      <c r="DQ5771" s="50"/>
    </row>
    <row r="5772" spans="117:121" x14ac:dyDescent="0.35">
      <c r="DM5772" s="50"/>
      <c r="DQ5772" s="50"/>
    </row>
    <row r="5773" spans="117:121" x14ac:dyDescent="0.35">
      <c r="DM5773" s="50"/>
      <c r="DQ5773" s="50"/>
    </row>
    <row r="5774" spans="117:121" x14ac:dyDescent="0.35">
      <c r="DM5774" s="50"/>
      <c r="DQ5774" s="50"/>
    </row>
    <row r="5775" spans="117:121" x14ac:dyDescent="0.35">
      <c r="DM5775" s="50"/>
      <c r="DQ5775" s="50"/>
    </row>
    <row r="5776" spans="117:121" x14ac:dyDescent="0.35">
      <c r="DM5776" s="50"/>
      <c r="DQ5776" s="50"/>
    </row>
    <row r="5777" spans="117:121" x14ac:dyDescent="0.35">
      <c r="DM5777" s="50"/>
      <c r="DQ5777" s="50"/>
    </row>
    <row r="5778" spans="117:121" x14ac:dyDescent="0.35">
      <c r="DM5778" s="50"/>
      <c r="DQ5778" s="50"/>
    </row>
    <row r="5779" spans="117:121" x14ac:dyDescent="0.35">
      <c r="DM5779" s="50"/>
      <c r="DQ5779" s="50"/>
    </row>
    <row r="5780" spans="117:121" x14ac:dyDescent="0.35">
      <c r="DM5780" s="50"/>
      <c r="DQ5780" s="50"/>
    </row>
    <row r="5781" spans="117:121" x14ac:dyDescent="0.35">
      <c r="DM5781" s="50"/>
      <c r="DQ5781" s="50"/>
    </row>
    <row r="5782" spans="117:121" x14ac:dyDescent="0.35">
      <c r="DM5782" s="50"/>
      <c r="DQ5782" s="50"/>
    </row>
    <row r="5783" spans="117:121" x14ac:dyDescent="0.35">
      <c r="DM5783" s="50"/>
      <c r="DQ5783" s="50"/>
    </row>
    <row r="5784" spans="117:121" x14ac:dyDescent="0.35">
      <c r="DM5784" s="50"/>
      <c r="DQ5784" s="50"/>
    </row>
    <row r="5785" spans="117:121" x14ac:dyDescent="0.35">
      <c r="DM5785" s="50"/>
      <c r="DQ5785" s="50"/>
    </row>
    <row r="5786" spans="117:121" x14ac:dyDescent="0.35">
      <c r="DM5786" s="50"/>
      <c r="DQ5786" s="50"/>
    </row>
    <row r="5787" spans="117:121" x14ac:dyDescent="0.35">
      <c r="DM5787" s="50"/>
      <c r="DQ5787" s="50"/>
    </row>
    <row r="5788" spans="117:121" x14ac:dyDescent="0.35">
      <c r="DM5788" s="50"/>
      <c r="DQ5788" s="50"/>
    </row>
    <row r="5789" spans="117:121" x14ac:dyDescent="0.35">
      <c r="DM5789" s="50"/>
      <c r="DQ5789" s="50"/>
    </row>
    <row r="5790" spans="117:121" x14ac:dyDescent="0.35">
      <c r="DM5790" s="50"/>
      <c r="DQ5790" s="50"/>
    </row>
    <row r="5791" spans="117:121" x14ac:dyDescent="0.35">
      <c r="DM5791" s="50"/>
      <c r="DQ5791" s="50"/>
    </row>
    <row r="5792" spans="117:121" x14ac:dyDescent="0.35">
      <c r="DM5792" s="50"/>
      <c r="DQ5792" s="50"/>
    </row>
    <row r="5793" spans="117:121" x14ac:dyDescent="0.35">
      <c r="DM5793" s="50"/>
      <c r="DQ5793" s="50"/>
    </row>
    <row r="5794" spans="117:121" x14ac:dyDescent="0.35">
      <c r="DM5794" s="50"/>
      <c r="DQ5794" s="50"/>
    </row>
    <row r="5795" spans="117:121" x14ac:dyDescent="0.35">
      <c r="DM5795" s="50"/>
      <c r="DQ5795" s="50"/>
    </row>
    <row r="5796" spans="117:121" x14ac:dyDescent="0.35">
      <c r="DM5796" s="50"/>
      <c r="DQ5796" s="50"/>
    </row>
    <row r="5797" spans="117:121" x14ac:dyDescent="0.35">
      <c r="DM5797" s="50"/>
      <c r="DQ5797" s="50"/>
    </row>
    <row r="5798" spans="117:121" x14ac:dyDescent="0.35">
      <c r="DM5798" s="50"/>
      <c r="DQ5798" s="50"/>
    </row>
    <row r="5799" spans="117:121" x14ac:dyDescent="0.35">
      <c r="DM5799" s="50"/>
      <c r="DQ5799" s="50"/>
    </row>
    <row r="5800" spans="117:121" x14ac:dyDescent="0.35">
      <c r="DM5800" s="50"/>
      <c r="DQ5800" s="50"/>
    </row>
    <row r="5801" spans="117:121" x14ac:dyDescent="0.35">
      <c r="DM5801" s="50"/>
      <c r="DQ5801" s="50"/>
    </row>
    <row r="5802" spans="117:121" x14ac:dyDescent="0.35">
      <c r="DM5802" s="50"/>
      <c r="DQ5802" s="50"/>
    </row>
    <row r="5803" spans="117:121" x14ac:dyDescent="0.35">
      <c r="DM5803" s="50"/>
      <c r="DQ5803" s="50"/>
    </row>
    <row r="5804" spans="117:121" x14ac:dyDescent="0.35">
      <c r="DM5804" s="50"/>
      <c r="DQ5804" s="50"/>
    </row>
    <row r="5805" spans="117:121" x14ac:dyDescent="0.35">
      <c r="DM5805" s="50"/>
      <c r="DQ5805" s="50"/>
    </row>
    <row r="5806" spans="117:121" x14ac:dyDescent="0.35">
      <c r="DM5806" s="50"/>
      <c r="DQ5806" s="50"/>
    </row>
    <row r="5807" spans="117:121" x14ac:dyDescent="0.35">
      <c r="DM5807" s="50"/>
      <c r="DQ5807" s="50"/>
    </row>
    <row r="5808" spans="117:121" x14ac:dyDescent="0.35">
      <c r="DM5808" s="50"/>
      <c r="DQ5808" s="50"/>
    </row>
    <row r="5809" spans="117:121" x14ac:dyDescent="0.35">
      <c r="DM5809" s="50"/>
      <c r="DQ5809" s="50"/>
    </row>
    <row r="5810" spans="117:121" x14ac:dyDescent="0.35">
      <c r="DM5810" s="50"/>
      <c r="DQ5810" s="50"/>
    </row>
    <row r="5811" spans="117:121" x14ac:dyDescent="0.35">
      <c r="DM5811" s="50"/>
      <c r="DQ5811" s="50"/>
    </row>
    <row r="5812" spans="117:121" x14ac:dyDescent="0.35">
      <c r="DM5812" s="50"/>
      <c r="DQ5812" s="50"/>
    </row>
    <row r="5813" spans="117:121" x14ac:dyDescent="0.35">
      <c r="DM5813" s="50"/>
      <c r="DQ5813" s="50"/>
    </row>
    <row r="5814" spans="117:121" x14ac:dyDescent="0.35">
      <c r="DM5814" s="50"/>
      <c r="DQ5814" s="50"/>
    </row>
    <row r="5815" spans="117:121" x14ac:dyDescent="0.35">
      <c r="DM5815" s="50"/>
      <c r="DQ5815" s="50"/>
    </row>
    <row r="5816" spans="117:121" x14ac:dyDescent="0.35">
      <c r="DM5816" s="50"/>
      <c r="DQ5816" s="50"/>
    </row>
    <row r="5817" spans="117:121" x14ac:dyDescent="0.35">
      <c r="DM5817" s="50"/>
      <c r="DQ5817" s="50"/>
    </row>
    <row r="5818" spans="117:121" x14ac:dyDescent="0.35">
      <c r="DM5818" s="50"/>
      <c r="DQ5818" s="50"/>
    </row>
    <row r="5819" spans="117:121" x14ac:dyDescent="0.35">
      <c r="DM5819" s="50"/>
      <c r="DQ5819" s="50"/>
    </row>
    <row r="5820" spans="117:121" x14ac:dyDescent="0.35">
      <c r="DM5820" s="50"/>
      <c r="DQ5820" s="50"/>
    </row>
    <row r="5821" spans="117:121" x14ac:dyDescent="0.35">
      <c r="DM5821" s="50"/>
      <c r="DQ5821" s="50"/>
    </row>
    <row r="5822" spans="117:121" x14ac:dyDescent="0.35">
      <c r="DM5822" s="50"/>
      <c r="DQ5822" s="50"/>
    </row>
    <row r="5823" spans="117:121" x14ac:dyDescent="0.35">
      <c r="DM5823" s="50"/>
      <c r="DQ5823" s="50"/>
    </row>
    <row r="5824" spans="117:121" x14ac:dyDescent="0.35">
      <c r="DM5824" s="50"/>
      <c r="DQ5824" s="50"/>
    </row>
    <row r="5825" spans="117:121" x14ac:dyDescent="0.35">
      <c r="DM5825" s="50"/>
      <c r="DQ5825" s="50"/>
    </row>
    <row r="5826" spans="117:121" x14ac:dyDescent="0.35">
      <c r="DM5826" s="50"/>
      <c r="DQ5826" s="50"/>
    </row>
    <row r="5827" spans="117:121" x14ac:dyDescent="0.35">
      <c r="DM5827" s="50"/>
      <c r="DQ5827" s="50"/>
    </row>
    <row r="5828" spans="117:121" x14ac:dyDescent="0.35">
      <c r="DM5828" s="50"/>
      <c r="DQ5828" s="50"/>
    </row>
    <row r="5829" spans="117:121" x14ac:dyDescent="0.35">
      <c r="DM5829" s="50"/>
      <c r="DQ5829" s="50"/>
    </row>
    <row r="5830" spans="117:121" x14ac:dyDescent="0.35">
      <c r="DM5830" s="50"/>
      <c r="DQ5830" s="50"/>
    </row>
    <row r="5831" spans="117:121" x14ac:dyDescent="0.35">
      <c r="DM5831" s="50"/>
      <c r="DQ5831" s="50"/>
    </row>
    <row r="5832" spans="117:121" x14ac:dyDescent="0.35">
      <c r="DM5832" s="50"/>
      <c r="DQ5832" s="50"/>
    </row>
    <row r="5833" spans="117:121" x14ac:dyDescent="0.35">
      <c r="DM5833" s="50"/>
      <c r="DQ5833" s="50"/>
    </row>
    <row r="5834" spans="117:121" x14ac:dyDescent="0.35">
      <c r="DM5834" s="50"/>
      <c r="DQ5834" s="50"/>
    </row>
    <row r="5835" spans="117:121" x14ac:dyDescent="0.35">
      <c r="DM5835" s="50"/>
      <c r="DQ5835" s="50"/>
    </row>
    <row r="5836" spans="117:121" x14ac:dyDescent="0.35">
      <c r="DM5836" s="50"/>
      <c r="DQ5836" s="50"/>
    </row>
    <row r="5837" spans="117:121" x14ac:dyDescent="0.35">
      <c r="DM5837" s="50"/>
      <c r="DQ5837" s="50"/>
    </row>
    <row r="5838" spans="117:121" x14ac:dyDescent="0.35">
      <c r="DM5838" s="50"/>
      <c r="DQ5838" s="50"/>
    </row>
    <row r="5839" spans="117:121" x14ac:dyDescent="0.35">
      <c r="DM5839" s="50"/>
      <c r="DQ5839" s="50"/>
    </row>
    <row r="5840" spans="117:121" x14ac:dyDescent="0.35">
      <c r="DM5840" s="50"/>
      <c r="DQ5840" s="50"/>
    </row>
    <row r="5841" spans="117:121" x14ac:dyDescent="0.35">
      <c r="DM5841" s="50"/>
      <c r="DQ5841" s="50"/>
    </row>
    <row r="5842" spans="117:121" x14ac:dyDescent="0.35">
      <c r="DM5842" s="50"/>
      <c r="DQ5842" s="50"/>
    </row>
    <row r="5843" spans="117:121" x14ac:dyDescent="0.35">
      <c r="DM5843" s="50"/>
      <c r="DQ5843" s="50"/>
    </row>
    <row r="5844" spans="117:121" x14ac:dyDescent="0.35">
      <c r="DM5844" s="50"/>
      <c r="DQ5844" s="50"/>
    </row>
    <row r="5845" spans="117:121" x14ac:dyDescent="0.35">
      <c r="DM5845" s="50"/>
      <c r="DQ5845" s="50"/>
    </row>
    <row r="5846" spans="117:121" x14ac:dyDescent="0.35">
      <c r="DM5846" s="50"/>
      <c r="DQ5846" s="50"/>
    </row>
    <row r="5847" spans="117:121" x14ac:dyDescent="0.35">
      <c r="DM5847" s="50"/>
      <c r="DQ5847" s="50"/>
    </row>
    <row r="5848" spans="117:121" x14ac:dyDescent="0.35">
      <c r="DM5848" s="50"/>
      <c r="DQ5848" s="50"/>
    </row>
    <row r="5849" spans="117:121" x14ac:dyDescent="0.35">
      <c r="DM5849" s="50"/>
      <c r="DQ5849" s="50"/>
    </row>
    <row r="5850" spans="117:121" x14ac:dyDescent="0.35">
      <c r="DM5850" s="50"/>
      <c r="DQ5850" s="50"/>
    </row>
    <row r="5851" spans="117:121" x14ac:dyDescent="0.35">
      <c r="DM5851" s="50"/>
      <c r="DQ5851" s="50"/>
    </row>
    <row r="5852" spans="117:121" x14ac:dyDescent="0.35">
      <c r="DM5852" s="50"/>
      <c r="DQ5852" s="50"/>
    </row>
    <row r="5853" spans="117:121" x14ac:dyDescent="0.35">
      <c r="DM5853" s="50"/>
      <c r="DQ5853" s="50"/>
    </row>
    <row r="5854" spans="117:121" x14ac:dyDescent="0.35">
      <c r="DM5854" s="50"/>
      <c r="DQ5854" s="50"/>
    </row>
    <row r="5855" spans="117:121" x14ac:dyDescent="0.35">
      <c r="DM5855" s="50"/>
      <c r="DQ5855" s="50"/>
    </row>
    <row r="5856" spans="117:121" x14ac:dyDescent="0.35">
      <c r="DM5856" s="50"/>
      <c r="DQ5856" s="50"/>
    </row>
    <row r="5857" spans="117:121" x14ac:dyDescent="0.35">
      <c r="DM5857" s="50"/>
      <c r="DQ5857" s="50"/>
    </row>
    <row r="5858" spans="117:121" x14ac:dyDescent="0.35">
      <c r="DM5858" s="50"/>
      <c r="DQ5858" s="50"/>
    </row>
    <row r="5859" spans="117:121" x14ac:dyDescent="0.35">
      <c r="DM5859" s="50"/>
      <c r="DQ5859" s="50"/>
    </row>
    <row r="5860" spans="117:121" x14ac:dyDescent="0.35">
      <c r="DM5860" s="50"/>
      <c r="DQ5860" s="50"/>
    </row>
    <row r="5861" spans="117:121" x14ac:dyDescent="0.35">
      <c r="DM5861" s="50"/>
      <c r="DQ5861" s="50"/>
    </row>
    <row r="5862" spans="117:121" x14ac:dyDescent="0.35">
      <c r="DM5862" s="50"/>
      <c r="DQ5862" s="50"/>
    </row>
    <row r="5863" spans="117:121" x14ac:dyDescent="0.35">
      <c r="DM5863" s="50"/>
      <c r="DQ5863" s="50"/>
    </row>
    <row r="5864" spans="117:121" x14ac:dyDescent="0.35">
      <c r="DM5864" s="50"/>
      <c r="DQ5864" s="50"/>
    </row>
    <row r="5865" spans="117:121" x14ac:dyDescent="0.35">
      <c r="DM5865" s="50"/>
      <c r="DQ5865" s="50"/>
    </row>
    <row r="5866" spans="117:121" x14ac:dyDescent="0.35">
      <c r="DM5866" s="50"/>
      <c r="DQ5866" s="50"/>
    </row>
    <row r="5867" spans="117:121" x14ac:dyDescent="0.35">
      <c r="DM5867" s="50"/>
      <c r="DQ5867" s="50"/>
    </row>
    <row r="5868" spans="117:121" x14ac:dyDescent="0.35">
      <c r="DM5868" s="50"/>
      <c r="DQ5868" s="50"/>
    </row>
    <row r="5869" spans="117:121" x14ac:dyDescent="0.35">
      <c r="DM5869" s="50"/>
      <c r="DQ5869" s="50"/>
    </row>
    <row r="5870" spans="117:121" x14ac:dyDescent="0.35">
      <c r="DM5870" s="50"/>
      <c r="DQ5870" s="50"/>
    </row>
    <row r="5871" spans="117:121" x14ac:dyDescent="0.35">
      <c r="DM5871" s="50"/>
      <c r="DQ5871" s="50"/>
    </row>
    <row r="5872" spans="117:121" x14ac:dyDescent="0.35">
      <c r="DM5872" s="50"/>
      <c r="DQ5872" s="50"/>
    </row>
    <row r="5873" spans="117:121" x14ac:dyDescent="0.35">
      <c r="DM5873" s="50"/>
      <c r="DQ5873" s="50"/>
    </row>
    <row r="5874" spans="117:121" x14ac:dyDescent="0.35">
      <c r="DM5874" s="50"/>
      <c r="DQ5874" s="50"/>
    </row>
    <row r="5875" spans="117:121" x14ac:dyDescent="0.35">
      <c r="DM5875" s="50"/>
      <c r="DQ5875" s="50"/>
    </row>
    <row r="5876" spans="117:121" x14ac:dyDescent="0.35">
      <c r="DM5876" s="50"/>
      <c r="DQ5876" s="50"/>
    </row>
    <row r="5877" spans="117:121" x14ac:dyDescent="0.35">
      <c r="DM5877" s="50"/>
      <c r="DQ5877" s="50"/>
    </row>
    <row r="5878" spans="117:121" x14ac:dyDescent="0.35">
      <c r="DM5878" s="50"/>
      <c r="DQ5878" s="50"/>
    </row>
    <row r="5879" spans="117:121" x14ac:dyDescent="0.35">
      <c r="DM5879" s="50"/>
      <c r="DQ5879" s="50"/>
    </row>
    <row r="5880" spans="117:121" x14ac:dyDescent="0.35">
      <c r="DM5880" s="50"/>
      <c r="DQ5880" s="50"/>
    </row>
    <row r="5881" spans="117:121" x14ac:dyDescent="0.35">
      <c r="DM5881" s="50"/>
      <c r="DQ5881" s="50"/>
    </row>
    <row r="5882" spans="117:121" x14ac:dyDescent="0.35">
      <c r="DM5882" s="50"/>
      <c r="DQ5882" s="50"/>
    </row>
    <row r="5883" spans="117:121" x14ac:dyDescent="0.35">
      <c r="DM5883" s="50"/>
      <c r="DQ5883" s="50"/>
    </row>
    <row r="5884" spans="117:121" x14ac:dyDescent="0.35">
      <c r="DM5884" s="50"/>
      <c r="DQ5884" s="50"/>
    </row>
    <row r="5885" spans="117:121" x14ac:dyDescent="0.35">
      <c r="DM5885" s="50"/>
      <c r="DQ5885" s="50"/>
    </row>
    <row r="5886" spans="117:121" x14ac:dyDescent="0.35">
      <c r="DM5886" s="50"/>
      <c r="DQ5886" s="50"/>
    </row>
    <row r="5887" spans="117:121" x14ac:dyDescent="0.35">
      <c r="DM5887" s="50"/>
      <c r="DQ5887" s="50"/>
    </row>
    <row r="5888" spans="117:121" x14ac:dyDescent="0.35">
      <c r="DM5888" s="50"/>
      <c r="DQ5888" s="50"/>
    </row>
    <row r="5889" spans="117:121" x14ac:dyDescent="0.35">
      <c r="DM5889" s="50"/>
      <c r="DQ5889" s="50"/>
    </row>
    <row r="5890" spans="117:121" x14ac:dyDescent="0.35">
      <c r="DM5890" s="50"/>
      <c r="DQ5890" s="50"/>
    </row>
    <row r="5891" spans="117:121" x14ac:dyDescent="0.35">
      <c r="DM5891" s="50"/>
      <c r="DQ5891" s="50"/>
    </row>
    <row r="5892" spans="117:121" x14ac:dyDescent="0.35">
      <c r="DM5892" s="50"/>
      <c r="DQ5892" s="50"/>
    </row>
    <row r="5893" spans="117:121" x14ac:dyDescent="0.35">
      <c r="DM5893" s="50"/>
      <c r="DQ5893" s="50"/>
    </row>
    <row r="5894" spans="117:121" x14ac:dyDescent="0.35">
      <c r="DM5894" s="50"/>
      <c r="DQ5894" s="50"/>
    </row>
    <row r="5895" spans="117:121" x14ac:dyDescent="0.35">
      <c r="DM5895" s="50"/>
      <c r="DQ5895" s="50"/>
    </row>
    <row r="5896" spans="117:121" x14ac:dyDescent="0.35">
      <c r="DM5896" s="50"/>
      <c r="DQ5896" s="50"/>
    </row>
    <row r="5897" spans="117:121" x14ac:dyDescent="0.35">
      <c r="DM5897" s="50"/>
      <c r="DQ5897" s="50"/>
    </row>
    <row r="5898" spans="117:121" x14ac:dyDescent="0.35">
      <c r="DM5898" s="50"/>
      <c r="DQ5898" s="50"/>
    </row>
    <row r="5899" spans="117:121" x14ac:dyDescent="0.35">
      <c r="DM5899" s="50"/>
      <c r="DQ5899" s="50"/>
    </row>
    <row r="5900" spans="117:121" x14ac:dyDescent="0.35">
      <c r="DM5900" s="50"/>
      <c r="DQ5900" s="50"/>
    </row>
    <row r="5901" spans="117:121" x14ac:dyDescent="0.35">
      <c r="DM5901" s="50"/>
      <c r="DQ5901" s="50"/>
    </row>
    <row r="5902" spans="117:121" x14ac:dyDescent="0.35">
      <c r="DM5902" s="50"/>
      <c r="DQ5902" s="50"/>
    </row>
    <row r="5903" spans="117:121" x14ac:dyDescent="0.35">
      <c r="DM5903" s="50"/>
      <c r="DQ5903" s="50"/>
    </row>
    <row r="5904" spans="117:121" x14ac:dyDescent="0.35">
      <c r="DM5904" s="50"/>
      <c r="DQ5904" s="50"/>
    </row>
    <row r="5905" spans="117:121" x14ac:dyDescent="0.35">
      <c r="DM5905" s="50"/>
      <c r="DQ5905" s="50"/>
    </row>
    <row r="5906" spans="117:121" x14ac:dyDescent="0.35">
      <c r="DM5906" s="50"/>
      <c r="DQ5906" s="50"/>
    </row>
    <row r="5907" spans="117:121" x14ac:dyDescent="0.35">
      <c r="DM5907" s="50"/>
      <c r="DQ5907" s="50"/>
    </row>
    <row r="5908" spans="117:121" x14ac:dyDescent="0.35">
      <c r="DM5908" s="50"/>
      <c r="DQ5908" s="50"/>
    </row>
    <row r="5909" spans="117:121" x14ac:dyDescent="0.35">
      <c r="DM5909" s="50"/>
      <c r="DQ5909" s="50"/>
    </row>
    <row r="5910" spans="117:121" x14ac:dyDescent="0.35">
      <c r="DM5910" s="50"/>
      <c r="DQ5910" s="50"/>
    </row>
    <row r="5911" spans="117:121" x14ac:dyDescent="0.35">
      <c r="DM5911" s="50"/>
      <c r="DQ5911" s="50"/>
    </row>
    <row r="5912" spans="117:121" x14ac:dyDescent="0.35">
      <c r="DM5912" s="50"/>
      <c r="DQ5912" s="50"/>
    </row>
    <row r="5913" spans="117:121" x14ac:dyDescent="0.35">
      <c r="DM5913" s="50"/>
      <c r="DQ5913" s="50"/>
    </row>
    <row r="5914" spans="117:121" x14ac:dyDescent="0.35">
      <c r="DM5914" s="50"/>
      <c r="DQ5914" s="50"/>
    </row>
    <row r="5915" spans="117:121" x14ac:dyDescent="0.35">
      <c r="DM5915" s="50"/>
      <c r="DQ5915" s="50"/>
    </row>
    <row r="5916" spans="117:121" x14ac:dyDescent="0.35">
      <c r="DM5916" s="50"/>
      <c r="DQ5916" s="50"/>
    </row>
    <row r="5917" spans="117:121" x14ac:dyDescent="0.35">
      <c r="DM5917" s="50"/>
      <c r="DQ5917" s="50"/>
    </row>
    <row r="5918" spans="117:121" x14ac:dyDescent="0.35">
      <c r="DM5918" s="50"/>
      <c r="DQ5918" s="50"/>
    </row>
    <row r="5919" spans="117:121" x14ac:dyDescent="0.35">
      <c r="DM5919" s="50"/>
      <c r="DQ5919" s="50"/>
    </row>
    <row r="5920" spans="117:121" x14ac:dyDescent="0.35">
      <c r="DM5920" s="50"/>
      <c r="DQ5920" s="50"/>
    </row>
    <row r="5921" spans="117:121" x14ac:dyDescent="0.35">
      <c r="DM5921" s="50"/>
      <c r="DQ5921" s="50"/>
    </row>
    <row r="5922" spans="117:121" x14ac:dyDescent="0.35">
      <c r="DM5922" s="50"/>
      <c r="DQ5922" s="50"/>
    </row>
    <row r="5923" spans="117:121" x14ac:dyDescent="0.35">
      <c r="DM5923" s="50"/>
      <c r="DQ5923" s="50"/>
    </row>
    <row r="5924" spans="117:121" x14ac:dyDescent="0.35">
      <c r="DM5924" s="50"/>
      <c r="DQ5924" s="50"/>
    </row>
    <row r="5925" spans="117:121" x14ac:dyDescent="0.35">
      <c r="DM5925" s="50"/>
      <c r="DQ5925" s="50"/>
    </row>
    <row r="5926" spans="117:121" x14ac:dyDescent="0.35">
      <c r="DM5926" s="50"/>
      <c r="DQ5926" s="50"/>
    </row>
    <row r="5927" spans="117:121" x14ac:dyDescent="0.35">
      <c r="DM5927" s="50"/>
      <c r="DQ5927" s="50"/>
    </row>
    <row r="5928" spans="117:121" x14ac:dyDescent="0.35">
      <c r="DM5928" s="50"/>
      <c r="DQ5928" s="50"/>
    </row>
    <row r="5929" spans="117:121" x14ac:dyDescent="0.35">
      <c r="DM5929" s="50"/>
      <c r="DQ5929" s="50"/>
    </row>
    <row r="5930" spans="117:121" x14ac:dyDescent="0.35">
      <c r="DM5930" s="50"/>
      <c r="DQ5930" s="50"/>
    </row>
    <row r="5931" spans="117:121" x14ac:dyDescent="0.35">
      <c r="DM5931" s="50"/>
      <c r="DQ5931" s="50"/>
    </row>
    <row r="5932" spans="117:121" x14ac:dyDescent="0.35">
      <c r="DM5932" s="50"/>
      <c r="DQ5932" s="50"/>
    </row>
    <row r="5933" spans="117:121" x14ac:dyDescent="0.35">
      <c r="DM5933" s="50"/>
      <c r="DQ5933" s="50"/>
    </row>
    <row r="5934" spans="117:121" x14ac:dyDescent="0.35">
      <c r="DM5934" s="50"/>
      <c r="DQ5934" s="50"/>
    </row>
    <row r="5935" spans="117:121" x14ac:dyDescent="0.35">
      <c r="DM5935" s="50"/>
      <c r="DQ5935" s="50"/>
    </row>
    <row r="5936" spans="117:121" x14ac:dyDescent="0.35">
      <c r="DM5936" s="50"/>
      <c r="DQ5936" s="50"/>
    </row>
    <row r="5937" spans="117:121" x14ac:dyDescent="0.35">
      <c r="DM5937" s="50"/>
      <c r="DQ5937" s="50"/>
    </row>
    <row r="5938" spans="117:121" x14ac:dyDescent="0.35">
      <c r="DM5938" s="50"/>
      <c r="DQ5938" s="50"/>
    </row>
    <row r="5939" spans="117:121" x14ac:dyDescent="0.35">
      <c r="DM5939" s="50"/>
      <c r="DQ5939" s="50"/>
    </row>
    <row r="5940" spans="117:121" x14ac:dyDescent="0.35">
      <c r="DM5940" s="50"/>
      <c r="DQ5940" s="50"/>
    </row>
    <row r="5941" spans="117:121" x14ac:dyDescent="0.35">
      <c r="DM5941" s="50"/>
      <c r="DQ5941" s="50"/>
    </row>
    <row r="5942" spans="117:121" x14ac:dyDescent="0.35">
      <c r="DM5942" s="50"/>
      <c r="DQ5942" s="50"/>
    </row>
    <row r="5943" spans="117:121" x14ac:dyDescent="0.35">
      <c r="DM5943" s="50"/>
      <c r="DQ5943" s="50"/>
    </row>
    <row r="5944" spans="117:121" x14ac:dyDescent="0.35">
      <c r="DM5944" s="50"/>
      <c r="DQ5944" s="50"/>
    </row>
    <row r="5945" spans="117:121" x14ac:dyDescent="0.35">
      <c r="DM5945" s="50"/>
      <c r="DQ5945" s="50"/>
    </row>
    <row r="5946" spans="117:121" x14ac:dyDescent="0.35">
      <c r="DM5946" s="50"/>
      <c r="DQ5946" s="50"/>
    </row>
    <row r="5947" spans="117:121" x14ac:dyDescent="0.35">
      <c r="DM5947" s="50"/>
      <c r="DQ5947" s="50"/>
    </row>
    <row r="5948" spans="117:121" x14ac:dyDescent="0.35">
      <c r="DM5948" s="50"/>
      <c r="DQ5948" s="50"/>
    </row>
    <row r="5949" spans="117:121" x14ac:dyDescent="0.35">
      <c r="DM5949" s="50"/>
      <c r="DQ5949" s="50"/>
    </row>
    <row r="5950" spans="117:121" x14ac:dyDescent="0.35">
      <c r="DM5950" s="50"/>
      <c r="DQ5950" s="50"/>
    </row>
    <row r="5951" spans="117:121" x14ac:dyDescent="0.35">
      <c r="DM5951" s="50"/>
      <c r="DQ5951" s="50"/>
    </row>
    <row r="5952" spans="117:121" x14ac:dyDescent="0.35">
      <c r="DM5952" s="50"/>
      <c r="DQ5952" s="50"/>
    </row>
    <row r="5953" spans="117:121" x14ac:dyDescent="0.35">
      <c r="DM5953" s="50"/>
      <c r="DQ5953" s="50"/>
    </row>
    <row r="5954" spans="117:121" x14ac:dyDescent="0.35">
      <c r="DM5954" s="50"/>
      <c r="DQ5954" s="50"/>
    </row>
    <row r="5955" spans="117:121" x14ac:dyDescent="0.35">
      <c r="DM5955" s="50"/>
      <c r="DQ5955" s="50"/>
    </row>
    <row r="5956" spans="117:121" x14ac:dyDescent="0.35">
      <c r="DM5956" s="50"/>
      <c r="DQ5956" s="50"/>
    </row>
    <row r="5957" spans="117:121" x14ac:dyDescent="0.35">
      <c r="DM5957" s="50"/>
      <c r="DQ5957" s="50"/>
    </row>
    <row r="5958" spans="117:121" x14ac:dyDescent="0.35">
      <c r="DM5958" s="50"/>
      <c r="DQ5958" s="50"/>
    </row>
    <row r="5959" spans="117:121" x14ac:dyDescent="0.35">
      <c r="DM5959" s="50"/>
      <c r="DQ5959" s="50"/>
    </row>
    <row r="5960" spans="117:121" x14ac:dyDescent="0.35">
      <c r="DM5960" s="50"/>
      <c r="DQ5960" s="50"/>
    </row>
    <row r="5961" spans="117:121" x14ac:dyDescent="0.35">
      <c r="DM5961" s="50"/>
      <c r="DQ5961" s="50"/>
    </row>
    <row r="5962" spans="117:121" x14ac:dyDescent="0.35">
      <c r="DM5962" s="50"/>
      <c r="DQ5962" s="50"/>
    </row>
    <row r="5963" spans="117:121" x14ac:dyDescent="0.35">
      <c r="DM5963" s="50"/>
      <c r="DQ5963" s="50"/>
    </row>
    <row r="5964" spans="117:121" x14ac:dyDescent="0.35">
      <c r="DM5964" s="50"/>
      <c r="DQ5964" s="50"/>
    </row>
    <row r="5965" spans="117:121" x14ac:dyDescent="0.35">
      <c r="DM5965" s="50"/>
      <c r="DQ5965" s="50"/>
    </row>
    <row r="5966" spans="117:121" x14ac:dyDescent="0.35">
      <c r="DM5966" s="50"/>
      <c r="DQ5966" s="50"/>
    </row>
    <row r="5967" spans="117:121" x14ac:dyDescent="0.35">
      <c r="DM5967" s="50"/>
      <c r="DQ5967" s="50"/>
    </row>
    <row r="5968" spans="117:121" x14ac:dyDescent="0.35">
      <c r="DM5968" s="50"/>
      <c r="DQ5968" s="50"/>
    </row>
    <row r="5969" spans="117:121" x14ac:dyDescent="0.35">
      <c r="DM5969" s="50"/>
      <c r="DQ5969" s="50"/>
    </row>
    <row r="5970" spans="117:121" x14ac:dyDescent="0.35">
      <c r="DM5970" s="50"/>
      <c r="DQ5970" s="50"/>
    </row>
    <row r="5971" spans="117:121" x14ac:dyDescent="0.35">
      <c r="DM5971" s="50"/>
      <c r="DQ5971" s="50"/>
    </row>
    <row r="5972" spans="117:121" x14ac:dyDescent="0.35">
      <c r="DM5972" s="50"/>
      <c r="DQ5972" s="50"/>
    </row>
    <row r="5973" spans="117:121" x14ac:dyDescent="0.35">
      <c r="DM5973" s="50"/>
      <c r="DQ5973" s="50"/>
    </row>
    <row r="5974" spans="117:121" x14ac:dyDescent="0.35">
      <c r="DM5974" s="50"/>
      <c r="DQ5974" s="50"/>
    </row>
    <row r="5975" spans="117:121" x14ac:dyDescent="0.35">
      <c r="DM5975" s="50"/>
      <c r="DQ5975" s="50"/>
    </row>
    <row r="5976" spans="117:121" x14ac:dyDescent="0.35">
      <c r="DM5976" s="50"/>
      <c r="DQ5976" s="50"/>
    </row>
    <row r="5977" spans="117:121" x14ac:dyDescent="0.35">
      <c r="DM5977" s="50"/>
      <c r="DQ5977" s="50"/>
    </row>
    <row r="5978" spans="117:121" x14ac:dyDescent="0.35">
      <c r="DM5978" s="50"/>
      <c r="DQ5978" s="50"/>
    </row>
    <row r="5979" spans="117:121" x14ac:dyDescent="0.35">
      <c r="DM5979" s="50"/>
      <c r="DQ5979" s="50"/>
    </row>
    <row r="5980" spans="117:121" x14ac:dyDescent="0.35">
      <c r="DM5980" s="50"/>
      <c r="DQ5980" s="50"/>
    </row>
    <row r="5981" spans="117:121" x14ac:dyDescent="0.35">
      <c r="DM5981" s="50"/>
      <c r="DQ5981" s="50"/>
    </row>
    <row r="5982" spans="117:121" x14ac:dyDescent="0.35">
      <c r="DM5982" s="50"/>
      <c r="DQ5982" s="50"/>
    </row>
    <row r="5983" spans="117:121" x14ac:dyDescent="0.35">
      <c r="DM5983" s="50"/>
      <c r="DQ5983" s="50"/>
    </row>
    <row r="5984" spans="117:121" x14ac:dyDescent="0.35">
      <c r="DM5984" s="50"/>
      <c r="DQ5984" s="50"/>
    </row>
    <row r="5985" spans="117:121" x14ac:dyDescent="0.35">
      <c r="DM5985" s="50"/>
      <c r="DQ5985" s="50"/>
    </row>
    <row r="5986" spans="117:121" x14ac:dyDescent="0.35">
      <c r="DM5986" s="50"/>
      <c r="DQ5986" s="50"/>
    </row>
    <row r="5987" spans="117:121" x14ac:dyDescent="0.35">
      <c r="DM5987" s="50"/>
      <c r="DQ5987" s="50"/>
    </row>
    <row r="5988" spans="117:121" x14ac:dyDescent="0.35">
      <c r="DM5988" s="50"/>
      <c r="DQ5988" s="50"/>
    </row>
    <row r="5989" spans="117:121" x14ac:dyDescent="0.35">
      <c r="DM5989" s="50"/>
      <c r="DQ5989" s="50"/>
    </row>
    <row r="5990" spans="117:121" x14ac:dyDescent="0.35">
      <c r="DM5990" s="50"/>
      <c r="DQ5990" s="50"/>
    </row>
    <row r="5991" spans="117:121" x14ac:dyDescent="0.35">
      <c r="DM5991" s="50"/>
      <c r="DQ5991" s="50"/>
    </row>
    <row r="5992" spans="117:121" x14ac:dyDescent="0.35">
      <c r="DM5992" s="50"/>
      <c r="DQ5992" s="50"/>
    </row>
    <row r="5993" spans="117:121" x14ac:dyDescent="0.35">
      <c r="DM5993" s="50"/>
      <c r="DQ5993" s="50"/>
    </row>
    <row r="5994" spans="117:121" x14ac:dyDescent="0.35">
      <c r="DM5994" s="50"/>
      <c r="DQ5994" s="50"/>
    </row>
    <row r="5995" spans="117:121" x14ac:dyDescent="0.35">
      <c r="DM5995" s="50"/>
      <c r="DQ5995" s="50"/>
    </row>
    <row r="5996" spans="117:121" x14ac:dyDescent="0.35">
      <c r="DM5996" s="50"/>
      <c r="DQ5996" s="50"/>
    </row>
    <row r="5997" spans="117:121" x14ac:dyDescent="0.35">
      <c r="DM5997" s="50"/>
      <c r="DQ5997" s="50"/>
    </row>
    <row r="5998" spans="117:121" x14ac:dyDescent="0.35">
      <c r="DM5998" s="50"/>
      <c r="DQ5998" s="50"/>
    </row>
    <row r="5999" spans="117:121" x14ac:dyDescent="0.35">
      <c r="DM5999" s="50"/>
      <c r="DQ5999" s="50"/>
    </row>
    <row r="6000" spans="117:121" x14ac:dyDescent="0.35">
      <c r="DM6000" s="50"/>
      <c r="DQ6000" s="50"/>
    </row>
    <row r="6001" spans="117:121" x14ac:dyDescent="0.35">
      <c r="DM6001" s="50"/>
      <c r="DQ6001" s="50"/>
    </row>
    <row r="6002" spans="117:121" x14ac:dyDescent="0.35">
      <c r="DM6002" s="50"/>
      <c r="DQ6002" s="50"/>
    </row>
    <row r="6003" spans="117:121" x14ac:dyDescent="0.35">
      <c r="DM6003" s="50"/>
      <c r="DQ6003" s="50"/>
    </row>
    <row r="6004" spans="117:121" x14ac:dyDescent="0.35">
      <c r="DM6004" s="50"/>
      <c r="DQ6004" s="50"/>
    </row>
    <row r="6005" spans="117:121" x14ac:dyDescent="0.35">
      <c r="DM6005" s="50"/>
      <c r="DQ6005" s="50"/>
    </row>
    <row r="6006" spans="117:121" x14ac:dyDescent="0.35">
      <c r="DM6006" s="50"/>
      <c r="DQ6006" s="50"/>
    </row>
    <row r="6007" spans="117:121" x14ac:dyDescent="0.35">
      <c r="DM6007" s="50"/>
      <c r="DQ6007" s="50"/>
    </row>
    <row r="6008" spans="117:121" x14ac:dyDescent="0.35">
      <c r="DM6008" s="50"/>
      <c r="DQ6008" s="50"/>
    </row>
    <row r="6009" spans="117:121" x14ac:dyDescent="0.35">
      <c r="DM6009" s="50"/>
      <c r="DQ6009" s="50"/>
    </row>
    <row r="6010" spans="117:121" x14ac:dyDescent="0.35">
      <c r="DM6010" s="50"/>
      <c r="DQ6010" s="50"/>
    </row>
    <row r="6011" spans="117:121" x14ac:dyDescent="0.35">
      <c r="DM6011" s="50"/>
      <c r="DQ6011" s="50"/>
    </row>
    <row r="6012" spans="117:121" x14ac:dyDescent="0.35">
      <c r="DM6012" s="50"/>
      <c r="DQ6012" s="50"/>
    </row>
    <row r="6013" spans="117:121" x14ac:dyDescent="0.35">
      <c r="DM6013" s="50"/>
      <c r="DQ6013" s="50"/>
    </row>
    <row r="6014" spans="117:121" x14ac:dyDescent="0.35">
      <c r="DM6014" s="50"/>
      <c r="DQ6014" s="50"/>
    </row>
    <row r="6015" spans="117:121" x14ac:dyDescent="0.35">
      <c r="DM6015" s="50"/>
      <c r="DQ6015" s="50"/>
    </row>
    <row r="6016" spans="117:121" x14ac:dyDescent="0.35">
      <c r="DM6016" s="50"/>
      <c r="DQ6016" s="50"/>
    </row>
    <row r="6017" spans="117:121" x14ac:dyDescent="0.35">
      <c r="DM6017" s="50"/>
      <c r="DQ6017" s="50"/>
    </row>
    <row r="6018" spans="117:121" x14ac:dyDescent="0.35">
      <c r="DM6018" s="50"/>
      <c r="DQ6018" s="50"/>
    </row>
    <row r="6019" spans="117:121" x14ac:dyDescent="0.35">
      <c r="DM6019" s="50"/>
      <c r="DQ6019" s="50"/>
    </row>
    <row r="6020" spans="117:121" x14ac:dyDescent="0.35">
      <c r="DM6020" s="50"/>
      <c r="DQ6020" s="50"/>
    </row>
    <row r="6021" spans="117:121" x14ac:dyDescent="0.35">
      <c r="DM6021" s="50"/>
      <c r="DQ6021" s="50"/>
    </row>
    <row r="6022" spans="117:121" x14ac:dyDescent="0.35">
      <c r="DM6022" s="50"/>
      <c r="DQ6022" s="50"/>
    </row>
    <row r="6023" spans="117:121" x14ac:dyDescent="0.35">
      <c r="DM6023" s="50"/>
      <c r="DQ6023" s="50"/>
    </row>
    <row r="6024" spans="117:121" x14ac:dyDescent="0.35">
      <c r="DM6024" s="50"/>
      <c r="DQ6024" s="50"/>
    </row>
    <row r="6025" spans="117:121" x14ac:dyDescent="0.35">
      <c r="DM6025" s="50"/>
      <c r="DQ6025" s="50"/>
    </row>
    <row r="6026" spans="117:121" x14ac:dyDescent="0.35">
      <c r="DM6026" s="50"/>
      <c r="DQ6026" s="50"/>
    </row>
    <row r="6027" spans="117:121" x14ac:dyDescent="0.35">
      <c r="DM6027" s="50"/>
      <c r="DQ6027" s="50"/>
    </row>
    <row r="6028" spans="117:121" x14ac:dyDescent="0.35">
      <c r="DM6028" s="50"/>
      <c r="DQ6028" s="50"/>
    </row>
    <row r="6029" spans="117:121" x14ac:dyDescent="0.35">
      <c r="DM6029" s="50"/>
      <c r="DQ6029" s="50"/>
    </row>
    <row r="6030" spans="117:121" x14ac:dyDescent="0.35">
      <c r="DM6030" s="50"/>
      <c r="DQ6030" s="50"/>
    </row>
    <row r="6031" spans="117:121" x14ac:dyDescent="0.35">
      <c r="DM6031" s="50"/>
      <c r="DQ6031" s="50"/>
    </row>
    <row r="6032" spans="117:121" x14ac:dyDescent="0.35">
      <c r="DM6032" s="50"/>
      <c r="DQ6032" s="50"/>
    </row>
    <row r="6033" spans="117:121" x14ac:dyDescent="0.35">
      <c r="DM6033" s="50"/>
      <c r="DQ6033" s="50"/>
    </row>
    <row r="6034" spans="117:121" x14ac:dyDescent="0.35">
      <c r="DM6034" s="50"/>
      <c r="DQ6034" s="50"/>
    </row>
    <row r="6035" spans="117:121" x14ac:dyDescent="0.35">
      <c r="DM6035" s="50"/>
      <c r="DQ6035" s="50"/>
    </row>
    <row r="6036" spans="117:121" x14ac:dyDescent="0.35">
      <c r="DM6036" s="50"/>
      <c r="DQ6036" s="50"/>
    </row>
    <row r="6037" spans="117:121" x14ac:dyDescent="0.35">
      <c r="DM6037" s="50"/>
      <c r="DQ6037" s="50"/>
    </row>
    <row r="6038" spans="117:121" x14ac:dyDescent="0.35">
      <c r="DM6038" s="50"/>
      <c r="DQ6038" s="50"/>
    </row>
    <row r="6039" spans="117:121" x14ac:dyDescent="0.35">
      <c r="DM6039" s="50"/>
      <c r="DQ6039" s="50"/>
    </row>
    <row r="6040" spans="117:121" x14ac:dyDescent="0.35">
      <c r="DM6040" s="50"/>
      <c r="DQ6040" s="50"/>
    </row>
    <row r="6041" spans="117:121" x14ac:dyDescent="0.35">
      <c r="DM6041" s="50"/>
      <c r="DQ6041" s="50"/>
    </row>
    <row r="6042" spans="117:121" x14ac:dyDescent="0.35">
      <c r="DM6042" s="50"/>
      <c r="DQ6042" s="50"/>
    </row>
    <row r="6043" spans="117:121" x14ac:dyDescent="0.35">
      <c r="DM6043" s="50"/>
      <c r="DQ6043" s="50"/>
    </row>
    <row r="6044" spans="117:121" x14ac:dyDescent="0.35">
      <c r="DM6044" s="50"/>
      <c r="DQ6044" s="50"/>
    </row>
    <row r="6045" spans="117:121" x14ac:dyDescent="0.35">
      <c r="DM6045" s="50"/>
      <c r="DQ6045" s="50"/>
    </row>
    <row r="6046" spans="117:121" x14ac:dyDescent="0.35">
      <c r="DM6046" s="50"/>
      <c r="DQ6046" s="50"/>
    </row>
    <row r="6047" spans="117:121" x14ac:dyDescent="0.35">
      <c r="DM6047" s="50"/>
      <c r="DQ6047" s="50"/>
    </row>
    <row r="6048" spans="117:121" x14ac:dyDescent="0.35">
      <c r="DM6048" s="50"/>
      <c r="DQ6048" s="50"/>
    </row>
    <row r="6049" spans="117:121" x14ac:dyDescent="0.35">
      <c r="DM6049" s="50"/>
      <c r="DQ6049" s="50"/>
    </row>
    <row r="6050" spans="117:121" x14ac:dyDescent="0.35">
      <c r="DM6050" s="50"/>
      <c r="DQ6050" s="50"/>
    </row>
    <row r="6051" spans="117:121" x14ac:dyDescent="0.35">
      <c r="DM6051" s="50"/>
      <c r="DQ6051" s="50"/>
    </row>
    <row r="6052" spans="117:121" x14ac:dyDescent="0.35">
      <c r="DM6052" s="50"/>
      <c r="DQ6052" s="50"/>
    </row>
    <row r="6053" spans="117:121" x14ac:dyDescent="0.35">
      <c r="DM6053" s="50"/>
      <c r="DQ6053" s="50"/>
    </row>
    <row r="6054" spans="117:121" x14ac:dyDescent="0.35">
      <c r="DM6054" s="50"/>
      <c r="DQ6054" s="50"/>
    </row>
    <row r="6055" spans="117:121" x14ac:dyDescent="0.35">
      <c r="DM6055" s="50"/>
      <c r="DQ6055" s="50"/>
    </row>
    <row r="6056" spans="117:121" x14ac:dyDescent="0.35">
      <c r="DM6056" s="50"/>
      <c r="DQ6056" s="50"/>
    </row>
    <row r="6057" spans="117:121" x14ac:dyDescent="0.35">
      <c r="DM6057" s="50"/>
      <c r="DQ6057" s="50"/>
    </row>
    <row r="6058" spans="117:121" x14ac:dyDescent="0.35">
      <c r="DM6058" s="50"/>
      <c r="DQ6058" s="50"/>
    </row>
    <row r="6059" spans="117:121" x14ac:dyDescent="0.35">
      <c r="DM6059" s="50"/>
      <c r="DQ6059" s="50"/>
    </row>
    <row r="6060" spans="117:121" x14ac:dyDescent="0.35">
      <c r="DM6060" s="50"/>
      <c r="DQ6060" s="50"/>
    </row>
    <row r="6061" spans="117:121" x14ac:dyDescent="0.35">
      <c r="DM6061" s="50"/>
      <c r="DQ6061" s="50"/>
    </row>
    <row r="6062" spans="117:121" x14ac:dyDescent="0.35">
      <c r="DM6062" s="50"/>
      <c r="DQ6062" s="50"/>
    </row>
    <row r="6063" spans="117:121" x14ac:dyDescent="0.35">
      <c r="DM6063" s="50"/>
      <c r="DQ6063" s="50"/>
    </row>
    <row r="6064" spans="117:121" x14ac:dyDescent="0.35">
      <c r="DM6064" s="50"/>
      <c r="DQ6064" s="50"/>
    </row>
    <row r="6065" spans="117:121" x14ac:dyDescent="0.35">
      <c r="DM6065" s="50"/>
      <c r="DQ6065" s="50"/>
    </row>
    <row r="6066" spans="117:121" x14ac:dyDescent="0.35">
      <c r="DM6066" s="50"/>
      <c r="DQ6066" s="50"/>
    </row>
    <row r="6067" spans="117:121" x14ac:dyDescent="0.35">
      <c r="DM6067" s="50"/>
      <c r="DQ6067" s="50"/>
    </row>
    <row r="6068" spans="117:121" x14ac:dyDescent="0.35">
      <c r="DM6068" s="50"/>
      <c r="DQ6068" s="50"/>
    </row>
    <row r="6069" spans="117:121" x14ac:dyDescent="0.35">
      <c r="DM6069" s="50"/>
      <c r="DQ6069" s="50"/>
    </row>
    <row r="6070" spans="117:121" x14ac:dyDescent="0.35">
      <c r="DM6070" s="50"/>
      <c r="DQ6070" s="50"/>
    </row>
    <row r="6071" spans="117:121" x14ac:dyDescent="0.35">
      <c r="DM6071" s="50"/>
      <c r="DQ6071" s="50"/>
    </row>
    <row r="6072" spans="117:121" x14ac:dyDescent="0.35">
      <c r="DM6072" s="50"/>
      <c r="DQ6072" s="50"/>
    </row>
    <row r="6073" spans="117:121" x14ac:dyDescent="0.35">
      <c r="DM6073" s="50"/>
      <c r="DQ6073" s="50"/>
    </row>
    <row r="6074" spans="117:121" x14ac:dyDescent="0.35">
      <c r="DM6074" s="50"/>
      <c r="DQ6074" s="50"/>
    </row>
    <row r="6075" spans="117:121" x14ac:dyDescent="0.35">
      <c r="DM6075" s="50"/>
      <c r="DQ6075" s="50"/>
    </row>
    <row r="6076" spans="117:121" x14ac:dyDescent="0.35">
      <c r="DM6076" s="50"/>
      <c r="DQ6076" s="50"/>
    </row>
    <row r="6077" spans="117:121" x14ac:dyDescent="0.35">
      <c r="DM6077" s="50"/>
      <c r="DQ6077" s="50"/>
    </row>
    <row r="6078" spans="117:121" x14ac:dyDescent="0.35">
      <c r="DM6078" s="50"/>
      <c r="DQ6078" s="50"/>
    </row>
    <row r="6079" spans="117:121" x14ac:dyDescent="0.35">
      <c r="DM6079" s="50"/>
      <c r="DQ6079" s="50"/>
    </row>
    <row r="6080" spans="117:121" x14ac:dyDescent="0.35">
      <c r="DM6080" s="50"/>
      <c r="DQ6080" s="50"/>
    </row>
    <row r="6081" spans="117:121" x14ac:dyDescent="0.35">
      <c r="DM6081" s="50"/>
      <c r="DQ6081" s="50"/>
    </row>
    <row r="6082" spans="117:121" x14ac:dyDescent="0.35">
      <c r="DM6082" s="50"/>
      <c r="DQ6082" s="50"/>
    </row>
    <row r="6083" spans="117:121" x14ac:dyDescent="0.35">
      <c r="DM6083" s="50"/>
      <c r="DQ6083" s="50"/>
    </row>
    <row r="6084" spans="117:121" x14ac:dyDescent="0.35">
      <c r="DM6084" s="50"/>
      <c r="DQ6084" s="50"/>
    </row>
    <row r="6085" spans="117:121" x14ac:dyDescent="0.35">
      <c r="DM6085" s="50"/>
      <c r="DQ6085" s="50"/>
    </row>
    <row r="6086" spans="117:121" x14ac:dyDescent="0.35">
      <c r="DM6086" s="50"/>
      <c r="DQ6086" s="50"/>
    </row>
    <row r="6087" spans="117:121" x14ac:dyDescent="0.35">
      <c r="DM6087" s="50"/>
      <c r="DQ6087" s="50"/>
    </row>
    <row r="6088" spans="117:121" x14ac:dyDescent="0.35">
      <c r="DM6088" s="50"/>
      <c r="DQ6088" s="50"/>
    </row>
    <row r="6089" spans="117:121" x14ac:dyDescent="0.35">
      <c r="DM6089" s="50"/>
      <c r="DQ6089" s="50"/>
    </row>
    <row r="6090" spans="117:121" x14ac:dyDescent="0.35">
      <c r="DM6090" s="50"/>
      <c r="DQ6090" s="50"/>
    </row>
    <row r="6091" spans="117:121" x14ac:dyDescent="0.35">
      <c r="DM6091" s="50"/>
      <c r="DQ6091" s="50"/>
    </row>
    <row r="6092" spans="117:121" x14ac:dyDescent="0.35">
      <c r="DM6092" s="50"/>
      <c r="DQ6092" s="50"/>
    </row>
    <row r="6093" spans="117:121" x14ac:dyDescent="0.35">
      <c r="DM6093" s="50"/>
      <c r="DQ6093" s="50"/>
    </row>
    <row r="6094" spans="117:121" x14ac:dyDescent="0.35">
      <c r="DM6094" s="50"/>
      <c r="DQ6094" s="50"/>
    </row>
    <row r="6095" spans="117:121" x14ac:dyDescent="0.35">
      <c r="DM6095" s="50"/>
      <c r="DQ6095" s="50"/>
    </row>
    <row r="6096" spans="117:121" x14ac:dyDescent="0.35">
      <c r="DM6096" s="50"/>
      <c r="DQ6096" s="50"/>
    </row>
    <row r="6097" spans="117:121" x14ac:dyDescent="0.35">
      <c r="DM6097" s="50"/>
      <c r="DQ6097" s="50"/>
    </row>
    <row r="6098" spans="117:121" x14ac:dyDescent="0.35">
      <c r="DM6098" s="50"/>
      <c r="DQ6098" s="50"/>
    </row>
    <row r="6099" spans="117:121" x14ac:dyDescent="0.35">
      <c r="DM6099" s="50"/>
      <c r="DQ6099" s="50"/>
    </row>
    <row r="6100" spans="117:121" x14ac:dyDescent="0.35">
      <c r="DM6100" s="50"/>
      <c r="DQ6100" s="50"/>
    </row>
    <row r="6101" spans="117:121" x14ac:dyDescent="0.35">
      <c r="DM6101" s="50"/>
      <c r="DQ6101" s="50"/>
    </row>
    <row r="6102" spans="117:121" x14ac:dyDescent="0.35">
      <c r="DM6102" s="50"/>
      <c r="DQ6102" s="50"/>
    </row>
    <row r="6103" spans="117:121" x14ac:dyDescent="0.35">
      <c r="DM6103" s="50"/>
      <c r="DQ6103" s="50"/>
    </row>
    <row r="6104" spans="117:121" x14ac:dyDescent="0.35">
      <c r="DM6104" s="50"/>
      <c r="DQ6104" s="50"/>
    </row>
    <row r="6105" spans="117:121" x14ac:dyDescent="0.35">
      <c r="DM6105" s="50"/>
      <c r="DQ6105" s="50"/>
    </row>
    <row r="6106" spans="117:121" x14ac:dyDescent="0.35">
      <c r="DM6106" s="50"/>
      <c r="DQ6106" s="50"/>
    </row>
    <row r="6107" spans="117:121" x14ac:dyDescent="0.35">
      <c r="DM6107" s="50"/>
      <c r="DQ6107" s="50"/>
    </row>
    <row r="6108" spans="117:121" x14ac:dyDescent="0.35">
      <c r="DM6108" s="50"/>
      <c r="DQ6108" s="50"/>
    </row>
    <row r="6109" spans="117:121" x14ac:dyDescent="0.35">
      <c r="DM6109" s="50"/>
      <c r="DQ6109" s="50"/>
    </row>
    <row r="6110" spans="117:121" x14ac:dyDescent="0.35">
      <c r="DM6110" s="50"/>
      <c r="DQ6110" s="50"/>
    </row>
    <row r="6111" spans="117:121" x14ac:dyDescent="0.35">
      <c r="DM6111" s="50"/>
      <c r="DQ6111" s="50"/>
    </row>
    <row r="6112" spans="117:121" x14ac:dyDescent="0.35">
      <c r="DM6112" s="50"/>
      <c r="DQ6112" s="50"/>
    </row>
    <row r="6113" spans="117:121" x14ac:dyDescent="0.35">
      <c r="DM6113" s="50"/>
      <c r="DQ6113" s="50"/>
    </row>
    <row r="6114" spans="117:121" x14ac:dyDescent="0.35">
      <c r="DM6114" s="50"/>
      <c r="DQ6114" s="50"/>
    </row>
    <row r="6115" spans="117:121" x14ac:dyDescent="0.35">
      <c r="DM6115" s="50"/>
      <c r="DQ6115" s="50"/>
    </row>
    <row r="6116" spans="117:121" x14ac:dyDescent="0.35">
      <c r="DM6116" s="50"/>
      <c r="DQ6116" s="50"/>
    </row>
    <row r="6117" spans="117:121" x14ac:dyDescent="0.35">
      <c r="DM6117" s="50"/>
      <c r="DQ6117" s="50"/>
    </row>
    <row r="6118" spans="117:121" x14ac:dyDescent="0.35">
      <c r="DM6118" s="50"/>
      <c r="DQ6118" s="50"/>
    </row>
    <row r="6119" spans="117:121" x14ac:dyDescent="0.35">
      <c r="DM6119" s="50"/>
      <c r="DQ6119" s="50"/>
    </row>
    <row r="6120" spans="117:121" x14ac:dyDescent="0.35">
      <c r="DM6120" s="50"/>
      <c r="DQ6120" s="50"/>
    </row>
    <row r="6121" spans="117:121" x14ac:dyDescent="0.35">
      <c r="DM6121" s="50"/>
      <c r="DQ6121" s="50"/>
    </row>
    <row r="6122" spans="117:121" x14ac:dyDescent="0.35">
      <c r="DM6122" s="50"/>
      <c r="DQ6122" s="50"/>
    </row>
    <row r="6123" spans="117:121" x14ac:dyDescent="0.35">
      <c r="DM6123" s="50"/>
      <c r="DQ6123" s="50"/>
    </row>
    <row r="6124" spans="117:121" x14ac:dyDescent="0.35">
      <c r="DM6124" s="50"/>
      <c r="DQ6124" s="50"/>
    </row>
    <row r="6125" spans="117:121" x14ac:dyDescent="0.35">
      <c r="DM6125" s="50"/>
      <c r="DQ6125" s="50"/>
    </row>
    <row r="6126" spans="117:121" x14ac:dyDescent="0.35">
      <c r="DM6126" s="50"/>
      <c r="DQ6126" s="50"/>
    </row>
    <row r="6127" spans="117:121" x14ac:dyDescent="0.35">
      <c r="DM6127" s="50"/>
      <c r="DQ6127" s="50"/>
    </row>
    <row r="6128" spans="117:121" x14ac:dyDescent="0.35">
      <c r="DM6128" s="50"/>
      <c r="DQ6128" s="50"/>
    </row>
    <row r="6129" spans="117:121" x14ac:dyDescent="0.35">
      <c r="DM6129" s="50"/>
      <c r="DQ6129" s="50"/>
    </row>
    <row r="6130" spans="117:121" x14ac:dyDescent="0.35">
      <c r="DM6130" s="50"/>
      <c r="DQ6130" s="50"/>
    </row>
    <row r="6131" spans="117:121" x14ac:dyDescent="0.35">
      <c r="DM6131" s="50"/>
      <c r="DQ6131" s="50"/>
    </row>
    <row r="6132" spans="117:121" x14ac:dyDescent="0.35">
      <c r="DM6132" s="50"/>
      <c r="DQ6132" s="50"/>
    </row>
    <row r="6133" spans="117:121" x14ac:dyDescent="0.35">
      <c r="DM6133" s="50"/>
      <c r="DQ6133" s="50"/>
    </row>
    <row r="6134" spans="117:121" x14ac:dyDescent="0.35">
      <c r="DM6134" s="50"/>
      <c r="DQ6134" s="50"/>
    </row>
    <row r="6135" spans="117:121" x14ac:dyDescent="0.35">
      <c r="DM6135" s="50"/>
      <c r="DQ6135" s="50"/>
    </row>
    <row r="6136" spans="117:121" x14ac:dyDescent="0.35">
      <c r="DM6136" s="50"/>
      <c r="DQ6136" s="50"/>
    </row>
    <row r="6137" spans="117:121" x14ac:dyDescent="0.35">
      <c r="DM6137" s="50"/>
      <c r="DQ6137" s="50"/>
    </row>
    <row r="6138" spans="117:121" x14ac:dyDescent="0.35">
      <c r="DM6138" s="50"/>
      <c r="DQ6138" s="50"/>
    </row>
    <row r="6139" spans="117:121" x14ac:dyDescent="0.35">
      <c r="DM6139" s="50"/>
      <c r="DQ6139" s="50"/>
    </row>
    <row r="6140" spans="117:121" x14ac:dyDescent="0.35">
      <c r="DM6140" s="50"/>
      <c r="DQ6140" s="50"/>
    </row>
    <row r="6141" spans="117:121" x14ac:dyDescent="0.35">
      <c r="DM6141" s="50"/>
      <c r="DQ6141" s="50"/>
    </row>
    <row r="6142" spans="117:121" x14ac:dyDescent="0.35">
      <c r="DM6142" s="50"/>
      <c r="DQ6142" s="50"/>
    </row>
    <row r="6143" spans="117:121" x14ac:dyDescent="0.35">
      <c r="DM6143" s="50"/>
      <c r="DQ6143" s="50"/>
    </row>
    <row r="6144" spans="117:121" x14ac:dyDescent="0.35">
      <c r="DM6144" s="50"/>
      <c r="DQ6144" s="50"/>
    </row>
    <row r="6145" spans="117:121" x14ac:dyDescent="0.35">
      <c r="DM6145" s="50"/>
      <c r="DQ6145" s="50"/>
    </row>
    <row r="6146" spans="117:121" x14ac:dyDescent="0.35">
      <c r="DM6146" s="50"/>
      <c r="DQ6146" s="50"/>
    </row>
    <row r="6147" spans="117:121" x14ac:dyDescent="0.35">
      <c r="DM6147" s="50"/>
      <c r="DQ6147" s="50"/>
    </row>
    <row r="6148" spans="117:121" x14ac:dyDescent="0.35">
      <c r="DM6148" s="50"/>
      <c r="DQ6148" s="50"/>
    </row>
    <row r="6149" spans="117:121" x14ac:dyDescent="0.35">
      <c r="DM6149" s="50"/>
      <c r="DQ6149" s="50"/>
    </row>
    <row r="6150" spans="117:121" x14ac:dyDescent="0.35">
      <c r="DM6150" s="50"/>
      <c r="DQ6150" s="50"/>
    </row>
    <row r="6151" spans="117:121" x14ac:dyDescent="0.35">
      <c r="DM6151" s="50"/>
      <c r="DQ6151" s="50"/>
    </row>
    <row r="6152" spans="117:121" x14ac:dyDescent="0.35">
      <c r="DM6152" s="50"/>
      <c r="DQ6152" s="50"/>
    </row>
    <row r="6153" spans="117:121" x14ac:dyDescent="0.35">
      <c r="DM6153" s="50"/>
      <c r="DQ6153" s="50"/>
    </row>
    <row r="6154" spans="117:121" x14ac:dyDescent="0.35">
      <c r="DM6154" s="50"/>
      <c r="DQ6154" s="50"/>
    </row>
    <row r="6155" spans="117:121" x14ac:dyDescent="0.35">
      <c r="DM6155" s="50"/>
      <c r="DQ6155" s="50"/>
    </row>
    <row r="6156" spans="117:121" x14ac:dyDescent="0.35">
      <c r="DM6156" s="50"/>
      <c r="DQ6156" s="50"/>
    </row>
    <row r="6157" spans="117:121" x14ac:dyDescent="0.35">
      <c r="DM6157" s="50"/>
      <c r="DQ6157" s="50"/>
    </row>
    <row r="6158" spans="117:121" x14ac:dyDescent="0.35">
      <c r="DM6158" s="50"/>
      <c r="DQ6158" s="50"/>
    </row>
    <row r="6159" spans="117:121" x14ac:dyDescent="0.35">
      <c r="DM6159" s="50"/>
      <c r="DQ6159" s="50"/>
    </row>
    <row r="6160" spans="117:121" x14ac:dyDescent="0.35">
      <c r="DM6160" s="50"/>
      <c r="DQ6160" s="50"/>
    </row>
    <row r="6161" spans="117:121" x14ac:dyDescent="0.35">
      <c r="DM6161" s="50"/>
      <c r="DQ6161" s="50"/>
    </row>
    <row r="6162" spans="117:121" x14ac:dyDescent="0.35">
      <c r="DM6162" s="50"/>
      <c r="DQ6162" s="50"/>
    </row>
    <row r="6163" spans="117:121" x14ac:dyDescent="0.35">
      <c r="DM6163" s="50"/>
      <c r="DQ6163" s="50"/>
    </row>
    <row r="6164" spans="117:121" x14ac:dyDescent="0.35">
      <c r="DM6164" s="50"/>
      <c r="DQ6164" s="50"/>
    </row>
    <row r="6165" spans="117:121" x14ac:dyDescent="0.35">
      <c r="DM6165" s="50"/>
      <c r="DQ6165" s="50"/>
    </row>
    <row r="6166" spans="117:121" x14ac:dyDescent="0.35">
      <c r="DM6166" s="50"/>
      <c r="DQ6166" s="50"/>
    </row>
    <row r="6167" spans="117:121" x14ac:dyDescent="0.35">
      <c r="DM6167" s="50"/>
      <c r="DQ6167" s="50"/>
    </row>
    <row r="6168" spans="117:121" x14ac:dyDescent="0.35">
      <c r="DM6168" s="50"/>
      <c r="DQ6168" s="50"/>
    </row>
    <row r="6169" spans="117:121" x14ac:dyDescent="0.35">
      <c r="DM6169" s="50"/>
      <c r="DQ6169" s="50"/>
    </row>
    <row r="6170" spans="117:121" x14ac:dyDescent="0.35">
      <c r="DM6170" s="50"/>
      <c r="DQ6170" s="50"/>
    </row>
    <row r="6171" spans="117:121" x14ac:dyDescent="0.35">
      <c r="DM6171" s="50"/>
      <c r="DQ6171" s="50"/>
    </row>
    <row r="6172" spans="117:121" x14ac:dyDescent="0.35">
      <c r="DM6172" s="50"/>
      <c r="DQ6172" s="50"/>
    </row>
    <row r="6173" spans="117:121" x14ac:dyDescent="0.35">
      <c r="DM6173" s="50"/>
      <c r="DQ6173" s="50"/>
    </row>
    <row r="6174" spans="117:121" x14ac:dyDescent="0.35">
      <c r="DM6174" s="50"/>
      <c r="DQ6174" s="50"/>
    </row>
    <row r="6175" spans="117:121" x14ac:dyDescent="0.35">
      <c r="DM6175" s="50"/>
      <c r="DQ6175" s="50"/>
    </row>
    <row r="6176" spans="117:121" x14ac:dyDescent="0.35">
      <c r="DM6176" s="50"/>
      <c r="DQ6176" s="50"/>
    </row>
    <row r="6177" spans="117:121" x14ac:dyDescent="0.35">
      <c r="DM6177" s="50"/>
      <c r="DQ6177" s="50"/>
    </row>
    <row r="6178" spans="117:121" x14ac:dyDescent="0.35">
      <c r="DM6178" s="50"/>
      <c r="DQ6178" s="50"/>
    </row>
    <row r="6179" spans="117:121" x14ac:dyDescent="0.35">
      <c r="DM6179" s="50"/>
      <c r="DQ6179" s="50"/>
    </row>
    <row r="6180" spans="117:121" x14ac:dyDescent="0.35">
      <c r="DM6180" s="50"/>
      <c r="DQ6180" s="50"/>
    </row>
    <row r="6181" spans="117:121" x14ac:dyDescent="0.35">
      <c r="DM6181" s="50"/>
      <c r="DQ6181" s="50"/>
    </row>
    <row r="6182" spans="117:121" x14ac:dyDescent="0.35">
      <c r="DM6182" s="50"/>
      <c r="DQ6182" s="50"/>
    </row>
    <row r="6183" spans="117:121" x14ac:dyDescent="0.35">
      <c r="DM6183" s="50"/>
      <c r="DQ6183" s="50"/>
    </row>
    <row r="6184" spans="117:121" x14ac:dyDescent="0.35">
      <c r="DM6184" s="50"/>
      <c r="DQ6184" s="50"/>
    </row>
    <row r="6185" spans="117:121" x14ac:dyDescent="0.35">
      <c r="DM6185" s="50"/>
      <c r="DQ6185" s="50"/>
    </row>
    <row r="6186" spans="117:121" x14ac:dyDescent="0.35">
      <c r="DM6186" s="50"/>
      <c r="DQ6186" s="50"/>
    </row>
    <row r="6187" spans="117:121" x14ac:dyDescent="0.35">
      <c r="DM6187" s="50"/>
      <c r="DQ6187" s="50"/>
    </row>
    <row r="6188" spans="117:121" x14ac:dyDescent="0.35">
      <c r="DM6188" s="50"/>
      <c r="DQ6188" s="50"/>
    </row>
    <row r="6189" spans="117:121" x14ac:dyDescent="0.35">
      <c r="DM6189" s="50"/>
      <c r="DQ6189" s="50"/>
    </row>
    <row r="6190" spans="117:121" x14ac:dyDescent="0.35">
      <c r="DM6190" s="50"/>
      <c r="DQ6190" s="50"/>
    </row>
    <row r="6191" spans="117:121" x14ac:dyDescent="0.35">
      <c r="DM6191" s="50"/>
      <c r="DQ6191" s="50"/>
    </row>
    <row r="6192" spans="117:121" x14ac:dyDescent="0.35">
      <c r="DM6192" s="50"/>
      <c r="DQ6192" s="50"/>
    </row>
    <row r="6193" spans="117:121" x14ac:dyDescent="0.35">
      <c r="DM6193" s="50"/>
      <c r="DQ6193" s="50"/>
    </row>
    <row r="6194" spans="117:121" x14ac:dyDescent="0.35">
      <c r="DM6194" s="50"/>
      <c r="DQ6194" s="50"/>
    </row>
    <row r="6195" spans="117:121" x14ac:dyDescent="0.35">
      <c r="DM6195" s="50"/>
      <c r="DQ6195" s="50"/>
    </row>
    <row r="6196" spans="117:121" x14ac:dyDescent="0.35">
      <c r="DM6196" s="50"/>
      <c r="DQ6196" s="50"/>
    </row>
    <row r="6197" spans="117:121" x14ac:dyDescent="0.35">
      <c r="DM6197" s="50"/>
      <c r="DQ6197" s="50"/>
    </row>
    <row r="6198" spans="117:121" x14ac:dyDescent="0.35">
      <c r="DM6198" s="50"/>
      <c r="DQ6198" s="50"/>
    </row>
    <row r="6199" spans="117:121" x14ac:dyDescent="0.35">
      <c r="DM6199" s="50"/>
      <c r="DQ6199" s="50"/>
    </row>
    <row r="6200" spans="117:121" x14ac:dyDescent="0.35">
      <c r="DM6200" s="50"/>
      <c r="DQ6200" s="50"/>
    </row>
    <row r="6201" spans="117:121" x14ac:dyDescent="0.35">
      <c r="DM6201" s="50"/>
      <c r="DQ6201" s="50"/>
    </row>
    <row r="6202" spans="117:121" x14ac:dyDescent="0.35">
      <c r="DM6202" s="50"/>
      <c r="DQ6202" s="50"/>
    </row>
    <row r="6203" spans="117:121" x14ac:dyDescent="0.35">
      <c r="DM6203" s="50"/>
      <c r="DQ6203" s="50"/>
    </row>
    <row r="6204" spans="117:121" x14ac:dyDescent="0.35">
      <c r="DM6204" s="50"/>
      <c r="DQ6204" s="50"/>
    </row>
    <row r="6205" spans="117:121" x14ac:dyDescent="0.35">
      <c r="DM6205" s="50"/>
      <c r="DQ6205" s="50"/>
    </row>
    <row r="6206" spans="117:121" x14ac:dyDescent="0.35">
      <c r="DM6206" s="50"/>
      <c r="DQ6206" s="50"/>
    </row>
    <row r="6207" spans="117:121" x14ac:dyDescent="0.35">
      <c r="DM6207" s="50"/>
      <c r="DQ6207" s="50"/>
    </row>
    <row r="6208" spans="117:121" x14ac:dyDescent="0.35">
      <c r="DM6208" s="50"/>
      <c r="DQ6208" s="50"/>
    </row>
    <row r="6209" spans="117:121" x14ac:dyDescent="0.35">
      <c r="DM6209" s="50"/>
      <c r="DQ6209" s="50"/>
    </row>
    <row r="6210" spans="117:121" x14ac:dyDescent="0.35">
      <c r="DM6210" s="50"/>
      <c r="DQ6210" s="50"/>
    </row>
    <row r="6211" spans="117:121" x14ac:dyDescent="0.35">
      <c r="DM6211" s="50"/>
      <c r="DQ6211" s="50"/>
    </row>
    <row r="6212" spans="117:121" x14ac:dyDescent="0.35">
      <c r="DM6212" s="50"/>
      <c r="DQ6212" s="50"/>
    </row>
    <row r="6213" spans="117:121" x14ac:dyDescent="0.35">
      <c r="DM6213" s="50"/>
      <c r="DQ6213" s="50"/>
    </row>
    <row r="6214" spans="117:121" x14ac:dyDescent="0.35">
      <c r="DM6214" s="50"/>
      <c r="DQ6214" s="50"/>
    </row>
    <row r="6215" spans="117:121" x14ac:dyDescent="0.35">
      <c r="DM6215" s="50"/>
      <c r="DQ6215" s="50"/>
    </row>
    <row r="6216" spans="117:121" x14ac:dyDescent="0.35">
      <c r="DM6216" s="50"/>
      <c r="DQ6216" s="50"/>
    </row>
    <row r="6217" spans="117:121" x14ac:dyDescent="0.35">
      <c r="DM6217" s="50"/>
      <c r="DQ6217" s="50"/>
    </row>
    <row r="6218" spans="117:121" x14ac:dyDescent="0.35">
      <c r="DM6218" s="50"/>
      <c r="DQ6218" s="50"/>
    </row>
    <row r="6219" spans="117:121" x14ac:dyDescent="0.35">
      <c r="DM6219" s="50"/>
      <c r="DQ6219" s="50"/>
    </row>
    <row r="6220" spans="117:121" x14ac:dyDescent="0.35">
      <c r="DM6220" s="50"/>
      <c r="DQ6220" s="50"/>
    </row>
    <row r="6221" spans="117:121" x14ac:dyDescent="0.35">
      <c r="DM6221" s="50"/>
      <c r="DQ6221" s="50"/>
    </row>
    <row r="6222" spans="117:121" x14ac:dyDescent="0.35">
      <c r="DM6222" s="50"/>
      <c r="DQ6222" s="50"/>
    </row>
    <row r="6223" spans="117:121" x14ac:dyDescent="0.35">
      <c r="DM6223" s="50"/>
      <c r="DQ6223" s="50"/>
    </row>
    <row r="6224" spans="117:121" x14ac:dyDescent="0.35">
      <c r="DM6224" s="50"/>
      <c r="DQ6224" s="50"/>
    </row>
    <row r="6225" spans="117:121" x14ac:dyDescent="0.35">
      <c r="DM6225" s="50"/>
      <c r="DQ6225" s="50"/>
    </row>
    <row r="6226" spans="117:121" x14ac:dyDescent="0.35">
      <c r="DM6226" s="50"/>
      <c r="DQ6226" s="50"/>
    </row>
    <row r="6227" spans="117:121" x14ac:dyDescent="0.35">
      <c r="DM6227" s="50"/>
      <c r="DQ6227" s="50"/>
    </row>
    <row r="6228" spans="117:121" x14ac:dyDescent="0.35">
      <c r="DM6228" s="50"/>
      <c r="DQ6228" s="50"/>
    </row>
    <row r="6229" spans="117:121" x14ac:dyDescent="0.35">
      <c r="DM6229" s="50"/>
      <c r="DQ6229" s="50"/>
    </row>
    <row r="6230" spans="117:121" x14ac:dyDescent="0.35">
      <c r="DM6230" s="50"/>
      <c r="DQ6230" s="50"/>
    </row>
    <row r="6231" spans="117:121" x14ac:dyDescent="0.35">
      <c r="DM6231" s="50"/>
      <c r="DQ6231" s="50"/>
    </row>
    <row r="6232" spans="117:121" x14ac:dyDescent="0.35">
      <c r="DM6232" s="50"/>
      <c r="DQ6232" s="50"/>
    </row>
    <row r="6233" spans="117:121" x14ac:dyDescent="0.35">
      <c r="DM6233" s="50"/>
      <c r="DQ6233" s="50"/>
    </row>
    <row r="6234" spans="117:121" x14ac:dyDescent="0.35">
      <c r="DM6234" s="50"/>
      <c r="DQ6234" s="50"/>
    </row>
    <row r="6235" spans="117:121" x14ac:dyDescent="0.35">
      <c r="DM6235" s="50"/>
      <c r="DQ6235" s="50"/>
    </row>
    <row r="6236" spans="117:121" x14ac:dyDescent="0.35">
      <c r="DM6236" s="50"/>
      <c r="DQ6236" s="50"/>
    </row>
    <row r="6237" spans="117:121" x14ac:dyDescent="0.35">
      <c r="DM6237" s="50"/>
      <c r="DQ6237" s="50"/>
    </row>
    <row r="6238" spans="117:121" x14ac:dyDescent="0.35">
      <c r="DM6238" s="50"/>
      <c r="DQ6238" s="50"/>
    </row>
    <row r="6239" spans="117:121" x14ac:dyDescent="0.35">
      <c r="DM6239" s="50"/>
      <c r="DQ6239" s="50"/>
    </row>
    <row r="6240" spans="117:121" x14ac:dyDescent="0.35">
      <c r="DM6240" s="50"/>
      <c r="DQ6240" s="50"/>
    </row>
    <row r="6241" spans="117:121" x14ac:dyDescent="0.35">
      <c r="DM6241" s="50"/>
      <c r="DQ6241" s="50"/>
    </row>
    <row r="6242" spans="117:121" x14ac:dyDescent="0.35">
      <c r="DM6242" s="50"/>
      <c r="DQ6242" s="50"/>
    </row>
    <row r="6243" spans="117:121" x14ac:dyDescent="0.35">
      <c r="DM6243" s="50"/>
      <c r="DQ6243" s="50"/>
    </row>
    <row r="6244" spans="117:121" x14ac:dyDescent="0.35">
      <c r="DM6244" s="50"/>
      <c r="DQ6244" s="50"/>
    </row>
    <row r="6245" spans="117:121" x14ac:dyDescent="0.35">
      <c r="DM6245" s="50"/>
      <c r="DQ6245" s="50"/>
    </row>
    <row r="6246" spans="117:121" x14ac:dyDescent="0.35">
      <c r="DM6246" s="50"/>
      <c r="DQ6246" s="50"/>
    </row>
    <row r="6247" spans="117:121" x14ac:dyDescent="0.35">
      <c r="DM6247" s="50"/>
      <c r="DQ6247" s="50"/>
    </row>
    <row r="6248" spans="117:121" x14ac:dyDescent="0.35">
      <c r="DM6248" s="50"/>
      <c r="DQ6248" s="50"/>
    </row>
    <row r="6249" spans="117:121" x14ac:dyDescent="0.35">
      <c r="DM6249" s="50"/>
      <c r="DQ6249" s="50"/>
    </row>
    <row r="6250" spans="117:121" x14ac:dyDescent="0.35">
      <c r="DM6250" s="50"/>
      <c r="DQ6250" s="50"/>
    </row>
    <row r="6251" spans="117:121" x14ac:dyDescent="0.35">
      <c r="DM6251" s="50"/>
      <c r="DQ6251" s="50"/>
    </row>
    <row r="6252" spans="117:121" x14ac:dyDescent="0.35">
      <c r="DM6252" s="50"/>
      <c r="DQ6252" s="50"/>
    </row>
    <row r="6253" spans="117:121" x14ac:dyDescent="0.35">
      <c r="DM6253" s="50"/>
      <c r="DQ6253" s="50"/>
    </row>
    <row r="6254" spans="117:121" x14ac:dyDescent="0.35">
      <c r="DM6254" s="50"/>
      <c r="DQ6254" s="50"/>
    </row>
    <row r="6255" spans="117:121" x14ac:dyDescent="0.35">
      <c r="DM6255" s="50"/>
      <c r="DQ6255" s="50"/>
    </row>
    <row r="6256" spans="117:121" x14ac:dyDescent="0.35">
      <c r="DM6256" s="50"/>
      <c r="DQ6256" s="50"/>
    </row>
    <row r="6257" spans="117:121" x14ac:dyDescent="0.35">
      <c r="DM6257" s="50"/>
      <c r="DQ6257" s="50"/>
    </row>
    <row r="6258" spans="117:121" x14ac:dyDescent="0.35">
      <c r="DM6258" s="50"/>
      <c r="DQ6258" s="50"/>
    </row>
    <row r="6259" spans="117:121" x14ac:dyDescent="0.35">
      <c r="DM6259" s="50"/>
      <c r="DQ6259" s="50"/>
    </row>
    <row r="6260" spans="117:121" x14ac:dyDescent="0.35">
      <c r="DM6260" s="50"/>
      <c r="DQ6260" s="50"/>
    </row>
    <row r="6261" spans="117:121" x14ac:dyDescent="0.35">
      <c r="DM6261" s="50"/>
      <c r="DQ6261" s="50"/>
    </row>
    <row r="6262" spans="117:121" x14ac:dyDescent="0.35">
      <c r="DM6262" s="50"/>
      <c r="DQ6262" s="50"/>
    </row>
    <row r="6263" spans="117:121" x14ac:dyDescent="0.35">
      <c r="DM6263" s="50"/>
      <c r="DQ6263" s="50"/>
    </row>
    <row r="6264" spans="117:121" x14ac:dyDescent="0.35">
      <c r="DM6264" s="50"/>
      <c r="DQ6264" s="50"/>
    </row>
    <row r="6265" spans="117:121" x14ac:dyDescent="0.35">
      <c r="DM6265" s="50"/>
      <c r="DQ6265" s="50"/>
    </row>
    <row r="6266" spans="117:121" x14ac:dyDescent="0.35">
      <c r="DM6266" s="50"/>
      <c r="DQ6266" s="50"/>
    </row>
    <row r="6267" spans="117:121" x14ac:dyDescent="0.35">
      <c r="DM6267" s="50"/>
      <c r="DQ6267" s="50"/>
    </row>
    <row r="6268" spans="117:121" x14ac:dyDescent="0.35">
      <c r="DM6268" s="50"/>
      <c r="DQ6268" s="50"/>
    </row>
    <row r="6269" spans="117:121" x14ac:dyDescent="0.35">
      <c r="DM6269" s="50"/>
      <c r="DQ6269" s="50"/>
    </row>
    <row r="6270" spans="117:121" x14ac:dyDescent="0.35">
      <c r="DM6270" s="50"/>
      <c r="DQ6270" s="50"/>
    </row>
    <row r="6271" spans="117:121" x14ac:dyDescent="0.35">
      <c r="DM6271" s="50"/>
      <c r="DQ6271" s="50"/>
    </row>
    <row r="6272" spans="117:121" x14ac:dyDescent="0.35">
      <c r="DM6272" s="50"/>
      <c r="DQ6272" s="50"/>
    </row>
    <row r="6273" spans="117:121" x14ac:dyDescent="0.35">
      <c r="DM6273" s="50"/>
      <c r="DQ6273" s="50"/>
    </row>
    <row r="6274" spans="117:121" x14ac:dyDescent="0.35">
      <c r="DM6274" s="50"/>
      <c r="DQ6274" s="50"/>
    </row>
    <row r="6275" spans="117:121" x14ac:dyDescent="0.35">
      <c r="DM6275" s="50"/>
      <c r="DQ6275" s="50"/>
    </row>
    <row r="6276" spans="117:121" x14ac:dyDescent="0.35">
      <c r="DM6276" s="50"/>
      <c r="DQ6276" s="50"/>
    </row>
    <row r="6277" spans="117:121" x14ac:dyDescent="0.35">
      <c r="DM6277" s="50"/>
      <c r="DQ6277" s="50"/>
    </row>
    <row r="6278" spans="117:121" x14ac:dyDescent="0.35">
      <c r="DM6278" s="50"/>
      <c r="DQ6278" s="50"/>
    </row>
    <row r="6279" spans="117:121" x14ac:dyDescent="0.35">
      <c r="DM6279" s="50"/>
      <c r="DQ6279" s="50"/>
    </row>
    <row r="6280" spans="117:121" x14ac:dyDescent="0.35">
      <c r="DM6280" s="50"/>
      <c r="DQ6280" s="50"/>
    </row>
    <row r="6281" spans="117:121" x14ac:dyDescent="0.35">
      <c r="DM6281" s="50"/>
      <c r="DQ6281" s="50"/>
    </row>
    <row r="6282" spans="117:121" x14ac:dyDescent="0.35">
      <c r="DM6282" s="50"/>
      <c r="DQ6282" s="50"/>
    </row>
    <row r="6283" spans="117:121" x14ac:dyDescent="0.35">
      <c r="DM6283" s="50"/>
      <c r="DQ6283" s="50"/>
    </row>
    <row r="6284" spans="117:121" x14ac:dyDescent="0.35">
      <c r="DM6284" s="50"/>
      <c r="DQ6284" s="50"/>
    </row>
    <row r="6285" spans="117:121" x14ac:dyDescent="0.35">
      <c r="DM6285" s="50"/>
      <c r="DQ6285" s="50"/>
    </row>
    <row r="6286" spans="117:121" x14ac:dyDescent="0.35">
      <c r="DM6286" s="50"/>
      <c r="DQ6286" s="50"/>
    </row>
    <row r="6287" spans="117:121" x14ac:dyDescent="0.35">
      <c r="DM6287" s="50"/>
      <c r="DQ6287" s="50"/>
    </row>
    <row r="6288" spans="117:121" x14ac:dyDescent="0.35">
      <c r="DM6288" s="50"/>
      <c r="DQ6288" s="50"/>
    </row>
    <row r="6289" spans="117:121" x14ac:dyDescent="0.35">
      <c r="DM6289" s="50"/>
      <c r="DQ6289" s="50"/>
    </row>
    <row r="6290" spans="117:121" x14ac:dyDescent="0.35">
      <c r="DM6290" s="50"/>
      <c r="DQ6290" s="50"/>
    </row>
    <row r="6291" spans="117:121" x14ac:dyDescent="0.35">
      <c r="DM6291" s="50"/>
      <c r="DQ6291" s="50"/>
    </row>
    <row r="6292" spans="117:121" x14ac:dyDescent="0.35">
      <c r="DM6292" s="50"/>
      <c r="DQ6292" s="50"/>
    </row>
    <row r="6293" spans="117:121" x14ac:dyDescent="0.35">
      <c r="DM6293" s="50"/>
      <c r="DQ6293" s="50"/>
    </row>
    <row r="6294" spans="117:121" x14ac:dyDescent="0.35">
      <c r="DM6294" s="50"/>
      <c r="DQ6294" s="50"/>
    </row>
    <row r="6295" spans="117:121" x14ac:dyDescent="0.35">
      <c r="DM6295" s="50"/>
      <c r="DQ6295" s="50"/>
    </row>
    <row r="6296" spans="117:121" x14ac:dyDescent="0.35">
      <c r="DM6296" s="50"/>
      <c r="DQ6296" s="50"/>
    </row>
    <row r="6297" spans="117:121" x14ac:dyDescent="0.35">
      <c r="DM6297" s="50"/>
      <c r="DQ6297" s="50"/>
    </row>
    <row r="6298" spans="117:121" x14ac:dyDescent="0.35">
      <c r="DM6298" s="50"/>
      <c r="DQ6298" s="50"/>
    </row>
    <row r="6299" spans="117:121" x14ac:dyDescent="0.35">
      <c r="DM6299" s="50"/>
      <c r="DQ6299" s="50"/>
    </row>
    <row r="6300" spans="117:121" x14ac:dyDescent="0.35">
      <c r="DM6300" s="50"/>
      <c r="DQ6300" s="50"/>
    </row>
    <row r="6301" spans="117:121" x14ac:dyDescent="0.35">
      <c r="DM6301" s="50"/>
      <c r="DQ6301" s="50"/>
    </row>
    <row r="6302" spans="117:121" x14ac:dyDescent="0.35">
      <c r="DM6302" s="50"/>
      <c r="DQ6302" s="50"/>
    </row>
    <row r="6303" spans="117:121" x14ac:dyDescent="0.35">
      <c r="DM6303" s="50"/>
      <c r="DQ6303" s="50"/>
    </row>
    <row r="6304" spans="117:121" x14ac:dyDescent="0.35">
      <c r="DM6304" s="50"/>
      <c r="DQ6304" s="50"/>
    </row>
    <row r="6305" spans="117:121" x14ac:dyDescent="0.35">
      <c r="DM6305" s="50"/>
      <c r="DQ6305" s="50"/>
    </row>
    <row r="6306" spans="117:121" x14ac:dyDescent="0.35">
      <c r="DM6306" s="50"/>
      <c r="DQ6306" s="50"/>
    </row>
    <row r="6307" spans="117:121" x14ac:dyDescent="0.35">
      <c r="DM6307" s="50"/>
      <c r="DQ6307" s="50"/>
    </row>
    <row r="6308" spans="117:121" x14ac:dyDescent="0.35">
      <c r="DM6308" s="50"/>
      <c r="DQ6308" s="50"/>
    </row>
    <row r="6309" spans="117:121" x14ac:dyDescent="0.35">
      <c r="DM6309" s="50"/>
      <c r="DQ6309" s="50"/>
    </row>
    <row r="6310" spans="117:121" x14ac:dyDescent="0.35">
      <c r="DM6310" s="50"/>
      <c r="DQ6310" s="50"/>
    </row>
    <row r="6311" spans="117:121" x14ac:dyDescent="0.35">
      <c r="DM6311" s="50"/>
      <c r="DQ6311" s="50"/>
    </row>
    <row r="6312" spans="117:121" x14ac:dyDescent="0.35">
      <c r="DM6312" s="50"/>
      <c r="DQ6312" s="50"/>
    </row>
    <row r="6313" spans="117:121" x14ac:dyDescent="0.35">
      <c r="DM6313" s="50"/>
      <c r="DQ6313" s="50"/>
    </row>
    <row r="6314" spans="117:121" x14ac:dyDescent="0.35">
      <c r="DM6314" s="50"/>
      <c r="DQ6314" s="50"/>
    </row>
    <row r="6315" spans="117:121" x14ac:dyDescent="0.35">
      <c r="DM6315" s="50"/>
      <c r="DQ6315" s="50"/>
    </row>
    <row r="6316" spans="117:121" x14ac:dyDescent="0.35">
      <c r="DM6316" s="50"/>
      <c r="DQ6316" s="50"/>
    </row>
    <row r="6317" spans="117:121" x14ac:dyDescent="0.35">
      <c r="DM6317" s="50"/>
      <c r="DQ6317" s="50"/>
    </row>
    <row r="6318" spans="117:121" x14ac:dyDescent="0.35">
      <c r="DM6318" s="50"/>
      <c r="DQ6318" s="50"/>
    </row>
    <row r="6319" spans="117:121" x14ac:dyDescent="0.35">
      <c r="DM6319" s="50"/>
      <c r="DQ6319" s="50"/>
    </row>
    <row r="6320" spans="117:121" x14ac:dyDescent="0.35">
      <c r="DM6320" s="50"/>
      <c r="DQ6320" s="50"/>
    </row>
    <row r="6321" spans="117:121" x14ac:dyDescent="0.35">
      <c r="DM6321" s="50"/>
      <c r="DQ6321" s="50"/>
    </row>
    <row r="6322" spans="117:121" x14ac:dyDescent="0.35">
      <c r="DM6322" s="50"/>
      <c r="DQ6322" s="50"/>
    </row>
    <row r="6323" spans="117:121" x14ac:dyDescent="0.35">
      <c r="DM6323" s="50"/>
      <c r="DQ6323" s="50"/>
    </row>
    <row r="6324" spans="117:121" x14ac:dyDescent="0.35">
      <c r="DM6324" s="50"/>
      <c r="DQ6324" s="50"/>
    </row>
    <row r="6325" spans="117:121" x14ac:dyDescent="0.35">
      <c r="DM6325" s="50"/>
      <c r="DQ6325" s="50"/>
    </row>
    <row r="6326" spans="117:121" x14ac:dyDescent="0.35">
      <c r="DM6326" s="50"/>
      <c r="DQ6326" s="50"/>
    </row>
    <row r="6327" spans="117:121" x14ac:dyDescent="0.35">
      <c r="DM6327" s="50"/>
      <c r="DQ6327" s="50"/>
    </row>
    <row r="6328" spans="117:121" x14ac:dyDescent="0.35">
      <c r="DM6328" s="50"/>
      <c r="DQ6328" s="50"/>
    </row>
    <row r="6329" spans="117:121" x14ac:dyDescent="0.35">
      <c r="DM6329" s="50"/>
      <c r="DQ6329" s="50"/>
    </row>
    <row r="6330" spans="117:121" x14ac:dyDescent="0.35">
      <c r="DM6330" s="50"/>
      <c r="DQ6330" s="50"/>
    </row>
    <row r="6331" spans="117:121" x14ac:dyDescent="0.35">
      <c r="DM6331" s="50"/>
      <c r="DQ6331" s="50"/>
    </row>
    <row r="6332" spans="117:121" x14ac:dyDescent="0.35">
      <c r="DM6332" s="50"/>
      <c r="DQ6332" s="50"/>
    </row>
    <row r="6333" spans="117:121" x14ac:dyDescent="0.35">
      <c r="DM6333" s="50"/>
      <c r="DQ6333" s="50"/>
    </row>
    <row r="6334" spans="117:121" x14ac:dyDescent="0.35">
      <c r="DM6334" s="50"/>
      <c r="DQ6334" s="50"/>
    </row>
    <row r="6335" spans="117:121" x14ac:dyDescent="0.35">
      <c r="DM6335" s="50"/>
      <c r="DQ6335" s="50"/>
    </row>
    <row r="6336" spans="117:121" x14ac:dyDescent="0.35">
      <c r="DM6336" s="50"/>
      <c r="DQ6336" s="50"/>
    </row>
    <row r="6337" spans="117:121" x14ac:dyDescent="0.35">
      <c r="DM6337" s="50"/>
      <c r="DQ6337" s="50"/>
    </row>
    <row r="6338" spans="117:121" x14ac:dyDescent="0.35">
      <c r="DM6338" s="50"/>
      <c r="DQ6338" s="50"/>
    </row>
    <row r="6339" spans="117:121" x14ac:dyDescent="0.35">
      <c r="DM6339" s="50"/>
      <c r="DQ6339" s="50"/>
    </row>
    <row r="6340" spans="117:121" x14ac:dyDescent="0.35">
      <c r="DM6340" s="50"/>
      <c r="DQ6340" s="50"/>
    </row>
    <row r="6341" spans="117:121" x14ac:dyDescent="0.35">
      <c r="DM6341" s="50"/>
      <c r="DQ6341" s="50"/>
    </row>
    <row r="6342" spans="117:121" x14ac:dyDescent="0.35">
      <c r="DM6342" s="50"/>
      <c r="DQ6342" s="50"/>
    </row>
    <row r="6343" spans="117:121" x14ac:dyDescent="0.35">
      <c r="DM6343" s="50"/>
      <c r="DQ6343" s="50"/>
    </row>
    <row r="6344" spans="117:121" x14ac:dyDescent="0.35">
      <c r="DM6344" s="50"/>
      <c r="DQ6344" s="50"/>
    </row>
    <row r="6345" spans="117:121" x14ac:dyDescent="0.35">
      <c r="DM6345" s="50"/>
      <c r="DQ6345" s="50"/>
    </row>
    <row r="6346" spans="117:121" x14ac:dyDescent="0.35">
      <c r="DM6346" s="50"/>
      <c r="DQ6346" s="50"/>
    </row>
    <row r="6347" spans="117:121" x14ac:dyDescent="0.35">
      <c r="DM6347" s="50"/>
      <c r="DQ6347" s="50"/>
    </row>
    <row r="6348" spans="117:121" x14ac:dyDescent="0.35">
      <c r="DM6348" s="50"/>
      <c r="DQ6348" s="50"/>
    </row>
    <row r="6349" spans="117:121" x14ac:dyDescent="0.35">
      <c r="DM6349" s="50"/>
      <c r="DQ6349" s="50"/>
    </row>
    <row r="6350" spans="117:121" x14ac:dyDescent="0.35">
      <c r="DM6350" s="50"/>
      <c r="DQ6350" s="50"/>
    </row>
    <row r="6351" spans="117:121" x14ac:dyDescent="0.35">
      <c r="DM6351" s="50"/>
      <c r="DQ6351" s="50"/>
    </row>
    <row r="6352" spans="117:121" x14ac:dyDescent="0.35">
      <c r="DM6352" s="50"/>
      <c r="DQ6352" s="50"/>
    </row>
    <row r="6353" spans="117:121" x14ac:dyDescent="0.35">
      <c r="DM6353" s="50"/>
      <c r="DQ6353" s="50"/>
    </row>
    <row r="6354" spans="117:121" x14ac:dyDescent="0.35">
      <c r="DM6354" s="50"/>
      <c r="DQ6354" s="50"/>
    </row>
    <row r="6355" spans="117:121" x14ac:dyDescent="0.35">
      <c r="DM6355" s="50"/>
      <c r="DQ6355" s="50"/>
    </row>
    <row r="6356" spans="117:121" x14ac:dyDescent="0.35">
      <c r="DM6356" s="50"/>
      <c r="DQ6356" s="50"/>
    </row>
    <row r="6357" spans="117:121" x14ac:dyDescent="0.35">
      <c r="DM6357" s="50"/>
      <c r="DQ6357" s="50"/>
    </row>
    <row r="6358" spans="117:121" x14ac:dyDescent="0.35">
      <c r="DM6358" s="50"/>
      <c r="DQ6358" s="50"/>
    </row>
    <row r="6359" spans="117:121" x14ac:dyDescent="0.35">
      <c r="DM6359" s="50"/>
      <c r="DQ6359" s="50"/>
    </row>
    <row r="6360" spans="117:121" x14ac:dyDescent="0.35">
      <c r="DM6360" s="50"/>
      <c r="DQ6360" s="50"/>
    </row>
    <row r="6361" spans="117:121" x14ac:dyDescent="0.35">
      <c r="DM6361" s="50"/>
      <c r="DQ6361" s="50"/>
    </row>
    <row r="6362" spans="117:121" x14ac:dyDescent="0.35">
      <c r="DM6362" s="50"/>
      <c r="DQ6362" s="50"/>
    </row>
    <row r="6363" spans="117:121" x14ac:dyDescent="0.35">
      <c r="DM6363" s="50"/>
      <c r="DQ6363" s="50"/>
    </row>
    <row r="6364" spans="117:121" x14ac:dyDescent="0.35">
      <c r="DM6364" s="50"/>
      <c r="DQ6364" s="50"/>
    </row>
    <row r="6365" spans="117:121" x14ac:dyDescent="0.35">
      <c r="DM6365" s="50"/>
      <c r="DQ6365" s="50"/>
    </row>
    <row r="6366" spans="117:121" x14ac:dyDescent="0.35">
      <c r="DM6366" s="50"/>
      <c r="DQ6366" s="50"/>
    </row>
    <row r="6367" spans="117:121" x14ac:dyDescent="0.35">
      <c r="DM6367" s="50"/>
      <c r="DQ6367" s="50"/>
    </row>
    <row r="6368" spans="117:121" x14ac:dyDescent="0.35">
      <c r="DM6368" s="50"/>
      <c r="DQ6368" s="50"/>
    </row>
    <row r="6369" spans="117:121" x14ac:dyDescent="0.35">
      <c r="DM6369" s="50"/>
      <c r="DQ6369" s="50"/>
    </row>
    <row r="6370" spans="117:121" x14ac:dyDescent="0.35">
      <c r="DM6370" s="50"/>
      <c r="DQ6370" s="50"/>
    </row>
    <row r="6371" spans="117:121" x14ac:dyDescent="0.35">
      <c r="DM6371" s="50"/>
      <c r="DQ6371" s="50"/>
    </row>
    <row r="6372" spans="117:121" x14ac:dyDescent="0.35">
      <c r="DM6372" s="50"/>
      <c r="DQ6372" s="50"/>
    </row>
    <row r="6373" spans="117:121" x14ac:dyDescent="0.35">
      <c r="DM6373" s="50"/>
      <c r="DQ6373" s="50"/>
    </row>
    <row r="6374" spans="117:121" x14ac:dyDescent="0.35">
      <c r="DM6374" s="50"/>
      <c r="DQ6374" s="50"/>
    </row>
    <row r="6375" spans="117:121" x14ac:dyDescent="0.35">
      <c r="DM6375" s="50"/>
      <c r="DQ6375" s="50"/>
    </row>
    <row r="6376" spans="117:121" x14ac:dyDescent="0.35">
      <c r="DM6376" s="50"/>
      <c r="DQ6376" s="50"/>
    </row>
    <row r="6377" spans="117:121" x14ac:dyDescent="0.35">
      <c r="DM6377" s="50"/>
      <c r="DQ6377" s="50"/>
    </row>
    <row r="6378" spans="117:121" x14ac:dyDescent="0.35">
      <c r="DM6378" s="50"/>
      <c r="DQ6378" s="50"/>
    </row>
    <row r="6379" spans="117:121" x14ac:dyDescent="0.35">
      <c r="DM6379" s="50"/>
      <c r="DQ6379" s="50"/>
    </row>
    <row r="6380" spans="117:121" x14ac:dyDescent="0.35">
      <c r="DM6380" s="50"/>
      <c r="DQ6380" s="50"/>
    </row>
    <row r="6381" spans="117:121" x14ac:dyDescent="0.35">
      <c r="DM6381" s="50"/>
      <c r="DQ6381" s="50"/>
    </row>
    <row r="6382" spans="117:121" x14ac:dyDescent="0.35">
      <c r="DM6382" s="50"/>
      <c r="DQ6382" s="50"/>
    </row>
    <row r="6383" spans="117:121" x14ac:dyDescent="0.35">
      <c r="DM6383" s="50"/>
      <c r="DQ6383" s="50"/>
    </row>
    <row r="6384" spans="117:121" x14ac:dyDescent="0.35">
      <c r="DM6384" s="50"/>
      <c r="DQ6384" s="50"/>
    </row>
    <row r="6385" spans="117:121" x14ac:dyDescent="0.35">
      <c r="DM6385" s="50"/>
      <c r="DQ6385" s="50"/>
    </row>
    <row r="6386" spans="117:121" x14ac:dyDescent="0.35">
      <c r="DM6386" s="50"/>
      <c r="DQ6386" s="50"/>
    </row>
    <row r="6387" spans="117:121" x14ac:dyDescent="0.35">
      <c r="DM6387" s="50"/>
      <c r="DQ6387" s="50"/>
    </row>
    <row r="6388" spans="117:121" x14ac:dyDescent="0.35">
      <c r="DM6388" s="50"/>
      <c r="DQ6388" s="50"/>
    </row>
    <row r="6389" spans="117:121" x14ac:dyDescent="0.35">
      <c r="DM6389" s="50"/>
      <c r="DQ6389" s="50"/>
    </row>
    <row r="6390" spans="117:121" x14ac:dyDescent="0.35">
      <c r="DM6390" s="50"/>
      <c r="DQ6390" s="50"/>
    </row>
    <row r="6391" spans="117:121" x14ac:dyDescent="0.35">
      <c r="DM6391" s="50"/>
      <c r="DQ6391" s="50"/>
    </row>
    <row r="6392" spans="117:121" x14ac:dyDescent="0.35">
      <c r="DM6392" s="50"/>
      <c r="DQ6392" s="50"/>
    </row>
    <row r="6393" spans="117:121" x14ac:dyDescent="0.35">
      <c r="DM6393" s="50"/>
      <c r="DQ6393" s="50"/>
    </row>
    <row r="6394" spans="117:121" x14ac:dyDescent="0.35">
      <c r="DM6394" s="50"/>
      <c r="DQ6394" s="50"/>
    </row>
    <row r="6395" spans="117:121" x14ac:dyDescent="0.35">
      <c r="DM6395" s="50"/>
      <c r="DQ6395" s="50"/>
    </row>
    <row r="6396" spans="117:121" x14ac:dyDescent="0.35">
      <c r="DM6396" s="50"/>
      <c r="DQ6396" s="50"/>
    </row>
    <row r="6397" spans="117:121" x14ac:dyDescent="0.35">
      <c r="DM6397" s="50"/>
      <c r="DQ6397" s="50"/>
    </row>
    <row r="6398" spans="117:121" x14ac:dyDescent="0.35">
      <c r="DM6398" s="50"/>
      <c r="DQ6398" s="50"/>
    </row>
    <row r="6399" spans="117:121" x14ac:dyDescent="0.35">
      <c r="DM6399" s="50"/>
      <c r="DQ6399" s="50"/>
    </row>
    <row r="6400" spans="117:121" x14ac:dyDescent="0.35">
      <c r="DM6400" s="50"/>
      <c r="DQ6400" s="50"/>
    </row>
    <row r="6401" spans="117:121" x14ac:dyDescent="0.35">
      <c r="DM6401" s="50"/>
      <c r="DQ6401" s="50"/>
    </row>
    <row r="6402" spans="117:121" x14ac:dyDescent="0.35">
      <c r="DM6402" s="50"/>
      <c r="DQ6402" s="50"/>
    </row>
    <row r="6403" spans="117:121" x14ac:dyDescent="0.35">
      <c r="DM6403" s="50"/>
      <c r="DQ6403" s="50"/>
    </row>
    <row r="6404" spans="117:121" x14ac:dyDescent="0.35">
      <c r="DM6404" s="50"/>
      <c r="DQ6404" s="50"/>
    </row>
    <row r="6405" spans="117:121" x14ac:dyDescent="0.35">
      <c r="DM6405" s="50"/>
      <c r="DQ6405" s="50"/>
    </row>
    <row r="6406" spans="117:121" x14ac:dyDescent="0.35">
      <c r="DM6406" s="50"/>
      <c r="DQ6406" s="50"/>
    </row>
    <row r="6407" spans="117:121" x14ac:dyDescent="0.35">
      <c r="DM6407" s="50"/>
      <c r="DQ6407" s="50"/>
    </row>
    <row r="6408" spans="117:121" x14ac:dyDescent="0.35">
      <c r="DM6408" s="50"/>
      <c r="DQ6408" s="50"/>
    </row>
    <row r="6409" spans="117:121" x14ac:dyDescent="0.35">
      <c r="DM6409" s="50"/>
      <c r="DQ6409" s="50"/>
    </row>
    <row r="6410" spans="117:121" x14ac:dyDescent="0.35">
      <c r="DM6410" s="50"/>
      <c r="DQ6410" s="50"/>
    </row>
    <row r="6411" spans="117:121" x14ac:dyDescent="0.35">
      <c r="DM6411" s="50"/>
      <c r="DQ6411" s="50"/>
    </row>
    <row r="6412" spans="117:121" x14ac:dyDescent="0.35">
      <c r="DM6412" s="50"/>
      <c r="DQ6412" s="50"/>
    </row>
    <row r="6413" spans="117:121" x14ac:dyDescent="0.35">
      <c r="DM6413" s="50"/>
      <c r="DQ6413" s="50"/>
    </row>
    <row r="6414" spans="117:121" x14ac:dyDescent="0.35">
      <c r="DM6414" s="50"/>
      <c r="DQ6414" s="50"/>
    </row>
    <row r="6415" spans="117:121" x14ac:dyDescent="0.35">
      <c r="DM6415" s="50"/>
      <c r="DQ6415" s="50"/>
    </row>
    <row r="6416" spans="117:121" x14ac:dyDescent="0.35">
      <c r="DM6416" s="50"/>
      <c r="DQ6416" s="50"/>
    </row>
    <row r="6417" spans="117:121" x14ac:dyDescent="0.35">
      <c r="DM6417" s="50"/>
      <c r="DQ6417" s="50"/>
    </row>
    <row r="6418" spans="117:121" x14ac:dyDescent="0.35">
      <c r="DM6418" s="50"/>
      <c r="DQ6418" s="50"/>
    </row>
    <row r="6419" spans="117:121" x14ac:dyDescent="0.35">
      <c r="DM6419" s="50"/>
      <c r="DQ6419" s="50"/>
    </row>
    <row r="6420" spans="117:121" x14ac:dyDescent="0.35">
      <c r="DM6420" s="50"/>
      <c r="DQ6420" s="50"/>
    </row>
    <row r="6421" spans="117:121" x14ac:dyDescent="0.35">
      <c r="DM6421" s="50"/>
      <c r="DQ6421" s="50"/>
    </row>
    <row r="6422" spans="117:121" x14ac:dyDescent="0.35">
      <c r="DM6422" s="50"/>
      <c r="DQ6422" s="50"/>
    </row>
    <row r="6423" spans="117:121" x14ac:dyDescent="0.35">
      <c r="DM6423" s="50"/>
      <c r="DQ6423" s="50"/>
    </row>
    <row r="6424" spans="117:121" x14ac:dyDescent="0.35">
      <c r="DM6424" s="50"/>
      <c r="DQ6424" s="50"/>
    </row>
    <row r="6425" spans="117:121" x14ac:dyDescent="0.35">
      <c r="DM6425" s="50"/>
      <c r="DQ6425" s="50"/>
    </row>
    <row r="6426" spans="117:121" x14ac:dyDescent="0.35">
      <c r="DM6426" s="50"/>
      <c r="DQ6426" s="50"/>
    </row>
    <row r="6427" spans="117:121" x14ac:dyDescent="0.35">
      <c r="DM6427" s="50"/>
      <c r="DQ6427" s="50"/>
    </row>
    <row r="6428" spans="117:121" x14ac:dyDescent="0.35">
      <c r="DM6428" s="50"/>
      <c r="DQ6428" s="50"/>
    </row>
    <row r="6429" spans="117:121" x14ac:dyDescent="0.35">
      <c r="DM6429" s="50"/>
      <c r="DQ6429" s="50"/>
    </row>
    <row r="6430" spans="117:121" x14ac:dyDescent="0.35">
      <c r="DM6430" s="50"/>
      <c r="DQ6430" s="50"/>
    </row>
    <row r="6431" spans="117:121" x14ac:dyDescent="0.35">
      <c r="DM6431" s="50"/>
      <c r="DQ6431" s="50"/>
    </row>
    <row r="6432" spans="117:121" x14ac:dyDescent="0.35">
      <c r="DM6432" s="50"/>
      <c r="DQ6432" s="50"/>
    </row>
    <row r="6433" spans="117:121" x14ac:dyDescent="0.35">
      <c r="DM6433" s="50"/>
      <c r="DQ6433" s="50"/>
    </row>
    <row r="6434" spans="117:121" x14ac:dyDescent="0.35">
      <c r="DM6434" s="50"/>
      <c r="DQ6434" s="50"/>
    </row>
    <row r="6435" spans="117:121" x14ac:dyDescent="0.35">
      <c r="DM6435" s="50"/>
      <c r="DQ6435" s="50"/>
    </row>
    <row r="6436" spans="117:121" x14ac:dyDescent="0.35">
      <c r="DM6436" s="50"/>
      <c r="DQ6436" s="50"/>
    </row>
    <row r="6437" spans="117:121" x14ac:dyDescent="0.35">
      <c r="DM6437" s="50"/>
      <c r="DQ6437" s="50"/>
    </row>
    <row r="6438" spans="117:121" x14ac:dyDescent="0.35">
      <c r="DM6438" s="50"/>
      <c r="DQ6438" s="50"/>
    </row>
    <row r="6439" spans="117:121" x14ac:dyDescent="0.35">
      <c r="DM6439" s="50"/>
      <c r="DQ6439" s="50"/>
    </row>
    <row r="6440" spans="117:121" x14ac:dyDescent="0.35">
      <c r="DM6440" s="50"/>
      <c r="DQ6440" s="50"/>
    </row>
    <row r="6441" spans="117:121" x14ac:dyDescent="0.35">
      <c r="DM6441" s="50"/>
      <c r="DQ6441" s="50"/>
    </row>
    <row r="6442" spans="117:121" x14ac:dyDescent="0.35">
      <c r="DM6442" s="50"/>
      <c r="DQ6442" s="50"/>
    </row>
    <row r="6443" spans="117:121" x14ac:dyDescent="0.35">
      <c r="DM6443" s="50"/>
      <c r="DQ6443" s="50"/>
    </row>
    <row r="6444" spans="117:121" x14ac:dyDescent="0.35">
      <c r="DM6444" s="50"/>
      <c r="DQ6444" s="50"/>
    </row>
    <row r="6445" spans="117:121" x14ac:dyDescent="0.35">
      <c r="DM6445" s="50"/>
      <c r="DQ6445" s="50"/>
    </row>
    <row r="6446" spans="117:121" x14ac:dyDescent="0.35">
      <c r="DM6446" s="50"/>
      <c r="DQ6446" s="50"/>
    </row>
    <row r="6447" spans="117:121" x14ac:dyDescent="0.35">
      <c r="DM6447" s="50"/>
      <c r="DQ6447" s="50"/>
    </row>
    <row r="6448" spans="117:121" x14ac:dyDescent="0.35">
      <c r="DM6448" s="50"/>
      <c r="DQ6448" s="50"/>
    </row>
    <row r="6449" spans="117:121" x14ac:dyDescent="0.35">
      <c r="DM6449" s="50"/>
      <c r="DQ6449" s="50"/>
    </row>
    <row r="6450" spans="117:121" x14ac:dyDescent="0.35">
      <c r="DM6450" s="50"/>
      <c r="DQ6450" s="50"/>
    </row>
    <row r="6451" spans="117:121" x14ac:dyDescent="0.35">
      <c r="DM6451" s="50"/>
      <c r="DQ6451" s="50"/>
    </row>
    <row r="6452" spans="117:121" x14ac:dyDescent="0.35">
      <c r="DM6452" s="50"/>
      <c r="DQ6452" s="50"/>
    </row>
    <row r="6453" spans="117:121" x14ac:dyDescent="0.35">
      <c r="DM6453" s="50"/>
      <c r="DQ6453" s="50"/>
    </row>
    <row r="6454" spans="117:121" x14ac:dyDescent="0.35">
      <c r="DM6454" s="50"/>
      <c r="DQ6454" s="50"/>
    </row>
    <row r="6455" spans="117:121" x14ac:dyDescent="0.35">
      <c r="DM6455" s="50"/>
      <c r="DQ6455" s="50"/>
    </row>
    <row r="6456" spans="117:121" x14ac:dyDescent="0.35">
      <c r="DM6456" s="50"/>
      <c r="DQ6456" s="50"/>
    </row>
    <row r="6457" spans="117:121" x14ac:dyDescent="0.35">
      <c r="DM6457" s="50"/>
      <c r="DQ6457" s="50"/>
    </row>
    <row r="6458" spans="117:121" x14ac:dyDescent="0.35">
      <c r="DM6458" s="50"/>
      <c r="DQ6458" s="50"/>
    </row>
    <row r="6459" spans="117:121" x14ac:dyDescent="0.35">
      <c r="DM6459" s="50"/>
      <c r="DQ6459" s="50"/>
    </row>
    <row r="6460" spans="117:121" x14ac:dyDescent="0.35">
      <c r="DM6460" s="50"/>
      <c r="DQ6460" s="50"/>
    </row>
    <row r="6461" spans="117:121" x14ac:dyDescent="0.35">
      <c r="DM6461" s="50"/>
      <c r="DQ6461" s="50"/>
    </row>
    <row r="6462" spans="117:121" x14ac:dyDescent="0.35">
      <c r="DM6462" s="50"/>
      <c r="DQ6462" s="50"/>
    </row>
    <row r="6463" spans="117:121" x14ac:dyDescent="0.35">
      <c r="DM6463" s="50"/>
      <c r="DQ6463" s="50"/>
    </row>
    <row r="6464" spans="117:121" x14ac:dyDescent="0.35">
      <c r="DM6464" s="50"/>
      <c r="DQ6464" s="50"/>
    </row>
    <row r="6465" spans="117:121" x14ac:dyDescent="0.35">
      <c r="DM6465" s="50"/>
      <c r="DQ6465" s="50"/>
    </row>
    <row r="6466" spans="117:121" x14ac:dyDescent="0.35">
      <c r="DM6466" s="50"/>
      <c r="DQ6466" s="50"/>
    </row>
    <row r="6467" spans="117:121" x14ac:dyDescent="0.35">
      <c r="DM6467" s="50"/>
      <c r="DQ6467" s="50"/>
    </row>
    <row r="6468" spans="117:121" x14ac:dyDescent="0.35">
      <c r="DM6468" s="50"/>
      <c r="DQ6468" s="50"/>
    </row>
    <row r="6469" spans="117:121" x14ac:dyDescent="0.35">
      <c r="DM6469" s="50"/>
      <c r="DQ6469" s="50"/>
    </row>
    <row r="6470" spans="117:121" x14ac:dyDescent="0.35">
      <c r="DM6470" s="50"/>
      <c r="DQ6470" s="50"/>
    </row>
    <row r="6471" spans="117:121" x14ac:dyDescent="0.35">
      <c r="DM6471" s="50"/>
      <c r="DQ6471" s="50"/>
    </row>
    <row r="6472" spans="117:121" x14ac:dyDescent="0.35">
      <c r="DM6472" s="50"/>
      <c r="DQ6472" s="50"/>
    </row>
    <row r="6473" spans="117:121" x14ac:dyDescent="0.35">
      <c r="DM6473" s="50"/>
      <c r="DQ6473" s="50"/>
    </row>
    <row r="6474" spans="117:121" x14ac:dyDescent="0.35">
      <c r="DM6474" s="50"/>
      <c r="DQ6474" s="50"/>
    </row>
    <row r="6475" spans="117:121" x14ac:dyDescent="0.35">
      <c r="DM6475" s="50"/>
      <c r="DQ6475" s="50"/>
    </row>
    <row r="6476" spans="117:121" x14ac:dyDescent="0.35">
      <c r="DM6476" s="50"/>
      <c r="DQ6476" s="50"/>
    </row>
    <row r="6477" spans="117:121" x14ac:dyDescent="0.35">
      <c r="DM6477" s="50"/>
      <c r="DQ6477" s="50"/>
    </row>
    <row r="6478" spans="117:121" x14ac:dyDescent="0.35">
      <c r="DM6478" s="50"/>
      <c r="DQ6478" s="50"/>
    </row>
    <row r="6479" spans="117:121" x14ac:dyDescent="0.35">
      <c r="DM6479" s="50"/>
      <c r="DQ6479" s="50"/>
    </row>
    <row r="6480" spans="117:121" x14ac:dyDescent="0.35">
      <c r="DM6480" s="50"/>
      <c r="DQ6480" s="50"/>
    </row>
    <row r="6481" spans="117:121" x14ac:dyDescent="0.35">
      <c r="DM6481" s="50"/>
      <c r="DQ6481" s="50"/>
    </row>
    <row r="6482" spans="117:121" x14ac:dyDescent="0.35">
      <c r="DM6482" s="50"/>
      <c r="DQ6482" s="50"/>
    </row>
    <row r="6483" spans="117:121" x14ac:dyDescent="0.35">
      <c r="DM6483" s="50"/>
      <c r="DQ6483" s="50"/>
    </row>
    <row r="6484" spans="117:121" x14ac:dyDescent="0.35">
      <c r="DM6484" s="50"/>
      <c r="DQ6484" s="50"/>
    </row>
    <row r="6485" spans="117:121" x14ac:dyDescent="0.35">
      <c r="DM6485" s="50"/>
      <c r="DQ6485" s="50"/>
    </row>
    <row r="6486" spans="117:121" x14ac:dyDescent="0.35">
      <c r="DM6486" s="50"/>
      <c r="DQ6486" s="50"/>
    </row>
    <row r="6487" spans="117:121" x14ac:dyDescent="0.35">
      <c r="DM6487" s="50"/>
      <c r="DQ6487" s="50"/>
    </row>
    <row r="6488" spans="117:121" x14ac:dyDescent="0.35">
      <c r="DM6488" s="50"/>
      <c r="DQ6488" s="50"/>
    </row>
    <row r="6489" spans="117:121" x14ac:dyDescent="0.35">
      <c r="DM6489" s="50"/>
      <c r="DQ6489" s="50"/>
    </row>
    <row r="6490" spans="117:121" x14ac:dyDescent="0.35">
      <c r="DM6490" s="50"/>
      <c r="DQ6490" s="50"/>
    </row>
    <row r="6491" spans="117:121" x14ac:dyDescent="0.35">
      <c r="DM6491" s="50"/>
      <c r="DQ6491" s="50"/>
    </row>
    <row r="6492" spans="117:121" x14ac:dyDescent="0.35">
      <c r="DM6492" s="50"/>
      <c r="DQ6492" s="50"/>
    </row>
    <row r="6493" spans="117:121" x14ac:dyDescent="0.35">
      <c r="DM6493" s="50"/>
      <c r="DQ6493" s="50"/>
    </row>
    <row r="6494" spans="117:121" x14ac:dyDescent="0.35">
      <c r="DM6494" s="50"/>
      <c r="DQ6494" s="50"/>
    </row>
    <row r="6495" spans="117:121" x14ac:dyDescent="0.35">
      <c r="DM6495" s="50"/>
      <c r="DQ6495" s="50"/>
    </row>
    <row r="6496" spans="117:121" x14ac:dyDescent="0.35">
      <c r="DM6496" s="50"/>
      <c r="DQ6496" s="50"/>
    </row>
    <row r="6497" spans="117:121" x14ac:dyDescent="0.35">
      <c r="DM6497" s="50"/>
      <c r="DQ6497" s="50"/>
    </row>
    <row r="6498" spans="117:121" x14ac:dyDescent="0.35">
      <c r="DM6498" s="50"/>
      <c r="DQ6498" s="50"/>
    </row>
    <row r="6499" spans="117:121" x14ac:dyDescent="0.35">
      <c r="DM6499" s="50"/>
      <c r="DQ6499" s="50"/>
    </row>
    <row r="6500" spans="117:121" x14ac:dyDescent="0.35">
      <c r="DM6500" s="50"/>
      <c r="DQ6500" s="50"/>
    </row>
    <row r="6501" spans="117:121" x14ac:dyDescent="0.35">
      <c r="DM6501" s="50"/>
      <c r="DQ6501" s="50"/>
    </row>
    <row r="6502" spans="117:121" x14ac:dyDescent="0.35">
      <c r="DM6502" s="50"/>
      <c r="DQ6502" s="50"/>
    </row>
    <row r="6503" spans="117:121" x14ac:dyDescent="0.35">
      <c r="DM6503" s="50"/>
      <c r="DQ6503" s="50"/>
    </row>
    <row r="6504" spans="117:121" x14ac:dyDescent="0.35">
      <c r="DM6504" s="50"/>
      <c r="DQ6504" s="50"/>
    </row>
    <row r="6505" spans="117:121" x14ac:dyDescent="0.35">
      <c r="DM6505" s="50"/>
      <c r="DQ6505" s="50"/>
    </row>
    <row r="6506" spans="117:121" x14ac:dyDescent="0.35">
      <c r="DM6506" s="50"/>
      <c r="DQ6506" s="50"/>
    </row>
    <row r="6507" spans="117:121" x14ac:dyDescent="0.35">
      <c r="DM6507" s="50"/>
      <c r="DQ6507" s="50"/>
    </row>
    <row r="6508" spans="117:121" x14ac:dyDescent="0.35">
      <c r="DM6508" s="50"/>
      <c r="DQ6508" s="50"/>
    </row>
    <row r="6509" spans="117:121" x14ac:dyDescent="0.35">
      <c r="DM6509" s="50"/>
      <c r="DQ6509" s="50"/>
    </row>
    <row r="6510" spans="117:121" x14ac:dyDescent="0.35">
      <c r="DM6510" s="50"/>
      <c r="DQ6510" s="50"/>
    </row>
    <row r="6511" spans="117:121" x14ac:dyDescent="0.35">
      <c r="DM6511" s="50"/>
      <c r="DQ6511" s="50"/>
    </row>
    <row r="6512" spans="117:121" x14ac:dyDescent="0.35">
      <c r="DM6512" s="50"/>
      <c r="DQ6512" s="50"/>
    </row>
    <row r="6513" spans="117:121" x14ac:dyDescent="0.35">
      <c r="DM6513" s="50"/>
      <c r="DQ6513" s="50"/>
    </row>
    <row r="6514" spans="117:121" x14ac:dyDescent="0.35">
      <c r="DM6514" s="50"/>
      <c r="DQ6514" s="50"/>
    </row>
    <row r="6515" spans="117:121" x14ac:dyDescent="0.35">
      <c r="DM6515" s="50"/>
      <c r="DQ6515" s="50"/>
    </row>
    <row r="6516" spans="117:121" x14ac:dyDescent="0.35">
      <c r="DM6516" s="50"/>
      <c r="DQ6516" s="50"/>
    </row>
    <row r="6517" spans="117:121" x14ac:dyDescent="0.35">
      <c r="DM6517" s="50"/>
      <c r="DQ6517" s="50"/>
    </row>
    <row r="6518" spans="117:121" x14ac:dyDescent="0.35">
      <c r="DM6518" s="50"/>
      <c r="DQ6518" s="50"/>
    </row>
    <row r="6519" spans="117:121" x14ac:dyDescent="0.35">
      <c r="DM6519" s="50"/>
      <c r="DQ6519" s="50"/>
    </row>
    <row r="6520" spans="117:121" x14ac:dyDescent="0.35">
      <c r="DM6520" s="50"/>
      <c r="DQ6520" s="50"/>
    </row>
    <row r="6521" spans="117:121" x14ac:dyDescent="0.35">
      <c r="DM6521" s="50"/>
      <c r="DQ6521" s="50"/>
    </row>
    <row r="6522" spans="117:121" x14ac:dyDescent="0.35">
      <c r="DM6522" s="50"/>
      <c r="DQ6522" s="50"/>
    </row>
    <row r="6523" spans="117:121" x14ac:dyDescent="0.35">
      <c r="DM6523" s="50"/>
      <c r="DQ6523" s="50"/>
    </row>
    <row r="6524" spans="117:121" x14ac:dyDescent="0.35">
      <c r="DM6524" s="50"/>
      <c r="DQ6524" s="50"/>
    </row>
    <row r="6525" spans="117:121" x14ac:dyDescent="0.35">
      <c r="DM6525" s="50"/>
      <c r="DQ6525" s="50"/>
    </row>
    <row r="6526" spans="117:121" x14ac:dyDescent="0.35">
      <c r="DM6526" s="50"/>
      <c r="DQ6526" s="50"/>
    </row>
    <row r="6527" spans="117:121" x14ac:dyDescent="0.35">
      <c r="DM6527" s="50"/>
      <c r="DQ6527" s="50"/>
    </row>
    <row r="6528" spans="117:121" x14ac:dyDescent="0.35">
      <c r="DM6528" s="50"/>
      <c r="DQ6528" s="50"/>
    </row>
    <row r="6529" spans="117:121" x14ac:dyDescent="0.35">
      <c r="DM6529" s="50"/>
      <c r="DQ6529" s="50"/>
    </row>
    <row r="6530" spans="117:121" x14ac:dyDescent="0.35">
      <c r="DM6530" s="50"/>
      <c r="DQ6530" s="50"/>
    </row>
    <row r="6531" spans="117:121" x14ac:dyDescent="0.35">
      <c r="DM6531" s="50"/>
      <c r="DQ6531" s="50"/>
    </row>
    <row r="6532" spans="117:121" x14ac:dyDescent="0.35">
      <c r="DM6532" s="50"/>
      <c r="DQ6532" s="50"/>
    </row>
    <row r="6533" spans="117:121" x14ac:dyDescent="0.35">
      <c r="DM6533" s="50"/>
      <c r="DQ6533" s="50"/>
    </row>
    <row r="6534" spans="117:121" x14ac:dyDescent="0.35">
      <c r="DM6534" s="50"/>
      <c r="DQ6534" s="50"/>
    </row>
    <row r="6535" spans="117:121" x14ac:dyDescent="0.35">
      <c r="DM6535" s="50"/>
      <c r="DQ6535" s="50"/>
    </row>
    <row r="6536" spans="117:121" x14ac:dyDescent="0.35">
      <c r="DM6536" s="50"/>
      <c r="DQ6536" s="50"/>
    </row>
    <row r="6537" spans="117:121" x14ac:dyDescent="0.35">
      <c r="DM6537" s="50"/>
      <c r="DQ6537" s="50"/>
    </row>
    <row r="6538" spans="117:121" x14ac:dyDescent="0.35">
      <c r="DM6538" s="50"/>
      <c r="DQ6538" s="50"/>
    </row>
    <row r="6539" spans="117:121" x14ac:dyDescent="0.35">
      <c r="DM6539" s="50"/>
      <c r="DQ6539" s="50"/>
    </row>
    <row r="6540" spans="117:121" x14ac:dyDescent="0.35">
      <c r="DM6540" s="50"/>
      <c r="DQ6540" s="50"/>
    </row>
    <row r="6541" spans="117:121" x14ac:dyDescent="0.35">
      <c r="DM6541" s="50"/>
      <c r="DQ6541" s="50"/>
    </row>
    <row r="6542" spans="117:121" x14ac:dyDescent="0.35">
      <c r="DM6542" s="50"/>
      <c r="DQ6542" s="50"/>
    </row>
    <row r="6543" spans="117:121" x14ac:dyDescent="0.35">
      <c r="DM6543" s="50"/>
      <c r="DQ6543" s="50"/>
    </row>
    <row r="6544" spans="117:121" x14ac:dyDescent="0.35">
      <c r="DM6544" s="50"/>
      <c r="DQ6544" s="50"/>
    </row>
    <row r="6545" spans="117:121" x14ac:dyDescent="0.35">
      <c r="DM6545" s="50"/>
      <c r="DQ6545" s="50"/>
    </row>
    <row r="6546" spans="117:121" x14ac:dyDescent="0.35">
      <c r="DM6546" s="50"/>
      <c r="DQ6546" s="50"/>
    </row>
    <row r="6547" spans="117:121" x14ac:dyDescent="0.35">
      <c r="DM6547" s="50"/>
      <c r="DQ6547" s="50"/>
    </row>
    <row r="6548" spans="117:121" x14ac:dyDescent="0.35">
      <c r="DM6548" s="50"/>
      <c r="DQ6548" s="50"/>
    </row>
    <row r="6549" spans="117:121" x14ac:dyDescent="0.35">
      <c r="DM6549" s="50"/>
      <c r="DQ6549" s="50"/>
    </row>
    <row r="6550" spans="117:121" x14ac:dyDescent="0.35">
      <c r="DM6550" s="50"/>
      <c r="DQ6550" s="50"/>
    </row>
    <row r="6551" spans="117:121" x14ac:dyDescent="0.35">
      <c r="DM6551" s="50"/>
      <c r="DQ6551" s="50"/>
    </row>
    <row r="6552" spans="117:121" x14ac:dyDescent="0.35">
      <c r="DM6552" s="50"/>
      <c r="DQ6552" s="50"/>
    </row>
    <row r="6553" spans="117:121" x14ac:dyDescent="0.35">
      <c r="DM6553" s="50"/>
      <c r="DQ6553" s="50"/>
    </row>
    <row r="6554" spans="117:121" x14ac:dyDescent="0.35">
      <c r="DM6554" s="50"/>
      <c r="DQ6554" s="50"/>
    </row>
    <row r="6555" spans="117:121" x14ac:dyDescent="0.35">
      <c r="DM6555" s="50"/>
      <c r="DQ6555" s="50"/>
    </row>
    <row r="6556" spans="117:121" x14ac:dyDescent="0.35">
      <c r="DM6556" s="50"/>
      <c r="DQ6556" s="50"/>
    </row>
    <row r="6557" spans="117:121" x14ac:dyDescent="0.35">
      <c r="DM6557" s="50"/>
      <c r="DQ6557" s="50"/>
    </row>
    <row r="6558" spans="117:121" x14ac:dyDescent="0.35">
      <c r="DM6558" s="50"/>
      <c r="DQ6558" s="50"/>
    </row>
    <row r="6559" spans="117:121" x14ac:dyDescent="0.35">
      <c r="DM6559" s="50"/>
      <c r="DQ6559" s="50"/>
    </row>
    <row r="6560" spans="117:121" x14ac:dyDescent="0.35">
      <c r="DM6560" s="50"/>
      <c r="DQ6560" s="50"/>
    </row>
    <row r="6561" spans="117:121" x14ac:dyDescent="0.35">
      <c r="DM6561" s="50"/>
      <c r="DQ6561" s="50"/>
    </row>
    <row r="6562" spans="117:121" x14ac:dyDescent="0.35">
      <c r="DM6562" s="50"/>
      <c r="DQ6562" s="50"/>
    </row>
    <row r="6563" spans="117:121" x14ac:dyDescent="0.35">
      <c r="DM6563" s="50"/>
      <c r="DQ6563" s="50"/>
    </row>
    <row r="6564" spans="117:121" x14ac:dyDescent="0.35">
      <c r="DM6564" s="50"/>
      <c r="DQ6564" s="50"/>
    </row>
    <row r="6565" spans="117:121" x14ac:dyDescent="0.35">
      <c r="DM6565" s="50"/>
      <c r="DQ6565" s="50"/>
    </row>
    <row r="6566" spans="117:121" x14ac:dyDescent="0.35">
      <c r="DM6566" s="50"/>
      <c r="DQ6566" s="50"/>
    </row>
    <row r="6567" spans="117:121" x14ac:dyDescent="0.35">
      <c r="DM6567" s="50"/>
      <c r="DQ6567" s="50"/>
    </row>
    <row r="6568" spans="117:121" x14ac:dyDescent="0.35">
      <c r="DM6568" s="50"/>
      <c r="DQ6568" s="50"/>
    </row>
    <row r="6569" spans="117:121" x14ac:dyDescent="0.35">
      <c r="DM6569" s="50"/>
      <c r="DQ6569" s="50"/>
    </row>
    <row r="6570" spans="117:121" x14ac:dyDescent="0.35">
      <c r="DM6570" s="50"/>
      <c r="DQ6570" s="50"/>
    </row>
    <row r="6571" spans="117:121" x14ac:dyDescent="0.35">
      <c r="DM6571" s="50"/>
      <c r="DQ6571" s="50"/>
    </row>
    <row r="6572" spans="117:121" x14ac:dyDescent="0.35">
      <c r="DM6572" s="50"/>
      <c r="DQ6572" s="50"/>
    </row>
    <row r="6573" spans="117:121" x14ac:dyDescent="0.35">
      <c r="DM6573" s="50"/>
      <c r="DQ6573" s="50"/>
    </row>
    <row r="6574" spans="117:121" x14ac:dyDescent="0.35">
      <c r="DM6574" s="50"/>
      <c r="DQ6574" s="50"/>
    </row>
    <row r="6575" spans="117:121" x14ac:dyDescent="0.35">
      <c r="DM6575" s="50"/>
      <c r="DQ6575" s="50"/>
    </row>
    <row r="6576" spans="117:121" x14ac:dyDescent="0.35">
      <c r="DM6576" s="50"/>
      <c r="DQ6576" s="50"/>
    </row>
    <row r="6577" spans="117:121" x14ac:dyDescent="0.35">
      <c r="DM6577" s="50"/>
      <c r="DQ6577" s="50"/>
    </row>
    <row r="6578" spans="117:121" x14ac:dyDescent="0.35">
      <c r="DM6578" s="50"/>
      <c r="DQ6578" s="50"/>
    </row>
    <row r="6579" spans="117:121" x14ac:dyDescent="0.35">
      <c r="DM6579" s="50"/>
      <c r="DQ6579" s="50"/>
    </row>
    <row r="6580" spans="117:121" x14ac:dyDescent="0.35">
      <c r="DM6580" s="50"/>
      <c r="DQ6580" s="50"/>
    </row>
    <row r="6581" spans="117:121" x14ac:dyDescent="0.35">
      <c r="DM6581" s="50"/>
      <c r="DQ6581" s="50"/>
    </row>
    <row r="6582" spans="117:121" x14ac:dyDescent="0.35">
      <c r="DM6582" s="50"/>
      <c r="DQ6582" s="50"/>
    </row>
    <row r="6583" spans="117:121" x14ac:dyDescent="0.35">
      <c r="DM6583" s="50"/>
      <c r="DQ6583" s="50"/>
    </row>
    <row r="6584" spans="117:121" x14ac:dyDescent="0.35">
      <c r="DM6584" s="50"/>
      <c r="DQ6584" s="50"/>
    </row>
    <row r="6585" spans="117:121" x14ac:dyDescent="0.35">
      <c r="DM6585" s="50"/>
      <c r="DQ6585" s="50"/>
    </row>
    <row r="6586" spans="117:121" x14ac:dyDescent="0.35">
      <c r="DM6586" s="50"/>
      <c r="DQ6586" s="50"/>
    </row>
    <row r="6587" spans="117:121" x14ac:dyDescent="0.35">
      <c r="DM6587" s="50"/>
      <c r="DQ6587" s="50"/>
    </row>
    <row r="6588" spans="117:121" x14ac:dyDescent="0.35">
      <c r="DM6588" s="50"/>
      <c r="DQ6588" s="50"/>
    </row>
    <row r="6589" spans="117:121" x14ac:dyDescent="0.35">
      <c r="DM6589" s="50"/>
      <c r="DQ6589" s="50"/>
    </row>
    <row r="6590" spans="117:121" x14ac:dyDescent="0.35">
      <c r="DM6590" s="50"/>
      <c r="DQ6590" s="50"/>
    </row>
    <row r="6591" spans="117:121" x14ac:dyDescent="0.35">
      <c r="DM6591" s="50"/>
      <c r="DQ6591" s="50"/>
    </row>
    <row r="6592" spans="117:121" x14ac:dyDescent="0.35">
      <c r="DM6592" s="50"/>
      <c r="DQ6592" s="50"/>
    </row>
    <row r="6593" spans="117:121" x14ac:dyDescent="0.35">
      <c r="DM6593" s="50"/>
      <c r="DQ6593" s="50"/>
    </row>
    <row r="6594" spans="117:121" x14ac:dyDescent="0.35">
      <c r="DM6594" s="50"/>
      <c r="DQ6594" s="50"/>
    </row>
    <row r="6595" spans="117:121" x14ac:dyDescent="0.35">
      <c r="DM6595" s="50"/>
      <c r="DQ6595" s="50"/>
    </row>
    <row r="6596" spans="117:121" x14ac:dyDescent="0.35">
      <c r="DM6596" s="50"/>
      <c r="DQ6596" s="50"/>
    </row>
    <row r="6597" spans="117:121" x14ac:dyDescent="0.35">
      <c r="DM6597" s="50"/>
      <c r="DQ6597" s="50"/>
    </row>
    <row r="6598" spans="117:121" x14ac:dyDescent="0.35">
      <c r="DM6598" s="50"/>
      <c r="DQ6598" s="50"/>
    </row>
    <row r="6599" spans="117:121" x14ac:dyDescent="0.35">
      <c r="DM6599" s="50"/>
      <c r="DQ6599" s="50"/>
    </row>
    <row r="6600" spans="117:121" x14ac:dyDescent="0.35">
      <c r="DM6600" s="50"/>
      <c r="DQ6600" s="50"/>
    </row>
    <row r="6601" spans="117:121" x14ac:dyDescent="0.35">
      <c r="DM6601" s="50"/>
      <c r="DQ6601" s="50"/>
    </row>
    <row r="6602" spans="117:121" x14ac:dyDescent="0.35">
      <c r="DM6602" s="50"/>
      <c r="DQ6602" s="50"/>
    </row>
    <row r="6603" spans="117:121" x14ac:dyDescent="0.35">
      <c r="DM6603" s="50"/>
      <c r="DQ6603" s="50"/>
    </row>
    <row r="6604" spans="117:121" x14ac:dyDescent="0.35">
      <c r="DM6604" s="50"/>
      <c r="DQ6604" s="50"/>
    </row>
    <row r="6605" spans="117:121" x14ac:dyDescent="0.35">
      <c r="DM6605" s="50"/>
      <c r="DQ6605" s="50"/>
    </row>
    <row r="6606" spans="117:121" x14ac:dyDescent="0.35">
      <c r="DM6606" s="50"/>
      <c r="DQ6606" s="50"/>
    </row>
    <row r="6607" spans="117:121" x14ac:dyDescent="0.35">
      <c r="DM6607" s="50"/>
      <c r="DQ6607" s="50"/>
    </row>
    <row r="6608" spans="117:121" x14ac:dyDescent="0.35">
      <c r="DM6608" s="50"/>
      <c r="DQ6608" s="50"/>
    </row>
    <row r="6609" spans="117:121" x14ac:dyDescent="0.35">
      <c r="DM6609" s="50"/>
      <c r="DQ6609" s="50"/>
    </row>
    <row r="6610" spans="117:121" x14ac:dyDescent="0.35">
      <c r="DM6610" s="50"/>
      <c r="DQ6610" s="50"/>
    </row>
    <row r="6611" spans="117:121" x14ac:dyDescent="0.35">
      <c r="DM6611" s="50"/>
      <c r="DQ6611" s="50"/>
    </row>
    <row r="6612" spans="117:121" x14ac:dyDescent="0.35">
      <c r="DM6612" s="50"/>
      <c r="DQ6612" s="50"/>
    </row>
    <row r="6613" spans="117:121" x14ac:dyDescent="0.35">
      <c r="DM6613" s="50"/>
      <c r="DQ6613" s="50"/>
    </row>
    <row r="6614" spans="117:121" x14ac:dyDescent="0.35">
      <c r="DM6614" s="50"/>
      <c r="DQ6614" s="50"/>
    </row>
    <row r="6615" spans="117:121" x14ac:dyDescent="0.35">
      <c r="DM6615" s="50"/>
      <c r="DQ6615" s="50"/>
    </row>
    <row r="6616" spans="117:121" x14ac:dyDescent="0.35">
      <c r="DM6616" s="50"/>
      <c r="DQ6616" s="50"/>
    </row>
    <row r="6617" spans="117:121" x14ac:dyDescent="0.35">
      <c r="DM6617" s="50"/>
      <c r="DQ6617" s="50"/>
    </row>
    <row r="6618" spans="117:121" x14ac:dyDescent="0.35">
      <c r="DM6618" s="50"/>
      <c r="DQ6618" s="50"/>
    </row>
    <row r="6619" spans="117:121" x14ac:dyDescent="0.35">
      <c r="DM6619" s="50"/>
      <c r="DQ6619" s="50"/>
    </row>
    <row r="6620" spans="117:121" x14ac:dyDescent="0.35">
      <c r="DM6620" s="50"/>
      <c r="DQ6620" s="50"/>
    </row>
    <row r="6621" spans="117:121" x14ac:dyDescent="0.35">
      <c r="DM6621" s="50"/>
      <c r="DQ6621" s="50"/>
    </row>
    <row r="6622" spans="117:121" x14ac:dyDescent="0.35">
      <c r="DM6622" s="50"/>
      <c r="DQ6622" s="50"/>
    </row>
    <row r="6623" spans="117:121" x14ac:dyDescent="0.35">
      <c r="DM6623" s="50"/>
      <c r="DQ6623" s="50"/>
    </row>
    <row r="6624" spans="117:121" x14ac:dyDescent="0.35">
      <c r="DM6624" s="50"/>
      <c r="DQ6624" s="50"/>
    </row>
    <row r="6625" spans="117:121" x14ac:dyDescent="0.35">
      <c r="DM6625" s="50"/>
      <c r="DQ6625" s="50"/>
    </row>
    <row r="6626" spans="117:121" x14ac:dyDescent="0.35">
      <c r="DM6626" s="50"/>
      <c r="DQ6626" s="50"/>
    </row>
    <row r="6627" spans="117:121" x14ac:dyDescent="0.35">
      <c r="DM6627" s="50"/>
      <c r="DQ6627" s="50"/>
    </row>
    <row r="6628" spans="117:121" x14ac:dyDescent="0.35">
      <c r="DM6628" s="50"/>
      <c r="DQ6628" s="50"/>
    </row>
    <row r="6629" spans="117:121" x14ac:dyDescent="0.35">
      <c r="DM6629" s="50"/>
      <c r="DQ6629" s="50"/>
    </row>
    <row r="6630" spans="117:121" x14ac:dyDescent="0.35">
      <c r="DM6630" s="50"/>
      <c r="DQ6630" s="50"/>
    </row>
    <row r="6631" spans="117:121" x14ac:dyDescent="0.35">
      <c r="DM6631" s="50"/>
      <c r="DQ6631" s="50"/>
    </row>
    <row r="6632" spans="117:121" x14ac:dyDescent="0.35">
      <c r="DM6632" s="50"/>
      <c r="DQ6632" s="50"/>
    </row>
    <row r="6633" spans="117:121" x14ac:dyDescent="0.35">
      <c r="DM6633" s="50"/>
      <c r="DQ6633" s="50"/>
    </row>
    <row r="6634" spans="117:121" x14ac:dyDescent="0.35">
      <c r="DM6634" s="50"/>
      <c r="DQ6634" s="50"/>
    </row>
    <row r="6635" spans="117:121" x14ac:dyDescent="0.35">
      <c r="DM6635" s="50"/>
      <c r="DQ6635" s="50"/>
    </row>
    <row r="6636" spans="117:121" x14ac:dyDescent="0.35">
      <c r="DM6636" s="50"/>
      <c r="DQ6636" s="50"/>
    </row>
    <row r="6637" spans="117:121" x14ac:dyDescent="0.35">
      <c r="DM6637" s="50"/>
      <c r="DQ6637" s="50"/>
    </row>
    <row r="6638" spans="117:121" x14ac:dyDescent="0.35">
      <c r="DM6638" s="50"/>
      <c r="DQ6638" s="50"/>
    </row>
    <row r="6639" spans="117:121" x14ac:dyDescent="0.35">
      <c r="DM6639" s="50"/>
      <c r="DQ6639" s="50"/>
    </row>
    <row r="6640" spans="117:121" x14ac:dyDescent="0.35">
      <c r="DM6640" s="50"/>
      <c r="DQ6640" s="50"/>
    </row>
    <row r="6641" spans="117:121" x14ac:dyDescent="0.35">
      <c r="DM6641" s="50"/>
      <c r="DQ6641" s="50"/>
    </row>
    <row r="6642" spans="117:121" x14ac:dyDescent="0.35">
      <c r="DM6642" s="50"/>
      <c r="DQ6642" s="50"/>
    </row>
    <row r="6643" spans="117:121" x14ac:dyDescent="0.35">
      <c r="DM6643" s="50"/>
      <c r="DQ6643" s="50"/>
    </row>
    <row r="6644" spans="117:121" x14ac:dyDescent="0.35">
      <c r="DM6644" s="50"/>
      <c r="DQ6644" s="50"/>
    </row>
    <row r="6645" spans="117:121" x14ac:dyDescent="0.35">
      <c r="DM6645" s="50"/>
      <c r="DQ6645" s="50"/>
    </row>
    <row r="6646" spans="117:121" x14ac:dyDescent="0.35">
      <c r="DM6646" s="50"/>
      <c r="DQ6646" s="50"/>
    </row>
    <row r="6647" spans="117:121" x14ac:dyDescent="0.35">
      <c r="DM6647" s="50"/>
      <c r="DQ6647" s="50"/>
    </row>
    <row r="6648" spans="117:121" x14ac:dyDescent="0.35">
      <c r="DM6648" s="50"/>
      <c r="DQ6648" s="50"/>
    </row>
    <row r="6649" spans="117:121" x14ac:dyDescent="0.35">
      <c r="DM6649" s="50"/>
      <c r="DQ6649" s="50"/>
    </row>
    <row r="6650" spans="117:121" x14ac:dyDescent="0.35">
      <c r="DM6650" s="50"/>
      <c r="DQ6650" s="50"/>
    </row>
    <row r="6651" spans="117:121" x14ac:dyDescent="0.35">
      <c r="DM6651" s="50"/>
      <c r="DQ6651" s="50"/>
    </row>
    <row r="6652" spans="117:121" x14ac:dyDescent="0.35">
      <c r="DM6652" s="50"/>
      <c r="DQ6652" s="50"/>
    </row>
    <row r="6653" spans="117:121" x14ac:dyDescent="0.35">
      <c r="DM6653" s="50"/>
      <c r="DQ6653" s="50"/>
    </row>
    <row r="6654" spans="117:121" x14ac:dyDescent="0.35">
      <c r="DM6654" s="50"/>
      <c r="DQ6654" s="50"/>
    </row>
    <row r="6655" spans="117:121" x14ac:dyDescent="0.35">
      <c r="DM6655" s="50"/>
      <c r="DQ6655" s="50"/>
    </row>
    <row r="6656" spans="117:121" x14ac:dyDescent="0.35">
      <c r="DM6656" s="50"/>
      <c r="DQ6656" s="50"/>
    </row>
    <row r="6657" spans="117:121" x14ac:dyDescent="0.35">
      <c r="DM6657" s="50"/>
      <c r="DQ6657" s="50"/>
    </row>
    <row r="6658" spans="117:121" x14ac:dyDescent="0.35">
      <c r="DM6658" s="50"/>
      <c r="DQ6658" s="50"/>
    </row>
    <row r="6659" spans="117:121" x14ac:dyDescent="0.35">
      <c r="DM6659" s="50"/>
      <c r="DQ6659" s="50"/>
    </row>
    <row r="6660" spans="117:121" x14ac:dyDescent="0.35">
      <c r="DM6660" s="50"/>
      <c r="DQ6660" s="50"/>
    </row>
    <row r="6661" spans="117:121" x14ac:dyDescent="0.35">
      <c r="DM6661" s="50"/>
      <c r="DQ6661" s="50"/>
    </row>
    <row r="6662" spans="117:121" x14ac:dyDescent="0.35">
      <c r="DM6662" s="50"/>
      <c r="DQ6662" s="50"/>
    </row>
    <row r="6663" spans="117:121" x14ac:dyDescent="0.35">
      <c r="DM6663" s="50"/>
      <c r="DQ6663" s="50"/>
    </row>
    <row r="6664" spans="117:121" x14ac:dyDescent="0.35">
      <c r="DM6664" s="50"/>
      <c r="DQ6664" s="50"/>
    </row>
    <row r="6665" spans="117:121" x14ac:dyDescent="0.35">
      <c r="DM6665" s="50"/>
      <c r="DQ6665" s="50"/>
    </row>
    <row r="6666" spans="117:121" x14ac:dyDescent="0.35">
      <c r="DM6666" s="50"/>
      <c r="DQ6666" s="50"/>
    </row>
    <row r="6667" spans="117:121" x14ac:dyDescent="0.35">
      <c r="DM6667" s="50"/>
      <c r="DQ6667" s="50"/>
    </row>
    <row r="6668" spans="117:121" x14ac:dyDescent="0.35">
      <c r="DM6668" s="50"/>
      <c r="DQ6668" s="50"/>
    </row>
    <row r="6669" spans="117:121" x14ac:dyDescent="0.35">
      <c r="DM6669" s="50"/>
      <c r="DQ6669" s="50"/>
    </row>
    <row r="6670" spans="117:121" x14ac:dyDescent="0.35">
      <c r="DM6670" s="50"/>
      <c r="DQ6670" s="50"/>
    </row>
    <row r="6671" spans="117:121" x14ac:dyDescent="0.35">
      <c r="DM6671" s="50"/>
      <c r="DQ6671" s="50"/>
    </row>
    <row r="6672" spans="117:121" x14ac:dyDescent="0.35">
      <c r="DM6672" s="50"/>
      <c r="DQ6672" s="50"/>
    </row>
    <row r="6673" spans="117:121" x14ac:dyDescent="0.35">
      <c r="DM6673" s="50"/>
      <c r="DQ6673" s="50"/>
    </row>
    <row r="6674" spans="117:121" x14ac:dyDescent="0.35">
      <c r="DM6674" s="50"/>
      <c r="DQ6674" s="50"/>
    </row>
    <row r="6675" spans="117:121" x14ac:dyDescent="0.35">
      <c r="DM6675" s="50"/>
      <c r="DQ6675" s="50"/>
    </row>
    <row r="6676" spans="117:121" x14ac:dyDescent="0.35">
      <c r="DM6676" s="50"/>
      <c r="DQ6676" s="50"/>
    </row>
    <row r="6677" spans="117:121" x14ac:dyDescent="0.35">
      <c r="DM6677" s="50"/>
      <c r="DQ6677" s="50"/>
    </row>
    <row r="6678" spans="117:121" x14ac:dyDescent="0.35">
      <c r="DM6678" s="50"/>
      <c r="DQ6678" s="50"/>
    </row>
    <row r="6679" spans="117:121" x14ac:dyDescent="0.35">
      <c r="DM6679" s="50"/>
      <c r="DQ6679" s="50"/>
    </row>
    <row r="6680" spans="117:121" x14ac:dyDescent="0.35">
      <c r="DM6680" s="50"/>
      <c r="DQ6680" s="50"/>
    </row>
    <row r="6681" spans="117:121" x14ac:dyDescent="0.35">
      <c r="DM6681" s="50"/>
      <c r="DQ6681" s="50"/>
    </row>
    <row r="6682" spans="117:121" x14ac:dyDescent="0.35">
      <c r="DM6682" s="50"/>
      <c r="DQ6682" s="50"/>
    </row>
    <row r="6683" spans="117:121" x14ac:dyDescent="0.35">
      <c r="DM6683" s="50"/>
      <c r="DQ6683" s="50"/>
    </row>
    <row r="6684" spans="117:121" x14ac:dyDescent="0.35">
      <c r="DM6684" s="50"/>
      <c r="DQ6684" s="50"/>
    </row>
    <row r="6685" spans="117:121" x14ac:dyDescent="0.35">
      <c r="DM6685" s="50"/>
      <c r="DQ6685" s="50"/>
    </row>
    <row r="6686" spans="117:121" x14ac:dyDescent="0.35">
      <c r="DM6686" s="50"/>
      <c r="DQ6686" s="50"/>
    </row>
    <row r="6687" spans="117:121" x14ac:dyDescent="0.35">
      <c r="DM6687" s="50"/>
      <c r="DQ6687" s="50"/>
    </row>
    <row r="6688" spans="117:121" x14ac:dyDescent="0.35">
      <c r="DM6688" s="50"/>
      <c r="DQ6688" s="50"/>
    </row>
    <row r="6689" spans="117:121" x14ac:dyDescent="0.35">
      <c r="DM6689" s="50"/>
      <c r="DQ6689" s="50"/>
    </row>
    <row r="6690" spans="117:121" x14ac:dyDescent="0.35">
      <c r="DM6690" s="50"/>
      <c r="DQ6690" s="50"/>
    </row>
    <row r="6691" spans="117:121" x14ac:dyDescent="0.35">
      <c r="DM6691" s="50"/>
      <c r="DQ6691" s="50"/>
    </row>
    <row r="6692" spans="117:121" x14ac:dyDescent="0.35">
      <c r="DM6692" s="50"/>
      <c r="DQ6692" s="50"/>
    </row>
    <row r="6693" spans="117:121" x14ac:dyDescent="0.35">
      <c r="DM6693" s="50"/>
      <c r="DQ6693" s="50"/>
    </row>
    <row r="6694" spans="117:121" x14ac:dyDescent="0.35">
      <c r="DM6694" s="50"/>
      <c r="DQ6694" s="50"/>
    </row>
    <row r="6695" spans="117:121" x14ac:dyDescent="0.35">
      <c r="DM6695" s="50"/>
      <c r="DQ6695" s="50"/>
    </row>
    <row r="6696" spans="117:121" x14ac:dyDescent="0.35">
      <c r="DM6696" s="50"/>
      <c r="DQ6696" s="50"/>
    </row>
    <row r="6697" spans="117:121" x14ac:dyDescent="0.35">
      <c r="DM6697" s="50"/>
      <c r="DQ6697" s="50"/>
    </row>
    <row r="6698" spans="117:121" x14ac:dyDescent="0.35">
      <c r="DM6698" s="50"/>
      <c r="DQ6698" s="50"/>
    </row>
    <row r="6699" spans="117:121" x14ac:dyDescent="0.35">
      <c r="DM6699" s="50"/>
      <c r="DQ6699" s="50"/>
    </row>
    <row r="6700" spans="117:121" x14ac:dyDescent="0.35">
      <c r="DM6700" s="50"/>
      <c r="DQ6700" s="50"/>
    </row>
    <row r="6701" spans="117:121" x14ac:dyDescent="0.35">
      <c r="DM6701" s="50"/>
      <c r="DQ6701" s="50"/>
    </row>
    <row r="6702" spans="117:121" x14ac:dyDescent="0.35">
      <c r="DM6702" s="50"/>
      <c r="DQ6702" s="50"/>
    </row>
    <row r="6703" spans="117:121" x14ac:dyDescent="0.35">
      <c r="DM6703" s="50"/>
      <c r="DQ6703" s="50"/>
    </row>
    <row r="6704" spans="117:121" x14ac:dyDescent="0.35">
      <c r="DM6704" s="50"/>
      <c r="DQ6704" s="50"/>
    </row>
    <row r="6705" spans="117:121" x14ac:dyDescent="0.35">
      <c r="DM6705" s="50"/>
      <c r="DQ6705" s="50"/>
    </row>
    <row r="6706" spans="117:121" x14ac:dyDescent="0.35">
      <c r="DM6706" s="50"/>
      <c r="DQ6706" s="50"/>
    </row>
    <row r="6707" spans="117:121" x14ac:dyDescent="0.35">
      <c r="DM6707" s="50"/>
      <c r="DQ6707" s="50"/>
    </row>
    <row r="6708" spans="117:121" x14ac:dyDescent="0.35">
      <c r="DM6708" s="50"/>
      <c r="DQ6708" s="50"/>
    </row>
    <row r="6709" spans="117:121" x14ac:dyDescent="0.35">
      <c r="DM6709" s="50"/>
      <c r="DQ6709" s="50"/>
    </row>
    <row r="6710" spans="117:121" x14ac:dyDescent="0.35">
      <c r="DM6710" s="50"/>
      <c r="DQ6710" s="50"/>
    </row>
    <row r="6711" spans="117:121" x14ac:dyDescent="0.35">
      <c r="DM6711" s="50"/>
      <c r="DQ6711" s="50"/>
    </row>
    <row r="6712" spans="117:121" x14ac:dyDescent="0.35">
      <c r="DM6712" s="50"/>
      <c r="DQ6712" s="50"/>
    </row>
    <row r="6713" spans="117:121" x14ac:dyDescent="0.35">
      <c r="DM6713" s="50"/>
      <c r="DQ6713" s="50"/>
    </row>
    <row r="6714" spans="117:121" x14ac:dyDescent="0.35">
      <c r="DM6714" s="50"/>
      <c r="DQ6714" s="50"/>
    </row>
    <row r="6715" spans="117:121" x14ac:dyDescent="0.35">
      <c r="DM6715" s="50"/>
      <c r="DQ6715" s="50"/>
    </row>
    <row r="6716" spans="117:121" x14ac:dyDescent="0.35">
      <c r="DM6716" s="50"/>
      <c r="DQ6716" s="50"/>
    </row>
    <row r="6717" spans="117:121" x14ac:dyDescent="0.35">
      <c r="DM6717" s="50"/>
      <c r="DQ6717" s="50"/>
    </row>
    <row r="6718" spans="117:121" x14ac:dyDescent="0.35">
      <c r="DM6718" s="50"/>
      <c r="DQ6718" s="50"/>
    </row>
    <row r="6719" spans="117:121" x14ac:dyDescent="0.35">
      <c r="DM6719" s="50"/>
      <c r="DQ6719" s="50"/>
    </row>
    <row r="6720" spans="117:121" x14ac:dyDescent="0.35">
      <c r="DM6720" s="50"/>
      <c r="DQ6720" s="50"/>
    </row>
    <row r="6721" spans="117:121" x14ac:dyDescent="0.35">
      <c r="DM6721" s="50"/>
      <c r="DQ6721" s="50"/>
    </row>
    <row r="6722" spans="117:121" x14ac:dyDescent="0.35">
      <c r="DM6722" s="50"/>
      <c r="DQ6722" s="50"/>
    </row>
    <row r="6723" spans="117:121" x14ac:dyDescent="0.35">
      <c r="DM6723" s="50"/>
      <c r="DQ6723" s="50"/>
    </row>
    <row r="6724" spans="117:121" x14ac:dyDescent="0.35">
      <c r="DM6724" s="50"/>
      <c r="DQ6724" s="50"/>
    </row>
    <row r="6725" spans="117:121" x14ac:dyDescent="0.35">
      <c r="DM6725" s="50"/>
      <c r="DQ6725" s="50"/>
    </row>
    <row r="6726" spans="117:121" x14ac:dyDescent="0.35">
      <c r="DM6726" s="50"/>
      <c r="DQ6726" s="50"/>
    </row>
    <row r="6727" spans="117:121" x14ac:dyDescent="0.35">
      <c r="DM6727" s="50"/>
      <c r="DQ6727" s="50"/>
    </row>
    <row r="6728" spans="117:121" x14ac:dyDescent="0.35">
      <c r="DM6728" s="50"/>
      <c r="DQ6728" s="50"/>
    </row>
    <row r="6729" spans="117:121" x14ac:dyDescent="0.35">
      <c r="DM6729" s="50"/>
      <c r="DQ6729" s="50"/>
    </row>
    <row r="6730" spans="117:121" x14ac:dyDescent="0.35">
      <c r="DM6730" s="50"/>
      <c r="DQ6730" s="50"/>
    </row>
    <row r="6731" spans="117:121" x14ac:dyDescent="0.35">
      <c r="DM6731" s="50"/>
      <c r="DQ6731" s="50"/>
    </row>
    <row r="6732" spans="117:121" x14ac:dyDescent="0.35">
      <c r="DM6732" s="50"/>
      <c r="DQ6732" s="50"/>
    </row>
    <row r="6733" spans="117:121" x14ac:dyDescent="0.35">
      <c r="DM6733" s="50"/>
      <c r="DQ6733" s="50"/>
    </row>
    <row r="6734" spans="117:121" x14ac:dyDescent="0.35">
      <c r="DM6734" s="50"/>
      <c r="DQ6734" s="50"/>
    </row>
    <row r="6735" spans="117:121" x14ac:dyDescent="0.35">
      <c r="DM6735" s="50"/>
      <c r="DQ6735" s="50"/>
    </row>
    <row r="6736" spans="117:121" x14ac:dyDescent="0.35">
      <c r="DM6736" s="50"/>
      <c r="DQ6736" s="50"/>
    </row>
    <row r="6737" spans="117:121" x14ac:dyDescent="0.35">
      <c r="DM6737" s="50"/>
      <c r="DQ6737" s="50"/>
    </row>
    <row r="6738" spans="117:121" x14ac:dyDescent="0.35">
      <c r="DM6738" s="50"/>
      <c r="DQ6738" s="50"/>
    </row>
    <row r="6739" spans="117:121" x14ac:dyDescent="0.35">
      <c r="DM6739" s="50"/>
      <c r="DQ6739" s="50"/>
    </row>
    <row r="6740" spans="117:121" x14ac:dyDescent="0.35">
      <c r="DM6740" s="50"/>
      <c r="DQ6740" s="50"/>
    </row>
    <row r="6741" spans="117:121" x14ac:dyDescent="0.35">
      <c r="DM6741" s="50"/>
      <c r="DQ6741" s="50"/>
    </row>
    <row r="6742" spans="117:121" x14ac:dyDescent="0.35">
      <c r="DM6742" s="50"/>
      <c r="DQ6742" s="50"/>
    </row>
    <row r="6743" spans="117:121" x14ac:dyDescent="0.35">
      <c r="DM6743" s="50"/>
      <c r="DQ6743" s="50"/>
    </row>
    <row r="6744" spans="117:121" x14ac:dyDescent="0.35">
      <c r="DM6744" s="50"/>
      <c r="DQ6744" s="50"/>
    </row>
    <row r="6745" spans="117:121" x14ac:dyDescent="0.35">
      <c r="DM6745" s="50"/>
      <c r="DQ6745" s="50"/>
    </row>
    <row r="6746" spans="117:121" x14ac:dyDescent="0.35">
      <c r="DM6746" s="50"/>
      <c r="DQ6746" s="50"/>
    </row>
    <row r="6747" spans="117:121" x14ac:dyDescent="0.35">
      <c r="DM6747" s="50"/>
      <c r="DQ6747" s="50"/>
    </row>
    <row r="6748" spans="117:121" x14ac:dyDescent="0.35">
      <c r="DM6748" s="50"/>
      <c r="DQ6748" s="50"/>
    </row>
    <row r="6749" spans="117:121" x14ac:dyDescent="0.35">
      <c r="DM6749" s="50"/>
      <c r="DQ6749" s="50"/>
    </row>
    <row r="6750" spans="117:121" x14ac:dyDescent="0.35">
      <c r="DM6750" s="50"/>
      <c r="DQ6750" s="50"/>
    </row>
    <row r="6751" spans="117:121" x14ac:dyDescent="0.35">
      <c r="DM6751" s="50"/>
      <c r="DQ6751" s="50"/>
    </row>
    <row r="6752" spans="117:121" x14ac:dyDescent="0.35">
      <c r="DM6752" s="50"/>
      <c r="DQ6752" s="50"/>
    </row>
    <row r="6753" spans="117:121" x14ac:dyDescent="0.35">
      <c r="DM6753" s="50"/>
      <c r="DQ6753" s="50"/>
    </row>
    <row r="6754" spans="117:121" x14ac:dyDescent="0.35">
      <c r="DM6754" s="50"/>
      <c r="DQ6754" s="50"/>
    </row>
    <row r="6755" spans="117:121" x14ac:dyDescent="0.35">
      <c r="DM6755" s="50"/>
      <c r="DQ6755" s="50"/>
    </row>
    <row r="6756" spans="117:121" x14ac:dyDescent="0.35">
      <c r="DM6756" s="50"/>
      <c r="DQ6756" s="50"/>
    </row>
    <row r="6757" spans="117:121" x14ac:dyDescent="0.35">
      <c r="DM6757" s="50"/>
      <c r="DQ6757" s="50"/>
    </row>
    <row r="6758" spans="117:121" x14ac:dyDescent="0.35">
      <c r="DM6758" s="50"/>
      <c r="DQ6758" s="50"/>
    </row>
    <row r="6759" spans="117:121" x14ac:dyDescent="0.35">
      <c r="DM6759" s="50"/>
      <c r="DQ6759" s="50"/>
    </row>
    <row r="6760" spans="117:121" x14ac:dyDescent="0.35">
      <c r="DM6760" s="50"/>
      <c r="DQ6760" s="50"/>
    </row>
    <row r="6761" spans="117:121" x14ac:dyDescent="0.35">
      <c r="DM6761" s="50"/>
      <c r="DQ6761" s="50"/>
    </row>
    <row r="6762" spans="117:121" x14ac:dyDescent="0.35">
      <c r="DM6762" s="50"/>
      <c r="DQ6762" s="50"/>
    </row>
    <row r="6763" spans="117:121" x14ac:dyDescent="0.35">
      <c r="DM6763" s="50"/>
      <c r="DQ6763" s="50"/>
    </row>
    <row r="6764" spans="117:121" x14ac:dyDescent="0.35">
      <c r="DM6764" s="50"/>
      <c r="DQ6764" s="50"/>
    </row>
    <row r="6765" spans="117:121" x14ac:dyDescent="0.35">
      <c r="DM6765" s="50"/>
      <c r="DQ6765" s="50"/>
    </row>
    <row r="6766" spans="117:121" x14ac:dyDescent="0.35">
      <c r="DM6766" s="50"/>
      <c r="DQ6766" s="50"/>
    </row>
    <row r="6767" spans="117:121" x14ac:dyDescent="0.35">
      <c r="DM6767" s="50"/>
      <c r="DQ6767" s="50"/>
    </row>
    <row r="6768" spans="117:121" x14ac:dyDescent="0.35">
      <c r="DM6768" s="50"/>
      <c r="DQ6768" s="50"/>
    </row>
    <row r="6769" spans="117:121" x14ac:dyDescent="0.35">
      <c r="DM6769" s="50"/>
      <c r="DQ6769" s="50"/>
    </row>
    <row r="6770" spans="117:121" x14ac:dyDescent="0.35">
      <c r="DM6770" s="50"/>
      <c r="DQ6770" s="50"/>
    </row>
    <row r="6771" spans="117:121" x14ac:dyDescent="0.35">
      <c r="DM6771" s="50"/>
      <c r="DQ6771" s="50"/>
    </row>
    <row r="6772" spans="117:121" x14ac:dyDescent="0.35">
      <c r="DM6772" s="50"/>
      <c r="DQ6772" s="50"/>
    </row>
    <row r="6773" spans="117:121" x14ac:dyDescent="0.35">
      <c r="DM6773" s="50"/>
      <c r="DQ6773" s="50"/>
    </row>
    <row r="6774" spans="117:121" x14ac:dyDescent="0.35">
      <c r="DM6774" s="50"/>
      <c r="DQ6774" s="50"/>
    </row>
    <row r="6775" spans="117:121" x14ac:dyDescent="0.35">
      <c r="DM6775" s="50"/>
      <c r="DQ6775" s="50"/>
    </row>
    <row r="6776" spans="117:121" x14ac:dyDescent="0.35">
      <c r="DM6776" s="50"/>
      <c r="DQ6776" s="50"/>
    </row>
    <row r="6777" spans="117:121" x14ac:dyDescent="0.35">
      <c r="DM6777" s="50"/>
      <c r="DQ6777" s="50"/>
    </row>
    <row r="6778" spans="117:121" x14ac:dyDescent="0.35">
      <c r="DM6778" s="50"/>
      <c r="DQ6778" s="50"/>
    </row>
    <row r="6779" spans="117:121" x14ac:dyDescent="0.35">
      <c r="DM6779" s="50"/>
      <c r="DQ6779" s="50"/>
    </row>
    <row r="6780" spans="117:121" x14ac:dyDescent="0.35">
      <c r="DM6780" s="50"/>
      <c r="DQ6780" s="50"/>
    </row>
    <row r="6781" spans="117:121" x14ac:dyDescent="0.35">
      <c r="DM6781" s="50"/>
      <c r="DQ6781" s="50"/>
    </row>
    <row r="6782" spans="117:121" x14ac:dyDescent="0.35">
      <c r="DM6782" s="50"/>
      <c r="DQ6782" s="50"/>
    </row>
    <row r="6783" spans="117:121" x14ac:dyDescent="0.35">
      <c r="DM6783" s="50"/>
      <c r="DQ6783" s="50"/>
    </row>
    <row r="6784" spans="117:121" x14ac:dyDescent="0.35">
      <c r="DM6784" s="50"/>
      <c r="DQ6784" s="50"/>
    </row>
    <row r="6785" spans="117:121" x14ac:dyDescent="0.35">
      <c r="DM6785" s="50"/>
      <c r="DQ6785" s="50"/>
    </row>
    <row r="6786" spans="117:121" x14ac:dyDescent="0.35">
      <c r="DM6786" s="50"/>
      <c r="DQ6786" s="50"/>
    </row>
    <row r="6787" spans="117:121" x14ac:dyDescent="0.35">
      <c r="DM6787" s="50"/>
      <c r="DQ6787" s="50"/>
    </row>
    <row r="6788" spans="117:121" x14ac:dyDescent="0.35">
      <c r="DM6788" s="50"/>
      <c r="DQ6788" s="50"/>
    </row>
    <row r="6789" spans="117:121" x14ac:dyDescent="0.35">
      <c r="DM6789" s="50"/>
      <c r="DQ6789" s="50"/>
    </row>
    <row r="6790" spans="117:121" x14ac:dyDescent="0.35">
      <c r="DM6790" s="50"/>
      <c r="DQ6790" s="50"/>
    </row>
    <row r="6791" spans="117:121" x14ac:dyDescent="0.35">
      <c r="DM6791" s="50"/>
      <c r="DQ6791" s="50"/>
    </row>
    <row r="6792" spans="117:121" x14ac:dyDescent="0.35">
      <c r="DM6792" s="50"/>
      <c r="DQ6792" s="50"/>
    </row>
    <row r="6793" spans="117:121" x14ac:dyDescent="0.35">
      <c r="DM6793" s="50"/>
      <c r="DQ6793" s="50"/>
    </row>
    <row r="6794" spans="117:121" x14ac:dyDescent="0.35">
      <c r="DM6794" s="50"/>
      <c r="DQ6794" s="50"/>
    </row>
    <row r="6795" spans="117:121" x14ac:dyDescent="0.35">
      <c r="DM6795" s="50"/>
      <c r="DQ6795" s="50"/>
    </row>
    <row r="6796" spans="117:121" x14ac:dyDescent="0.35">
      <c r="DM6796" s="50"/>
      <c r="DQ6796" s="50"/>
    </row>
    <row r="6797" spans="117:121" x14ac:dyDescent="0.35">
      <c r="DM6797" s="50"/>
      <c r="DQ6797" s="50"/>
    </row>
    <row r="6798" spans="117:121" x14ac:dyDescent="0.35">
      <c r="DM6798" s="50"/>
      <c r="DQ6798" s="50"/>
    </row>
    <row r="6799" spans="117:121" x14ac:dyDescent="0.35">
      <c r="DM6799" s="50"/>
      <c r="DQ6799" s="50"/>
    </row>
    <row r="6800" spans="117:121" x14ac:dyDescent="0.35">
      <c r="DM6800" s="50"/>
      <c r="DQ6800" s="50"/>
    </row>
    <row r="6801" spans="117:121" x14ac:dyDescent="0.35">
      <c r="DM6801" s="50"/>
      <c r="DQ6801" s="50"/>
    </row>
    <row r="6802" spans="117:121" x14ac:dyDescent="0.35">
      <c r="DM6802" s="50"/>
      <c r="DQ6802" s="50"/>
    </row>
    <row r="6803" spans="117:121" x14ac:dyDescent="0.35">
      <c r="DM6803" s="50"/>
      <c r="DQ6803" s="50"/>
    </row>
    <row r="6804" spans="117:121" x14ac:dyDescent="0.35">
      <c r="DM6804" s="50"/>
      <c r="DQ6804" s="50"/>
    </row>
    <row r="6805" spans="117:121" x14ac:dyDescent="0.35">
      <c r="DM6805" s="50"/>
      <c r="DQ6805" s="50"/>
    </row>
    <row r="6806" spans="117:121" x14ac:dyDescent="0.35">
      <c r="DM6806" s="50"/>
      <c r="DQ6806" s="50"/>
    </row>
    <row r="6807" spans="117:121" x14ac:dyDescent="0.35">
      <c r="DM6807" s="50"/>
      <c r="DQ6807" s="50"/>
    </row>
    <row r="6808" spans="117:121" x14ac:dyDescent="0.35">
      <c r="DM6808" s="50"/>
      <c r="DQ6808" s="50"/>
    </row>
    <row r="6809" spans="117:121" x14ac:dyDescent="0.35">
      <c r="DM6809" s="50"/>
      <c r="DQ6809" s="50"/>
    </row>
    <row r="6810" spans="117:121" x14ac:dyDescent="0.35">
      <c r="DM6810" s="50"/>
      <c r="DQ6810" s="50"/>
    </row>
    <row r="6811" spans="117:121" x14ac:dyDescent="0.35">
      <c r="DM6811" s="50"/>
      <c r="DQ6811" s="50"/>
    </row>
    <row r="6812" spans="117:121" x14ac:dyDescent="0.35">
      <c r="DM6812" s="50"/>
      <c r="DQ6812" s="50"/>
    </row>
    <row r="6813" spans="117:121" x14ac:dyDescent="0.35">
      <c r="DM6813" s="50"/>
      <c r="DQ6813" s="50"/>
    </row>
    <row r="6814" spans="117:121" x14ac:dyDescent="0.35">
      <c r="DM6814" s="50"/>
      <c r="DQ6814" s="50"/>
    </row>
    <row r="6815" spans="117:121" x14ac:dyDescent="0.35">
      <c r="DM6815" s="50"/>
      <c r="DQ6815" s="50"/>
    </row>
    <row r="6816" spans="117:121" x14ac:dyDescent="0.35">
      <c r="DM6816" s="50"/>
      <c r="DQ6816" s="50"/>
    </row>
    <row r="6817" spans="117:121" x14ac:dyDescent="0.35">
      <c r="DM6817" s="50"/>
      <c r="DQ6817" s="50"/>
    </row>
    <row r="6818" spans="117:121" x14ac:dyDescent="0.35">
      <c r="DM6818" s="50"/>
      <c r="DQ6818" s="50"/>
    </row>
    <row r="6819" spans="117:121" x14ac:dyDescent="0.35">
      <c r="DM6819" s="50"/>
      <c r="DQ6819" s="50"/>
    </row>
    <row r="6820" spans="117:121" x14ac:dyDescent="0.35">
      <c r="DM6820" s="50"/>
      <c r="DQ6820" s="50"/>
    </row>
    <row r="6821" spans="117:121" x14ac:dyDescent="0.35">
      <c r="DM6821" s="50"/>
      <c r="DQ6821" s="50"/>
    </row>
    <row r="6822" spans="117:121" x14ac:dyDescent="0.35">
      <c r="DM6822" s="50"/>
      <c r="DQ6822" s="50"/>
    </row>
    <row r="6823" spans="117:121" x14ac:dyDescent="0.35">
      <c r="DM6823" s="50"/>
      <c r="DQ6823" s="50"/>
    </row>
    <row r="6824" spans="117:121" x14ac:dyDescent="0.35">
      <c r="DM6824" s="50"/>
      <c r="DQ6824" s="50"/>
    </row>
    <row r="6825" spans="117:121" x14ac:dyDescent="0.35">
      <c r="DM6825" s="50"/>
      <c r="DQ6825" s="50"/>
    </row>
    <row r="6826" spans="117:121" x14ac:dyDescent="0.35">
      <c r="DM6826" s="50"/>
      <c r="DQ6826" s="50"/>
    </row>
    <row r="6827" spans="117:121" x14ac:dyDescent="0.35">
      <c r="DM6827" s="50"/>
      <c r="DQ6827" s="50"/>
    </row>
    <row r="6828" spans="117:121" x14ac:dyDescent="0.35">
      <c r="DM6828" s="50"/>
      <c r="DQ6828" s="50"/>
    </row>
    <row r="6829" spans="117:121" x14ac:dyDescent="0.35">
      <c r="DM6829" s="50"/>
      <c r="DQ6829" s="50"/>
    </row>
    <row r="6830" spans="117:121" x14ac:dyDescent="0.35">
      <c r="DM6830" s="50"/>
      <c r="DQ6830" s="50"/>
    </row>
    <row r="6831" spans="117:121" x14ac:dyDescent="0.35">
      <c r="DM6831" s="50"/>
      <c r="DQ6831" s="50"/>
    </row>
    <row r="6832" spans="117:121" x14ac:dyDescent="0.35">
      <c r="DM6832" s="50"/>
      <c r="DQ6832" s="50"/>
    </row>
    <row r="6833" spans="117:121" x14ac:dyDescent="0.35">
      <c r="DM6833" s="50"/>
      <c r="DQ6833" s="50"/>
    </row>
    <row r="6834" spans="117:121" x14ac:dyDescent="0.35">
      <c r="DM6834" s="50"/>
      <c r="DQ6834" s="50"/>
    </row>
    <row r="6835" spans="117:121" x14ac:dyDescent="0.35">
      <c r="DM6835" s="50"/>
      <c r="DQ6835" s="50"/>
    </row>
    <row r="6836" spans="117:121" x14ac:dyDescent="0.35">
      <c r="DM6836" s="50"/>
      <c r="DQ6836" s="50"/>
    </row>
    <row r="6837" spans="117:121" x14ac:dyDescent="0.35">
      <c r="DM6837" s="50"/>
      <c r="DQ6837" s="50"/>
    </row>
    <row r="6838" spans="117:121" x14ac:dyDescent="0.35">
      <c r="DM6838" s="50"/>
      <c r="DQ6838" s="50"/>
    </row>
    <row r="6839" spans="117:121" x14ac:dyDescent="0.35">
      <c r="DM6839" s="50"/>
      <c r="DQ6839" s="50"/>
    </row>
    <row r="6840" spans="117:121" x14ac:dyDescent="0.35">
      <c r="DM6840" s="50"/>
      <c r="DQ6840" s="50"/>
    </row>
    <row r="6841" spans="117:121" x14ac:dyDescent="0.35">
      <c r="DM6841" s="50"/>
      <c r="DQ6841" s="50"/>
    </row>
    <row r="6842" spans="117:121" x14ac:dyDescent="0.35">
      <c r="DM6842" s="50"/>
      <c r="DQ6842" s="50"/>
    </row>
    <row r="6843" spans="117:121" x14ac:dyDescent="0.35">
      <c r="DM6843" s="50"/>
      <c r="DQ6843" s="50"/>
    </row>
    <row r="6844" spans="117:121" x14ac:dyDescent="0.35">
      <c r="DM6844" s="50"/>
      <c r="DQ6844" s="50"/>
    </row>
    <row r="6845" spans="117:121" x14ac:dyDescent="0.35">
      <c r="DM6845" s="50"/>
      <c r="DQ6845" s="50"/>
    </row>
    <row r="6846" spans="117:121" x14ac:dyDescent="0.35">
      <c r="DM6846" s="50"/>
      <c r="DQ6846" s="50"/>
    </row>
    <row r="6847" spans="117:121" x14ac:dyDescent="0.35">
      <c r="DM6847" s="50"/>
      <c r="DQ6847" s="50"/>
    </row>
    <row r="6848" spans="117:121" x14ac:dyDescent="0.35">
      <c r="DM6848" s="50"/>
      <c r="DQ6848" s="50"/>
    </row>
    <row r="6849" spans="117:121" x14ac:dyDescent="0.35">
      <c r="DM6849" s="50"/>
      <c r="DQ6849" s="50"/>
    </row>
    <row r="6850" spans="117:121" x14ac:dyDescent="0.35">
      <c r="DM6850" s="50"/>
      <c r="DQ6850" s="50"/>
    </row>
    <row r="6851" spans="117:121" x14ac:dyDescent="0.35">
      <c r="DM6851" s="50"/>
      <c r="DQ6851" s="50"/>
    </row>
    <row r="6852" spans="117:121" x14ac:dyDescent="0.35">
      <c r="DM6852" s="50"/>
      <c r="DQ6852" s="50"/>
    </row>
    <row r="6853" spans="117:121" x14ac:dyDescent="0.35">
      <c r="DM6853" s="50"/>
      <c r="DQ6853" s="50"/>
    </row>
    <row r="6854" spans="117:121" x14ac:dyDescent="0.35">
      <c r="DM6854" s="50"/>
      <c r="DQ6854" s="50"/>
    </row>
    <row r="6855" spans="117:121" x14ac:dyDescent="0.35">
      <c r="DM6855" s="50"/>
      <c r="DQ6855" s="50"/>
    </row>
    <row r="6856" spans="117:121" x14ac:dyDescent="0.35">
      <c r="DM6856" s="50"/>
      <c r="DQ6856" s="50"/>
    </row>
    <row r="6857" spans="117:121" x14ac:dyDescent="0.35">
      <c r="DM6857" s="50"/>
      <c r="DQ6857" s="50"/>
    </row>
    <row r="6858" spans="117:121" x14ac:dyDescent="0.35">
      <c r="DM6858" s="50"/>
      <c r="DQ6858" s="50"/>
    </row>
    <row r="6859" spans="117:121" x14ac:dyDescent="0.35">
      <c r="DM6859" s="50"/>
      <c r="DQ6859" s="50"/>
    </row>
    <row r="6860" spans="117:121" x14ac:dyDescent="0.35">
      <c r="DM6860" s="50"/>
      <c r="DQ6860" s="50"/>
    </row>
    <row r="6861" spans="117:121" x14ac:dyDescent="0.35">
      <c r="DM6861" s="50"/>
      <c r="DQ6861" s="50"/>
    </row>
    <row r="6862" spans="117:121" x14ac:dyDescent="0.35">
      <c r="DM6862" s="50"/>
      <c r="DQ6862" s="50"/>
    </row>
    <row r="6863" spans="117:121" x14ac:dyDescent="0.35">
      <c r="DM6863" s="50"/>
      <c r="DQ6863" s="50"/>
    </row>
    <row r="6864" spans="117:121" x14ac:dyDescent="0.35">
      <c r="DM6864" s="50"/>
      <c r="DQ6864" s="50"/>
    </row>
    <row r="6865" spans="117:121" x14ac:dyDescent="0.35">
      <c r="DM6865" s="50"/>
      <c r="DQ6865" s="50"/>
    </row>
    <row r="6866" spans="117:121" x14ac:dyDescent="0.35">
      <c r="DM6866" s="50"/>
      <c r="DQ6866" s="50"/>
    </row>
    <row r="6867" spans="117:121" x14ac:dyDescent="0.35">
      <c r="DM6867" s="50"/>
      <c r="DQ6867" s="50"/>
    </row>
    <row r="6868" spans="117:121" x14ac:dyDescent="0.35">
      <c r="DM6868" s="50"/>
      <c r="DQ6868" s="50"/>
    </row>
    <row r="6869" spans="117:121" x14ac:dyDescent="0.35">
      <c r="DM6869" s="50"/>
      <c r="DQ6869" s="50"/>
    </row>
    <row r="6870" spans="117:121" x14ac:dyDescent="0.35">
      <c r="DM6870" s="50"/>
      <c r="DQ6870" s="50"/>
    </row>
    <row r="6871" spans="117:121" x14ac:dyDescent="0.35">
      <c r="DM6871" s="50"/>
      <c r="DQ6871" s="50"/>
    </row>
    <row r="6872" spans="117:121" x14ac:dyDescent="0.35">
      <c r="DM6872" s="50"/>
      <c r="DQ6872" s="50"/>
    </row>
    <row r="6873" spans="117:121" x14ac:dyDescent="0.35">
      <c r="DM6873" s="50"/>
      <c r="DQ6873" s="50"/>
    </row>
    <row r="6874" spans="117:121" x14ac:dyDescent="0.35">
      <c r="DM6874" s="50"/>
      <c r="DQ6874" s="50"/>
    </row>
    <row r="6875" spans="117:121" x14ac:dyDescent="0.35">
      <c r="DM6875" s="50"/>
      <c r="DQ6875" s="50"/>
    </row>
    <row r="6876" spans="117:121" x14ac:dyDescent="0.35">
      <c r="DM6876" s="50"/>
      <c r="DQ6876" s="50"/>
    </row>
    <row r="6877" spans="117:121" x14ac:dyDescent="0.35">
      <c r="DM6877" s="50"/>
      <c r="DQ6877" s="50"/>
    </row>
    <row r="6878" spans="117:121" x14ac:dyDescent="0.35">
      <c r="DM6878" s="50"/>
      <c r="DQ6878" s="50"/>
    </row>
    <row r="6879" spans="117:121" x14ac:dyDescent="0.35">
      <c r="DM6879" s="50"/>
      <c r="DQ6879" s="50"/>
    </row>
    <row r="6880" spans="117:121" x14ac:dyDescent="0.35">
      <c r="DM6880" s="50"/>
      <c r="DQ6880" s="50"/>
    </row>
    <row r="6881" spans="117:121" x14ac:dyDescent="0.35">
      <c r="DM6881" s="50"/>
      <c r="DQ6881" s="50"/>
    </row>
    <row r="6882" spans="117:121" x14ac:dyDescent="0.35">
      <c r="DM6882" s="50"/>
      <c r="DQ6882" s="50"/>
    </row>
    <row r="6883" spans="117:121" x14ac:dyDescent="0.35">
      <c r="DM6883" s="50"/>
      <c r="DQ6883" s="50"/>
    </row>
    <row r="6884" spans="117:121" x14ac:dyDescent="0.35">
      <c r="DM6884" s="50"/>
      <c r="DQ6884" s="50"/>
    </row>
    <row r="6885" spans="117:121" x14ac:dyDescent="0.35">
      <c r="DM6885" s="50"/>
      <c r="DQ6885" s="50"/>
    </row>
    <row r="6886" spans="117:121" x14ac:dyDescent="0.35">
      <c r="DM6886" s="50"/>
      <c r="DQ6886" s="50"/>
    </row>
    <row r="6887" spans="117:121" x14ac:dyDescent="0.35">
      <c r="DM6887" s="50"/>
      <c r="DQ6887" s="50"/>
    </row>
    <row r="6888" spans="117:121" x14ac:dyDescent="0.35">
      <c r="DM6888" s="50"/>
      <c r="DQ6888" s="50"/>
    </row>
    <row r="6889" spans="117:121" x14ac:dyDescent="0.35">
      <c r="DM6889" s="50"/>
      <c r="DQ6889" s="50"/>
    </row>
    <row r="6890" spans="117:121" x14ac:dyDescent="0.35">
      <c r="DM6890" s="50"/>
      <c r="DQ6890" s="50"/>
    </row>
    <row r="6891" spans="117:121" x14ac:dyDescent="0.35">
      <c r="DM6891" s="50"/>
      <c r="DQ6891" s="50"/>
    </row>
    <row r="6892" spans="117:121" x14ac:dyDescent="0.35">
      <c r="DM6892" s="50"/>
      <c r="DQ6892" s="50"/>
    </row>
    <row r="6893" spans="117:121" x14ac:dyDescent="0.35">
      <c r="DM6893" s="50"/>
      <c r="DQ6893" s="50"/>
    </row>
    <row r="6894" spans="117:121" x14ac:dyDescent="0.35">
      <c r="DM6894" s="50"/>
      <c r="DQ6894" s="50"/>
    </row>
    <row r="6895" spans="117:121" x14ac:dyDescent="0.35">
      <c r="DM6895" s="50"/>
      <c r="DQ6895" s="50"/>
    </row>
    <row r="6896" spans="117:121" x14ac:dyDescent="0.35">
      <c r="DM6896" s="50"/>
      <c r="DQ6896" s="50"/>
    </row>
    <row r="6897" spans="117:121" x14ac:dyDescent="0.35">
      <c r="DM6897" s="50"/>
      <c r="DQ6897" s="50"/>
    </row>
    <row r="6898" spans="117:121" x14ac:dyDescent="0.35">
      <c r="DM6898" s="50"/>
      <c r="DQ6898" s="50"/>
    </row>
    <row r="6899" spans="117:121" x14ac:dyDescent="0.35">
      <c r="DM6899" s="50"/>
      <c r="DQ6899" s="50"/>
    </row>
    <row r="6900" spans="117:121" x14ac:dyDescent="0.35">
      <c r="DM6900" s="50"/>
      <c r="DQ6900" s="50"/>
    </row>
    <row r="6901" spans="117:121" x14ac:dyDescent="0.35">
      <c r="DM6901" s="50"/>
      <c r="DQ6901" s="50"/>
    </row>
    <row r="6902" spans="117:121" x14ac:dyDescent="0.35">
      <c r="DM6902" s="50"/>
      <c r="DQ6902" s="50"/>
    </row>
    <row r="6903" spans="117:121" x14ac:dyDescent="0.35">
      <c r="DM6903" s="50"/>
      <c r="DQ6903" s="50"/>
    </row>
    <row r="6904" spans="117:121" x14ac:dyDescent="0.35">
      <c r="DM6904" s="50"/>
      <c r="DQ6904" s="50"/>
    </row>
    <row r="6905" spans="117:121" x14ac:dyDescent="0.35">
      <c r="DM6905" s="50"/>
      <c r="DQ6905" s="50"/>
    </row>
    <row r="6906" spans="117:121" x14ac:dyDescent="0.35">
      <c r="DM6906" s="50"/>
      <c r="DQ6906" s="50"/>
    </row>
    <row r="6907" spans="117:121" x14ac:dyDescent="0.35">
      <c r="DM6907" s="50"/>
      <c r="DQ6907" s="50"/>
    </row>
    <row r="6908" spans="117:121" x14ac:dyDescent="0.35">
      <c r="DM6908" s="50"/>
      <c r="DQ6908" s="50"/>
    </row>
    <row r="6909" spans="117:121" x14ac:dyDescent="0.35">
      <c r="DM6909" s="50"/>
      <c r="DQ6909" s="50"/>
    </row>
    <row r="6910" spans="117:121" x14ac:dyDescent="0.35">
      <c r="DM6910" s="50"/>
      <c r="DQ6910" s="50"/>
    </row>
    <row r="6911" spans="117:121" x14ac:dyDescent="0.35">
      <c r="DM6911" s="50"/>
      <c r="DQ6911" s="50"/>
    </row>
    <row r="6912" spans="117:121" x14ac:dyDescent="0.35">
      <c r="DM6912" s="50"/>
      <c r="DQ6912" s="50"/>
    </row>
    <row r="6913" spans="117:121" x14ac:dyDescent="0.35">
      <c r="DM6913" s="50"/>
      <c r="DQ6913" s="50"/>
    </row>
    <row r="6914" spans="117:121" x14ac:dyDescent="0.35">
      <c r="DM6914" s="50"/>
      <c r="DQ6914" s="50"/>
    </row>
    <row r="6915" spans="117:121" x14ac:dyDescent="0.35">
      <c r="DM6915" s="50"/>
      <c r="DQ6915" s="50"/>
    </row>
    <row r="6916" spans="117:121" x14ac:dyDescent="0.35">
      <c r="DM6916" s="50"/>
      <c r="DQ6916" s="50"/>
    </row>
    <row r="6917" spans="117:121" x14ac:dyDescent="0.35">
      <c r="DM6917" s="50"/>
      <c r="DQ6917" s="50"/>
    </row>
    <row r="6918" spans="117:121" x14ac:dyDescent="0.35">
      <c r="DM6918" s="50"/>
      <c r="DQ6918" s="50"/>
    </row>
    <row r="6919" spans="117:121" x14ac:dyDescent="0.35">
      <c r="DM6919" s="50"/>
      <c r="DQ6919" s="50"/>
    </row>
    <row r="6920" spans="117:121" x14ac:dyDescent="0.35">
      <c r="DM6920" s="50"/>
      <c r="DQ6920" s="50"/>
    </row>
    <row r="6921" spans="117:121" x14ac:dyDescent="0.35">
      <c r="DM6921" s="50"/>
      <c r="DQ6921" s="50"/>
    </row>
    <row r="6922" spans="117:121" x14ac:dyDescent="0.35">
      <c r="DM6922" s="50"/>
      <c r="DQ6922" s="50"/>
    </row>
    <row r="6923" spans="117:121" x14ac:dyDescent="0.35">
      <c r="DM6923" s="50"/>
      <c r="DQ6923" s="50"/>
    </row>
    <row r="6924" spans="117:121" x14ac:dyDescent="0.35">
      <c r="DM6924" s="50"/>
      <c r="DQ6924" s="50"/>
    </row>
    <row r="6925" spans="117:121" x14ac:dyDescent="0.35">
      <c r="DM6925" s="50"/>
      <c r="DQ6925" s="50"/>
    </row>
    <row r="6926" spans="117:121" x14ac:dyDescent="0.35">
      <c r="DM6926" s="50"/>
      <c r="DQ6926" s="50"/>
    </row>
    <row r="6927" spans="117:121" x14ac:dyDescent="0.35">
      <c r="DM6927" s="50"/>
      <c r="DQ6927" s="50"/>
    </row>
    <row r="6928" spans="117:121" x14ac:dyDescent="0.35">
      <c r="DM6928" s="50"/>
      <c r="DQ6928" s="50"/>
    </row>
    <row r="6929" spans="117:121" x14ac:dyDescent="0.35">
      <c r="DM6929" s="50"/>
      <c r="DQ6929" s="50"/>
    </row>
    <row r="6930" spans="117:121" x14ac:dyDescent="0.35">
      <c r="DM6930" s="50"/>
      <c r="DQ6930" s="50"/>
    </row>
    <row r="6931" spans="117:121" x14ac:dyDescent="0.35">
      <c r="DM6931" s="50"/>
      <c r="DQ6931" s="50"/>
    </row>
    <row r="6932" spans="117:121" x14ac:dyDescent="0.35">
      <c r="DM6932" s="50"/>
      <c r="DQ6932" s="50"/>
    </row>
    <row r="6933" spans="117:121" x14ac:dyDescent="0.35">
      <c r="DM6933" s="50"/>
      <c r="DQ6933" s="50"/>
    </row>
    <row r="6934" spans="117:121" x14ac:dyDescent="0.35">
      <c r="DM6934" s="50"/>
      <c r="DQ6934" s="50"/>
    </row>
    <row r="6935" spans="117:121" x14ac:dyDescent="0.35">
      <c r="DM6935" s="50"/>
      <c r="DQ6935" s="50"/>
    </row>
    <row r="6936" spans="117:121" x14ac:dyDescent="0.35">
      <c r="DM6936" s="50"/>
      <c r="DQ6936" s="50"/>
    </row>
    <row r="6937" spans="117:121" x14ac:dyDescent="0.35">
      <c r="DM6937" s="50"/>
      <c r="DQ6937" s="50"/>
    </row>
    <row r="6938" spans="117:121" x14ac:dyDescent="0.35">
      <c r="DM6938" s="50"/>
      <c r="DQ6938" s="50"/>
    </row>
    <row r="6939" spans="117:121" x14ac:dyDescent="0.35">
      <c r="DM6939" s="50"/>
      <c r="DQ6939" s="50"/>
    </row>
    <row r="6940" spans="117:121" x14ac:dyDescent="0.35">
      <c r="DM6940" s="50"/>
      <c r="DQ6940" s="50"/>
    </row>
    <row r="6941" spans="117:121" x14ac:dyDescent="0.35">
      <c r="DM6941" s="50"/>
      <c r="DQ6941" s="50"/>
    </row>
    <row r="6942" spans="117:121" x14ac:dyDescent="0.35">
      <c r="DM6942" s="50"/>
      <c r="DQ6942" s="50"/>
    </row>
    <row r="6943" spans="117:121" x14ac:dyDescent="0.35">
      <c r="DM6943" s="50"/>
      <c r="DQ6943" s="50"/>
    </row>
    <row r="6944" spans="117:121" x14ac:dyDescent="0.35">
      <c r="DM6944" s="50"/>
      <c r="DQ6944" s="50"/>
    </row>
    <row r="6945" spans="117:121" x14ac:dyDescent="0.35">
      <c r="DM6945" s="50"/>
      <c r="DQ6945" s="50"/>
    </row>
    <row r="6946" spans="117:121" x14ac:dyDescent="0.35">
      <c r="DM6946" s="50"/>
      <c r="DQ6946" s="50"/>
    </row>
    <row r="6947" spans="117:121" x14ac:dyDescent="0.35">
      <c r="DM6947" s="50"/>
      <c r="DQ6947" s="50"/>
    </row>
    <row r="6948" spans="117:121" x14ac:dyDescent="0.35">
      <c r="DM6948" s="50"/>
      <c r="DQ6948" s="50"/>
    </row>
    <row r="6949" spans="117:121" x14ac:dyDescent="0.35">
      <c r="DM6949" s="50"/>
      <c r="DQ6949" s="50"/>
    </row>
    <row r="6950" spans="117:121" x14ac:dyDescent="0.35">
      <c r="DM6950" s="50"/>
      <c r="DQ6950" s="50"/>
    </row>
    <row r="6951" spans="117:121" x14ac:dyDescent="0.35">
      <c r="DM6951" s="50"/>
      <c r="DQ6951" s="50"/>
    </row>
    <row r="6952" spans="117:121" x14ac:dyDescent="0.35">
      <c r="DM6952" s="50"/>
      <c r="DQ6952" s="50"/>
    </row>
    <row r="6953" spans="117:121" x14ac:dyDescent="0.35">
      <c r="DM6953" s="50"/>
      <c r="DQ6953" s="50"/>
    </row>
    <row r="6954" spans="117:121" x14ac:dyDescent="0.35">
      <c r="DM6954" s="50"/>
      <c r="DQ6954" s="50"/>
    </row>
    <row r="6955" spans="117:121" x14ac:dyDescent="0.35">
      <c r="DM6955" s="50"/>
      <c r="DQ6955" s="50"/>
    </row>
    <row r="6956" spans="117:121" x14ac:dyDescent="0.35">
      <c r="DM6956" s="50"/>
      <c r="DQ6956" s="50"/>
    </row>
    <row r="6957" spans="117:121" x14ac:dyDescent="0.35">
      <c r="DM6957" s="50"/>
      <c r="DQ6957" s="50"/>
    </row>
    <row r="6958" spans="117:121" x14ac:dyDescent="0.35">
      <c r="DM6958" s="50"/>
      <c r="DQ6958" s="50"/>
    </row>
    <row r="6959" spans="117:121" x14ac:dyDescent="0.35">
      <c r="DM6959" s="50"/>
      <c r="DQ6959" s="50"/>
    </row>
    <row r="6960" spans="117:121" x14ac:dyDescent="0.35">
      <c r="DM6960" s="50"/>
      <c r="DQ6960" s="50"/>
    </row>
    <row r="6961" spans="117:121" x14ac:dyDescent="0.35">
      <c r="DM6961" s="50"/>
      <c r="DQ6961" s="50"/>
    </row>
    <row r="6962" spans="117:121" x14ac:dyDescent="0.35">
      <c r="DM6962" s="50"/>
      <c r="DQ6962" s="50"/>
    </row>
    <row r="6963" spans="117:121" x14ac:dyDescent="0.35">
      <c r="DM6963" s="50"/>
      <c r="DQ6963" s="50"/>
    </row>
    <row r="6964" spans="117:121" x14ac:dyDescent="0.35">
      <c r="DM6964" s="50"/>
      <c r="DQ6964" s="50"/>
    </row>
    <row r="6965" spans="117:121" x14ac:dyDescent="0.35">
      <c r="DM6965" s="50"/>
      <c r="DQ6965" s="50"/>
    </row>
    <row r="6966" spans="117:121" x14ac:dyDescent="0.35">
      <c r="DM6966" s="50"/>
      <c r="DQ6966" s="50"/>
    </row>
    <row r="6967" spans="117:121" x14ac:dyDescent="0.35">
      <c r="DM6967" s="50"/>
      <c r="DQ6967" s="50"/>
    </row>
    <row r="6968" spans="117:121" x14ac:dyDescent="0.35">
      <c r="DM6968" s="50"/>
      <c r="DQ6968" s="50"/>
    </row>
    <row r="6969" spans="117:121" x14ac:dyDescent="0.35">
      <c r="DM6969" s="50"/>
      <c r="DQ6969" s="50"/>
    </row>
    <row r="6970" spans="117:121" x14ac:dyDescent="0.35">
      <c r="DM6970" s="50"/>
      <c r="DQ6970" s="50"/>
    </row>
    <row r="6971" spans="117:121" x14ac:dyDescent="0.35">
      <c r="DM6971" s="50"/>
      <c r="DQ6971" s="50"/>
    </row>
    <row r="6972" spans="117:121" x14ac:dyDescent="0.35">
      <c r="DM6972" s="50"/>
      <c r="DQ6972" s="50"/>
    </row>
    <row r="6973" spans="117:121" x14ac:dyDescent="0.35">
      <c r="DM6973" s="50"/>
      <c r="DQ6973" s="50"/>
    </row>
    <row r="6974" spans="117:121" x14ac:dyDescent="0.35">
      <c r="DM6974" s="50"/>
      <c r="DQ6974" s="50"/>
    </row>
    <row r="6975" spans="117:121" x14ac:dyDescent="0.35">
      <c r="DM6975" s="50"/>
      <c r="DQ6975" s="50"/>
    </row>
    <row r="6976" spans="117:121" x14ac:dyDescent="0.35">
      <c r="DM6976" s="50"/>
      <c r="DQ6976" s="50"/>
    </row>
    <row r="6977" spans="117:121" x14ac:dyDescent="0.35">
      <c r="DM6977" s="50"/>
      <c r="DQ6977" s="50"/>
    </row>
    <row r="6978" spans="117:121" x14ac:dyDescent="0.35">
      <c r="DM6978" s="50"/>
      <c r="DQ6978" s="50"/>
    </row>
    <row r="6979" spans="117:121" x14ac:dyDescent="0.35">
      <c r="DM6979" s="50"/>
      <c r="DQ6979" s="50"/>
    </row>
    <row r="6980" spans="117:121" x14ac:dyDescent="0.35">
      <c r="DM6980" s="50"/>
      <c r="DQ6980" s="50"/>
    </row>
    <row r="6981" spans="117:121" x14ac:dyDescent="0.35">
      <c r="DM6981" s="50"/>
      <c r="DQ6981" s="50"/>
    </row>
    <row r="6982" spans="117:121" x14ac:dyDescent="0.35">
      <c r="DM6982" s="50"/>
      <c r="DQ6982" s="50"/>
    </row>
    <row r="6983" spans="117:121" x14ac:dyDescent="0.35">
      <c r="DM6983" s="50"/>
      <c r="DQ6983" s="50"/>
    </row>
    <row r="6984" spans="117:121" x14ac:dyDescent="0.35">
      <c r="DM6984" s="50"/>
      <c r="DQ6984" s="50"/>
    </row>
    <row r="6985" spans="117:121" x14ac:dyDescent="0.35">
      <c r="DM6985" s="50"/>
      <c r="DQ6985" s="50"/>
    </row>
    <row r="6986" spans="117:121" x14ac:dyDescent="0.35">
      <c r="DM6986" s="50"/>
      <c r="DQ6986" s="50"/>
    </row>
    <row r="6987" spans="117:121" x14ac:dyDescent="0.35">
      <c r="DM6987" s="50"/>
      <c r="DQ6987" s="50"/>
    </row>
    <row r="6988" spans="117:121" x14ac:dyDescent="0.35">
      <c r="DM6988" s="50"/>
      <c r="DQ6988" s="50"/>
    </row>
    <row r="6989" spans="117:121" x14ac:dyDescent="0.35">
      <c r="DM6989" s="50"/>
      <c r="DQ6989" s="50"/>
    </row>
    <row r="6990" spans="117:121" x14ac:dyDescent="0.35">
      <c r="DM6990" s="50"/>
      <c r="DQ6990" s="50"/>
    </row>
    <row r="6991" spans="117:121" x14ac:dyDescent="0.35">
      <c r="DM6991" s="50"/>
      <c r="DQ6991" s="50"/>
    </row>
    <row r="6992" spans="117:121" x14ac:dyDescent="0.35">
      <c r="DM6992" s="50"/>
      <c r="DQ6992" s="50"/>
    </row>
    <row r="6993" spans="117:121" x14ac:dyDescent="0.35">
      <c r="DM6993" s="50"/>
      <c r="DQ6993" s="50"/>
    </row>
    <row r="6994" spans="117:121" x14ac:dyDescent="0.35">
      <c r="DM6994" s="50"/>
      <c r="DQ6994" s="50"/>
    </row>
    <row r="6995" spans="117:121" x14ac:dyDescent="0.35">
      <c r="DM6995" s="50"/>
      <c r="DQ6995" s="50"/>
    </row>
    <row r="6996" spans="117:121" x14ac:dyDescent="0.35">
      <c r="DM6996" s="50"/>
      <c r="DQ6996" s="50"/>
    </row>
    <row r="6997" spans="117:121" x14ac:dyDescent="0.35">
      <c r="DM6997" s="50"/>
      <c r="DQ6997" s="50"/>
    </row>
    <row r="6998" spans="117:121" x14ac:dyDescent="0.35">
      <c r="DM6998" s="50"/>
      <c r="DQ6998" s="50"/>
    </row>
    <row r="6999" spans="117:121" x14ac:dyDescent="0.35">
      <c r="DM6999" s="50"/>
      <c r="DQ6999" s="50"/>
    </row>
    <row r="7000" spans="117:121" x14ac:dyDescent="0.35">
      <c r="DM7000" s="50"/>
      <c r="DQ7000" s="50"/>
    </row>
    <row r="7001" spans="117:121" x14ac:dyDescent="0.35">
      <c r="DM7001" s="50"/>
      <c r="DQ7001" s="50"/>
    </row>
    <row r="7002" spans="117:121" x14ac:dyDescent="0.35">
      <c r="DM7002" s="50"/>
      <c r="DQ7002" s="50"/>
    </row>
    <row r="7003" spans="117:121" x14ac:dyDescent="0.35">
      <c r="DM7003" s="50"/>
      <c r="DQ7003" s="50"/>
    </row>
    <row r="7004" spans="117:121" x14ac:dyDescent="0.35">
      <c r="DM7004" s="50"/>
      <c r="DQ7004" s="50"/>
    </row>
    <row r="7005" spans="117:121" x14ac:dyDescent="0.35">
      <c r="DM7005" s="50"/>
      <c r="DQ7005" s="50"/>
    </row>
    <row r="7006" spans="117:121" x14ac:dyDescent="0.35">
      <c r="DM7006" s="50"/>
      <c r="DQ7006" s="50"/>
    </row>
    <row r="7007" spans="117:121" x14ac:dyDescent="0.35">
      <c r="DM7007" s="50"/>
      <c r="DQ7007" s="50"/>
    </row>
    <row r="7008" spans="117:121" x14ac:dyDescent="0.35">
      <c r="DM7008" s="50"/>
      <c r="DQ7008" s="50"/>
    </row>
    <row r="7009" spans="117:121" x14ac:dyDescent="0.35">
      <c r="DM7009" s="50"/>
      <c r="DQ7009" s="50"/>
    </row>
    <row r="7010" spans="117:121" x14ac:dyDescent="0.35">
      <c r="DM7010" s="50"/>
      <c r="DQ7010" s="50"/>
    </row>
    <row r="7011" spans="117:121" x14ac:dyDescent="0.35">
      <c r="DM7011" s="50"/>
      <c r="DQ7011" s="50"/>
    </row>
    <row r="7012" spans="117:121" x14ac:dyDescent="0.35">
      <c r="DM7012" s="50"/>
      <c r="DQ7012" s="50"/>
    </row>
    <row r="7013" spans="117:121" x14ac:dyDescent="0.35">
      <c r="DM7013" s="50"/>
      <c r="DQ7013" s="50"/>
    </row>
    <row r="7014" spans="117:121" x14ac:dyDescent="0.35">
      <c r="DM7014" s="50"/>
      <c r="DQ7014" s="50"/>
    </row>
    <row r="7015" spans="117:121" x14ac:dyDescent="0.35">
      <c r="DM7015" s="50"/>
      <c r="DQ7015" s="50"/>
    </row>
    <row r="7016" spans="117:121" x14ac:dyDescent="0.35">
      <c r="DM7016" s="50"/>
      <c r="DQ7016" s="50"/>
    </row>
    <row r="7017" spans="117:121" x14ac:dyDescent="0.35">
      <c r="DM7017" s="50"/>
      <c r="DQ7017" s="50"/>
    </row>
    <row r="7018" spans="117:121" x14ac:dyDescent="0.35">
      <c r="DM7018" s="50"/>
      <c r="DQ7018" s="50"/>
    </row>
    <row r="7019" spans="117:121" x14ac:dyDescent="0.35">
      <c r="DM7019" s="50"/>
      <c r="DQ7019" s="50"/>
    </row>
    <row r="7020" spans="117:121" x14ac:dyDescent="0.35">
      <c r="DM7020" s="50"/>
      <c r="DQ7020" s="50"/>
    </row>
    <row r="7021" spans="117:121" x14ac:dyDescent="0.35">
      <c r="DM7021" s="50"/>
      <c r="DQ7021" s="50"/>
    </row>
    <row r="7022" spans="117:121" x14ac:dyDescent="0.35">
      <c r="DM7022" s="50"/>
      <c r="DQ7022" s="50"/>
    </row>
    <row r="7023" spans="117:121" x14ac:dyDescent="0.35">
      <c r="DM7023" s="50"/>
      <c r="DQ7023" s="50"/>
    </row>
    <row r="7024" spans="117:121" x14ac:dyDescent="0.35">
      <c r="DM7024" s="50"/>
      <c r="DQ7024" s="50"/>
    </row>
    <row r="7025" spans="117:121" x14ac:dyDescent="0.35">
      <c r="DM7025" s="50"/>
      <c r="DQ7025" s="50"/>
    </row>
    <row r="7026" spans="117:121" x14ac:dyDescent="0.35">
      <c r="DM7026" s="50"/>
      <c r="DQ7026" s="50"/>
    </row>
    <row r="7027" spans="117:121" x14ac:dyDescent="0.35">
      <c r="DM7027" s="50"/>
      <c r="DQ7027" s="50"/>
    </row>
    <row r="7028" spans="117:121" x14ac:dyDescent="0.35">
      <c r="DM7028" s="50"/>
      <c r="DQ7028" s="50"/>
    </row>
    <row r="7029" spans="117:121" x14ac:dyDescent="0.35">
      <c r="DM7029" s="50"/>
      <c r="DQ7029" s="50"/>
    </row>
    <row r="7030" spans="117:121" x14ac:dyDescent="0.35">
      <c r="DM7030" s="50"/>
      <c r="DQ7030" s="50"/>
    </row>
    <row r="7031" spans="117:121" x14ac:dyDescent="0.35">
      <c r="DM7031" s="50"/>
      <c r="DQ7031" s="50"/>
    </row>
    <row r="7032" spans="117:121" x14ac:dyDescent="0.35">
      <c r="DM7032" s="50"/>
      <c r="DQ7032" s="50"/>
    </row>
    <row r="7033" spans="117:121" x14ac:dyDescent="0.35">
      <c r="DM7033" s="50"/>
      <c r="DQ7033" s="50"/>
    </row>
    <row r="7034" spans="117:121" x14ac:dyDescent="0.35">
      <c r="DM7034" s="50"/>
      <c r="DQ7034" s="50"/>
    </row>
    <row r="7035" spans="117:121" x14ac:dyDescent="0.35">
      <c r="DM7035" s="50"/>
      <c r="DQ7035" s="50"/>
    </row>
    <row r="7036" spans="117:121" x14ac:dyDescent="0.35">
      <c r="DM7036" s="50"/>
      <c r="DQ7036" s="50"/>
    </row>
    <row r="7037" spans="117:121" x14ac:dyDescent="0.35">
      <c r="DM7037" s="50"/>
      <c r="DQ7037" s="50"/>
    </row>
    <row r="7038" spans="117:121" x14ac:dyDescent="0.35">
      <c r="DM7038" s="50"/>
      <c r="DQ7038" s="50"/>
    </row>
    <row r="7039" spans="117:121" x14ac:dyDescent="0.35">
      <c r="DM7039" s="50"/>
      <c r="DQ7039" s="50"/>
    </row>
    <row r="7040" spans="117:121" x14ac:dyDescent="0.35">
      <c r="DM7040" s="50"/>
      <c r="DQ7040" s="50"/>
    </row>
    <row r="7041" spans="117:121" x14ac:dyDescent="0.35">
      <c r="DM7041" s="50"/>
      <c r="DQ7041" s="50"/>
    </row>
    <row r="7042" spans="117:121" x14ac:dyDescent="0.35">
      <c r="DM7042" s="50"/>
      <c r="DQ7042" s="50"/>
    </row>
    <row r="7043" spans="117:121" x14ac:dyDescent="0.35">
      <c r="DM7043" s="50"/>
      <c r="DQ7043" s="50"/>
    </row>
    <row r="7044" spans="117:121" x14ac:dyDescent="0.35">
      <c r="DM7044" s="50"/>
      <c r="DQ7044" s="50"/>
    </row>
    <row r="7045" spans="117:121" x14ac:dyDescent="0.35">
      <c r="DM7045" s="50"/>
      <c r="DQ7045" s="50"/>
    </row>
    <row r="7046" spans="117:121" x14ac:dyDescent="0.35">
      <c r="DM7046" s="50"/>
      <c r="DQ7046" s="50"/>
    </row>
    <row r="7047" spans="117:121" x14ac:dyDescent="0.35">
      <c r="DM7047" s="50"/>
      <c r="DQ7047" s="50"/>
    </row>
    <row r="7048" spans="117:121" x14ac:dyDescent="0.35">
      <c r="DM7048" s="50"/>
      <c r="DQ7048" s="50"/>
    </row>
    <row r="7049" spans="117:121" x14ac:dyDescent="0.35">
      <c r="DM7049" s="50"/>
      <c r="DQ7049" s="50"/>
    </row>
    <row r="7050" spans="117:121" x14ac:dyDescent="0.35">
      <c r="DM7050" s="50"/>
      <c r="DQ7050" s="50"/>
    </row>
    <row r="7051" spans="117:121" x14ac:dyDescent="0.35">
      <c r="DM7051" s="50"/>
      <c r="DQ7051" s="50"/>
    </row>
    <row r="7052" spans="117:121" x14ac:dyDescent="0.35">
      <c r="DM7052" s="50"/>
      <c r="DQ7052" s="50"/>
    </row>
    <row r="7053" spans="117:121" x14ac:dyDescent="0.35">
      <c r="DM7053" s="50"/>
      <c r="DQ7053" s="50"/>
    </row>
    <row r="7054" spans="117:121" x14ac:dyDescent="0.35">
      <c r="DM7054" s="50"/>
      <c r="DQ7054" s="50"/>
    </row>
    <row r="7055" spans="117:121" x14ac:dyDescent="0.35">
      <c r="DM7055" s="50"/>
      <c r="DQ7055" s="50"/>
    </row>
    <row r="7056" spans="117:121" x14ac:dyDescent="0.35">
      <c r="DM7056" s="50"/>
      <c r="DQ7056" s="50"/>
    </row>
    <row r="7057" spans="117:121" x14ac:dyDescent="0.35">
      <c r="DM7057" s="50"/>
      <c r="DQ7057" s="50"/>
    </row>
    <row r="7058" spans="117:121" x14ac:dyDescent="0.35">
      <c r="DM7058" s="50"/>
      <c r="DQ7058" s="50"/>
    </row>
    <row r="7059" spans="117:121" x14ac:dyDescent="0.35">
      <c r="DM7059" s="50"/>
      <c r="DQ7059" s="50"/>
    </row>
    <row r="7060" spans="117:121" x14ac:dyDescent="0.35">
      <c r="DM7060" s="50"/>
      <c r="DQ7060" s="50"/>
    </row>
    <row r="7061" spans="117:121" x14ac:dyDescent="0.35">
      <c r="DM7061" s="50"/>
      <c r="DQ7061" s="50"/>
    </row>
    <row r="7062" spans="117:121" x14ac:dyDescent="0.35">
      <c r="DM7062" s="50"/>
      <c r="DQ7062" s="50"/>
    </row>
    <row r="7063" spans="117:121" x14ac:dyDescent="0.35">
      <c r="DM7063" s="50"/>
      <c r="DQ7063" s="50"/>
    </row>
    <row r="7064" spans="117:121" x14ac:dyDescent="0.35">
      <c r="DM7064" s="50"/>
      <c r="DQ7064" s="50"/>
    </row>
    <row r="7065" spans="117:121" x14ac:dyDescent="0.35">
      <c r="DM7065" s="50"/>
      <c r="DQ7065" s="50"/>
    </row>
    <row r="7066" spans="117:121" x14ac:dyDescent="0.35">
      <c r="DM7066" s="50"/>
      <c r="DQ7066" s="50"/>
    </row>
    <row r="7067" spans="117:121" x14ac:dyDescent="0.35">
      <c r="DM7067" s="50"/>
      <c r="DQ7067" s="50"/>
    </row>
    <row r="7068" spans="117:121" x14ac:dyDescent="0.35">
      <c r="DM7068" s="50"/>
      <c r="DQ7068" s="50"/>
    </row>
    <row r="7069" spans="117:121" x14ac:dyDescent="0.35">
      <c r="DM7069" s="50"/>
      <c r="DQ7069" s="50"/>
    </row>
    <row r="7070" spans="117:121" x14ac:dyDescent="0.35">
      <c r="DM7070" s="50"/>
      <c r="DQ7070" s="50"/>
    </row>
    <row r="7071" spans="117:121" x14ac:dyDescent="0.35">
      <c r="DM7071" s="50"/>
      <c r="DQ7071" s="50"/>
    </row>
    <row r="7072" spans="117:121" x14ac:dyDescent="0.35">
      <c r="DM7072" s="50"/>
      <c r="DQ7072" s="50"/>
    </row>
    <row r="7073" spans="117:121" x14ac:dyDescent="0.35">
      <c r="DM7073" s="50"/>
      <c r="DQ7073" s="50"/>
    </row>
    <row r="7074" spans="117:121" x14ac:dyDescent="0.35">
      <c r="DM7074" s="50"/>
      <c r="DQ7074" s="50"/>
    </row>
    <row r="7075" spans="117:121" x14ac:dyDescent="0.35">
      <c r="DM7075" s="50"/>
      <c r="DQ7075" s="50"/>
    </row>
    <row r="7076" spans="117:121" x14ac:dyDescent="0.35">
      <c r="DM7076" s="50"/>
      <c r="DQ7076" s="50"/>
    </row>
    <row r="7077" spans="117:121" x14ac:dyDescent="0.35">
      <c r="DM7077" s="50"/>
      <c r="DQ7077" s="50"/>
    </row>
    <row r="7078" spans="117:121" x14ac:dyDescent="0.35">
      <c r="DM7078" s="50"/>
      <c r="DQ7078" s="50"/>
    </row>
    <row r="7079" spans="117:121" x14ac:dyDescent="0.35">
      <c r="DM7079" s="50"/>
      <c r="DQ7079" s="50"/>
    </row>
    <row r="7080" spans="117:121" x14ac:dyDescent="0.35">
      <c r="DM7080" s="50"/>
      <c r="DQ7080" s="50"/>
    </row>
    <row r="7081" spans="117:121" x14ac:dyDescent="0.35">
      <c r="DM7081" s="50"/>
      <c r="DQ7081" s="50"/>
    </row>
    <row r="7082" spans="117:121" x14ac:dyDescent="0.35">
      <c r="DM7082" s="50"/>
      <c r="DQ7082" s="50"/>
    </row>
    <row r="7083" spans="117:121" x14ac:dyDescent="0.35">
      <c r="DM7083" s="50"/>
      <c r="DQ7083" s="50"/>
    </row>
    <row r="7084" spans="117:121" x14ac:dyDescent="0.35">
      <c r="DM7084" s="50"/>
      <c r="DQ7084" s="50"/>
    </row>
    <row r="7085" spans="117:121" x14ac:dyDescent="0.35">
      <c r="DM7085" s="50"/>
      <c r="DQ7085" s="50"/>
    </row>
    <row r="7086" spans="117:121" x14ac:dyDescent="0.35">
      <c r="DM7086" s="50"/>
      <c r="DQ7086" s="50"/>
    </row>
    <row r="7087" spans="117:121" x14ac:dyDescent="0.35">
      <c r="DM7087" s="50"/>
      <c r="DQ7087" s="50"/>
    </row>
    <row r="7088" spans="117:121" x14ac:dyDescent="0.35">
      <c r="DM7088" s="50"/>
      <c r="DQ7088" s="50"/>
    </row>
    <row r="7089" spans="117:121" x14ac:dyDescent="0.35">
      <c r="DM7089" s="50"/>
      <c r="DQ7089" s="50"/>
    </row>
    <row r="7090" spans="117:121" x14ac:dyDescent="0.35">
      <c r="DM7090" s="50"/>
      <c r="DQ7090" s="50"/>
    </row>
    <row r="7091" spans="117:121" x14ac:dyDescent="0.35">
      <c r="DM7091" s="50"/>
      <c r="DQ7091" s="50"/>
    </row>
    <row r="7092" spans="117:121" x14ac:dyDescent="0.35">
      <c r="DM7092" s="50"/>
      <c r="DQ7092" s="50"/>
    </row>
    <row r="7093" spans="117:121" x14ac:dyDescent="0.35">
      <c r="DM7093" s="50"/>
      <c r="DQ7093" s="50"/>
    </row>
    <row r="7094" spans="117:121" x14ac:dyDescent="0.35">
      <c r="DM7094" s="50"/>
      <c r="DQ7094" s="50"/>
    </row>
    <row r="7095" spans="117:121" x14ac:dyDescent="0.35">
      <c r="DM7095" s="50"/>
      <c r="DQ7095" s="50"/>
    </row>
    <row r="7096" spans="117:121" x14ac:dyDescent="0.35">
      <c r="DM7096" s="50"/>
      <c r="DQ7096" s="50"/>
    </row>
    <row r="7097" spans="117:121" x14ac:dyDescent="0.35">
      <c r="DM7097" s="50"/>
      <c r="DQ7097" s="50"/>
    </row>
    <row r="7098" spans="117:121" x14ac:dyDescent="0.35">
      <c r="DM7098" s="50"/>
      <c r="DQ7098" s="50"/>
    </row>
    <row r="7099" spans="117:121" x14ac:dyDescent="0.35">
      <c r="DM7099" s="50"/>
      <c r="DQ7099" s="50"/>
    </row>
    <row r="7100" spans="117:121" x14ac:dyDescent="0.35">
      <c r="DM7100" s="50"/>
      <c r="DQ7100" s="50"/>
    </row>
    <row r="7101" spans="117:121" x14ac:dyDescent="0.35">
      <c r="DM7101" s="50"/>
      <c r="DQ7101" s="50"/>
    </row>
    <row r="7102" spans="117:121" x14ac:dyDescent="0.35">
      <c r="DM7102" s="50"/>
      <c r="DQ7102" s="50"/>
    </row>
    <row r="7103" spans="117:121" x14ac:dyDescent="0.35">
      <c r="DM7103" s="50"/>
      <c r="DQ7103" s="50"/>
    </row>
    <row r="7104" spans="117:121" x14ac:dyDescent="0.35">
      <c r="DM7104" s="50"/>
      <c r="DQ7104" s="50"/>
    </row>
    <row r="7105" spans="117:121" x14ac:dyDescent="0.35">
      <c r="DM7105" s="50"/>
      <c r="DQ7105" s="50"/>
    </row>
    <row r="7106" spans="117:121" x14ac:dyDescent="0.35">
      <c r="DM7106" s="50"/>
      <c r="DQ7106" s="50"/>
    </row>
    <row r="7107" spans="117:121" x14ac:dyDescent="0.35">
      <c r="DM7107" s="50"/>
      <c r="DQ7107" s="50"/>
    </row>
    <row r="7108" spans="117:121" x14ac:dyDescent="0.35">
      <c r="DM7108" s="50"/>
      <c r="DQ7108" s="50"/>
    </row>
    <row r="7109" spans="117:121" x14ac:dyDescent="0.35">
      <c r="DM7109" s="50"/>
      <c r="DQ7109" s="50"/>
    </row>
    <row r="7110" spans="117:121" x14ac:dyDescent="0.35">
      <c r="DM7110" s="50"/>
      <c r="DQ7110" s="50"/>
    </row>
    <row r="7111" spans="117:121" x14ac:dyDescent="0.35">
      <c r="DM7111" s="50"/>
      <c r="DQ7111" s="50"/>
    </row>
    <row r="7112" spans="117:121" x14ac:dyDescent="0.35">
      <c r="DM7112" s="50"/>
      <c r="DQ7112" s="50"/>
    </row>
    <row r="7113" spans="117:121" x14ac:dyDescent="0.35">
      <c r="DM7113" s="50"/>
      <c r="DQ7113" s="50"/>
    </row>
    <row r="7114" spans="117:121" x14ac:dyDescent="0.35">
      <c r="DM7114" s="50"/>
      <c r="DQ7114" s="50"/>
    </row>
    <row r="7115" spans="117:121" x14ac:dyDescent="0.35">
      <c r="DM7115" s="50"/>
      <c r="DQ7115" s="50"/>
    </row>
    <row r="7116" spans="117:121" x14ac:dyDescent="0.35">
      <c r="DM7116" s="50"/>
      <c r="DQ7116" s="50"/>
    </row>
    <row r="7117" spans="117:121" x14ac:dyDescent="0.35">
      <c r="DM7117" s="50"/>
      <c r="DQ7117" s="50"/>
    </row>
    <row r="7118" spans="117:121" x14ac:dyDescent="0.35">
      <c r="DM7118" s="50"/>
      <c r="DQ7118" s="50"/>
    </row>
    <row r="7119" spans="117:121" x14ac:dyDescent="0.35">
      <c r="DM7119" s="50"/>
      <c r="DQ7119" s="50"/>
    </row>
    <row r="7120" spans="117:121" x14ac:dyDescent="0.35">
      <c r="DM7120" s="50"/>
      <c r="DQ7120" s="50"/>
    </row>
    <row r="7121" spans="117:121" x14ac:dyDescent="0.35">
      <c r="DM7121" s="50"/>
      <c r="DQ7121" s="50"/>
    </row>
    <row r="7122" spans="117:121" x14ac:dyDescent="0.35">
      <c r="DM7122" s="50"/>
      <c r="DQ7122" s="50"/>
    </row>
    <row r="7123" spans="117:121" x14ac:dyDescent="0.35">
      <c r="DM7123" s="50"/>
      <c r="DQ7123" s="50"/>
    </row>
    <row r="7124" spans="117:121" x14ac:dyDescent="0.35">
      <c r="DM7124" s="50"/>
      <c r="DQ7124" s="50"/>
    </row>
    <row r="7125" spans="117:121" x14ac:dyDescent="0.35">
      <c r="DM7125" s="50"/>
      <c r="DQ7125" s="50"/>
    </row>
    <row r="7126" spans="117:121" x14ac:dyDescent="0.35">
      <c r="DM7126" s="50"/>
      <c r="DQ7126" s="50"/>
    </row>
    <row r="7127" spans="117:121" x14ac:dyDescent="0.35">
      <c r="DM7127" s="50"/>
      <c r="DQ7127" s="50"/>
    </row>
    <row r="7128" spans="117:121" x14ac:dyDescent="0.35">
      <c r="DM7128" s="50"/>
      <c r="DQ7128" s="50"/>
    </row>
    <row r="7129" spans="117:121" x14ac:dyDescent="0.35">
      <c r="DM7129" s="50"/>
      <c r="DQ7129" s="50"/>
    </row>
    <row r="7130" spans="117:121" x14ac:dyDescent="0.35">
      <c r="DM7130" s="50"/>
      <c r="DQ7130" s="50"/>
    </row>
    <row r="7131" spans="117:121" x14ac:dyDescent="0.35">
      <c r="DM7131" s="50"/>
      <c r="DQ7131" s="50"/>
    </row>
    <row r="7132" spans="117:121" x14ac:dyDescent="0.35">
      <c r="DM7132" s="50"/>
      <c r="DQ7132" s="50"/>
    </row>
    <row r="7133" spans="117:121" x14ac:dyDescent="0.35">
      <c r="DM7133" s="50"/>
      <c r="DQ7133" s="50"/>
    </row>
    <row r="7134" spans="117:121" x14ac:dyDescent="0.35">
      <c r="DM7134" s="50"/>
      <c r="DQ7134" s="50"/>
    </row>
    <row r="7135" spans="117:121" x14ac:dyDescent="0.35">
      <c r="DM7135" s="50"/>
      <c r="DQ7135" s="50"/>
    </row>
    <row r="7136" spans="117:121" x14ac:dyDescent="0.35">
      <c r="DM7136" s="50"/>
      <c r="DQ7136" s="50"/>
    </row>
    <row r="7137" spans="117:121" x14ac:dyDescent="0.35">
      <c r="DM7137" s="50"/>
      <c r="DQ7137" s="50"/>
    </row>
    <row r="7138" spans="117:121" x14ac:dyDescent="0.35">
      <c r="DM7138" s="50"/>
      <c r="DQ7138" s="50"/>
    </row>
    <row r="7139" spans="117:121" x14ac:dyDescent="0.35">
      <c r="DM7139" s="50"/>
      <c r="DQ7139" s="50"/>
    </row>
    <row r="7140" spans="117:121" x14ac:dyDescent="0.35">
      <c r="DM7140" s="50"/>
      <c r="DQ7140" s="50"/>
    </row>
    <row r="7141" spans="117:121" x14ac:dyDescent="0.35">
      <c r="DM7141" s="50"/>
      <c r="DQ7141" s="50"/>
    </row>
    <row r="7142" spans="117:121" x14ac:dyDescent="0.35">
      <c r="DM7142" s="50"/>
      <c r="DQ7142" s="50"/>
    </row>
    <row r="7143" spans="117:121" x14ac:dyDescent="0.35">
      <c r="DM7143" s="50"/>
      <c r="DQ7143" s="50"/>
    </row>
    <row r="7144" spans="117:121" x14ac:dyDescent="0.35">
      <c r="DM7144" s="50"/>
      <c r="DQ7144" s="50"/>
    </row>
    <row r="7145" spans="117:121" x14ac:dyDescent="0.35">
      <c r="DM7145" s="50"/>
      <c r="DQ7145" s="50"/>
    </row>
    <row r="7146" spans="117:121" x14ac:dyDescent="0.35">
      <c r="DM7146" s="50"/>
      <c r="DQ7146" s="50"/>
    </row>
    <row r="7147" spans="117:121" x14ac:dyDescent="0.35">
      <c r="DM7147" s="50"/>
      <c r="DQ7147" s="50"/>
    </row>
    <row r="7148" spans="117:121" x14ac:dyDescent="0.35">
      <c r="DM7148" s="50"/>
      <c r="DQ7148" s="50"/>
    </row>
    <row r="7149" spans="117:121" x14ac:dyDescent="0.35">
      <c r="DM7149" s="50"/>
      <c r="DQ7149" s="50"/>
    </row>
    <row r="7150" spans="117:121" x14ac:dyDescent="0.35">
      <c r="DM7150" s="50"/>
      <c r="DQ7150" s="50"/>
    </row>
    <row r="7151" spans="117:121" x14ac:dyDescent="0.35">
      <c r="DM7151" s="50"/>
      <c r="DQ7151" s="50"/>
    </row>
    <row r="7152" spans="117:121" x14ac:dyDescent="0.35">
      <c r="DM7152" s="50"/>
      <c r="DQ7152" s="50"/>
    </row>
    <row r="7153" spans="117:121" x14ac:dyDescent="0.35">
      <c r="DM7153" s="50"/>
      <c r="DQ7153" s="50"/>
    </row>
    <row r="7154" spans="117:121" x14ac:dyDescent="0.35">
      <c r="DM7154" s="50"/>
      <c r="DQ7154" s="50"/>
    </row>
    <row r="7155" spans="117:121" x14ac:dyDescent="0.35">
      <c r="DM7155" s="50"/>
      <c r="DQ7155" s="50"/>
    </row>
    <row r="7156" spans="117:121" x14ac:dyDescent="0.35">
      <c r="DM7156" s="50"/>
      <c r="DQ7156" s="50"/>
    </row>
    <row r="7157" spans="117:121" x14ac:dyDescent="0.35">
      <c r="DM7157" s="50"/>
      <c r="DQ7157" s="50"/>
    </row>
    <row r="7158" spans="117:121" x14ac:dyDescent="0.35">
      <c r="DM7158" s="50"/>
      <c r="DQ7158" s="50"/>
    </row>
    <row r="7159" spans="117:121" x14ac:dyDescent="0.35">
      <c r="DM7159" s="50"/>
      <c r="DQ7159" s="50"/>
    </row>
    <row r="7160" spans="117:121" x14ac:dyDescent="0.35">
      <c r="DM7160" s="50"/>
      <c r="DQ7160" s="50"/>
    </row>
    <row r="7161" spans="117:121" x14ac:dyDescent="0.35">
      <c r="DM7161" s="50"/>
      <c r="DQ7161" s="50"/>
    </row>
    <row r="7162" spans="117:121" x14ac:dyDescent="0.35">
      <c r="DM7162" s="50"/>
      <c r="DQ7162" s="50"/>
    </row>
    <row r="7163" spans="117:121" x14ac:dyDescent="0.35">
      <c r="DM7163" s="50"/>
      <c r="DQ7163" s="50"/>
    </row>
    <row r="7164" spans="117:121" x14ac:dyDescent="0.35">
      <c r="DM7164" s="50"/>
      <c r="DQ7164" s="50"/>
    </row>
    <row r="7165" spans="117:121" x14ac:dyDescent="0.35">
      <c r="DM7165" s="50"/>
      <c r="DQ7165" s="50"/>
    </row>
    <row r="7166" spans="117:121" x14ac:dyDescent="0.35">
      <c r="DM7166" s="50"/>
      <c r="DQ7166" s="50"/>
    </row>
    <row r="7167" spans="117:121" x14ac:dyDescent="0.35">
      <c r="DM7167" s="50"/>
      <c r="DQ7167" s="50"/>
    </row>
    <row r="7168" spans="117:121" x14ac:dyDescent="0.35">
      <c r="DM7168" s="50"/>
      <c r="DQ7168" s="50"/>
    </row>
    <row r="7169" spans="117:121" x14ac:dyDescent="0.35">
      <c r="DM7169" s="50"/>
      <c r="DQ7169" s="50"/>
    </row>
    <row r="7170" spans="117:121" x14ac:dyDescent="0.35">
      <c r="DM7170" s="50"/>
      <c r="DQ7170" s="50"/>
    </row>
    <row r="7171" spans="117:121" x14ac:dyDescent="0.35">
      <c r="DM7171" s="50"/>
      <c r="DQ7171" s="50"/>
    </row>
    <row r="7172" spans="117:121" x14ac:dyDescent="0.35">
      <c r="DM7172" s="50"/>
      <c r="DQ7172" s="50"/>
    </row>
    <row r="7173" spans="117:121" x14ac:dyDescent="0.35">
      <c r="DM7173" s="50"/>
      <c r="DQ7173" s="50"/>
    </row>
    <row r="7174" spans="117:121" x14ac:dyDescent="0.35">
      <c r="DM7174" s="50"/>
      <c r="DQ7174" s="50"/>
    </row>
    <row r="7175" spans="117:121" x14ac:dyDescent="0.35">
      <c r="DM7175" s="50"/>
      <c r="DQ7175" s="50"/>
    </row>
    <row r="7176" spans="117:121" x14ac:dyDescent="0.35">
      <c r="DM7176" s="50"/>
      <c r="DQ7176" s="50"/>
    </row>
    <row r="7177" spans="117:121" x14ac:dyDescent="0.35">
      <c r="DM7177" s="50"/>
      <c r="DQ7177" s="50"/>
    </row>
    <row r="7178" spans="117:121" x14ac:dyDescent="0.35">
      <c r="DM7178" s="50"/>
      <c r="DQ7178" s="50"/>
    </row>
    <row r="7179" spans="117:121" x14ac:dyDescent="0.35">
      <c r="DM7179" s="50"/>
      <c r="DQ7179" s="50"/>
    </row>
    <row r="7180" spans="117:121" x14ac:dyDescent="0.35">
      <c r="DM7180" s="50"/>
      <c r="DQ7180" s="50"/>
    </row>
    <row r="7181" spans="117:121" x14ac:dyDescent="0.35">
      <c r="DM7181" s="50"/>
      <c r="DQ7181" s="50"/>
    </row>
    <row r="7182" spans="117:121" x14ac:dyDescent="0.35">
      <c r="DM7182" s="50"/>
      <c r="DQ7182" s="50"/>
    </row>
    <row r="7183" spans="117:121" x14ac:dyDescent="0.35">
      <c r="DM7183" s="50"/>
      <c r="DQ7183" s="50"/>
    </row>
    <row r="7184" spans="117:121" x14ac:dyDescent="0.35">
      <c r="DM7184" s="50"/>
      <c r="DQ7184" s="50"/>
    </row>
    <row r="7185" spans="117:121" x14ac:dyDescent="0.35">
      <c r="DM7185" s="50"/>
      <c r="DQ7185" s="50"/>
    </row>
    <row r="7186" spans="117:121" x14ac:dyDescent="0.35">
      <c r="DM7186" s="50"/>
      <c r="DQ7186" s="50"/>
    </row>
    <row r="7187" spans="117:121" x14ac:dyDescent="0.35">
      <c r="DM7187" s="50"/>
      <c r="DQ7187" s="50"/>
    </row>
    <row r="7188" spans="117:121" x14ac:dyDescent="0.35">
      <c r="DM7188" s="50"/>
      <c r="DQ7188" s="50"/>
    </row>
    <row r="7189" spans="117:121" x14ac:dyDescent="0.35">
      <c r="DM7189" s="50"/>
      <c r="DQ7189" s="50"/>
    </row>
    <row r="7190" spans="117:121" x14ac:dyDescent="0.35">
      <c r="DM7190" s="50"/>
      <c r="DQ7190" s="50"/>
    </row>
    <row r="7191" spans="117:121" x14ac:dyDescent="0.35">
      <c r="DM7191" s="50"/>
      <c r="DQ7191" s="50"/>
    </row>
    <row r="7192" spans="117:121" x14ac:dyDescent="0.35">
      <c r="DM7192" s="50"/>
      <c r="DQ7192" s="50"/>
    </row>
    <row r="7193" spans="117:121" x14ac:dyDescent="0.35">
      <c r="DM7193" s="50"/>
      <c r="DQ7193" s="50"/>
    </row>
    <row r="7194" spans="117:121" x14ac:dyDescent="0.35">
      <c r="DM7194" s="50"/>
      <c r="DQ7194" s="50"/>
    </row>
    <row r="7195" spans="117:121" x14ac:dyDescent="0.35">
      <c r="DM7195" s="50"/>
      <c r="DQ7195" s="50"/>
    </row>
    <row r="7196" spans="117:121" x14ac:dyDescent="0.35">
      <c r="DM7196" s="50"/>
      <c r="DQ7196" s="50"/>
    </row>
    <row r="7197" spans="117:121" x14ac:dyDescent="0.35">
      <c r="DM7197" s="50"/>
      <c r="DQ7197" s="50"/>
    </row>
    <row r="7198" spans="117:121" x14ac:dyDescent="0.35">
      <c r="DM7198" s="50"/>
      <c r="DQ7198" s="50"/>
    </row>
    <row r="7199" spans="117:121" x14ac:dyDescent="0.35">
      <c r="DM7199" s="50"/>
      <c r="DQ7199" s="50"/>
    </row>
    <row r="7200" spans="117:121" x14ac:dyDescent="0.35">
      <c r="DM7200" s="50"/>
      <c r="DQ7200" s="50"/>
    </row>
    <row r="7201" spans="117:121" x14ac:dyDescent="0.35">
      <c r="DM7201" s="50"/>
      <c r="DQ7201" s="50"/>
    </row>
    <row r="7202" spans="117:121" x14ac:dyDescent="0.35">
      <c r="DM7202" s="50"/>
      <c r="DQ7202" s="50"/>
    </row>
    <row r="7203" spans="117:121" x14ac:dyDescent="0.35">
      <c r="DM7203" s="50"/>
      <c r="DQ7203" s="50"/>
    </row>
    <row r="7204" spans="117:121" x14ac:dyDescent="0.35">
      <c r="DM7204" s="50"/>
      <c r="DQ7204" s="50"/>
    </row>
    <row r="7205" spans="117:121" x14ac:dyDescent="0.35">
      <c r="DM7205" s="50"/>
      <c r="DQ7205" s="50"/>
    </row>
    <row r="7206" spans="117:121" x14ac:dyDescent="0.35">
      <c r="DM7206" s="50"/>
      <c r="DQ7206" s="50"/>
    </row>
    <row r="7207" spans="117:121" x14ac:dyDescent="0.35">
      <c r="DM7207" s="50"/>
      <c r="DQ7207" s="50"/>
    </row>
    <row r="7208" spans="117:121" x14ac:dyDescent="0.35">
      <c r="DM7208" s="50"/>
      <c r="DQ7208" s="50"/>
    </row>
    <row r="7209" spans="117:121" x14ac:dyDescent="0.35">
      <c r="DM7209" s="50"/>
      <c r="DQ7209" s="50"/>
    </row>
    <row r="7210" spans="117:121" x14ac:dyDescent="0.35">
      <c r="DM7210" s="50"/>
      <c r="DQ7210" s="50"/>
    </row>
    <row r="7211" spans="117:121" x14ac:dyDescent="0.35">
      <c r="DM7211" s="50"/>
      <c r="DQ7211" s="50"/>
    </row>
    <row r="7212" spans="117:121" x14ac:dyDescent="0.35">
      <c r="DM7212" s="50"/>
      <c r="DQ7212" s="50"/>
    </row>
    <row r="7213" spans="117:121" x14ac:dyDescent="0.35">
      <c r="DM7213" s="50"/>
      <c r="DQ7213" s="50"/>
    </row>
    <row r="7214" spans="117:121" x14ac:dyDescent="0.35">
      <c r="DM7214" s="50"/>
      <c r="DQ7214" s="50"/>
    </row>
    <row r="7215" spans="117:121" x14ac:dyDescent="0.35">
      <c r="DM7215" s="50"/>
      <c r="DQ7215" s="50"/>
    </row>
    <row r="7216" spans="117:121" x14ac:dyDescent="0.35">
      <c r="DM7216" s="50"/>
      <c r="DQ7216" s="50"/>
    </row>
    <row r="7217" spans="117:121" x14ac:dyDescent="0.35">
      <c r="DM7217" s="50"/>
      <c r="DQ7217" s="50"/>
    </row>
    <row r="7218" spans="117:121" x14ac:dyDescent="0.35">
      <c r="DM7218" s="50"/>
      <c r="DQ7218" s="50"/>
    </row>
    <row r="7219" spans="117:121" x14ac:dyDescent="0.35">
      <c r="DM7219" s="50"/>
      <c r="DQ7219" s="50"/>
    </row>
    <row r="7220" spans="117:121" x14ac:dyDescent="0.35">
      <c r="DM7220" s="50"/>
      <c r="DQ7220" s="50"/>
    </row>
    <row r="7221" spans="117:121" x14ac:dyDescent="0.35">
      <c r="DM7221" s="50"/>
      <c r="DQ7221" s="50"/>
    </row>
    <row r="7222" spans="117:121" x14ac:dyDescent="0.35">
      <c r="DM7222" s="50"/>
      <c r="DQ7222" s="50"/>
    </row>
    <row r="7223" spans="117:121" x14ac:dyDescent="0.35">
      <c r="DM7223" s="50"/>
      <c r="DQ7223" s="50"/>
    </row>
    <row r="7224" spans="117:121" x14ac:dyDescent="0.35">
      <c r="DM7224" s="50"/>
      <c r="DQ7224" s="50"/>
    </row>
    <row r="7225" spans="117:121" x14ac:dyDescent="0.35">
      <c r="DM7225" s="50"/>
      <c r="DQ7225" s="50"/>
    </row>
    <row r="7226" spans="117:121" x14ac:dyDescent="0.35">
      <c r="DM7226" s="50"/>
      <c r="DQ7226" s="50"/>
    </row>
    <row r="7227" spans="117:121" x14ac:dyDescent="0.35">
      <c r="DM7227" s="50"/>
      <c r="DQ7227" s="50"/>
    </row>
    <row r="7228" spans="117:121" x14ac:dyDescent="0.35">
      <c r="DM7228" s="50"/>
      <c r="DQ7228" s="50"/>
    </row>
    <row r="7229" spans="117:121" x14ac:dyDescent="0.35">
      <c r="DM7229" s="50"/>
      <c r="DQ7229" s="50"/>
    </row>
    <row r="7230" spans="117:121" x14ac:dyDescent="0.35">
      <c r="DM7230" s="50"/>
      <c r="DQ7230" s="50"/>
    </row>
    <row r="7231" spans="117:121" x14ac:dyDescent="0.35">
      <c r="DM7231" s="50"/>
      <c r="DQ7231" s="50"/>
    </row>
    <row r="7232" spans="117:121" x14ac:dyDescent="0.35">
      <c r="DM7232" s="50"/>
      <c r="DQ7232" s="50"/>
    </row>
    <row r="7233" spans="117:121" x14ac:dyDescent="0.35">
      <c r="DM7233" s="50"/>
      <c r="DQ7233" s="50"/>
    </row>
    <row r="7234" spans="117:121" x14ac:dyDescent="0.35">
      <c r="DM7234" s="50"/>
      <c r="DQ7234" s="50"/>
    </row>
    <row r="7235" spans="117:121" x14ac:dyDescent="0.35">
      <c r="DM7235" s="50"/>
      <c r="DQ7235" s="50"/>
    </row>
    <row r="7236" spans="117:121" x14ac:dyDescent="0.35">
      <c r="DM7236" s="50"/>
      <c r="DQ7236" s="50"/>
    </row>
    <row r="7237" spans="117:121" x14ac:dyDescent="0.35">
      <c r="DM7237" s="50"/>
      <c r="DQ7237" s="50"/>
    </row>
    <row r="7238" spans="117:121" x14ac:dyDescent="0.35">
      <c r="DM7238" s="50"/>
      <c r="DQ7238" s="50"/>
    </row>
    <row r="7239" spans="117:121" x14ac:dyDescent="0.35">
      <c r="DM7239" s="50"/>
      <c r="DQ7239" s="50"/>
    </row>
    <row r="7240" spans="117:121" x14ac:dyDescent="0.35">
      <c r="DM7240" s="50"/>
      <c r="DQ7240" s="50"/>
    </row>
    <row r="7241" spans="117:121" x14ac:dyDescent="0.35">
      <c r="DM7241" s="50"/>
      <c r="DQ7241" s="50"/>
    </row>
    <row r="7242" spans="117:121" x14ac:dyDescent="0.35">
      <c r="DM7242" s="50"/>
      <c r="DQ7242" s="50"/>
    </row>
    <row r="7243" spans="117:121" x14ac:dyDescent="0.35">
      <c r="DM7243" s="50"/>
      <c r="DQ7243" s="50"/>
    </row>
    <row r="7244" spans="117:121" x14ac:dyDescent="0.35">
      <c r="DM7244" s="50"/>
      <c r="DQ7244" s="50"/>
    </row>
    <row r="7245" spans="117:121" x14ac:dyDescent="0.35">
      <c r="DM7245" s="50"/>
      <c r="DQ7245" s="50"/>
    </row>
    <row r="7246" spans="117:121" x14ac:dyDescent="0.35">
      <c r="DM7246" s="50"/>
      <c r="DQ7246" s="50"/>
    </row>
    <row r="7247" spans="117:121" x14ac:dyDescent="0.35">
      <c r="DM7247" s="50"/>
      <c r="DQ7247" s="50"/>
    </row>
    <row r="7248" spans="117:121" x14ac:dyDescent="0.35">
      <c r="DM7248" s="50"/>
      <c r="DQ7248" s="50"/>
    </row>
    <row r="7249" spans="117:121" x14ac:dyDescent="0.35">
      <c r="DM7249" s="50"/>
      <c r="DQ7249" s="50"/>
    </row>
    <row r="7250" spans="117:121" x14ac:dyDescent="0.35">
      <c r="DM7250" s="50"/>
      <c r="DQ7250" s="50"/>
    </row>
    <row r="7251" spans="117:121" x14ac:dyDescent="0.35">
      <c r="DM7251" s="50"/>
      <c r="DQ7251" s="50"/>
    </row>
    <row r="7252" spans="117:121" x14ac:dyDescent="0.35">
      <c r="DM7252" s="50"/>
      <c r="DQ7252" s="50"/>
    </row>
    <row r="7253" spans="117:121" x14ac:dyDescent="0.35">
      <c r="DM7253" s="50"/>
      <c r="DQ7253" s="50"/>
    </row>
    <row r="7254" spans="117:121" x14ac:dyDescent="0.35">
      <c r="DM7254" s="50"/>
      <c r="DQ7254" s="50"/>
    </row>
    <row r="7255" spans="117:121" x14ac:dyDescent="0.35">
      <c r="DM7255" s="50"/>
      <c r="DQ7255" s="50"/>
    </row>
    <row r="7256" spans="117:121" x14ac:dyDescent="0.35">
      <c r="DM7256" s="50"/>
      <c r="DQ7256" s="50"/>
    </row>
    <row r="7257" spans="117:121" x14ac:dyDescent="0.35">
      <c r="DM7257" s="50"/>
      <c r="DQ7257" s="50"/>
    </row>
    <row r="7258" spans="117:121" x14ac:dyDescent="0.35">
      <c r="DM7258" s="50"/>
      <c r="DQ7258" s="50"/>
    </row>
    <row r="7259" spans="117:121" x14ac:dyDescent="0.35">
      <c r="DM7259" s="50"/>
      <c r="DQ7259" s="50"/>
    </row>
    <row r="7260" spans="117:121" x14ac:dyDescent="0.35">
      <c r="DM7260" s="50"/>
      <c r="DQ7260" s="50"/>
    </row>
    <row r="7261" spans="117:121" x14ac:dyDescent="0.35">
      <c r="DM7261" s="50"/>
      <c r="DQ7261" s="50"/>
    </row>
    <row r="7262" spans="117:121" x14ac:dyDescent="0.35">
      <c r="DM7262" s="50"/>
      <c r="DQ7262" s="50"/>
    </row>
    <row r="7263" spans="117:121" x14ac:dyDescent="0.35">
      <c r="DM7263" s="50"/>
      <c r="DQ7263" s="50"/>
    </row>
    <row r="7264" spans="117:121" x14ac:dyDescent="0.35">
      <c r="DM7264" s="50"/>
      <c r="DQ7264" s="50"/>
    </row>
    <row r="7265" spans="117:121" x14ac:dyDescent="0.35">
      <c r="DM7265" s="50"/>
      <c r="DQ7265" s="50"/>
    </row>
    <row r="7266" spans="117:121" x14ac:dyDescent="0.35">
      <c r="DM7266" s="50"/>
      <c r="DQ7266" s="50"/>
    </row>
    <row r="7267" spans="117:121" x14ac:dyDescent="0.35">
      <c r="DM7267" s="50"/>
      <c r="DQ7267" s="50"/>
    </row>
    <row r="7268" spans="117:121" x14ac:dyDescent="0.35">
      <c r="DM7268" s="50"/>
      <c r="DQ7268" s="50"/>
    </row>
    <row r="7269" spans="117:121" x14ac:dyDescent="0.35">
      <c r="DM7269" s="50"/>
      <c r="DQ7269" s="50"/>
    </row>
    <row r="7270" spans="117:121" x14ac:dyDescent="0.35">
      <c r="DM7270" s="50"/>
      <c r="DQ7270" s="50"/>
    </row>
    <row r="7271" spans="117:121" x14ac:dyDescent="0.35">
      <c r="DM7271" s="50"/>
      <c r="DQ7271" s="50"/>
    </row>
    <row r="7272" spans="117:121" x14ac:dyDescent="0.35">
      <c r="DM7272" s="50"/>
      <c r="DQ7272" s="50"/>
    </row>
    <row r="7273" spans="117:121" x14ac:dyDescent="0.35">
      <c r="DM7273" s="50"/>
      <c r="DQ7273" s="50"/>
    </row>
    <row r="7274" spans="117:121" x14ac:dyDescent="0.35">
      <c r="DM7274" s="50"/>
      <c r="DQ7274" s="50"/>
    </row>
    <row r="7275" spans="117:121" x14ac:dyDescent="0.35">
      <c r="DM7275" s="50"/>
      <c r="DQ7275" s="50"/>
    </row>
    <row r="7276" spans="117:121" x14ac:dyDescent="0.35">
      <c r="DM7276" s="50"/>
      <c r="DQ7276" s="50"/>
    </row>
    <row r="7277" spans="117:121" x14ac:dyDescent="0.35">
      <c r="DM7277" s="50"/>
      <c r="DQ7277" s="50"/>
    </row>
    <row r="7278" spans="117:121" x14ac:dyDescent="0.35">
      <c r="DM7278" s="50"/>
      <c r="DQ7278" s="50"/>
    </row>
    <row r="7279" spans="117:121" x14ac:dyDescent="0.35">
      <c r="DM7279" s="50"/>
      <c r="DQ7279" s="50"/>
    </row>
    <row r="7280" spans="117:121" x14ac:dyDescent="0.35">
      <c r="DM7280" s="50"/>
      <c r="DQ7280" s="50"/>
    </row>
    <row r="7281" spans="117:121" x14ac:dyDescent="0.35">
      <c r="DM7281" s="50"/>
      <c r="DQ7281" s="50"/>
    </row>
    <row r="7282" spans="117:121" x14ac:dyDescent="0.35">
      <c r="DM7282" s="50"/>
      <c r="DQ7282" s="50"/>
    </row>
    <row r="7283" spans="117:121" x14ac:dyDescent="0.35">
      <c r="DM7283" s="50"/>
      <c r="DQ7283" s="50"/>
    </row>
    <row r="7284" spans="117:121" x14ac:dyDescent="0.35">
      <c r="DM7284" s="50"/>
      <c r="DQ7284" s="50"/>
    </row>
    <row r="7285" spans="117:121" x14ac:dyDescent="0.35">
      <c r="DM7285" s="50"/>
      <c r="DQ7285" s="50"/>
    </row>
    <row r="7286" spans="117:121" x14ac:dyDescent="0.35">
      <c r="DM7286" s="50"/>
      <c r="DQ7286" s="50"/>
    </row>
    <row r="7287" spans="117:121" x14ac:dyDescent="0.35">
      <c r="DM7287" s="50"/>
      <c r="DQ7287" s="50"/>
    </row>
    <row r="7288" spans="117:121" x14ac:dyDescent="0.35">
      <c r="DM7288" s="50"/>
      <c r="DQ7288" s="50"/>
    </row>
    <row r="7289" spans="117:121" x14ac:dyDescent="0.35">
      <c r="DM7289" s="50"/>
      <c r="DQ7289" s="50"/>
    </row>
    <row r="7290" spans="117:121" x14ac:dyDescent="0.35">
      <c r="DM7290" s="50"/>
      <c r="DQ7290" s="50"/>
    </row>
    <row r="7291" spans="117:121" x14ac:dyDescent="0.35">
      <c r="DM7291" s="50"/>
      <c r="DQ7291" s="50"/>
    </row>
    <row r="7292" spans="117:121" x14ac:dyDescent="0.35">
      <c r="DM7292" s="50"/>
      <c r="DQ7292" s="50"/>
    </row>
    <row r="7293" spans="117:121" x14ac:dyDescent="0.35">
      <c r="DM7293" s="50"/>
      <c r="DQ7293" s="50"/>
    </row>
    <row r="7294" spans="117:121" x14ac:dyDescent="0.35">
      <c r="DM7294" s="50"/>
      <c r="DQ7294" s="50"/>
    </row>
    <row r="7295" spans="117:121" x14ac:dyDescent="0.35">
      <c r="DM7295" s="50"/>
      <c r="DQ7295" s="50"/>
    </row>
    <row r="7296" spans="117:121" x14ac:dyDescent="0.35">
      <c r="DM7296" s="50"/>
      <c r="DQ7296" s="50"/>
    </row>
    <row r="7297" spans="117:121" x14ac:dyDescent="0.35">
      <c r="DM7297" s="50"/>
      <c r="DQ7297" s="50"/>
    </row>
    <row r="7298" spans="117:121" x14ac:dyDescent="0.35">
      <c r="DM7298" s="50"/>
      <c r="DQ7298" s="50"/>
    </row>
    <row r="7299" spans="117:121" x14ac:dyDescent="0.35">
      <c r="DM7299" s="50"/>
      <c r="DQ7299" s="50"/>
    </row>
    <row r="7300" spans="117:121" x14ac:dyDescent="0.35">
      <c r="DM7300" s="50"/>
      <c r="DQ7300" s="50"/>
    </row>
    <row r="7301" spans="117:121" x14ac:dyDescent="0.35">
      <c r="DM7301" s="50"/>
      <c r="DQ7301" s="50"/>
    </row>
    <row r="7302" spans="117:121" x14ac:dyDescent="0.35">
      <c r="DM7302" s="50"/>
      <c r="DQ7302" s="50"/>
    </row>
    <row r="7303" spans="117:121" x14ac:dyDescent="0.35">
      <c r="DM7303" s="50"/>
      <c r="DQ7303" s="50"/>
    </row>
    <row r="7304" spans="117:121" x14ac:dyDescent="0.35">
      <c r="DM7304" s="50"/>
      <c r="DQ7304" s="50"/>
    </row>
    <row r="7305" spans="117:121" x14ac:dyDescent="0.35">
      <c r="DM7305" s="50"/>
      <c r="DQ7305" s="50"/>
    </row>
    <row r="7306" spans="117:121" x14ac:dyDescent="0.35">
      <c r="DM7306" s="50"/>
      <c r="DQ7306" s="50"/>
    </row>
    <row r="7307" spans="117:121" x14ac:dyDescent="0.35">
      <c r="DM7307" s="50"/>
      <c r="DQ7307" s="50"/>
    </row>
    <row r="7308" spans="117:121" x14ac:dyDescent="0.35">
      <c r="DM7308" s="50"/>
      <c r="DQ7308" s="50"/>
    </row>
    <row r="7309" spans="117:121" x14ac:dyDescent="0.35">
      <c r="DM7309" s="50"/>
      <c r="DQ7309" s="50"/>
    </row>
    <row r="7310" spans="117:121" x14ac:dyDescent="0.35">
      <c r="DM7310" s="50"/>
      <c r="DQ7310" s="50"/>
    </row>
    <row r="7311" spans="117:121" x14ac:dyDescent="0.35">
      <c r="DM7311" s="50"/>
      <c r="DQ7311" s="50"/>
    </row>
    <row r="7312" spans="117:121" x14ac:dyDescent="0.35">
      <c r="DM7312" s="50"/>
      <c r="DQ7312" s="50"/>
    </row>
    <row r="7313" spans="117:121" x14ac:dyDescent="0.35">
      <c r="DM7313" s="50"/>
      <c r="DQ7313" s="50"/>
    </row>
    <row r="7314" spans="117:121" x14ac:dyDescent="0.35">
      <c r="DM7314" s="50"/>
      <c r="DQ7314" s="50"/>
    </row>
    <row r="7315" spans="117:121" x14ac:dyDescent="0.35">
      <c r="DM7315" s="50"/>
      <c r="DQ7315" s="50"/>
    </row>
    <row r="7316" spans="117:121" x14ac:dyDescent="0.35">
      <c r="DM7316" s="50"/>
      <c r="DQ7316" s="50"/>
    </row>
    <row r="7317" spans="117:121" x14ac:dyDescent="0.35">
      <c r="DM7317" s="50"/>
      <c r="DQ7317" s="50"/>
    </row>
    <row r="7318" spans="117:121" x14ac:dyDescent="0.35">
      <c r="DM7318" s="50"/>
      <c r="DQ7318" s="50"/>
    </row>
    <row r="7319" spans="117:121" x14ac:dyDescent="0.35">
      <c r="DM7319" s="50"/>
      <c r="DQ7319" s="50"/>
    </row>
    <row r="7320" spans="117:121" x14ac:dyDescent="0.35">
      <c r="DM7320" s="50"/>
      <c r="DQ7320" s="50"/>
    </row>
    <row r="7321" spans="117:121" x14ac:dyDescent="0.35">
      <c r="DM7321" s="50"/>
      <c r="DQ7321" s="50"/>
    </row>
    <row r="7322" spans="117:121" x14ac:dyDescent="0.35">
      <c r="DM7322" s="50"/>
      <c r="DQ7322" s="50"/>
    </row>
    <row r="7323" spans="117:121" x14ac:dyDescent="0.35">
      <c r="DM7323" s="50"/>
      <c r="DQ7323" s="50"/>
    </row>
    <row r="7324" spans="117:121" x14ac:dyDescent="0.35">
      <c r="DM7324" s="50"/>
      <c r="DQ7324" s="50"/>
    </row>
    <row r="7325" spans="117:121" x14ac:dyDescent="0.35">
      <c r="DM7325" s="50"/>
      <c r="DQ7325" s="50"/>
    </row>
    <row r="7326" spans="117:121" x14ac:dyDescent="0.35">
      <c r="DM7326" s="50"/>
      <c r="DQ7326" s="50"/>
    </row>
    <row r="7327" spans="117:121" x14ac:dyDescent="0.35">
      <c r="DM7327" s="50"/>
      <c r="DQ7327" s="50"/>
    </row>
    <row r="7328" spans="117:121" x14ac:dyDescent="0.35">
      <c r="DM7328" s="50"/>
      <c r="DQ7328" s="50"/>
    </row>
    <row r="7329" spans="117:121" x14ac:dyDescent="0.35">
      <c r="DM7329" s="50"/>
      <c r="DQ7329" s="50"/>
    </row>
    <row r="7330" spans="117:121" x14ac:dyDescent="0.35">
      <c r="DM7330" s="50"/>
      <c r="DQ7330" s="50"/>
    </row>
    <row r="7331" spans="117:121" x14ac:dyDescent="0.35">
      <c r="DM7331" s="50"/>
      <c r="DQ7331" s="50"/>
    </row>
    <row r="7332" spans="117:121" x14ac:dyDescent="0.35">
      <c r="DM7332" s="50"/>
      <c r="DQ7332" s="50"/>
    </row>
    <row r="7333" spans="117:121" x14ac:dyDescent="0.35">
      <c r="DM7333" s="50"/>
      <c r="DQ7333" s="50"/>
    </row>
    <row r="7334" spans="117:121" x14ac:dyDescent="0.35">
      <c r="DM7334" s="50"/>
      <c r="DQ7334" s="50"/>
    </row>
    <row r="7335" spans="117:121" x14ac:dyDescent="0.35">
      <c r="DM7335" s="50"/>
      <c r="DQ7335" s="50"/>
    </row>
    <row r="7336" spans="117:121" x14ac:dyDescent="0.35">
      <c r="DM7336" s="50"/>
      <c r="DQ7336" s="50"/>
    </row>
    <row r="7337" spans="117:121" x14ac:dyDescent="0.35">
      <c r="DM7337" s="50"/>
      <c r="DQ7337" s="50"/>
    </row>
    <row r="7338" spans="117:121" x14ac:dyDescent="0.35">
      <c r="DM7338" s="50"/>
      <c r="DQ7338" s="50"/>
    </row>
    <row r="7339" spans="117:121" x14ac:dyDescent="0.35">
      <c r="DM7339" s="50"/>
      <c r="DQ7339" s="50"/>
    </row>
    <row r="7340" spans="117:121" x14ac:dyDescent="0.35">
      <c r="DM7340" s="50"/>
      <c r="DQ7340" s="50"/>
    </row>
    <row r="7341" spans="117:121" x14ac:dyDescent="0.35">
      <c r="DM7341" s="50"/>
      <c r="DQ7341" s="50"/>
    </row>
    <row r="7342" spans="117:121" x14ac:dyDescent="0.35">
      <c r="DM7342" s="50"/>
      <c r="DQ7342" s="50"/>
    </row>
    <row r="7343" spans="117:121" x14ac:dyDescent="0.35">
      <c r="DM7343" s="50"/>
      <c r="DQ7343" s="50"/>
    </row>
    <row r="7344" spans="117:121" x14ac:dyDescent="0.35">
      <c r="DM7344" s="50"/>
      <c r="DQ7344" s="50"/>
    </row>
    <row r="7345" spans="117:121" x14ac:dyDescent="0.35">
      <c r="DM7345" s="50"/>
      <c r="DQ7345" s="50"/>
    </row>
    <row r="7346" spans="117:121" x14ac:dyDescent="0.35">
      <c r="DM7346" s="50"/>
      <c r="DQ7346" s="50"/>
    </row>
    <row r="7347" spans="117:121" x14ac:dyDescent="0.35">
      <c r="DM7347" s="50"/>
      <c r="DQ7347" s="50"/>
    </row>
    <row r="7348" spans="117:121" x14ac:dyDescent="0.35">
      <c r="DM7348" s="50"/>
      <c r="DQ7348" s="50"/>
    </row>
    <row r="7349" spans="117:121" x14ac:dyDescent="0.35">
      <c r="DM7349" s="50"/>
      <c r="DQ7349" s="50"/>
    </row>
    <row r="7350" spans="117:121" x14ac:dyDescent="0.35">
      <c r="DM7350" s="50"/>
      <c r="DQ7350" s="50"/>
    </row>
    <row r="7351" spans="117:121" x14ac:dyDescent="0.35">
      <c r="DM7351" s="50"/>
      <c r="DQ7351" s="50"/>
    </row>
    <row r="7352" spans="117:121" x14ac:dyDescent="0.35">
      <c r="DM7352" s="50"/>
      <c r="DQ7352" s="50"/>
    </row>
    <row r="7353" spans="117:121" x14ac:dyDescent="0.35">
      <c r="DM7353" s="50"/>
      <c r="DQ7353" s="50"/>
    </row>
    <row r="7354" spans="117:121" x14ac:dyDescent="0.35">
      <c r="DM7354" s="50"/>
      <c r="DQ7354" s="50"/>
    </row>
    <row r="7355" spans="117:121" x14ac:dyDescent="0.35">
      <c r="DM7355" s="50"/>
      <c r="DQ7355" s="50"/>
    </row>
    <row r="7356" spans="117:121" x14ac:dyDescent="0.35">
      <c r="DM7356" s="50"/>
      <c r="DQ7356" s="50"/>
    </row>
    <row r="7357" spans="117:121" x14ac:dyDescent="0.35">
      <c r="DM7357" s="50"/>
      <c r="DQ7357" s="50"/>
    </row>
    <row r="7358" spans="117:121" x14ac:dyDescent="0.35">
      <c r="DM7358" s="50"/>
      <c r="DQ7358" s="50"/>
    </row>
    <row r="7359" spans="117:121" x14ac:dyDescent="0.35">
      <c r="DM7359" s="50"/>
      <c r="DQ7359" s="50"/>
    </row>
    <row r="7360" spans="117:121" x14ac:dyDescent="0.35">
      <c r="DM7360" s="50"/>
      <c r="DQ7360" s="50"/>
    </row>
    <row r="7361" spans="117:121" x14ac:dyDescent="0.35">
      <c r="DM7361" s="50"/>
      <c r="DQ7361" s="50"/>
    </row>
    <row r="7362" spans="117:121" x14ac:dyDescent="0.35">
      <c r="DM7362" s="50"/>
      <c r="DQ7362" s="50"/>
    </row>
    <row r="7363" spans="117:121" x14ac:dyDescent="0.35">
      <c r="DM7363" s="50"/>
      <c r="DQ7363" s="50"/>
    </row>
    <row r="7364" spans="117:121" x14ac:dyDescent="0.35">
      <c r="DM7364" s="50"/>
      <c r="DQ7364" s="50"/>
    </row>
    <row r="7365" spans="117:121" x14ac:dyDescent="0.35">
      <c r="DM7365" s="50"/>
      <c r="DQ7365" s="50"/>
    </row>
    <row r="7366" spans="117:121" x14ac:dyDescent="0.35">
      <c r="DM7366" s="50"/>
      <c r="DQ7366" s="50"/>
    </row>
    <row r="7367" spans="117:121" x14ac:dyDescent="0.35">
      <c r="DM7367" s="50"/>
      <c r="DQ7367" s="50"/>
    </row>
    <row r="7368" spans="117:121" x14ac:dyDescent="0.35">
      <c r="DM7368" s="50"/>
      <c r="DQ7368" s="50"/>
    </row>
    <row r="7369" spans="117:121" x14ac:dyDescent="0.35">
      <c r="DM7369" s="50"/>
      <c r="DQ7369" s="50"/>
    </row>
    <row r="7370" spans="117:121" x14ac:dyDescent="0.35">
      <c r="DM7370" s="50"/>
      <c r="DQ7370" s="50"/>
    </row>
    <row r="7371" spans="117:121" x14ac:dyDescent="0.35">
      <c r="DM7371" s="50"/>
      <c r="DQ7371" s="50"/>
    </row>
    <row r="7372" spans="117:121" x14ac:dyDescent="0.35">
      <c r="DM7372" s="50"/>
      <c r="DQ7372" s="50"/>
    </row>
    <row r="7373" spans="117:121" x14ac:dyDescent="0.35">
      <c r="DM7373" s="50"/>
      <c r="DQ7373" s="50"/>
    </row>
    <row r="7374" spans="117:121" x14ac:dyDescent="0.35">
      <c r="DM7374" s="50"/>
      <c r="DQ7374" s="50"/>
    </row>
    <row r="7375" spans="117:121" x14ac:dyDescent="0.35">
      <c r="DM7375" s="50"/>
      <c r="DQ7375" s="50"/>
    </row>
    <row r="7376" spans="117:121" x14ac:dyDescent="0.35">
      <c r="DM7376" s="50"/>
      <c r="DQ7376" s="50"/>
    </row>
    <row r="7377" spans="117:121" x14ac:dyDescent="0.35">
      <c r="DM7377" s="50"/>
      <c r="DQ7377" s="50"/>
    </row>
    <row r="7378" spans="117:121" x14ac:dyDescent="0.35">
      <c r="DM7378" s="50"/>
      <c r="DQ7378" s="50"/>
    </row>
    <row r="7379" spans="117:121" x14ac:dyDescent="0.35">
      <c r="DM7379" s="50"/>
      <c r="DQ7379" s="50"/>
    </row>
    <row r="7380" spans="117:121" x14ac:dyDescent="0.35">
      <c r="DM7380" s="50"/>
      <c r="DQ7380" s="50"/>
    </row>
    <row r="7381" spans="117:121" x14ac:dyDescent="0.35">
      <c r="DM7381" s="50"/>
      <c r="DQ7381" s="50"/>
    </row>
    <row r="7382" spans="117:121" x14ac:dyDescent="0.35">
      <c r="DM7382" s="50"/>
      <c r="DQ7382" s="50"/>
    </row>
    <row r="7383" spans="117:121" x14ac:dyDescent="0.35">
      <c r="DM7383" s="50"/>
      <c r="DQ7383" s="50"/>
    </row>
    <row r="7384" spans="117:121" x14ac:dyDescent="0.35">
      <c r="DM7384" s="50"/>
      <c r="DQ7384" s="50"/>
    </row>
    <row r="7385" spans="117:121" x14ac:dyDescent="0.35">
      <c r="DM7385" s="50"/>
      <c r="DQ7385" s="50"/>
    </row>
    <row r="7386" spans="117:121" x14ac:dyDescent="0.35">
      <c r="DM7386" s="50"/>
      <c r="DQ7386" s="50"/>
    </row>
    <row r="7387" spans="117:121" x14ac:dyDescent="0.35">
      <c r="DM7387" s="50"/>
      <c r="DQ7387" s="50"/>
    </row>
    <row r="7388" spans="117:121" x14ac:dyDescent="0.35">
      <c r="DM7388" s="50"/>
      <c r="DQ7388" s="50"/>
    </row>
    <row r="7389" spans="117:121" x14ac:dyDescent="0.35">
      <c r="DM7389" s="50"/>
      <c r="DQ7389" s="50"/>
    </row>
    <row r="7390" spans="117:121" x14ac:dyDescent="0.35">
      <c r="DM7390" s="50"/>
      <c r="DQ7390" s="50"/>
    </row>
    <row r="7391" spans="117:121" x14ac:dyDescent="0.35">
      <c r="DM7391" s="50"/>
      <c r="DQ7391" s="50"/>
    </row>
    <row r="7392" spans="117:121" x14ac:dyDescent="0.35">
      <c r="DM7392" s="50"/>
      <c r="DQ7392" s="50"/>
    </row>
    <row r="7393" spans="117:121" x14ac:dyDescent="0.35">
      <c r="DM7393" s="50"/>
      <c r="DQ7393" s="50"/>
    </row>
    <row r="7394" spans="117:121" x14ac:dyDescent="0.35">
      <c r="DM7394" s="50"/>
      <c r="DQ7394" s="50"/>
    </row>
    <row r="7395" spans="117:121" x14ac:dyDescent="0.35">
      <c r="DM7395" s="50"/>
      <c r="DQ7395" s="50"/>
    </row>
    <row r="7396" spans="117:121" x14ac:dyDescent="0.35">
      <c r="DM7396" s="50"/>
      <c r="DQ7396" s="50"/>
    </row>
    <row r="7397" spans="117:121" x14ac:dyDescent="0.35">
      <c r="DM7397" s="50"/>
      <c r="DQ7397" s="50"/>
    </row>
    <row r="7398" spans="117:121" x14ac:dyDescent="0.35">
      <c r="DM7398" s="50"/>
      <c r="DQ7398" s="50"/>
    </row>
    <row r="7399" spans="117:121" x14ac:dyDescent="0.35">
      <c r="DM7399" s="50"/>
      <c r="DQ7399" s="50"/>
    </row>
    <row r="7400" spans="117:121" x14ac:dyDescent="0.35">
      <c r="DM7400" s="50"/>
      <c r="DQ7400" s="50"/>
    </row>
    <row r="7401" spans="117:121" x14ac:dyDescent="0.35">
      <c r="DM7401" s="50"/>
      <c r="DQ7401" s="50"/>
    </row>
    <row r="7402" spans="117:121" x14ac:dyDescent="0.35">
      <c r="DM7402" s="50"/>
      <c r="DQ7402" s="50"/>
    </row>
    <row r="7403" spans="117:121" x14ac:dyDescent="0.35">
      <c r="DM7403" s="50"/>
      <c r="DQ7403" s="50"/>
    </row>
    <row r="7404" spans="117:121" x14ac:dyDescent="0.35">
      <c r="DM7404" s="50"/>
      <c r="DQ7404" s="50"/>
    </row>
    <row r="7405" spans="117:121" x14ac:dyDescent="0.35">
      <c r="DM7405" s="50"/>
      <c r="DQ7405" s="50"/>
    </row>
    <row r="7406" spans="117:121" x14ac:dyDescent="0.35">
      <c r="DM7406" s="50"/>
      <c r="DQ7406" s="50"/>
    </row>
    <row r="7407" spans="117:121" x14ac:dyDescent="0.35">
      <c r="DM7407" s="50"/>
      <c r="DQ7407" s="50"/>
    </row>
    <row r="7408" spans="117:121" x14ac:dyDescent="0.35">
      <c r="DM7408" s="50"/>
      <c r="DQ7408" s="50"/>
    </row>
    <row r="7409" spans="117:121" x14ac:dyDescent="0.35">
      <c r="DM7409" s="50"/>
      <c r="DQ7409" s="50"/>
    </row>
    <row r="7410" spans="117:121" x14ac:dyDescent="0.35">
      <c r="DM7410" s="50"/>
      <c r="DQ7410" s="50"/>
    </row>
    <row r="7411" spans="117:121" x14ac:dyDescent="0.35">
      <c r="DM7411" s="50"/>
      <c r="DQ7411" s="50"/>
    </row>
    <row r="7412" spans="117:121" x14ac:dyDescent="0.35">
      <c r="DM7412" s="50"/>
      <c r="DQ7412" s="50"/>
    </row>
    <row r="7413" spans="117:121" x14ac:dyDescent="0.35">
      <c r="DM7413" s="50"/>
      <c r="DQ7413" s="50"/>
    </row>
    <row r="7414" spans="117:121" x14ac:dyDescent="0.35">
      <c r="DM7414" s="50"/>
      <c r="DQ7414" s="50"/>
    </row>
    <row r="7415" spans="117:121" x14ac:dyDescent="0.35">
      <c r="DM7415" s="50"/>
      <c r="DQ7415" s="50"/>
    </row>
    <row r="7416" spans="117:121" x14ac:dyDescent="0.35">
      <c r="DM7416" s="50"/>
      <c r="DQ7416" s="50"/>
    </row>
    <row r="7417" spans="117:121" x14ac:dyDescent="0.35">
      <c r="DM7417" s="50"/>
      <c r="DQ7417" s="50"/>
    </row>
    <row r="7418" spans="117:121" x14ac:dyDescent="0.35">
      <c r="DM7418" s="50"/>
      <c r="DQ7418" s="50"/>
    </row>
    <row r="7419" spans="117:121" x14ac:dyDescent="0.35">
      <c r="DM7419" s="50"/>
      <c r="DQ7419" s="50"/>
    </row>
    <row r="7420" spans="117:121" x14ac:dyDescent="0.35">
      <c r="DM7420" s="50"/>
      <c r="DQ7420" s="50"/>
    </row>
    <row r="7421" spans="117:121" x14ac:dyDescent="0.35">
      <c r="DM7421" s="50"/>
      <c r="DQ7421" s="50"/>
    </row>
    <row r="7422" spans="117:121" x14ac:dyDescent="0.35">
      <c r="DM7422" s="50"/>
      <c r="DQ7422" s="50"/>
    </row>
    <row r="7423" spans="117:121" x14ac:dyDescent="0.35">
      <c r="DM7423" s="50"/>
      <c r="DQ7423" s="50"/>
    </row>
    <row r="7424" spans="117:121" x14ac:dyDescent="0.35">
      <c r="DM7424" s="50"/>
      <c r="DQ7424" s="50"/>
    </row>
    <row r="7425" spans="117:121" x14ac:dyDescent="0.35">
      <c r="DM7425" s="50"/>
      <c r="DQ7425" s="50"/>
    </row>
    <row r="7426" spans="117:121" x14ac:dyDescent="0.35">
      <c r="DM7426" s="50"/>
      <c r="DQ7426" s="50"/>
    </row>
    <row r="7427" spans="117:121" x14ac:dyDescent="0.35">
      <c r="DM7427" s="50"/>
      <c r="DQ7427" s="50"/>
    </row>
    <row r="7428" spans="117:121" x14ac:dyDescent="0.35">
      <c r="DM7428" s="50"/>
      <c r="DQ7428" s="50"/>
    </row>
    <row r="7429" spans="117:121" x14ac:dyDescent="0.35">
      <c r="DM7429" s="50"/>
      <c r="DQ7429" s="50"/>
    </row>
    <row r="7430" spans="117:121" x14ac:dyDescent="0.35">
      <c r="DM7430" s="50"/>
      <c r="DQ7430" s="50"/>
    </row>
    <row r="7431" spans="117:121" x14ac:dyDescent="0.35">
      <c r="DM7431" s="50"/>
      <c r="DQ7431" s="50"/>
    </row>
    <row r="7432" spans="117:121" x14ac:dyDescent="0.35">
      <c r="DM7432" s="50"/>
      <c r="DQ7432" s="50"/>
    </row>
    <row r="7433" spans="117:121" x14ac:dyDescent="0.35">
      <c r="DM7433" s="50"/>
      <c r="DQ7433" s="50"/>
    </row>
    <row r="7434" spans="117:121" x14ac:dyDescent="0.35">
      <c r="DM7434" s="50"/>
      <c r="DQ7434" s="50"/>
    </row>
    <row r="7435" spans="117:121" x14ac:dyDescent="0.35">
      <c r="DM7435" s="50"/>
      <c r="DQ7435" s="50"/>
    </row>
    <row r="7436" spans="117:121" x14ac:dyDescent="0.35">
      <c r="DM7436" s="50"/>
      <c r="DQ7436" s="50"/>
    </row>
    <row r="7437" spans="117:121" x14ac:dyDescent="0.35">
      <c r="DM7437" s="50"/>
      <c r="DQ7437" s="50"/>
    </row>
    <row r="7438" spans="117:121" x14ac:dyDescent="0.35">
      <c r="DM7438" s="50"/>
      <c r="DQ7438" s="50"/>
    </row>
    <row r="7439" spans="117:121" x14ac:dyDescent="0.35">
      <c r="DM7439" s="50"/>
      <c r="DQ7439" s="50"/>
    </row>
    <row r="7440" spans="117:121" x14ac:dyDescent="0.35">
      <c r="DM7440" s="50"/>
      <c r="DQ7440" s="50"/>
    </row>
    <row r="7441" spans="117:121" x14ac:dyDescent="0.35">
      <c r="DM7441" s="50"/>
      <c r="DQ7441" s="50"/>
    </row>
    <row r="7442" spans="117:121" x14ac:dyDescent="0.35">
      <c r="DM7442" s="50"/>
      <c r="DQ7442" s="50"/>
    </row>
    <row r="7443" spans="117:121" x14ac:dyDescent="0.35">
      <c r="DM7443" s="50"/>
      <c r="DQ7443" s="50"/>
    </row>
    <row r="7444" spans="117:121" x14ac:dyDescent="0.35">
      <c r="DM7444" s="50"/>
      <c r="DQ7444" s="50"/>
    </row>
    <row r="7445" spans="117:121" x14ac:dyDescent="0.35">
      <c r="DM7445" s="50"/>
      <c r="DQ7445" s="50"/>
    </row>
    <row r="7446" spans="117:121" x14ac:dyDescent="0.35">
      <c r="DM7446" s="50"/>
      <c r="DQ7446" s="50"/>
    </row>
    <row r="7447" spans="117:121" x14ac:dyDescent="0.35">
      <c r="DM7447" s="50"/>
      <c r="DQ7447" s="50"/>
    </row>
    <row r="7448" spans="117:121" x14ac:dyDescent="0.35">
      <c r="DM7448" s="50"/>
      <c r="DQ7448" s="50"/>
    </row>
    <row r="7449" spans="117:121" x14ac:dyDescent="0.35">
      <c r="DM7449" s="50"/>
      <c r="DQ7449" s="50"/>
    </row>
    <row r="7450" spans="117:121" x14ac:dyDescent="0.35">
      <c r="DM7450" s="50"/>
      <c r="DQ7450" s="50"/>
    </row>
    <row r="7451" spans="117:121" x14ac:dyDescent="0.35">
      <c r="DM7451" s="50"/>
      <c r="DQ7451" s="50"/>
    </row>
    <row r="7452" spans="117:121" x14ac:dyDescent="0.35">
      <c r="DM7452" s="50"/>
      <c r="DQ7452" s="50"/>
    </row>
    <row r="7453" spans="117:121" x14ac:dyDescent="0.35">
      <c r="DM7453" s="50"/>
      <c r="DQ7453" s="50"/>
    </row>
    <row r="7454" spans="117:121" x14ac:dyDescent="0.35">
      <c r="DM7454" s="50"/>
      <c r="DQ7454" s="50"/>
    </row>
    <row r="7455" spans="117:121" x14ac:dyDescent="0.35">
      <c r="DM7455" s="50"/>
      <c r="DQ7455" s="50"/>
    </row>
    <row r="7456" spans="117:121" x14ac:dyDescent="0.35">
      <c r="DM7456" s="50"/>
      <c r="DQ7456" s="50"/>
    </row>
    <row r="7457" spans="117:121" x14ac:dyDescent="0.35">
      <c r="DM7457" s="50"/>
      <c r="DQ7457" s="50"/>
    </row>
    <row r="7458" spans="117:121" x14ac:dyDescent="0.35">
      <c r="DM7458" s="50"/>
      <c r="DQ7458" s="50"/>
    </row>
    <row r="7459" spans="117:121" x14ac:dyDescent="0.35">
      <c r="DM7459" s="50"/>
      <c r="DQ7459" s="50"/>
    </row>
    <row r="7460" spans="117:121" x14ac:dyDescent="0.35">
      <c r="DM7460" s="50"/>
      <c r="DQ7460" s="50"/>
    </row>
    <row r="7461" spans="117:121" x14ac:dyDescent="0.35">
      <c r="DM7461" s="50"/>
      <c r="DQ7461" s="50"/>
    </row>
    <row r="7462" spans="117:121" x14ac:dyDescent="0.35">
      <c r="DM7462" s="50"/>
      <c r="DQ7462" s="50"/>
    </row>
    <row r="7463" spans="117:121" x14ac:dyDescent="0.35">
      <c r="DM7463" s="50"/>
      <c r="DQ7463" s="50"/>
    </row>
    <row r="7464" spans="117:121" x14ac:dyDescent="0.35">
      <c r="DM7464" s="50"/>
      <c r="DQ7464" s="50"/>
    </row>
    <row r="7465" spans="117:121" x14ac:dyDescent="0.35">
      <c r="DM7465" s="50"/>
      <c r="DQ7465" s="50"/>
    </row>
    <row r="7466" spans="117:121" x14ac:dyDescent="0.35">
      <c r="DM7466" s="50"/>
      <c r="DQ7466" s="50"/>
    </row>
    <row r="7467" spans="117:121" x14ac:dyDescent="0.35">
      <c r="DM7467" s="50"/>
      <c r="DQ7467" s="50"/>
    </row>
    <row r="7468" spans="117:121" x14ac:dyDescent="0.35">
      <c r="DM7468" s="50"/>
      <c r="DQ7468" s="50"/>
    </row>
    <row r="7469" spans="117:121" x14ac:dyDescent="0.35">
      <c r="DM7469" s="50"/>
      <c r="DQ7469" s="50"/>
    </row>
    <row r="7470" spans="117:121" x14ac:dyDescent="0.35">
      <c r="DM7470" s="50"/>
      <c r="DQ7470" s="50"/>
    </row>
    <row r="7471" spans="117:121" x14ac:dyDescent="0.35">
      <c r="DM7471" s="50"/>
      <c r="DQ7471" s="50"/>
    </row>
    <row r="7472" spans="117:121" x14ac:dyDescent="0.35">
      <c r="DM7472" s="50"/>
      <c r="DQ7472" s="50"/>
    </row>
    <row r="7473" spans="117:121" x14ac:dyDescent="0.35">
      <c r="DM7473" s="50"/>
      <c r="DQ7473" s="50"/>
    </row>
    <row r="7474" spans="117:121" x14ac:dyDescent="0.35">
      <c r="DM7474" s="50"/>
      <c r="DQ7474" s="50"/>
    </row>
    <row r="7475" spans="117:121" x14ac:dyDescent="0.35">
      <c r="DM7475" s="50"/>
      <c r="DQ7475" s="50"/>
    </row>
    <row r="7476" spans="117:121" x14ac:dyDescent="0.35">
      <c r="DM7476" s="50"/>
      <c r="DQ7476" s="50"/>
    </row>
    <row r="7477" spans="117:121" x14ac:dyDescent="0.35">
      <c r="DM7477" s="50"/>
      <c r="DQ7477" s="50"/>
    </row>
    <row r="7478" spans="117:121" x14ac:dyDescent="0.35">
      <c r="DM7478" s="50"/>
      <c r="DQ7478" s="50"/>
    </row>
    <row r="7479" spans="117:121" x14ac:dyDescent="0.35">
      <c r="DM7479" s="50"/>
      <c r="DQ7479" s="50"/>
    </row>
    <row r="7480" spans="117:121" x14ac:dyDescent="0.35">
      <c r="DM7480" s="50"/>
      <c r="DQ7480" s="50"/>
    </row>
    <row r="7481" spans="117:121" x14ac:dyDescent="0.35">
      <c r="DM7481" s="50"/>
      <c r="DQ7481" s="50"/>
    </row>
    <row r="7482" spans="117:121" x14ac:dyDescent="0.35">
      <c r="DM7482" s="50"/>
      <c r="DQ7482" s="50"/>
    </row>
    <row r="7483" spans="117:121" x14ac:dyDescent="0.35">
      <c r="DM7483" s="50"/>
      <c r="DQ7483" s="50"/>
    </row>
    <row r="7484" spans="117:121" x14ac:dyDescent="0.35">
      <c r="DM7484" s="50"/>
      <c r="DQ7484" s="50"/>
    </row>
    <row r="7485" spans="117:121" x14ac:dyDescent="0.35">
      <c r="DM7485" s="50"/>
      <c r="DQ7485" s="50"/>
    </row>
    <row r="7486" spans="117:121" x14ac:dyDescent="0.35">
      <c r="DM7486" s="50"/>
      <c r="DQ7486" s="50"/>
    </row>
    <row r="7487" spans="117:121" x14ac:dyDescent="0.35">
      <c r="DM7487" s="50"/>
      <c r="DQ7487" s="50"/>
    </row>
    <row r="7488" spans="117:121" x14ac:dyDescent="0.35">
      <c r="DM7488" s="50"/>
      <c r="DQ7488" s="50"/>
    </row>
    <row r="7489" spans="117:121" x14ac:dyDescent="0.35">
      <c r="DM7489" s="50"/>
      <c r="DQ7489" s="50"/>
    </row>
    <row r="7490" spans="117:121" x14ac:dyDescent="0.35">
      <c r="DM7490" s="50"/>
      <c r="DQ7490" s="50"/>
    </row>
    <row r="7491" spans="117:121" x14ac:dyDescent="0.35">
      <c r="DM7491" s="50"/>
      <c r="DQ7491" s="50"/>
    </row>
    <row r="7492" spans="117:121" x14ac:dyDescent="0.35">
      <c r="DM7492" s="50"/>
      <c r="DQ7492" s="50"/>
    </row>
    <row r="7493" spans="117:121" x14ac:dyDescent="0.35">
      <c r="DM7493" s="50"/>
      <c r="DQ7493" s="50"/>
    </row>
    <row r="7494" spans="117:121" x14ac:dyDescent="0.35">
      <c r="DM7494" s="50"/>
      <c r="DQ7494" s="50"/>
    </row>
    <row r="7495" spans="117:121" x14ac:dyDescent="0.35">
      <c r="DM7495" s="50"/>
      <c r="DQ7495" s="50"/>
    </row>
    <row r="7496" spans="117:121" x14ac:dyDescent="0.35">
      <c r="DM7496" s="50"/>
      <c r="DQ7496" s="50"/>
    </row>
    <row r="7497" spans="117:121" x14ac:dyDescent="0.35">
      <c r="DM7497" s="50"/>
      <c r="DQ7497" s="50"/>
    </row>
    <row r="7498" spans="117:121" x14ac:dyDescent="0.35">
      <c r="DM7498" s="50"/>
      <c r="DQ7498" s="50"/>
    </row>
    <row r="7499" spans="117:121" x14ac:dyDescent="0.35">
      <c r="DM7499" s="50"/>
      <c r="DQ7499" s="50"/>
    </row>
    <row r="7500" spans="117:121" x14ac:dyDescent="0.35">
      <c r="DM7500" s="50"/>
      <c r="DQ7500" s="50"/>
    </row>
    <row r="7501" spans="117:121" x14ac:dyDescent="0.35">
      <c r="DM7501" s="50"/>
      <c r="DQ7501" s="50"/>
    </row>
    <row r="7502" spans="117:121" x14ac:dyDescent="0.35">
      <c r="DM7502" s="50"/>
      <c r="DQ7502" s="50"/>
    </row>
    <row r="7503" spans="117:121" x14ac:dyDescent="0.35">
      <c r="DM7503" s="50"/>
      <c r="DQ7503" s="50"/>
    </row>
    <row r="7504" spans="117:121" x14ac:dyDescent="0.35">
      <c r="DM7504" s="50"/>
      <c r="DQ7504" s="50"/>
    </row>
    <row r="7505" spans="117:121" x14ac:dyDescent="0.35">
      <c r="DM7505" s="50"/>
      <c r="DQ7505" s="50"/>
    </row>
    <row r="7506" spans="117:121" x14ac:dyDescent="0.35">
      <c r="DM7506" s="50"/>
      <c r="DQ7506" s="50"/>
    </row>
    <row r="7507" spans="117:121" x14ac:dyDescent="0.35">
      <c r="DM7507" s="50"/>
      <c r="DQ7507" s="50"/>
    </row>
    <row r="7508" spans="117:121" x14ac:dyDescent="0.35">
      <c r="DM7508" s="50"/>
      <c r="DQ7508" s="50"/>
    </row>
    <row r="7509" spans="117:121" x14ac:dyDescent="0.35">
      <c r="DM7509" s="50"/>
      <c r="DQ7509" s="50"/>
    </row>
    <row r="7510" spans="117:121" x14ac:dyDescent="0.35">
      <c r="DM7510" s="50"/>
      <c r="DQ7510" s="50"/>
    </row>
    <row r="7511" spans="117:121" x14ac:dyDescent="0.35">
      <c r="DM7511" s="50"/>
      <c r="DQ7511" s="50"/>
    </row>
    <row r="7512" spans="117:121" x14ac:dyDescent="0.35">
      <c r="DM7512" s="50"/>
      <c r="DQ7512" s="50"/>
    </row>
    <row r="7513" spans="117:121" x14ac:dyDescent="0.35">
      <c r="DM7513" s="50"/>
      <c r="DQ7513" s="50"/>
    </row>
    <row r="7514" spans="117:121" x14ac:dyDescent="0.35">
      <c r="DM7514" s="50"/>
      <c r="DQ7514" s="50"/>
    </row>
    <row r="7515" spans="117:121" x14ac:dyDescent="0.35">
      <c r="DM7515" s="50"/>
      <c r="DQ7515" s="50"/>
    </row>
    <row r="7516" spans="117:121" x14ac:dyDescent="0.35">
      <c r="DM7516" s="50"/>
      <c r="DQ7516" s="50"/>
    </row>
    <row r="7517" spans="117:121" x14ac:dyDescent="0.35">
      <c r="DM7517" s="50"/>
      <c r="DQ7517" s="50"/>
    </row>
    <row r="7518" spans="117:121" x14ac:dyDescent="0.35">
      <c r="DM7518" s="50"/>
      <c r="DQ7518" s="50"/>
    </row>
    <row r="7519" spans="117:121" x14ac:dyDescent="0.35">
      <c r="DM7519" s="50"/>
      <c r="DQ7519" s="50"/>
    </row>
    <row r="7520" spans="117:121" x14ac:dyDescent="0.35">
      <c r="DM7520" s="50"/>
      <c r="DQ7520" s="50"/>
    </row>
    <row r="7521" spans="117:121" x14ac:dyDescent="0.35">
      <c r="DM7521" s="50"/>
      <c r="DQ7521" s="50"/>
    </row>
    <row r="7522" spans="117:121" x14ac:dyDescent="0.35">
      <c r="DM7522" s="50"/>
      <c r="DQ7522" s="50"/>
    </row>
    <row r="7523" spans="117:121" x14ac:dyDescent="0.35">
      <c r="DM7523" s="50"/>
      <c r="DQ7523" s="50"/>
    </row>
    <row r="7524" spans="117:121" x14ac:dyDescent="0.35">
      <c r="DM7524" s="50"/>
      <c r="DQ7524" s="50"/>
    </row>
    <row r="7525" spans="117:121" x14ac:dyDescent="0.35">
      <c r="DM7525" s="50"/>
      <c r="DQ7525" s="50"/>
    </row>
    <row r="7526" spans="117:121" x14ac:dyDescent="0.35">
      <c r="DM7526" s="50"/>
      <c r="DQ7526" s="50"/>
    </row>
    <row r="7527" spans="117:121" x14ac:dyDescent="0.35">
      <c r="DM7527" s="50"/>
      <c r="DQ7527" s="50"/>
    </row>
    <row r="7528" spans="117:121" x14ac:dyDescent="0.35">
      <c r="DM7528" s="50"/>
      <c r="DQ7528" s="50"/>
    </row>
    <row r="7529" spans="117:121" x14ac:dyDescent="0.35">
      <c r="DM7529" s="50"/>
      <c r="DQ7529" s="50"/>
    </row>
    <row r="7530" spans="117:121" x14ac:dyDescent="0.35">
      <c r="DM7530" s="50"/>
      <c r="DQ7530" s="50"/>
    </row>
    <row r="7531" spans="117:121" x14ac:dyDescent="0.35">
      <c r="DM7531" s="50"/>
      <c r="DQ7531" s="50"/>
    </row>
    <row r="7532" spans="117:121" x14ac:dyDescent="0.35">
      <c r="DM7532" s="50"/>
      <c r="DQ7532" s="50"/>
    </row>
    <row r="7533" spans="117:121" x14ac:dyDescent="0.35">
      <c r="DM7533" s="50"/>
      <c r="DQ7533" s="50"/>
    </row>
    <row r="7534" spans="117:121" x14ac:dyDescent="0.35">
      <c r="DM7534" s="50"/>
      <c r="DQ7534" s="50"/>
    </row>
    <row r="7535" spans="117:121" x14ac:dyDescent="0.35">
      <c r="DM7535" s="50"/>
      <c r="DQ7535" s="50"/>
    </row>
    <row r="7536" spans="117:121" x14ac:dyDescent="0.35">
      <c r="DM7536" s="50"/>
      <c r="DQ7536" s="50"/>
    </row>
    <row r="7537" spans="117:121" x14ac:dyDescent="0.35">
      <c r="DM7537" s="50"/>
      <c r="DQ7537" s="50"/>
    </row>
    <row r="7538" spans="117:121" x14ac:dyDescent="0.35">
      <c r="DM7538" s="50"/>
      <c r="DQ7538" s="50"/>
    </row>
    <row r="7539" spans="117:121" x14ac:dyDescent="0.35">
      <c r="DM7539" s="50"/>
      <c r="DQ7539" s="50"/>
    </row>
    <row r="7540" spans="117:121" x14ac:dyDescent="0.35">
      <c r="DM7540" s="50"/>
      <c r="DQ7540" s="50"/>
    </row>
    <row r="7541" spans="117:121" x14ac:dyDescent="0.35">
      <c r="DM7541" s="50"/>
      <c r="DQ7541" s="50"/>
    </row>
    <row r="7542" spans="117:121" x14ac:dyDescent="0.35">
      <c r="DM7542" s="50"/>
      <c r="DQ7542" s="50"/>
    </row>
    <row r="7543" spans="117:121" x14ac:dyDescent="0.35">
      <c r="DM7543" s="50"/>
      <c r="DQ7543" s="50"/>
    </row>
    <row r="7544" spans="117:121" x14ac:dyDescent="0.35">
      <c r="DM7544" s="50"/>
      <c r="DQ7544" s="50"/>
    </row>
    <row r="7545" spans="117:121" x14ac:dyDescent="0.35">
      <c r="DM7545" s="50"/>
      <c r="DQ7545" s="50"/>
    </row>
    <row r="7546" spans="117:121" x14ac:dyDescent="0.35">
      <c r="DM7546" s="50"/>
      <c r="DQ7546" s="50"/>
    </row>
    <row r="7547" spans="117:121" x14ac:dyDescent="0.35">
      <c r="DM7547" s="50"/>
      <c r="DQ7547" s="50"/>
    </row>
    <row r="7548" spans="117:121" x14ac:dyDescent="0.35">
      <c r="DM7548" s="50"/>
      <c r="DQ7548" s="50"/>
    </row>
    <row r="7549" spans="117:121" x14ac:dyDescent="0.35">
      <c r="DM7549" s="50"/>
      <c r="DQ7549" s="50"/>
    </row>
    <row r="7550" spans="117:121" x14ac:dyDescent="0.35">
      <c r="DM7550" s="50"/>
      <c r="DQ7550" s="50"/>
    </row>
    <row r="7551" spans="117:121" x14ac:dyDescent="0.35">
      <c r="DM7551" s="50"/>
      <c r="DQ7551" s="50"/>
    </row>
    <row r="7552" spans="117:121" x14ac:dyDescent="0.35">
      <c r="DM7552" s="50"/>
      <c r="DQ7552" s="50"/>
    </row>
    <row r="7553" spans="117:121" x14ac:dyDescent="0.35">
      <c r="DM7553" s="50"/>
      <c r="DQ7553" s="50"/>
    </row>
    <row r="7554" spans="117:121" x14ac:dyDescent="0.35">
      <c r="DM7554" s="50"/>
      <c r="DQ7554" s="50"/>
    </row>
    <row r="7555" spans="117:121" x14ac:dyDescent="0.35">
      <c r="DM7555" s="50"/>
      <c r="DQ7555" s="50"/>
    </row>
    <row r="7556" spans="117:121" x14ac:dyDescent="0.35">
      <c r="DM7556" s="50"/>
      <c r="DQ7556" s="50"/>
    </row>
    <row r="7557" spans="117:121" x14ac:dyDescent="0.35">
      <c r="DM7557" s="50"/>
      <c r="DQ7557" s="50"/>
    </row>
    <row r="7558" spans="117:121" x14ac:dyDescent="0.35">
      <c r="DM7558" s="50"/>
      <c r="DQ7558" s="50"/>
    </row>
    <row r="7559" spans="117:121" x14ac:dyDescent="0.35">
      <c r="DM7559" s="50"/>
      <c r="DQ7559" s="50"/>
    </row>
    <row r="7560" spans="117:121" x14ac:dyDescent="0.35">
      <c r="DM7560" s="50"/>
      <c r="DQ7560" s="50"/>
    </row>
    <row r="7561" spans="117:121" x14ac:dyDescent="0.35">
      <c r="DM7561" s="50"/>
      <c r="DQ7561" s="50"/>
    </row>
    <row r="7562" spans="117:121" x14ac:dyDescent="0.35">
      <c r="DM7562" s="50"/>
      <c r="DQ7562" s="50"/>
    </row>
    <row r="7563" spans="117:121" x14ac:dyDescent="0.35">
      <c r="DM7563" s="50"/>
      <c r="DQ7563" s="50"/>
    </row>
    <row r="7564" spans="117:121" x14ac:dyDescent="0.35">
      <c r="DM7564" s="50"/>
      <c r="DQ7564" s="50"/>
    </row>
    <row r="7565" spans="117:121" x14ac:dyDescent="0.35">
      <c r="DM7565" s="50"/>
      <c r="DQ7565" s="50"/>
    </row>
    <row r="7566" spans="117:121" x14ac:dyDescent="0.35">
      <c r="DM7566" s="50"/>
      <c r="DQ7566" s="50"/>
    </row>
    <row r="7567" spans="117:121" x14ac:dyDescent="0.35">
      <c r="DM7567" s="50"/>
      <c r="DQ7567" s="50"/>
    </row>
    <row r="7568" spans="117:121" x14ac:dyDescent="0.35">
      <c r="DM7568" s="50"/>
      <c r="DQ7568" s="50"/>
    </row>
    <row r="7569" spans="117:121" x14ac:dyDescent="0.35">
      <c r="DM7569" s="50"/>
      <c r="DQ7569" s="50"/>
    </row>
    <row r="7570" spans="117:121" x14ac:dyDescent="0.35">
      <c r="DM7570" s="50"/>
      <c r="DQ7570" s="50"/>
    </row>
    <row r="7571" spans="117:121" x14ac:dyDescent="0.35">
      <c r="DM7571" s="50"/>
      <c r="DQ7571" s="50"/>
    </row>
    <row r="7572" spans="117:121" x14ac:dyDescent="0.35">
      <c r="DM7572" s="50"/>
      <c r="DQ7572" s="50"/>
    </row>
    <row r="7573" spans="117:121" x14ac:dyDescent="0.35">
      <c r="DM7573" s="50"/>
      <c r="DQ7573" s="50"/>
    </row>
    <row r="7574" spans="117:121" x14ac:dyDescent="0.35">
      <c r="DM7574" s="50"/>
      <c r="DQ7574" s="50"/>
    </row>
    <row r="7575" spans="117:121" x14ac:dyDescent="0.35">
      <c r="DM7575" s="50"/>
      <c r="DQ7575" s="50"/>
    </row>
    <row r="7576" spans="117:121" x14ac:dyDescent="0.35">
      <c r="DM7576" s="50"/>
      <c r="DQ7576" s="50"/>
    </row>
    <row r="7577" spans="117:121" x14ac:dyDescent="0.35">
      <c r="DM7577" s="50"/>
      <c r="DQ7577" s="50"/>
    </row>
    <row r="7578" spans="117:121" x14ac:dyDescent="0.35">
      <c r="DM7578" s="50"/>
      <c r="DQ7578" s="50"/>
    </row>
    <row r="7579" spans="117:121" x14ac:dyDescent="0.35">
      <c r="DM7579" s="50"/>
      <c r="DQ7579" s="50"/>
    </row>
    <row r="7580" spans="117:121" x14ac:dyDescent="0.35">
      <c r="DM7580" s="50"/>
      <c r="DQ7580" s="50"/>
    </row>
    <row r="7581" spans="117:121" x14ac:dyDescent="0.35">
      <c r="DM7581" s="50"/>
      <c r="DQ7581" s="50"/>
    </row>
    <row r="7582" spans="117:121" x14ac:dyDescent="0.35">
      <c r="DM7582" s="50"/>
      <c r="DQ7582" s="50"/>
    </row>
    <row r="7583" spans="117:121" x14ac:dyDescent="0.35">
      <c r="DM7583" s="50"/>
      <c r="DQ7583" s="50"/>
    </row>
    <row r="7584" spans="117:121" x14ac:dyDescent="0.35">
      <c r="DM7584" s="50"/>
      <c r="DQ7584" s="50"/>
    </row>
    <row r="7585" spans="117:121" x14ac:dyDescent="0.35">
      <c r="DM7585" s="50"/>
      <c r="DQ7585" s="50"/>
    </row>
    <row r="7586" spans="117:121" x14ac:dyDescent="0.35">
      <c r="DM7586" s="50"/>
      <c r="DQ7586" s="50"/>
    </row>
    <row r="7587" spans="117:121" x14ac:dyDescent="0.35">
      <c r="DM7587" s="50"/>
      <c r="DQ7587" s="50"/>
    </row>
    <row r="7588" spans="117:121" x14ac:dyDescent="0.35">
      <c r="DM7588" s="50"/>
      <c r="DQ7588" s="50"/>
    </row>
    <row r="7589" spans="117:121" x14ac:dyDescent="0.35">
      <c r="DM7589" s="50"/>
      <c r="DQ7589" s="50"/>
    </row>
    <row r="7590" spans="117:121" x14ac:dyDescent="0.35">
      <c r="DM7590" s="50"/>
      <c r="DQ7590" s="50"/>
    </row>
    <row r="7591" spans="117:121" x14ac:dyDescent="0.35">
      <c r="DM7591" s="50"/>
      <c r="DQ7591" s="50"/>
    </row>
    <row r="7592" spans="117:121" x14ac:dyDescent="0.35">
      <c r="DM7592" s="50"/>
      <c r="DQ7592" s="50"/>
    </row>
    <row r="7593" spans="117:121" x14ac:dyDescent="0.35">
      <c r="DM7593" s="50"/>
      <c r="DQ7593" s="50"/>
    </row>
    <row r="7594" spans="117:121" x14ac:dyDescent="0.35">
      <c r="DM7594" s="50"/>
      <c r="DQ7594" s="50"/>
    </row>
    <row r="7595" spans="117:121" x14ac:dyDescent="0.35">
      <c r="DM7595" s="50"/>
      <c r="DQ7595" s="50"/>
    </row>
    <row r="7596" spans="117:121" x14ac:dyDescent="0.35">
      <c r="DM7596" s="50"/>
      <c r="DQ7596" s="50"/>
    </row>
    <row r="7597" spans="117:121" x14ac:dyDescent="0.35">
      <c r="DM7597" s="50"/>
      <c r="DQ7597" s="50"/>
    </row>
    <row r="7598" spans="117:121" x14ac:dyDescent="0.35">
      <c r="DM7598" s="50"/>
      <c r="DQ7598" s="50"/>
    </row>
    <row r="7599" spans="117:121" x14ac:dyDescent="0.35">
      <c r="DM7599" s="50"/>
      <c r="DQ7599" s="50"/>
    </row>
    <row r="7600" spans="117:121" x14ac:dyDescent="0.35">
      <c r="DM7600" s="50"/>
      <c r="DQ7600" s="50"/>
    </row>
    <row r="7601" spans="117:121" x14ac:dyDescent="0.35">
      <c r="DM7601" s="50"/>
      <c r="DQ7601" s="50"/>
    </row>
    <row r="7602" spans="117:121" x14ac:dyDescent="0.35">
      <c r="DM7602" s="50"/>
      <c r="DQ7602" s="50"/>
    </row>
    <row r="7603" spans="117:121" x14ac:dyDescent="0.35">
      <c r="DM7603" s="50"/>
      <c r="DQ7603" s="50"/>
    </row>
    <row r="7604" spans="117:121" x14ac:dyDescent="0.35">
      <c r="DM7604" s="50"/>
      <c r="DQ7604" s="50"/>
    </row>
    <row r="7605" spans="117:121" x14ac:dyDescent="0.35">
      <c r="DM7605" s="50"/>
      <c r="DQ7605" s="50"/>
    </row>
    <row r="7606" spans="117:121" x14ac:dyDescent="0.35">
      <c r="DM7606" s="50"/>
      <c r="DQ7606" s="50"/>
    </row>
    <row r="7607" spans="117:121" x14ac:dyDescent="0.35">
      <c r="DM7607" s="50"/>
      <c r="DQ7607" s="50"/>
    </row>
    <row r="7608" spans="117:121" x14ac:dyDescent="0.35">
      <c r="DM7608" s="50"/>
      <c r="DQ7608" s="50"/>
    </row>
    <row r="7609" spans="117:121" x14ac:dyDescent="0.35">
      <c r="DM7609" s="50"/>
      <c r="DQ7609" s="50"/>
    </row>
    <row r="7610" spans="117:121" x14ac:dyDescent="0.35">
      <c r="DM7610" s="50"/>
      <c r="DQ7610" s="50"/>
    </row>
    <row r="7611" spans="117:121" x14ac:dyDescent="0.35">
      <c r="DM7611" s="50"/>
      <c r="DQ7611" s="50"/>
    </row>
    <row r="7612" spans="117:121" x14ac:dyDescent="0.35">
      <c r="DM7612" s="50"/>
      <c r="DQ7612" s="50"/>
    </row>
    <row r="7613" spans="117:121" x14ac:dyDescent="0.35">
      <c r="DM7613" s="50"/>
      <c r="DQ7613" s="50"/>
    </row>
    <row r="7614" spans="117:121" x14ac:dyDescent="0.35">
      <c r="DM7614" s="50"/>
      <c r="DQ7614" s="50"/>
    </row>
    <row r="7615" spans="117:121" x14ac:dyDescent="0.35">
      <c r="DM7615" s="50"/>
      <c r="DQ7615" s="50"/>
    </row>
    <row r="7616" spans="117:121" x14ac:dyDescent="0.35">
      <c r="DM7616" s="50"/>
      <c r="DQ7616" s="50"/>
    </row>
    <row r="7617" spans="117:121" x14ac:dyDescent="0.35">
      <c r="DM7617" s="50"/>
      <c r="DQ7617" s="50"/>
    </row>
    <row r="7618" spans="117:121" x14ac:dyDescent="0.35">
      <c r="DM7618" s="50"/>
      <c r="DQ7618" s="50"/>
    </row>
    <row r="7619" spans="117:121" x14ac:dyDescent="0.35">
      <c r="DM7619" s="50"/>
      <c r="DQ7619" s="50"/>
    </row>
    <row r="7620" spans="117:121" x14ac:dyDescent="0.35">
      <c r="DM7620" s="50"/>
      <c r="DQ7620" s="50"/>
    </row>
    <row r="7621" spans="117:121" x14ac:dyDescent="0.35">
      <c r="DM7621" s="50"/>
      <c r="DQ7621" s="50"/>
    </row>
    <row r="7622" spans="117:121" x14ac:dyDescent="0.35">
      <c r="DM7622" s="50"/>
      <c r="DQ7622" s="50"/>
    </row>
    <row r="7623" spans="117:121" x14ac:dyDescent="0.35">
      <c r="DM7623" s="50"/>
      <c r="DQ7623" s="50"/>
    </row>
    <row r="7624" spans="117:121" x14ac:dyDescent="0.35">
      <c r="DM7624" s="50"/>
      <c r="DQ7624" s="50"/>
    </row>
    <row r="7625" spans="117:121" x14ac:dyDescent="0.35">
      <c r="DM7625" s="50"/>
      <c r="DQ7625" s="50"/>
    </row>
    <row r="7626" spans="117:121" x14ac:dyDescent="0.35">
      <c r="DM7626" s="50"/>
      <c r="DQ7626" s="50"/>
    </row>
    <row r="7627" spans="117:121" x14ac:dyDescent="0.35">
      <c r="DM7627" s="50"/>
      <c r="DQ7627" s="50"/>
    </row>
    <row r="7628" spans="117:121" x14ac:dyDescent="0.35">
      <c r="DM7628" s="50"/>
      <c r="DQ7628" s="50"/>
    </row>
    <row r="7629" spans="117:121" x14ac:dyDescent="0.35">
      <c r="DM7629" s="50"/>
      <c r="DQ7629" s="50"/>
    </row>
    <row r="7630" spans="117:121" x14ac:dyDescent="0.35">
      <c r="DM7630" s="50"/>
      <c r="DQ7630" s="50"/>
    </row>
    <row r="7631" spans="117:121" x14ac:dyDescent="0.35">
      <c r="DM7631" s="50"/>
      <c r="DQ7631" s="50"/>
    </row>
    <row r="7632" spans="117:121" x14ac:dyDescent="0.35">
      <c r="DM7632" s="50"/>
      <c r="DQ7632" s="50"/>
    </row>
    <row r="7633" spans="117:121" x14ac:dyDescent="0.35">
      <c r="DM7633" s="50"/>
      <c r="DQ7633" s="50"/>
    </row>
    <row r="7634" spans="117:121" x14ac:dyDescent="0.35">
      <c r="DM7634" s="50"/>
      <c r="DQ7634" s="50"/>
    </row>
    <row r="7635" spans="117:121" x14ac:dyDescent="0.35">
      <c r="DM7635" s="50"/>
      <c r="DQ7635" s="50"/>
    </row>
    <row r="7636" spans="117:121" x14ac:dyDescent="0.35">
      <c r="DM7636" s="50"/>
      <c r="DQ7636" s="50"/>
    </row>
    <row r="7637" spans="117:121" x14ac:dyDescent="0.35">
      <c r="DM7637" s="50"/>
      <c r="DQ7637" s="50"/>
    </row>
    <row r="7638" spans="117:121" x14ac:dyDescent="0.35">
      <c r="DM7638" s="50"/>
      <c r="DQ7638" s="50"/>
    </row>
    <row r="7639" spans="117:121" x14ac:dyDescent="0.35">
      <c r="DM7639" s="50"/>
      <c r="DQ7639" s="50"/>
    </row>
    <row r="7640" spans="117:121" x14ac:dyDescent="0.35">
      <c r="DM7640" s="50"/>
      <c r="DQ7640" s="50"/>
    </row>
    <row r="7641" spans="117:121" x14ac:dyDescent="0.35">
      <c r="DM7641" s="50"/>
      <c r="DQ7641" s="50"/>
    </row>
    <row r="7642" spans="117:121" x14ac:dyDescent="0.35">
      <c r="DM7642" s="50"/>
      <c r="DQ7642" s="50"/>
    </row>
    <row r="7643" spans="117:121" x14ac:dyDescent="0.35">
      <c r="DM7643" s="50"/>
      <c r="DQ7643" s="50"/>
    </row>
    <row r="7644" spans="117:121" x14ac:dyDescent="0.35">
      <c r="DM7644" s="50"/>
      <c r="DQ7644" s="50"/>
    </row>
    <row r="7645" spans="117:121" x14ac:dyDescent="0.35">
      <c r="DM7645" s="50"/>
      <c r="DQ7645" s="50"/>
    </row>
    <row r="7646" spans="117:121" x14ac:dyDescent="0.35">
      <c r="DM7646" s="50"/>
      <c r="DQ7646" s="50"/>
    </row>
    <row r="7647" spans="117:121" x14ac:dyDescent="0.35">
      <c r="DM7647" s="50"/>
      <c r="DQ7647" s="50"/>
    </row>
    <row r="7648" spans="117:121" x14ac:dyDescent="0.35">
      <c r="DM7648" s="50"/>
      <c r="DQ7648" s="50"/>
    </row>
    <row r="7649" spans="117:121" x14ac:dyDescent="0.35">
      <c r="DM7649" s="50"/>
      <c r="DQ7649" s="50"/>
    </row>
    <row r="7650" spans="117:121" x14ac:dyDescent="0.35">
      <c r="DM7650" s="50"/>
      <c r="DQ7650" s="50"/>
    </row>
    <row r="7651" spans="117:121" x14ac:dyDescent="0.35">
      <c r="DM7651" s="50"/>
      <c r="DQ7651" s="50"/>
    </row>
    <row r="7652" spans="117:121" x14ac:dyDescent="0.35">
      <c r="DM7652" s="50"/>
      <c r="DQ7652" s="50"/>
    </row>
    <row r="7653" spans="117:121" x14ac:dyDescent="0.35">
      <c r="DM7653" s="50"/>
      <c r="DQ7653" s="50"/>
    </row>
    <row r="7654" spans="117:121" x14ac:dyDescent="0.35">
      <c r="DM7654" s="50"/>
      <c r="DQ7654" s="50"/>
    </row>
    <row r="7655" spans="117:121" x14ac:dyDescent="0.35">
      <c r="DM7655" s="50"/>
      <c r="DQ7655" s="50"/>
    </row>
    <row r="7656" spans="117:121" x14ac:dyDescent="0.35">
      <c r="DM7656" s="50"/>
      <c r="DQ7656" s="50"/>
    </row>
    <row r="7657" spans="117:121" x14ac:dyDescent="0.35">
      <c r="DM7657" s="50"/>
      <c r="DQ7657" s="50"/>
    </row>
    <row r="7658" spans="117:121" x14ac:dyDescent="0.35">
      <c r="DM7658" s="50"/>
      <c r="DQ7658" s="50"/>
    </row>
    <row r="7659" spans="117:121" x14ac:dyDescent="0.35">
      <c r="DM7659" s="50"/>
      <c r="DQ7659" s="50"/>
    </row>
    <row r="7660" spans="117:121" x14ac:dyDescent="0.35">
      <c r="DM7660" s="50"/>
      <c r="DQ7660" s="50"/>
    </row>
    <row r="7661" spans="117:121" x14ac:dyDescent="0.35">
      <c r="DM7661" s="50"/>
      <c r="DQ7661" s="50"/>
    </row>
    <row r="7662" spans="117:121" x14ac:dyDescent="0.35">
      <c r="DM7662" s="50"/>
      <c r="DQ7662" s="50"/>
    </row>
    <row r="7663" spans="117:121" x14ac:dyDescent="0.35">
      <c r="DM7663" s="50"/>
      <c r="DQ7663" s="50"/>
    </row>
    <row r="7664" spans="117:121" x14ac:dyDescent="0.35">
      <c r="DM7664" s="50"/>
      <c r="DQ7664" s="50"/>
    </row>
    <row r="7665" spans="117:121" x14ac:dyDescent="0.35">
      <c r="DM7665" s="50"/>
      <c r="DQ7665" s="50"/>
    </row>
    <row r="7666" spans="117:121" x14ac:dyDescent="0.35">
      <c r="DM7666" s="50"/>
      <c r="DQ7666" s="50"/>
    </row>
    <row r="7667" spans="117:121" x14ac:dyDescent="0.35">
      <c r="DM7667" s="50"/>
      <c r="DQ7667" s="50"/>
    </row>
    <row r="7668" spans="117:121" x14ac:dyDescent="0.35">
      <c r="DM7668" s="50"/>
      <c r="DQ7668" s="50"/>
    </row>
    <row r="7669" spans="117:121" x14ac:dyDescent="0.35">
      <c r="DM7669" s="50"/>
      <c r="DQ7669" s="50"/>
    </row>
    <row r="7670" spans="117:121" x14ac:dyDescent="0.35">
      <c r="DM7670" s="50"/>
      <c r="DQ7670" s="50"/>
    </row>
    <row r="7671" spans="117:121" x14ac:dyDescent="0.35">
      <c r="DM7671" s="50"/>
      <c r="DQ7671" s="50"/>
    </row>
    <row r="7672" spans="117:121" x14ac:dyDescent="0.35">
      <c r="DM7672" s="50"/>
      <c r="DQ7672" s="50"/>
    </row>
    <row r="7673" spans="117:121" x14ac:dyDescent="0.35">
      <c r="DM7673" s="50"/>
      <c r="DQ7673" s="50"/>
    </row>
    <row r="7674" spans="117:121" x14ac:dyDescent="0.35">
      <c r="DM7674" s="50"/>
      <c r="DQ7674" s="50"/>
    </row>
    <row r="7675" spans="117:121" x14ac:dyDescent="0.35">
      <c r="DM7675" s="50"/>
      <c r="DQ7675" s="50"/>
    </row>
    <row r="7676" spans="117:121" x14ac:dyDescent="0.35">
      <c r="DM7676" s="50"/>
      <c r="DQ7676" s="50"/>
    </row>
    <row r="7677" spans="117:121" x14ac:dyDescent="0.35">
      <c r="DM7677" s="50"/>
      <c r="DQ7677" s="50"/>
    </row>
    <row r="7678" spans="117:121" x14ac:dyDescent="0.35">
      <c r="DM7678" s="50"/>
      <c r="DQ7678" s="50"/>
    </row>
    <row r="7679" spans="117:121" x14ac:dyDescent="0.35">
      <c r="DM7679" s="50"/>
      <c r="DQ7679" s="50"/>
    </row>
    <row r="7680" spans="117:121" x14ac:dyDescent="0.35">
      <c r="DM7680" s="50"/>
      <c r="DQ7680" s="50"/>
    </row>
    <row r="7681" spans="117:121" x14ac:dyDescent="0.35">
      <c r="DM7681" s="50"/>
      <c r="DQ7681" s="50"/>
    </row>
    <row r="7682" spans="117:121" x14ac:dyDescent="0.35">
      <c r="DM7682" s="50"/>
      <c r="DQ7682" s="50"/>
    </row>
    <row r="7683" spans="117:121" x14ac:dyDescent="0.35">
      <c r="DM7683" s="50"/>
      <c r="DQ7683" s="50"/>
    </row>
    <row r="7684" spans="117:121" x14ac:dyDescent="0.35">
      <c r="DM7684" s="50"/>
      <c r="DQ7684" s="50"/>
    </row>
    <row r="7685" spans="117:121" x14ac:dyDescent="0.35">
      <c r="DM7685" s="50"/>
      <c r="DQ7685" s="50"/>
    </row>
    <row r="7686" spans="117:121" x14ac:dyDescent="0.35">
      <c r="DM7686" s="50"/>
      <c r="DQ7686" s="50"/>
    </row>
    <row r="7687" spans="117:121" x14ac:dyDescent="0.35">
      <c r="DM7687" s="50"/>
      <c r="DQ7687" s="50"/>
    </row>
    <row r="7688" spans="117:121" x14ac:dyDescent="0.35">
      <c r="DM7688" s="50"/>
      <c r="DQ7688" s="50"/>
    </row>
    <row r="7689" spans="117:121" x14ac:dyDescent="0.35">
      <c r="DM7689" s="50"/>
      <c r="DQ7689" s="50"/>
    </row>
    <row r="7690" spans="117:121" x14ac:dyDescent="0.35">
      <c r="DM7690" s="50"/>
      <c r="DQ7690" s="50"/>
    </row>
    <row r="7691" spans="117:121" x14ac:dyDescent="0.35">
      <c r="DM7691" s="50"/>
      <c r="DQ7691" s="50"/>
    </row>
    <row r="7692" spans="117:121" x14ac:dyDescent="0.35">
      <c r="DM7692" s="50"/>
      <c r="DQ7692" s="50"/>
    </row>
    <row r="7693" spans="117:121" x14ac:dyDescent="0.35">
      <c r="DM7693" s="50"/>
      <c r="DQ7693" s="50"/>
    </row>
    <row r="7694" spans="117:121" x14ac:dyDescent="0.35">
      <c r="DM7694" s="50"/>
      <c r="DQ7694" s="50"/>
    </row>
    <row r="7695" spans="117:121" x14ac:dyDescent="0.35">
      <c r="DM7695" s="50"/>
      <c r="DQ7695" s="50"/>
    </row>
    <row r="7696" spans="117:121" x14ac:dyDescent="0.35">
      <c r="DM7696" s="50"/>
      <c r="DQ7696" s="50"/>
    </row>
    <row r="7697" spans="117:121" x14ac:dyDescent="0.35">
      <c r="DM7697" s="50"/>
      <c r="DQ7697" s="50"/>
    </row>
    <row r="7698" spans="117:121" x14ac:dyDescent="0.35">
      <c r="DM7698" s="50"/>
      <c r="DQ7698" s="50"/>
    </row>
    <row r="7699" spans="117:121" x14ac:dyDescent="0.35">
      <c r="DM7699" s="50"/>
      <c r="DQ7699" s="50"/>
    </row>
    <row r="7700" spans="117:121" x14ac:dyDescent="0.35">
      <c r="DM7700" s="50"/>
      <c r="DQ7700" s="50"/>
    </row>
    <row r="7701" spans="117:121" x14ac:dyDescent="0.35">
      <c r="DM7701" s="50"/>
      <c r="DQ7701" s="50"/>
    </row>
    <row r="7702" spans="117:121" x14ac:dyDescent="0.35">
      <c r="DM7702" s="50"/>
      <c r="DQ7702" s="50"/>
    </row>
    <row r="7703" spans="117:121" x14ac:dyDescent="0.35">
      <c r="DM7703" s="50"/>
      <c r="DQ7703" s="50"/>
    </row>
    <row r="7704" spans="117:121" x14ac:dyDescent="0.35">
      <c r="DM7704" s="50"/>
      <c r="DQ7704" s="50"/>
    </row>
    <row r="7705" spans="117:121" x14ac:dyDescent="0.35">
      <c r="DM7705" s="50"/>
      <c r="DQ7705" s="50"/>
    </row>
    <row r="7706" spans="117:121" x14ac:dyDescent="0.35">
      <c r="DM7706" s="50"/>
      <c r="DQ7706" s="50"/>
    </row>
    <row r="7707" spans="117:121" x14ac:dyDescent="0.35">
      <c r="DM7707" s="50"/>
      <c r="DQ7707" s="50"/>
    </row>
    <row r="7708" spans="117:121" x14ac:dyDescent="0.35">
      <c r="DM7708" s="50"/>
      <c r="DQ7708" s="50"/>
    </row>
    <row r="7709" spans="117:121" x14ac:dyDescent="0.35">
      <c r="DM7709" s="50"/>
      <c r="DQ7709" s="50"/>
    </row>
    <row r="7710" spans="117:121" x14ac:dyDescent="0.35">
      <c r="DM7710" s="50"/>
      <c r="DQ7710" s="50"/>
    </row>
    <row r="7711" spans="117:121" x14ac:dyDescent="0.35">
      <c r="DM7711" s="50"/>
      <c r="DQ7711" s="50"/>
    </row>
    <row r="7712" spans="117:121" x14ac:dyDescent="0.35">
      <c r="DM7712" s="50"/>
      <c r="DQ7712" s="50"/>
    </row>
    <row r="7713" spans="117:121" x14ac:dyDescent="0.35">
      <c r="DM7713" s="50"/>
      <c r="DQ7713" s="50"/>
    </row>
    <row r="7714" spans="117:121" x14ac:dyDescent="0.35">
      <c r="DM7714" s="50"/>
      <c r="DQ7714" s="50"/>
    </row>
    <row r="7715" spans="117:121" x14ac:dyDescent="0.35">
      <c r="DM7715" s="50"/>
      <c r="DQ7715" s="50"/>
    </row>
    <row r="7716" spans="117:121" x14ac:dyDescent="0.35">
      <c r="DM7716" s="50"/>
      <c r="DQ7716" s="50"/>
    </row>
    <row r="7717" spans="117:121" x14ac:dyDescent="0.35">
      <c r="DM7717" s="50"/>
      <c r="DQ7717" s="50"/>
    </row>
    <row r="7718" spans="117:121" x14ac:dyDescent="0.35">
      <c r="DM7718" s="50"/>
      <c r="DQ7718" s="50"/>
    </row>
    <row r="7719" spans="117:121" x14ac:dyDescent="0.35">
      <c r="DM7719" s="50"/>
      <c r="DQ7719" s="50"/>
    </row>
    <row r="7720" spans="117:121" x14ac:dyDescent="0.35">
      <c r="DM7720" s="50"/>
      <c r="DQ7720" s="50"/>
    </row>
    <row r="7721" spans="117:121" x14ac:dyDescent="0.35">
      <c r="DM7721" s="50"/>
      <c r="DQ7721" s="50"/>
    </row>
    <row r="7722" spans="117:121" x14ac:dyDescent="0.35">
      <c r="DM7722" s="50"/>
      <c r="DQ7722" s="50"/>
    </row>
    <row r="7723" spans="117:121" x14ac:dyDescent="0.35">
      <c r="DM7723" s="50"/>
      <c r="DQ7723" s="50"/>
    </row>
    <row r="7724" spans="117:121" x14ac:dyDescent="0.35">
      <c r="DM7724" s="50"/>
      <c r="DQ7724" s="50"/>
    </row>
    <row r="7725" spans="117:121" x14ac:dyDescent="0.35">
      <c r="DM7725" s="50"/>
      <c r="DQ7725" s="50"/>
    </row>
    <row r="7726" spans="117:121" x14ac:dyDescent="0.35">
      <c r="DM7726" s="50"/>
      <c r="DQ7726" s="50"/>
    </row>
    <row r="7727" spans="117:121" x14ac:dyDescent="0.35">
      <c r="DM7727" s="50"/>
      <c r="DQ7727" s="50"/>
    </row>
    <row r="7728" spans="117:121" x14ac:dyDescent="0.35">
      <c r="DM7728" s="50"/>
      <c r="DQ7728" s="50"/>
    </row>
    <row r="7729" spans="117:121" x14ac:dyDescent="0.35">
      <c r="DM7729" s="50"/>
      <c r="DQ7729" s="50"/>
    </row>
    <row r="7730" spans="117:121" x14ac:dyDescent="0.35">
      <c r="DM7730" s="50"/>
      <c r="DQ7730" s="50"/>
    </row>
    <row r="7731" spans="117:121" x14ac:dyDescent="0.35">
      <c r="DM7731" s="50"/>
      <c r="DQ7731" s="50"/>
    </row>
    <row r="7732" spans="117:121" x14ac:dyDescent="0.35">
      <c r="DM7732" s="50"/>
      <c r="DQ7732" s="50"/>
    </row>
    <row r="7733" spans="117:121" x14ac:dyDescent="0.35">
      <c r="DM7733" s="50"/>
      <c r="DQ7733" s="50"/>
    </row>
    <row r="7734" spans="117:121" x14ac:dyDescent="0.35">
      <c r="DM7734" s="50"/>
      <c r="DQ7734" s="50"/>
    </row>
    <row r="7735" spans="117:121" x14ac:dyDescent="0.35">
      <c r="DM7735" s="50"/>
      <c r="DQ7735" s="50"/>
    </row>
    <row r="7736" spans="117:121" x14ac:dyDescent="0.35">
      <c r="DM7736" s="50"/>
      <c r="DQ7736" s="50"/>
    </row>
    <row r="7737" spans="117:121" x14ac:dyDescent="0.35">
      <c r="DM7737" s="50"/>
      <c r="DQ7737" s="50"/>
    </row>
    <row r="7738" spans="117:121" x14ac:dyDescent="0.35">
      <c r="DM7738" s="50"/>
      <c r="DQ7738" s="50"/>
    </row>
    <row r="7739" spans="117:121" x14ac:dyDescent="0.35">
      <c r="DM7739" s="50"/>
      <c r="DQ7739" s="50"/>
    </row>
    <row r="7740" spans="117:121" x14ac:dyDescent="0.35">
      <c r="DM7740" s="50"/>
      <c r="DQ7740" s="50"/>
    </row>
    <row r="7741" spans="117:121" x14ac:dyDescent="0.35">
      <c r="DM7741" s="50"/>
      <c r="DQ7741" s="50"/>
    </row>
    <row r="7742" spans="117:121" x14ac:dyDescent="0.35">
      <c r="DM7742" s="50"/>
      <c r="DQ7742" s="50"/>
    </row>
    <row r="7743" spans="117:121" x14ac:dyDescent="0.35">
      <c r="DM7743" s="50"/>
      <c r="DQ7743" s="50"/>
    </row>
    <row r="7744" spans="117:121" x14ac:dyDescent="0.35">
      <c r="DM7744" s="50"/>
      <c r="DQ7744" s="50"/>
    </row>
    <row r="7745" spans="117:121" x14ac:dyDescent="0.35">
      <c r="DM7745" s="50"/>
      <c r="DQ7745" s="50"/>
    </row>
    <row r="7746" spans="117:121" x14ac:dyDescent="0.35">
      <c r="DM7746" s="50"/>
      <c r="DQ7746" s="50"/>
    </row>
    <row r="7747" spans="117:121" x14ac:dyDescent="0.35">
      <c r="DM7747" s="50"/>
      <c r="DQ7747" s="50"/>
    </row>
    <row r="7748" spans="117:121" x14ac:dyDescent="0.35">
      <c r="DM7748" s="50"/>
      <c r="DQ7748" s="50"/>
    </row>
    <row r="7749" spans="117:121" x14ac:dyDescent="0.35">
      <c r="DM7749" s="50"/>
      <c r="DQ7749" s="50"/>
    </row>
    <row r="7750" spans="117:121" x14ac:dyDescent="0.35">
      <c r="DM7750" s="50"/>
      <c r="DQ7750" s="50"/>
    </row>
    <row r="7751" spans="117:121" x14ac:dyDescent="0.35">
      <c r="DM7751" s="50"/>
      <c r="DQ7751" s="50"/>
    </row>
    <row r="7752" spans="117:121" x14ac:dyDescent="0.35">
      <c r="DM7752" s="50"/>
      <c r="DQ7752" s="50"/>
    </row>
    <row r="7753" spans="117:121" x14ac:dyDescent="0.35">
      <c r="DM7753" s="50"/>
      <c r="DQ7753" s="50"/>
    </row>
    <row r="7754" spans="117:121" x14ac:dyDescent="0.35">
      <c r="DM7754" s="50"/>
      <c r="DQ7754" s="50"/>
    </row>
    <row r="7755" spans="117:121" x14ac:dyDescent="0.35">
      <c r="DM7755" s="50"/>
      <c r="DQ7755" s="50"/>
    </row>
    <row r="7756" spans="117:121" x14ac:dyDescent="0.35">
      <c r="DM7756" s="50"/>
      <c r="DQ7756" s="50"/>
    </row>
    <row r="7757" spans="117:121" x14ac:dyDescent="0.35">
      <c r="DM7757" s="50"/>
      <c r="DQ7757" s="50"/>
    </row>
    <row r="7758" spans="117:121" x14ac:dyDescent="0.35">
      <c r="DM7758" s="50"/>
      <c r="DQ7758" s="50"/>
    </row>
    <row r="7759" spans="117:121" x14ac:dyDescent="0.35">
      <c r="DM7759" s="50"/>
      <c r="DQ7759" s="50"/>
    </row>
    <row r="7760" spans="117:121" x14ac:dyDescent="0.35">
      <c r="DM7760" s="50"/>
      <c r="DQ7760" s="50"/>
    </row>
    <row r="7761" spans="117:121" x14ac:dyDescent="0.35">
      <c r="DM7761" s="50"/>
      <c r="DQ7761" s="50"/>
    </row>
    <row r="7762" spans="117:121" x14ac:dyDescent="0.35">
      <c r="DM7762" s="50"/>
      <c r="DQ7762" s="50"/>
    </row>
    <row r="7763" spans="117:121" x14ac:dyDescent="0.35">
      <c r="DM7763" s="50"/>
      <c r="DQ7763" s="50"/>
    </row>
    <row r="7764" spans="117:121" x14ac:dyDescent="0.35">
      <c r="DM7764" s="50"/>
      <c r="DQ7764" s="50"/>
    </row>
    <row r="7765" spans="117:121" x14ac:dyDescent="0.35">
      <c r="DM7765" s="50"/>
      <c r="DQ7765" s="50"/>
    </row>
    <row r="7766" spans="117:121" x14ac:dyDescent="0.35">
      <c r="DM7766" s="50"/>
      <c r="DQ7766" s="50"/>
    </row>
    <row r="7767" spans="117:121" x14ac:dyDescent="0.35">
      <c r="DM7767" s="50"/>
      <c r="DQ7767" s="50"/>
    </row>
    <row r="7768" spans="117:121" x14ac:dyDescent="0.35">
      <c r="DM7768" s="50"/>
      <c r="DQ7768" s="50"/>
    </row>
    <row r="7769" spans="117:121" x14ac:dyDescent="0.35">
      <c r="DM7769" s="50"/>
      <c r="DQ7769" s="50"/>
    </row>
    <row r="7770" spans="117:121" x14ac:dyDescent="0.35">
      <c r="DM7770" s="50"/>
      <c r="DQ7770" s="50"/>
    </row>
    <row r="7771" spans="117:121" x14ac:dyDescent="0.35">
      <c r="DM7771" s="50"/>
      <c r="DQ7771" s="50"/>
    </row>
    <row r="7772" spans="117:121" x14ac:dyDescent="0.35">
      <c r="DM7772" s="50"/>
      <c r="DQ7772" s="50"/>
    </row>
    <row r="7773" spans="117:121" x14ac:dyDescent="0.35">
      <c r="DM7773" s="50"/>
      <c r="DQ7773" s="50"/>
    </row>
    <row r="7774" spans="117:121" x14ac:dyDescent="0.35">
      <c r="DM7774" s="50"/>
      <c r="DQ7774" s="50"/>
    </row>
    <row r="7775" spans="117:121" x14ac:dyDescent="0.35">
      <c r="DM7775" s="50"/>
      <c r="DQ7775" s="50"/>
    </row>
    <row r="7776" spans="117:121" x14ac:dyDescent="0.35">
      <c r="DM7776" s="50"/>
      <c r="DQ7776" s="50"/>
    </row>
    <row r="7777" spans="117:121" x14ac:dyDescent="0.35">
      <c r="DM7777" s="50"/>
      <c r="DQ7777" s="50"/>
    </row>
    <row r="7778" spans="117:121" x14ac:dyDescent="0.35">
      <c r="DM7778" s="50"/>
      <c r="DQ7778" s="50"/>
    </row>
    <row r="7779" spans="117:121" x14ac:dyDescent="0.35">
      <c r="DM7779" s="50"/>
      <c r="DQ7779" s="50"/>
    </row>
    <row r="7780" spans="117:121" x14ac:dyDescent="0.35">
      <c r="DM7780" s="50"/>
      <c r="DQ7780" s="50"/>
    </row>
    <row r="7781" spans="117:121" x14ac:dyDescent="0.35">
      <c r="DM7781" s="50"/>
      <c r="DQ7781" s="50"/>
    </row>
    <row r="7782" spans="117:121" x14ac:dyDescent="0.35">
      <c r="DM7782" s="50"/>
      <c r="DQ7782" s="50"/>
    </row>
    <row r="7783" spans="117:121" x14ac:dyDescent="0.35">
      <c r="DM7783" s="50"/>
      <c r="DQ7783" s="50"/>
    </row>
    <row r="7784" spans="117:121" x14ac:dyDescent="0.35">
      <c r="DM7784" s="50"/>
      <c r="DQ7784" s="50"/>
    </row>
    <row r="7785" spans="117:121" x14ac:dyDescent="0.35">
      <c r="DM7785" s="50"/>
      <c r="DQ7785" s="50"/>
    </row>
    <row r="7786" spans="117:121" x14ac:dyDescent="0.35">
      <c r="DM7786" s="50"/>
      <c r="DQ7786" s="50"/>
    </row>
    <row r="7787" spans="117:121" x14ac:dyDescent="0.35">
      <c r="DM7787" s="50"/>
      <c r="DQ7787" s="50"/>
    </row>
    <row r="7788" spans="117:121" x14ac:dyDescent="0.35">
      <c r="DM7788" s="50"/>
      <c r="DQ7788" s="50"/>
    </row>
    <row r="7789" spans="117:121" x14ac:dyDescent="0.35">
      <c r="DM7789" s="50"/>
      <c r="DQ7789" s="50"/>
    </row>
    <row r="7790" spans="117:121" x14ac:dyDescent="0.35">
      <c r="DM7790" s="50"/>
      <c r="DQ7790" s="50"/>
    </row>
    <row r="7791" spans="117:121" x14ac:dyDescent="0.35">
      <c r="DM7791" s="50"/>
      <c r="DQ7791" s="50"/>
    </row>
    <row r="7792" spans="117:121" x14ac:dyDescent="0.35">
      <c r="DM7792" s="50"/>
      <c r="DQ7792" s="50"/>
    </row>
    <row r="7793" spans="117:121" x14ac:dyDescent="0.35">
      <c r="DM7793" s="50"/>
      <c r="DQ7793" s="50"/>
    </row>
    <row r="7794" spans="117:121" x14ac:dyDescent="0.35">
      <c r="DM7794" s="50"/>
      <c r="DQ7794" s="50"/>
    </row>
    <row r="7795" spans="117:121" x14ac:dyDescent="0.35">
      <c r="DM7795" s="50"/>
      <c r="DQ7795" s="50"/>
    </row>
    <row r="7796" spans="117:121" x14ac:dyDescent="0.35">
      <c r="DM7796" s="50"/>
      <c r="DQ7796" s="50"/>
    </row>
    <row r="7797" spans="117:121" x14ac:dyDescent="0.35">
      <c r="DM7797" s="50"/>
      <c r="DQ7797" s="50"/>
    </row>
    <row r="7798" spans="117:121" x14ac:dyDescent="0.35">
      <c r="DM7798" s="50"/>
      <c r="DQ7798" s="50"/>
    </row>
    <row r="7799" spans="117:121" x14ac:dyDescent="0.35">
      <c r="DM7799" s="50"/>
      <c r="DQ7799" s="50"/>
    </row>
    <row r="7800" spans="117:121" x14ac:dyDescent="0.35">
      <c r="DM7800" s="50"/>
      <c r="DQ7800" s="50"/>
    </row>
    <row r="7801" spans="117:121" x14ac:dyDescent="0.35">
      <c r="DM7801" s="50"/>
      <c r="DQ7801" s="50"/>
    </row>
    <row r="7802" spans="117:121" x14ac:dyDescent="0.35">
      <c r="DM7802" s="50"/>
      <c r="DQ7802" s="50"/>
    </row>
    <row r="7803" spans="117:121" x14ac:dyDescent="0.35">
      <c r="DM7803" s="50"/>
      <c r="DQ7803" s="50"/>
    </row>
    <row r="7804" spans="117:121" x14ac:dyDescent="0.35">
      <c r="DM7804" s="50"/>
      <c r="DQ7804" s="50"/>
    </row>
    <row r="7805" spans="117:121" x14ac:dyDescent="0.35">
      <c r="DM7805" s="50"/>
      <c r="DQ7805" s="50"/>
    </row>
    <row r="7806" spans="117:121" x14ac:dyDescent="0.35">
      <c r="DM7806" s="50"/>
      <c r="DQ7806" s="50"/>
    </row>
    <row r="7807" spans="117:121" x14ac:dyDescent="0.35">
      <c r="DM7807" s="50"/>
      <c r="DQ7807" s="50"/>
    </row>
    <row r="7808" spans="117:121" x14ac:dyDescent="0.35">
      <c r="DM7808" s="50"/>
      <c r="DQ7808" s="50"/>
    </row>
    <row r="7809" spans="117:121" x14ac:dyDescent="0.35">
      <c r="DM7809" s="50"/>
      <c r="DQ7809" s="50"/>
    </row>
    <row r="7810" spans="117:121" x14ac:dyDescent="0.35">
      <c r="DM7810" s="50"/>
      <c r="DQ7810" s="50"/>
    </row>
    <row r="7811" spans="117:121" x14ac:dyDescent="0.35">
      <c r="DM7811" s="50"/>
      <c r="DQ7811" s="50"/>
    </row>
    <row r="7812" spans="117:121" x14ac:dyDescent="0.35">
      <c r="DM7812" s="50"/>
      <c r="DQ7812" s="50"/>
    </row>
    <row r="7813" spans="117:121" x14ac:dyDescent="0.35">
      <c r="DM7813" s="50"/>
      <c r="DQ7813" s="50"/>
    </row>
    <row r="7814" spans="117:121" x14ac:dyDescent="0.35">
      <c r="DM7814" s="50"/>
      <c r="DQ7814" s="50"/>
    </row>
    <row r="7815" spans="117:121" x14ac:dyDescent="0.35">
      <c r="DM7815" s="50"/>
      <c r="DQ7815" s="50"/>
    </row>
    <row r="7816" spans="117:121" x14ac:dyDescent="0.35">
      <c r="DM7816" s="50"/>
      <c r="DQ7816" s="50"/>
    </row>
    <row r="7817" spans="117:121" x14ac:dyDescent="0.35">
      <c r="DM7817" s="50"/>
      <c r="DQ7817" s="50"/>
    </row>
    <row r="7818" spans="117:121" x14ac:dyDescent="0.35">
      <c r="DM7818" s="50"/>
      <c r="DQ7818" s="50"/>
    </row>
    <row r="7819" spans="117:121" x14ac:dyDescent="0.35">
      <c r="DM7819" s="50"/>
      <c r="DQ7819" s="50"/>
    </row>
    <row r="7820" spans="117:121" x14ac:dyDescent="0.35">
      <c r="DM7820" s="50"/>
      <c r="DQ7820" s="50"/>
    </row>
    <row r="7821" spans="117:121" x14ac:dyDescent="0.35">
      <c r="DM7821" s="50"/>
      <c r="DQ7821" s="50"/>
    </row>
    <row r="7822" spans="117:121" x14ac:dyDescent="0.35">
      <c r="DM7822" s="50"/>
      <c r="DQ7822" s="50"/>
    </row>
    <row r="7823" spans="117:121" x14ac:dyDescent="0.35">
      <c r="DM7823" s="50"/>
      <c r="DQ7823" s="50"/>
    </row>
    <row r="7824" spans="117:121" x14ac:dyDescent="0.35">
      <c r="DM7824" s="50"/>
      <c r="DQ7824" s="50"/>
    </row>
    <row r="7825" spans="117:121" x14ac:dyDescent="0.35">
      <c r="DM7825" s="50"/>
      <c r="DQ7825" s="50"/>
    </row>
    <row r="7826" spans="117:121" x14ac:dyDescent="0.35">
      <c r="DM7826" s="50"/>
      <c r="DQ7826" s="50"/>
    </row>
    <row r="7827" spans="117:121" x14ac:dyDescent="0.35">
      <c r="DM7827" s="50"/>
      <c r="DQ7827" s="50"/>
    </row>
    <row r="7828" spans="117:121" x14ac:dyDescent="0.35">
      <c r="DM7828" s="50"/>
      <c r="DQ7828" s="50"/>
    </row>
    <row r="7829" spans="117:121" x14ac:dyDescent="0.35">
      <c r="DM7829" s="50"/>
      <c r="DQ7829" s="50"/>
    </row>
    <row r="7830" spans="117:121" x14ac:dyDescent="0.35">
      <c r="DM7830" s="50"/>
      <c r="DQ7830" s="50"/>
    </row>
    <row r="7831" spans="117:121" x14ac:dyDescent="0.35">
      <c r="DM7831" s="50"/>
      <c r="DQ7831" s="50"/>
    </row>
    <row r="7832" spans="117:121" x14ac:dyDescent="0.35">
      <c r="DM7832" s="50"/>
      <c r="DQ7832" s="50"/>
    </row>
    <row r="7833" spans="117:121" x14ac:dyDescent="0.35">
      <c r="DM7833" s="50"/>
      <c r="DQ7833" s="50"/>
    </row>
    <row r="7834" spans="117:121" x14ac:dyDescent="0.35">
      <c r="DM7834" s="50"/>
      <c r="DQ7834" s="50"/>
    </row>
    <row r="7835" spans="117:121" x14ac:dyDescent="0.35">
      <c r="DM7835" s="50"/>
      <c r="DQ7835" s="50"/>
    </row>
    <row r="7836" spans="117:121" x14ac:dyDescent="0.35">
      <c r="DM7836" s="50"/>
      <c r="DQ7836" s="50"/>
    </row>
    <row r="7837" spans="117:121" x14ac:dyDescent="0.35">
      <c r="DM7837" s="50"/>
      <c r="DQ7837" s="50"/>
    </row>
    <row r="7838" spans="117:121" x14ac:dyDescent="0.35">
      <c r="DM7838" s="50"/>
      <c r="DQ7838" s="50"/>
    </row>
    <row r="7839" spans="117:121" x14ac:dyDescent="0.35">
      <c r="DM7839" s="50"/>
      <c r="DQ7839" s="50"/>
    </row>
    <row r="7840" spans="117:121" x14ac:dyDescent="0.35">
      <c r="DM7840" s="50"/>
      <c r="DQ7840" s="50"/>
    </row>
    <row r="7841" spans="117:121" x14ac:dyDescent="0.35">
      <c r="DM7841" s="50"/>
      <c r="DQ7841" s="50"/>
    </row>
    <row r="7842" spans="117:121" x14ac:dyDescent="0.35">
      <c r="DM7842" s="50"/>
      <c r="DQ7842" s="50"/>
    </row>
    <row r="7843" spans="117:121" x14ac:dyDescent="0.35">
      <c r="DM7843" s="50"/>
      <c r="DQ7843" s="50"/>
    </row>
    <row r="7844" spans="117:121" x14ac:dyDescent="0.35">
      <c r="DM7844" s="50"/>
      <c r="DQ7844" s="50"/>
    </row>
    <row r="7845" spans="117:121" x14ac:dyDescent="0.35">
      <c r="DM7845" s="50"/>
      <c r="DQ7845" s="50"/>
    </row>
    <row r="7846" spans="117:121" x14ac:dyDescent="0.35">
      <c r="DM7846" s="50"/>
      <c r="DQ7846" s="50"/>
    </row>
    <row r="7847" spans="117:121" x14ac:dyDescent="0.35">
      <c r="DM7847" s="50"/>
      <c r="DQ7847" s="50"/>
    </row>
    <row r="7848" spans="117:121" x14ac:dyDescent="0.35">
      <c r="DM7848" s="50"/>
      <c r="DQ7848" s="50"/>
    </row>
    <row r="7849" spans="117:121" x14ac:dyDescent="0.35">
      <c r="DM7849" s="50"/>
      <c r="DQ7849" s="50"/>
    </row>
    <row r="7850" spans="117:121" x14ac:dyDescent="0.35">
      <c r="DM7850" s="50"/>
      <c r="DQ7850" s="50"/>
    </row>
    <row r="7851" spans="117:121" x14ac:dyDescent="0.35">
      <c r="DM7851" s="50"/>
      <c r="DQ7851" s="50"/>
    </row>
    <row r="7852" spans="117:121" x14ac:dyDescent="0.35">
      <c r="DM7852" s="50"/>
      <c r="DQ7852" s="50"/>
    </row>
    <row r="7853" spans="117:121" x14ac:dyDescent="0.35">
      <c r="DM7853" s="50"/>
      <c r="DQ7853" s="50"/>
    </row>
    <row r="7854" spans="117:121" x14ac:dyDescent="0.35">
      <c r="DM7854" s="50"/>
      <c r="DQ7854" s="50"/>
    </row>
    <row r="7855" spans="117:121" x14ac:dyDescent="0.35">
      <c r="DM7855" s="50"/>
      <c r="DQ7855" s="50"/>
    </row>
    <row r="7856" spans="117:121" x14ac:dyDescent="0.35">
      <c r="DM7856" s="50"/>
      <c r="DQ7856" s="50"/>
    </row>
    <row r="7857" spans="117:121" x14ac:dyDescent="0.35">
      <c r="DM7857" s="50"/>
      <c r="DQ7857" s="50"/>
    </row>
    <row r="7858" spans="117:121" x14ac:dyDescent="0.35">
      <c r="DM7858" s="50"/>
      <c r="DQ7858" s="50"/>
    </row>
    <row r="7859" spans="117:121" x14ac:dyDescent="0.35">
      <c r="DM7859" s="50"/>
      <c r="DQ7859" s="50"/>
    </row>
    <row r="7860" spans="117:121" x14ac:dyDescent="0.35">
      <c r="DM7860" s="50"/>
      <c r="DQ7860" s="50"/>
    </row>
    <row r="7861" spans="117:121" x14ac:dyDescent="0.35">
      <c r="DM7861" s="50"/>
      <c r="DQ7861" s="50"/>
    </row>
    <row r="7862" spans="117:121" x14ac:dyDescent="0.35">
      <c r="DM7862" s="50"/>
      <c r="DQ7862" s="50"/>
    </row>
    <row r="7863" spans="117:121" x14ac:dyDescent="0.35">
      <c r="DM7863" s="50"/>
      <c r="DQ7863" s="50"/>
    </row>
    <row r="7864" spans="117:121" x14ac:dyDescent="0.35">
      <c r="DM7864" s="50"/>
      <c r="DQ7864" s="50"/>
    </row>
    <row r="7865" spans="117:121" x14ac:dyDescent="0.35">
      <c r="DM7865" s="50"/>
      <c r="DQ7865" s="50"/>
    </row>
    <row r="7866" spans="117:121" x14ac:dyDescent="0.35">
      <c r="DM7866" s="50"/>
      <c r="DQ7866" s="50"/>
    </row>
    <row r="7867" spans="117:121" x14ac:dyDescent="0.35">
      <c r="DM7867" s="50"/>
      <c r="DQ7867" s="50"/>
    </row>
    <row r="7868" spans="117:121" x14ac:dyDescent="0.35">
      <c r="DM7868" s="50"/>
      <c r="DQ7868" s="50"/>
    </row>
    <row r="7869" spans="117:121" x14ac:dyDescent="0.35">
      <c r="DM7869" s="50"/>
      <c r="DQ7869" s="50"/>
    </row>
    <row r="7870" spans="117:121" x14ac:dyDescent="0.35">
      <c r="DM7870" s="50"/>
      <c r="DQ7870" s="50"/>
    </row>
    <row r="7871" spans="117:121" x14ac:dyDescent="0.35">
      <c r="DM7871" s="50"/>
      <c r="DQ7871" s="50"/>
    </row>
    <row r="7872" spans="117:121" x14ac:dyDescent="0.35">
      <c r="DM7872" s="50"/>
      <c r="DQ7872" s="50"/>
    </row>
    <row r="7873" spans="117:121" x14ac:dyDescent="0.35">
      <c r="DM7873" s="50"/>
      <c r="DQ7873" s="50"/>
    </row>
    <row r="7874" spans="117:121" x14ac:dyDescent="0.35">
      <c r="DM7874" s="50"/>
      <c r="DQ7874" s="50"/>
    </row>
    <row r="7875" spans="117:121" x14ac:dyDescent="0.35">
      <c r="DM7875" s="50"/>
      <c r="DQ7875" s="50"/>
    </row>
    <row r="7876" spans="117:121" x14ac:dyDescent="0.35">
      <c r="DM7876" s="50"/>
      <c r="DQ7876" s="50"/>
    </row>
    <row r="7877" spans="117:121" x14ac:dyDescent="0.35">
      <c r="DM7877" s="50"/>
      <c r="DQ7877" s="50"/>
    </row>
    <row r="7878" spans="117:121" x14ac:dyDescent="0.35">
      <c r="DM7878" s="50"/>
      <c r="DQ7878" s="50"/>
    </row>
    <row r="7879" spans="117:121" x14ac:dyDescent="0.35">
      <c r="DM7879" s="50"/>
      <c r="DQ7879" s="50"/>
    </row>
    <row r="7880" spans="117:121" x14ac:dyDescent="0.35">
      <c r="DM7880" s="50"/>
      <c r="DQ7880" s="50"/>
    </row>
    <row r="7881" spans="117:121" x14ac:dyDescent="0.35">
      <c r="DM7881" s="50"/>
      <c r="DQ7881" s="50"/>
    </row>
    <row r="7882" spans="117:121" x14ac:dyDescent="0.35">
      <c r="DM7882" s="50"/>
      <c r="DQ7882" s="50"/>
    </row>
    <row r="7883" spans="117:121" x14ac:dyDescent="0.35">
      <c r="DM7883" s="50"/>
      <c r="DQ7883" s="50"/>
    </row>
    <row r="7884" spans="117:121" x14ac:dyDescent="0.35">
      <c r="DM7884" s="50"/>
      <c r="DQ7884" s="50"/>
    </row>
    <row r="7885" spans="117:121" x14ac:dyDescent="0.35">
      <c r="DM7885" s="50"/>
      <c r="DQ7885" s="50"/>
    </row>
    <row r="7886" spans="117:121" x14ac:dyDescent="0.35">
      <c r="DM7886" s="50"/>
      <c r="DQ7886" s="50"/>
    </row>
    <row r="7887" spans="117:121" x14ac:dyDescent="0.35">
      <c r="DM7887" s="50"/>
      <c r="DQ7887" s="50"/>
    </row>
    <row r="7888" spans="117:121" x14ac:dyDescent="0.35">
      <c r="DM7888" s="50"/>
      <c r="DQ7888" s="50"/>
    </row>
    <row r="7889" spans="117:121" x14ac:dyDescent="0.35">
      <c r="DM7889" s="50"/>
      <c r="DQ7889" s="50"/>
    </row>
    <row r="7890" spans="117:121" x14ac:dyDescent="0.35">
      <c r="DM7890" s="50"/>
      <c r="DQ7890" s="50"/>
    </row>
    <row r="7891" spans="117:121" x14ac:dyDescent="0.35">
      <c r="DM7891" s="50"/>
      <c r="DQ7891" s="50"/>
    </row>
    <row r="7892" spans="117:121" x14ac:dyDescent="0.35">
      <c r="DM7892" s="50"/>
      <c r="DQ7892" s="50"/>
    </row>
    <row r="7893" spans="117:121" x14ac:dyDescent="0.35">
      <c r="DM7893" s="50"/>
      <c r="DQ7893" s="50"/>
    </row>
    <row r="7894" spans="117:121" x14ac:dyDescent="0.35">
      <c r="DM7894" s="50"/>
      <c r="DQ7894" s="50"/>
    </row>
    <row r="7895" spans="117:121" x14ac:dyDescent="0.35">
      <c r="DM7895" s="50"/>
      <c r="DQ7895" s="50"/>
    </row>
    <row r="7896" spans="117:121" x14ac:dyDescent="0.35">
      <c r="DM7896" s="50"/>
      <c r="DQ7896" s="50"/>
    </row>
    <row r="7897" spans="117:121" x14ac:dyDescent="0.35">
      <c r="DM7897" s="50"/>
      <c r="DQ7897" s="50"/>
    </row>
    <row r="7898" spans="117:121" x14ac:dyDescent="0.35">
      <c r="DM7898" s="50"/>
      <c r="DQ7898" s="50"/>
    </row>
    <row r="7899" spans="117:121" x14ac:dyDescent="0.35">
      <c r="DM7899" s="50"/>
      <c r="DQ7899" s="50"/>
    </row>
    <row r="7900" spans="117:121" x14ac:dyDescent="0.35">
      <c r="DM7900" s="50"/>
      <c r="DQ7900" s="50"/>
    </row>
    <row r="7901" spans="117:121" x14ac:dyDescent="0.35">
      <c r="DM7901" s="50"/>
      <c r="DQ7901" s="50"/>
    </row>
    <row r="7902" spans="117:121" x14ac:dyDescent="0.35">
      <c r="DM7902" s="50"/>
      <c r="DQ7902" s="50"/>
    </row>
    <row r="7903" spans="117:121" x14ac:dyDescent="0.35">
      <c r="DM7903" s="50"/>
      <c r="DQ7903" s="50"/>
    </row>
    <row r="7904" spans="117:121" x14ac:dyDescent="0.35">
      <c r="DM7904" s="50"/>
      <c r="DQ7904" s="50"/>
    </row>
    <row r="7905" spans="117:121" x14ac:dyDescent="0.35">
      <c r="DM7905" s="50"/>
      <c r="DQ7905" s="50"/>
    </row>
    <row r="7906" spans="117:121" x14ac:dyDescent="0.35">
      <c r="DM7906" s="50"/>
      <c r="DQ7906" s="50"/>
    </row>
    <row r="7907" spans="117:121" x14ac:dyDescent="0.35">
      <c r="DM7907" s="50"/>
      <c r="DQ7907" s="50"/>
    </row>
    <row r="7908" spans="117:121" x14ac:dyDescent="0.35">
      <c r="DM7908" s="50"/>
      <c r="DQ7908" s="50"/>
    </row>
    <row r="7909" spans="117:121" x14ac:dyDescent="0.35">
      <c r="DM7909" s="50"/>
      <c r="DQ7909" s="50"/>
    </row>
    <row r="7910" spans="117:121" x14ac:dyDescent="0.35">
      <c r="DM7910" s="50"/>
      <c r="DQ7910" s="50"/>
    </row>
    <row r="7911" spans="117:121" x14ac:dyDescent="0.35">
      <c r="DM7911" s="50"/>
      <c r="DQ7911" s="50"/>
    </row>
    <row r="7912" spans="117:121" x14ac:dyDescent="0.35">
      <c r="DM7912" s="50"/>
      <c r="DQ7912" s="50"/>
    </row>
    <row r="7913" spans="117:121" x14ac:dyDescent="0.35">
      <c r="DM7913" s="50"/>
      <c r="DQ7913" s="50"/>
    </row>
    <row r="7914" spans="117:121" x14ac:dyDescent="0.35">
      <c r="DM7914" s="50"/>
      <c r="DQ7914" s="50"/>
    </row>
    <row r="7915" spans="117:121" x14ac:dyDescent="0.35">
      <c r="DM7915" s="50"/>
      <c r="DQ7915" s="50"/>
    </row>
    <row r="7916" spans="117:121" x14ac:dyDescent="0.35">
      <c r="DM7916" s="50"/>
      <c r="DQ7916" s="50"/>
    </row>
    <row r="7917" spans="117:121" x14ac:dyDescent="0.35">
      <c r="DM7917" s="50"/>
      <c r="DQ7917" s="50"/>
    </row>
    <row r="7918" spans="117:121" x14ac:dyDescent="0.35">
      <c r="DM7918" s="50"/>
      <c r="DQ7918" s="50"/>
    </row>
    <row r="7919" spans="117:121" x14ac:dyDescent="0.35">
      <c r="DM7919" s="50"/>
      <c r="DQ7919" s="50"/>
    </row>
    <row r="7920" spans="117:121" x14ac:dyDescent="0.35">
      <c r="DM7920" s="50"/>
      <c r="DQ7920" s="50"/>
    </row>
    <row r="7921" spans="117:121" x14ac:dyDescent="0.35">
      <c r="DM7921" s="50"/>
      <c r="DQ7921" s="50"/>
    </row>
    <row r="7922" spans="117:121" x14ac:dyDescent="0.35">
      <c r="DM7922" s="50"/>
      <c r="DQ7922" s="50"/>
    </row>
    <row r="7923" spans="117:121" x14ac:dyDescent="0.35">
      <c r="DM7923" s="50"/>
      <c r="DQ7923" s="50"/>
    </row>
    <row r="7924" spans="117:121" x14ac:dyDescent="0.35">
      <c r="DM7924" s="50"/>
      <c r="DQ7924" s="50"/>
    </row>
    <row r="7925" spans="117:121" x14ac:dyDescent="0.35">
      <c r="DM7925" s="50"/>
      <c r="DQ7925" s="50"/>
    </row>
    <row r="7926" spans="117:121" x14ac:dyDescent="0.35">
      <c r="DM7926" s="50"/>
      <c r="DQ7926" s="50"/>
    </row>
    <row r="7927" spans="117:121" x14ac:dyDescent="0.35">
      <c r="DM7927" s="50"/>
      <c r="DQ7927" s="50"/>
    </row>
    <row r="7928" spans="117:121" x14ac:dyDescent="0.35">
      <c r="DM7928" s="50"/>
      <c r="DQ7928" s="50"/>
    </row>
    <row r="7929" spans="117:121" x14ac:dyDescent="0.35">
      <c r="DM7929" s="50"/>
      <c r="DQ7929" s="50"/>
    </row>
    <row r="7930" spans="117:121" x14ac:dyDescent="0.35">
      <c r="DM7930" s="50"/>
      <c r="DQ7930" s="50"/>
    </row>
    <row r="7931" spans="117:121" x14ac:dyDescent="0.35">
      <c r="DM7931" s="50"/>
      <c r="DQ7931" s="50"/>
    </row>
    <row r="7932" spans="117:121" x14ac:dyDescent="0.35">
      <c r="DM7932" s="50"/>
      <c r="DQ7932" s="50"/>
    </row>
    <row r="7933" spans="117:121" x14ac:dyDescent="0.35">
      <c r="DM7933" s="50"/>
      <c r="DQ7933" s="50"/>
    </row>
    <row r="7934" spans="117:121" x14ac:dyDescent="0.35">
      <c r="DM7934" s="50"/>
      <c r="DQ7934" s="50"/>
    </row>
    <row r="7935" spans="117:121" x14ac:dyDescent="0.35">
      <c r="DM7935" s="50"/>
      <c r="DQ7935" s="50"/>
    </row>
    <row r="7936" spans="117:121" x14ac:dyDescent="0.35">
      <c r="DM7936" s="50"/>
      <c r="DQ7936" s="50"/>
    </row>
    <row r="7937" spans="117:121" x14ac:dyDescent="0.35">
      <c r="DM7937" s="50"/>
      <c r="DQ7937" s="50"/>
    </row>
    <row r="7938" spans="117:121" x14ac:dyDescent="0.35">
      <c r="DM7938" s="50"/>
      <c r="DQ7938" s="50"/>
    </row>
    <row r="7939" spans="117:121" x14ac:dyDescent="0.35">
      <c r="DM7939" s="50"/>
      <c r="DQ7939" s="50"/>
    </row>
    <row r="7940" spans="117:121" x14ac:dyDescent="0.35">
      <c r="DM7940" s="50"/>
      <c r="DQ7940" s="50"/>
    </row>
    <row r="7941" spans="117:121" x14ac:dyDescent="0.35">
      <c r="DM7941" s="50"/>
      <c r="DQ7941" s="50"/>
    </row>
    <row r="7942" spans="117:121" x14ac:dyDescent="0.35">
      <c r="DM7942" s="50"/>
      <c r="DQ7942" s="50"/>
    </row>
    <row r="7943" spans="117:121" x14ac:dyDescent="0.35">
      <c r="DM7943" s="50"/>
      <c r="DQ7943" s="50"/>
    </row>
    <row r="7944" spans="117:121" x14ac:dyDescent="0.35">
      <c r="DM7944" s="50"/>
      <c r="DQ7944" s="50"/>
    </row>
    <row r="7945" spans="117:121" x14ac:dyDescent="0.35">
      <c r="DM7945" s="50"/>
      <c r="DQ7945" s="50"/>
    </row>
    <row r="7946" spans="117:121" x14ac:dyDescent="0.35">
      <c r="DM7946" s="50"/>
      <c r="DQ7946" s="50"/>
    </row>
    <row r="7947" spans="117:121" x14ac:dyDescent="0.35">
      <c r="DM7947" s="50"/>
      <c r="DQ7947" s="50"/>
    </row>
    <row r="7948" spans="117:121" x14ac:dyDescent="0.35">
      <c r="DM7948" s="50"/>
      <c r="DQ7948" s="50"/>
    </row>
    <row r="7949" spans="117:121" x14ac:dyDescent="0.35">
      <c r="DM7949" s="50"/>
      <c r="DQ7949" s="50"/>
    </row>
    <row r="7950" spans="117:121" x14ac:dyDescent="0.35">
      <c r="DM7950" s="50"/>
      <c r="DQ7950" s="50"/>
    </row>
    <row r="7951" spans="117:121" x14ac:dyDescent="0.35">
      <c r="DM7951" s="50"/>
      <c r="DQ7951" s="50"/>
    </row>
    <row r="7952" spans="117:121" x14ac:dyDescent="0.35">
      <c r="DM7952" s="50"/>
      <c r="DQ7952" s="50"/>
    </row>
    <row r="7953" spans="117:121" x14ac:dyDescent="0.35">
      <c r="DM7953" s="50"/>
      <c r="DQ7953" s="50"/>
    </row>
    <row r="7954" spans="117:121" x14ac:dyDescent="0.35">
      <c r="DM7954" s="50"/>
      <c r="DQ7954" s="50"/>
    </row>
    <row r="7955" spans="117:121" x14ac:dyDescent="0.35">
      <c r="DM7955" s="50"/>
      <c r="DQ7955" s="50"/>
    </row>
    <row r="7956" spans="117:121" x14ac:dyDescent="0.35">
      <c r="DM7956" s="50"/>
      <c r="DQ7956" s="50"/>
    </row>
    <row r="7957" spans="117:121" x14ac:dyDescent="0.35">
      <c r="DM7957" s="50"/>
      <c r="DQ7957" s="50"/>
    </row>
    <row r="7958" spans="117:121" x14ac:dyDescent="0.35">
      <c r="DM7958" s="50"/>
      <c r="DQ7958" s="50"/>
    </row>
    <row r="7959" spans="117:121" x14ac:dyDescent="0.35">
      <c r="DM7959" s="50"/>
      <c r="DQ7959" s="50"/>
    </row>
    <row r="7960" spans="117:121" x14ac:dyDescent="0.35">
      <c r="DM7960" s="50"/>
      <c r="DQ7960" s="50"/>
    </row>
    <row r="7961" spans="117:121" x14ac:dyDescent="0.35">
      <c r="DM7961" s="50"/>
      <c r="DQ7961" s="50"/>
    </row>
    <row r="7962" spans="117:121" x14ac:dyDescent="0.35">
      <c r="DM7962" s="50"/>
      <c r="DQ7962" s="50"/>
    </row>
    <row r="7963" spans="117:121" x14ac:dyDescent="0.35">
      <c r="DM7963" s="50"/>
      <c r="DQ7963" s="50"/>
    </row>
    <row r="7964" spans="117:121" x14ac:dyDescent="0.35">
      <c r="DM7964" s="50"/>
      <c r="DQ7964" s="50"/>
    </row>
    <row r="7965" spans="117:121" x14ac:dyDescent="0.35">
      <c r="DM7965" s="50"/>
      <c r="DQ7965" s="50"/>
    </row>
    <row r="7966" spans="117:121" x14ac:dyDescent="0.35">
      <c r="DM7966" s="50"/>
      <c r="DQ7966" s="50"/>
    </row>
    <row r="7967" spans="117:121" x14ac:dyDescent="0.35">
      <c r="DM7967" s="50"/>
      <c r="DQ7967" s="50"/>
    </row>
    <row r="7968" spans="117:121" x14ac:dyDescent="0.35">
      <c r="DM7968" s="50"/>
      <c r="DQ7968" s="50"/>
    </row>
    <row r="7969" spans="117:121" x14ac:dyDescent="0.35">
      <c r="DM7969" s="50"/>
      <c r="DQ7969" s="50"/>
    </row>
    <row r="7970" spans="117:121" x14ac:dyDescent="0.35">
      <c r="DM7970" s="50"/>
      <c r="DQ7970" s="50"/>
    </row>
    <row r="7971" spans="117:121" x14ac:dyDescent="0.35">
      <c r="DM7971" s="50"/>
      <c r="DQ7971" s="50"/>
    </row>
    <row r="7972" spans="117:121" x14ac:dyDescent="0.35">
      <c r="DM7972" s="50"/>
      <c r="DQ7972" s="50"/>
    </row>
    <row r="7973" spans="117:121" x14ac:dyDescent="0.35">
      <c r="DM7973" s="50"/>
      <c r="DQ7973" s="50"/>
    </row>
    <row r="7974" spans="117:121" x14ac:dyDescent="0.35">
      <c r="DM7974" s="50"/>
      <c r="DQ7974" s="50"/>
    </row>
    <row r="7975" spans="117:121" x14ac:dyDescent="0.35">
      <c r="DM7975" s="50"/>
      <c r="DQ7975" s="50"/>
    </row>
    <row r="7976" spans="117:121" x14ac:dyDescent="0.35">
      <c r="DM7976" s="50"/>
      <c r="DQ7976" s="50"/>
    </row>
    <row r="7977" spans="117:121" x14ac:dyDescent="0.35">
      <c r="DM7977" s="50"/>
      <c r="DQ7977" s="50"/>
    </row>
    <row r="7978" spans="117:121" x14ac:dyDescent="0.35">
      <c r="DM7978" s="50"/>
      <c r="DQ7978" s="50"/>
    </row>
    <row r="7979" spans="117:121" x14ac:dyDescent="0.35">
      <c r="DM7979" s="50"/>
      <c r="DQ7979" s="50"/>
    </row>
    <row r="7980" spans="117:121" x14ac:dyDescent="0.35">
      <c r="DM7980" s="50"/>
      <c r="DQ7980" s="50"/>
    </row>
    <row r="7981" spans="117:121" x14ac:dyDescent="0.35">
      <c r="DM7981" s="50"/>
      <c r="DQ7981" s="50"/>
    </row>
    <row r="7982" spans="117:121" x14ac:dyDescent="0.35">
      <c r="DM7982" s="50"/>
      <c r="DQ7982" s="50"/>
    </row>
    <row r="7983" spans="117:121" x14ac:dyDescent="0.35">
      <c r="DM7983" s="50"/>
      <c r="DQ7983" s="50"/>
    </row>
    <row r="7984" spans="117:121" x14ac:dyDescent="0.35">
      <c r="DM7984" s="50"/>
      <c r="DQ7984" s="50"/>
    </row>
    <row r="7985" spans="117:121" x14ac:dyDescent="0.35">
      <c r="DM7985" s="50"/>
      <c r="DQ7985" s="50"/>
    </row>
    <row r="7986" spans="117:121" x14ac:dyDescent="0.35">
      <c r="DM7986" s="50"/>
      <c r="DQ7986" s="50"/>
    </row>
    <row r="7987" spans="117:121" x14ac:dyDescent="0.35">
      <c r="DM7987" s="50"/>
      <c r="DQ7987" s="50"/>
    </row>
    <row r="7988" spans="117:121" x14ac:dyDescent="0.35">
      <c r="DM7988" s="50"/>
      <c r="DQ7988" s="50"/>
    </row>
    <row r="7989" spans="117:121" x14ac:dyDescent="0.35">
      <c r="DM7989" s="50"/>
      <c r="DQ7989" s="50"/>
    </row>
    <row r="7990" spans="117:121" x14ac:dyDescent="0.35">
      <c r="DM7990" s="50"/>
      <c r="DQ7990" s="50"/>
    </row>
    <row r="7991" spans="117:121" x14ac:dyDescent="0.35">
      <c r="DM7991" s="50"/>
      <c r="DQ7991" s="50"/>
    </row>
    <row r="7992" spans="117:121" x14ac:dyDescent="0.35">
      <c r="DM7992" s="50"/>
      <c r="DQ7992" s="50"/>
    </row>
    <row r="7993" spans="117:121" x14ac:dyDescent="0.35">
      <c r="DM7993" s="50"/>
      <c r="DQ7993" s="50"/>
    </row>
    <row r="7994" spans="117:121" x14ac:dyDescent="0.35">
      <c r="DM7994" s="50"/>
      <c r="DQ7994" s="50"/>
    </row>
    <row r="7995" spans="117:121" x14ac:dyDescent="0.35">
      <c r="DM7995" s="50"/>
      <c r="DQ7995" s="50"/>
    </row>
    <row r="7996" spans="117:121" x14ac:dyDescent="0.35">
      <c r="DM7996" s="50"/>
      <c r="DQ7996" s="50"/>
    </row>
    <row r="7997" spans="117:121" x14ac:dyDescent="0.35">
      <c r="DM7997" s="50"/>
      <c r="DQ7997" s="50"/>
    </row>
    <row r="7998" spans="117:121" x14ac:dyDescent="0.35">
      <c r="DM7998" s="50"/>
      <c r="DQ7998" s="50"/>
    </row>
    <row r="7999" spans="117:121" x14ac:dyDescent="0.35">
      <c r="DM7999" s="50"/>
      <c r="DQ7999" s="50"/>
    </row>
    <row r="8000" spans="117:121" x14ac:dyDescent="0.35">
      <c r="DM8000" s="50"/>
      <c r="DQ8000" s="50"/>
    </row>
    <row r="8001" spans="117:121" x14ac:dyDescent="0.35">
      <c r="DM8001" s="50"/>
      <c r="DQ8001" s="50"/>
    </row>
    <row r="8002" spans="117:121" x14ac:dyDescent="0.35">
      <c r="DM8002" s="50"/>
      <c r="DQ8002" s="50"/>
    </row>
    <row r="8003" spans="117:121" x14ac:dyDescent="0.35">
      <c r="DM8003" s="50"/>
      <c r="DQ8003" s="50"/>
    </row>
    <row r="8004" spans="117:121" x14ac:dyDescent="0.35">
      <c r="DM8004" s="50"/>
      <c r="DQ8004" s="50"/>
    </row>
    <row r="8005" spans="117:121" x14ac:dyDescent="0.35">
      <c r="DM8005" s="50"/>
      <c r="DQ8005" s="50"/>
    </row>
    <row r="8006" spans="117:121" x14ac:dyDescent="0.35">
      <c r="DM8006" s="50"/>
      <c r="DQ8006" s="50"/>
    </row>
    <row r="8007" spans="117:121" x14ac:dyDescent="0.35">
      <c r="DM8007" s="50"/>
      <c r="DQ8007" s="50"/>
    </row>
    <row r="8008" spans="117:121" x14ac:dyDescent="0.35">
      <c r="DM8008" s="50"/>
      <c r="DQ8008" s="50"/>
    </row>
    <row r="8009" spans="117:121" x14ac:dyDescent="0.35">
      <c r="DM8009" s="50"/>
      <c r="DQ8009" s="50"/>
    </row>
    <row r="8010" spans="117:121" x14ac:dyDescent="0.35">
      <c r="DM8010" s="50"/>
      <c r="DQ8010" s="50"/>
    </row>
    <row r="8011" spans="117:121" x14ac:dyDescent="0.35">
      <c r="DM8011" s="50"/>
      <c r="DQ8011" s="50"/>
    </row>
    <row r="8012" spans="117:121" x14ac:dyDescent="0.35">
      <c r="DM8012" s="50"/>
      <c r="DQ8012" s="50"/>
    </row>
    <row r="8013" spans="117:121" x14ac:dyDescent="0.35">
      <c r="DM8013" s="50"/>
      <c r="DQ8013" s="50"/>
    </row>
    <row r="8014" spans="117:121" x14ac:dyDescent="0.35">
      <c r="DM8014" s="50"/>
      <c r="DQ8014" s="50"/>
    </row>
    <row r="8015" spans="117:121" x14ac:dyDescent="0.35">
      <c r="DM8015" s="50"/>
      <c r="DQ8015" s="50"/>
    </row>
    <row r="8016" spans="117:121" x14ac:dyDescent="0.35">
      <c r="DM8016" s="50"/>
      <c r="DQ8016" s="50"/>
    </row>
    <row r="8017" spans="117:121" x14ac:dyDescent="0.35">
      <c r="DM8017" s="50"/>
      <c r="DQ8017" s="50"/>
    </row>
    <row r="8018" spans="117:121" x14ac:dyDescent="0.35">
      <c r="DM8018" s="50"/>
      <c r="DQ8018" s="50"/>
    </row>
    <row r="8019" spans="117:121" x14ac:dyDescent="0.35">
      <c r="DM8019" s="50"/>
      <c r="DQ8019" s="50"/>
    </row>
    <row r="8020" spans="117:121" x14ac:dyDescent="0.35">
      <c r="DM8020" s="50"/>
      <c r="DQ8020" s="50"/>
    </row>
    <row r="8021" spans="117:121" x14ac:dyDescent="0.35">
      <c r="DM8021" s="50"/>
      <c r="DQ8021" s="50"/>
    </row>
    <row r="8022" spans="117:121" x14ac:dyDescent="0.35">
      <c r="DM8022" s="50"/>
      <c r="DQ8022" s="50"/>
    </row>
    <row r="8023" spans="117:121" x14ac:dyDescent="0.35">
      <c r="DM8023" s="50"/>
      <c r="DQ8023" s="50"/>
    </row>
    <row r="8024" spans="117:121" x14ac:dyDescent="0.35">
      <c r="DM8024" s="50"/>
      <c r="DQ8024" s="50"/>
    </row>
    <row r="8025" spans="117:121" x14ac:dyDescent="0.35">
      <c r="DM8025" s="50"/>
      <c r="DQ8025" s="50"/>
    </row>
    <row r="8026" spans="117:121" x14ac:dyDescent="0.35">
      <c r="DM8026" s="50"/>
      <c r="DQ8026" s="50"/>
    </row>
    <row r="8027" spans="117:121" x14ac:dyDescent="0.35">
      <c r="DM8027" s="50"/>
      <c r="DQ8027" s="50"/>
    </row>
    <row r="8028" spans="117:121" x14ac:dyDescent="0.35">
      <c r="DM8028" s="50"/>
      <c r="DQ8028" s="50"/>
    </row>
    <row r="8029" spans="117:121" x14ac:dyDescent="0.35">
      <c r="DM8029" s="50"/>
      <c r="DQ8029" s="50"/>
    </row>
    <row r="8030" spans="117:121" x14ac:dyDescent="0.35">
      <c r="DM8030" s="50"/>
      <c r="DQ8030" s="50"/>
    </row>
    <row r="8031" spans="117:121" x14ac:dyDescent="0.35">
      <c r="DM8031" s="50"/>
      <c r="DQ8031" s="50"/>
    </row>
    <row r="8032" spans="117:121" x14ac:dyDescent="0.35">
      <c r="DM8032" s="50"/>
      <c r="DQ8032" s="50"/>
    </row>
    <row r="8033" spans="117:121" x14ac:dyDescent="0.35">
      <c r="DM8033" s="50"/>
      <c r="DQ8033" s="50"/>
    </row>
    <row r="8034" spans="117:121" x14ac:dyDescent="0.35">
      <c r="DM8034" s="50"/>
      <c r="DQ8034" s="50"/>
    </row>
    <row r="8035" spans="117:121" x14ac:dyDescent="0.35">
      <c r="DM8035" s="50"/>
      <c r="DQ8035" s="50"/>
    </row>
    <row r="8036" spans="117:121" x14ac:dyDescent="0.35">
      <c r="DM8036" s="50"/>
      <c r="DQ8036" s="50"/>
    </row>
    <row r="8037" spans="117:121" x14ac:dyDescent="0.35">
      <c r="DM8037" s="50"/>
      <c r="DQ8037" s="50"/>
    </row>
    <row r="8038" spans="117:121" x14ac:dyDescent="0.35">
      <c r="DM8038" s="50"/>
      <c r="DQ8038" s="50"/>
    </row>
    <row r="8039" spans="117:121" x14ac:dyDescent="0.35">
      <c r="DM8039" s="50"/>
      <c r="DQ8039" s="50"/>
    </row>
    <row r="8040" spans="117:121" x14ac:dyDescent="0.35">
      <c r="DM8040" s="50"/>
      <c r="DQ8040" s="50"/>
    </row>
    <row r="8041" spans="117:121" x14ac:dyDescent="0.35">
      <c r="DM8041" s="50"/>
      <c r="DQ8041" s="50"/>
    </row>
    <row r="8042" spans="117:121" x14ac:dyDescent="0.35">
      <c r="DM8042" s="50"/>
      <c r="DQ8042" s="50"/>
    </row>
    <row r="8043" spans="117:121" x14ac:dyDescent="0.35">
      <c r="DM8043" s="50"/>
      <c r="DQ8043" s="50"/>
    </row>
    <row r="8044" spans="117:121" x14ac:dyDescent="0.35">
      <c r="DM8044" s="50"/>
      <c r="DQ8044" s="50"/>
    </row>
    <row r="8045" spans="117:121" x14ac:dyDescent="0.35">
      <c r="DM8045" s="50"/>
      <c r="DQ8045" s="50"/>
    </row>
    <row r="8046" spans="117:121" x14ac:dyDescent="0.35">
      <c r="DM8046" s="50"/>
      <c r="DQ8046" s="50"/>
    </row>
    <row r="8047" spans="117:121" x14ac:dyDescent="0.35">
      <c r="DM8047" s="50"/>
      <c r="DQ8047" s="50"/>
    </row>
    <row r="8048" spans="117:121" x14ac:dyDescent="0.35">
      <c r="DM8048" s="50"/>
      <c r="DQ8048" s="50"/>
    </row>
    <row r="8049" spans="117:121" x14ac:dyDescent="0.35">
      <c r="DM8049" s="50"/>
      <c r="DQ8049" s="50"/>
    </row>
    <row r="8050" spans="117:121" x14ac:dyDescent="0.35">
      <c r="DM8050" s="50"/>
      <c r="DQ8050" s="50"/>
    </row>
    <row r="8051" spans="117:121" x14ac:dyDescent="0.35">
      <c r="DM8051" s="50"/>
      <c r="DQ8051" s="50"/>
    </row>
    <row r="8052" spans="117:121" x14ac:dyDescent="0.35">
      <c r="DM8052" s="50"/>
      <c r="DQ8052" s="50"/>
    </row>
    <row r="8053" spans="117:121" x14ac:dyDescent="0.35">
      <c r="DM8053" s="50"/>
      <c r="DQ8053" s="50"/>
    </row>
    <row r="8054" spans="117:121" x14ac:dyDescent="0.35">
      <c r="DM8054" s="50"/>
      <c r="DQ8054" s="50"/>
    </row>
    <row r="8055" spans="117:121" x14ac:dyDescent="0.35">
      <c r="DM8055" s="50"/>
      <c r="DQ8055" s="50"/>
    </row>
    <row r="8056" spans="117:121" x14ac:dyDescent="0.35">
      <c r="DM8056" s="50"/>
      <c r="DQ8056" s="50"/>
    </row>
    <row r="8057" spans="117:121" x14ac:dyDescent="0.35">
      <c r="DM8057" s="50"/>
      <c r="DQ8057" s="50"/>
    </row>
    <row r="8058" spans="117:121" x14ac:dyDescent="0.35">
      <c r="DM8058" s="50"/>
      <c r="DQ8058" s="50"/>
    </row>
    <row r="8059" spans="117:121" x14ac:dyDescent="0.35">
      <c r="DM8059" s="50"/>
      <c r="DQ8059" s="50"/>
    </row>
    <row r="8060" spans="117:121" x14ac:dyDescent="0.35">
      <c r="DM8060" s="50"/>
      <c r="DQ8060" s="50"/>
    </row>
    <row r="8061" spans="117:121" x14ac:dyDescent="0.35">
      <c r="DM8061" s="50"/>
      <c r="DQ8061" s="50"/>
    </row>
    <row r="8062" spans="117:121" x14ac:dyDescent="0.35">
      <c r="DM8062" s="50"/>
      <c r="DQ8062" s="50"/>
    </row>
    <row r="8063" spans="117:121" x14ac:dyDescent="0.35">
      <c r="DM8063" s="50"/>
      <c r="DQ8063" s="50"/>
    </row>
    <row r="8064" spans="117:121" x14ac:dyDescent="0.35">
      <c r="DM8064" s="50"/>
      <c r="DQ8064" s="50"/>
    </row>
    <row r="8065" spans="117:121" x14ac:dyDescent="0.35">
      <c r="DM8065" s="50"/>
      <c r="DQ8065" s="50"/>
    </row>
    <row r="8066" spans="117:121" x14ac:dyDescent="0.35">
      <c r="DM8066" s="50"/>
      <c r="DQ8066" s="50"/>
    </row>
    <row r="8067" spans="117:121" x14ac:dyDescent="0.35">
      <c r="DM8067" s="50"/>
      <c r="DQ8067" s="50"/>
    </row>
    <row r="8068" spans="117:121" x14ac:dyDescent="0.35">
      <c r="DM8068" s="50"/>
      <c r="DQ8068" s="50"/>
    </row>
    <row r="8069" spans="117:121" x14ac:dyDescent="0.35">
      <c r="DM8069" s="50"/>
      <c r="DQ8069" s="50"/>
    </row>
    <row r="8070" spans="117:121" x14ac:dyDescent="0.35">
      <c r="DM8070" s="50"/>
      <c r="DQ8070" s="50"/>
    </row>
    <row r="8071" spans="117:121" x14ac:dyDescent="0.35">
      <c r="DM8071" s="50"/>
      <c r="DQ8071" s="50"/>
    </row>
    <row r="8072" spans="117:121" x14ac:dyDescent="0.35">
      <c r="DM8072" s="50"/>
      <c r="DQ8072" s="50"/>
    </row>
    <row r="8073" spans="117:121" x14ac:dyDescent="0.35">
      <c r="DM8073" s="50"/>
      <c r="DQ8073" s="50"/>
    </row>
    <row r="8074" spans="117:121" x14ac:dyDescent="0.35">
      <c r="DM8074" s="50"/>
      <c r="DQ8074" s="50"/>
    </row>
    <row r="8075" spans="117:121" x14ac:dyDescent="0.35">
      <c r="DM8075" s="50"/>
      <c r="DQ8075" s="50"/>
    </row>
    <row r="8076" spans="117:121" x14ac:dyDescent="0.35">
      <c r="DM8076" s="50"/>
      <c r="DQ8076" s="50"/>
    </row>
    <row r="8077" spans="117:121" x14ac:dyDescent="0.35">
      <c r="DM8077" s="50"/>
      <c r="DQ8077" s="50"/>
    </row>
    <row r="8078" spans="117:121" x14ac:dyDescent="0.35">
      <c r="DM8078" s="50"/>
      <c r="DQ8078" s="50"/>
    </row>
    <row r="8079" spans="117:121" x14ac:dyDescent="0.35">
      <c r="DM8079" s="50"/>
      <c r="DQ8079" s="50"/>
    </row>
    <row r="8080" spans="117:121" x14ac:dyDescent="0.35">
      <c r="DM8080" s="50"/>
      <c r="DQ8080" s="50"/>
    </row>
    <row r="8081" spans="117:121" x14ac:dyDescent="0.35">
      <c r="DM8081" s="50"/>
      <c r="DQ8081" s="50"/>
    </row>
    <row r="8082" spans="117:121" x14ac:dyDescent="0.35">
      <c r="DM8082" s="50"/>
      <c r="DQ8082" s="50"/>
    </row>
    <row r="8083" spans="117:121" x14ac:dyDescent="0.35">
      <c r="DM8083" s="50"/>
      <c r="DQ8083" s="50"/>
    </row>
    <row r="8084" spans="117:121" x14ac:dyDescent="0.35">
      <c r="DM8084" s="50"/>
      <c r="DQ8084" s="50"/>
    </row>
    <row r="8085" spans="117:121" x14ac:dyDescent="0.35">
      <c r="DM8085" s="50"/>
      <c r="DQ8085" s="50"/>
    </row>
    <row r="8086" spans="117:121" x14ac:dyDescent="0.35">
      <c r="DM8086" s="50"/>
      <c r="DQ8086" s="50"/>
    </row>
    <row r="8087" spans="117:121" x14ac:dyDescent="0.35">
      <c r="DM8087" s="50"/>
      <c r="DQ8087" s="50"/>
    </row>
    <row r="8088" spans="117:121" x14ac:dyDescent="0.35">
      <c r="DM8088" s="50"/>
      <c r="DQ8088" s="50"/>
    </row>
    <row r="8089" spans="117:121" x14ac:dyDescent="0.35">
      <c r="DM8089" s="50"/>
      <c r="DQ8089" s="50"/>
    </row>
    <row r="8090" spans="117:121" x14ac:dyDescent="0.35">
      <c r="DM8090" s="50"/>
      <c r="DQ8090" s="50"/>
    </row>
    <row r="8091" spans="117:121" x14ac:dyDescent="0.35">
      <c r="DM8091" s="50"/>
      <c r="DQ8091" s="50"/>
    </row>
    <row r="8092" spans="117:121" x14ac:dyDescent="0.35">
      <c r="DM8092" s="50"/>
      <c r="DQ8092" s="50"/>
    </row>
    <row r="8093" spans="117:121" x14ac:dyDescent="0.35">
      <c r="DM8093" s="50"/>
      <c r="DQ8093" s="50"/>
    </row>
    <row r="8094" spans="117:121" x14ac:dyDescent="0.35">
      <c r="DM8094" s="50"/>
      <c r="DQ8094" s="50"/>
    </row>
    <row r="8095" spans="117:121" x14ac:dyDescent="0.35">
      <c r="DM8095" s="50"/>
      <c r="DQ8095" s="50"/>
    </row>
    <row r="8096" spans="117:121" x14ac:dyDescent="0.35">
      <c r="DM8096" s="50"/>
      <c r="DQ8096" s="50"/>
    </row>
    <row r="8097" spans="117:121" x14ac:dyDescent="0.35">
      <c r="DM8097" s="50"/>
      <c r="DQ8097" s="50"/>
    </row>
    <row r="8098" spans="117:121" x14ac:dyDescent="0.35">
      <c r="DM8098" s="50"/>
      <c r="DQ8098" s="50"/>
    </row>
    <row r="8099" spans="117:121" x14ac:dyDescent="0.35">
      <c r="DM8099" s="50"/>
      <c r="DQ8099" s="50"/>
    </row>
    <row r="8100" spans="117:121" x14ac:dyDescent="0.35">
      <c r="DM8100" s="50"/>
      <c r="DQ8100" s="50"/>
    </row>
    <row r="8101" spans="117:121" x14ac:dyDescent="0.35">
      <c r="DM8101" s="50"/>
      <c r="DQ8101" s="50"/>
    </row>
    <row r="8102" spans="117:121" x14ac:dyDescent="0.35">
      <c r="DM8102" s="50"/>
      <c r="DQ8102" s="50"/>
    </row>
    <row r="8103" spans="117:121" x14ac:dyDescent="0.35">
      <c r="DM8103" s="50"/>
      <c r="DQ8103" s="50"/>
    </row>
    <row r="8104" spans="117:121" x14ac:dyDescent="0.35">
      <c r="DM8104" s="50"/>
      <c r="DQ8104" s="50"/>
    </row>
    <row r="8105" spans="117:121" x14ac:dyDescent="0.35">
      <c r="DM8105" s="50"/>
      <c r="DQ8105" s="50"/>
    </row>
    <row r="8106" spans="117:121" x14ac:dyDescent="0.35">
      <c r="DM8106" s="50"/>
      <c r="DQ8106" s="50"/>
    </row>
    <row r="8107" spans="117:121" x14ac:dyDescent="0.35">
      <c r="DM8107" s="50"/>
      <c r="DQ8107" s="50"/>
    </row>
    <row r="8108" spans="117:121" x14ac:dyDescent="0.35">
      <c r="DM8108" s="50"/>
      <c r="DQ8108" s="50"/>
    </row>
    <row r="8109" spans="117:121" x14ac:dyDescent="0.35">
      <c r="DM8109" s="50"/>
      <c r="DQ8109" s="50"/>
    </row>
    <row r="8110" spans="117:121" x14ac:dyDescent="0.35">
      <c r="DM8110" s="50"/>
      <c r="DQ8110" s="50"/>
    </row>
    <row r="8111" spans="117:121" x14ac:dyDescent="0.35">
      <c r="DM8111" s="50"/>
      <c r="DQ8111" s="50"/>
    </row>
    <row r="8112" spans="117:121" x14ac:dyDescent="0.35">
      <c r="DM8112" s="50"/>
      <c r="DQ8112" s="50"/>
    </row>
    <row r="8113" spans="117:121" x14ac:dyDescent="0.35">
      <c r="DM8113" s="50"/>
      <c r="DQ8113" s="50"/>
    </row>
    <row r="8114" spans="117:121" x14ac:dyDescent="0.35">
      <c r="DM8114" s="50"/>
      <c r="DQ8114" s="50"/>
    </row>
    <row r="8115" spans="117:121" x14ac:dyDescent="0.35">
      <c r="DM8115" s="50"/>
      <c r="DQ8115" s="50"/>
    </row>
    <row r="8116" spans="117:121" x14ac:dyDescent="0.35">
      <c r="DM8116" s="50"/>
      <c r="DQ8116" s="50"/>
    </row>
    <row r="8117" spans="117:121" x14ac:dyDescent="0.35">
      <c r="DM8117" s="50"/>
      <c r="DQ8117" s="50"/>
    </row>
    <row r="8118" spans="117:121" x14ac:dyDescent="0.35">
      <c r="DM8118" s="50"/>
      <c r="DQ8118" s="50"/>
    </row>
    <row r="8119" spans="117:121" x14ac:dyDescent="0.35">
      <c r="DM8119" s="50"/>
      <c r="DQ8119" s="50"/>
    </row>
    <row r="8120" spans="117:121" x14ac:dyDescent="0.35">
      <c r="DM8120" s="50"/>
      <c r="DQ8120" s="50"/>
    </row>
    <row r="8121" spans="117:121" x14ac:dyDescent="0.35">
      <c r="DM8121" s="50"/>
      <c r="DQ8121" s="50"/>
    </row>
    <row r="8122" spans="117:121" x14ac:dyDescent="0.35">
      <c r="DM8122" s="50"/>
      <c r="DQ8122" s="50"/>
    </row>
    <row r="8123" spans="117:121" x14ac:dyDescent="0.35">
      <c r="DM8123" s="50"/>
      <c r="DQ8123" s="50"/>
    </row>
    <row r="8124" spans="117:121" x14ac:dyDescent="0.35">
      <c r="DM8124" s="50"/>
      <c r="DQ8124" s="50"/>
    </row>
    <row r="8125" spans="117:121" x14ac:dyDescent="0.35">
      <c r="DM8125" s="50"/>
      <c r="DQ8125" s="50"/>
    </row>
    <row r="8126" spans="117:121" x14ac:dyDescent="0.35">
      <c r="DM8126" s="50"/>
      <c r="DQ8126" s="50"/>
    </row>
    <row r="8127" spans="117:121" x14ac:dyDescent="0.35">
      <c r="DM8127" s="50"/>
      <c r="DQ8127" s="50"/>
    </row>
    <row r="8128" spans="117:121" x14ac:dyDescent="0.35">
      <c r="DM8128" s="50"/>
      <c r="DQ8128" s="50"/>
    </row>
    <row r="8129" spans="117:121" x14ac:dyDescent="0.35">
      <c r="DM8129" s="50"/>
      <c r="DQ8129" s="50"/>
    </row>
    <row r="8130" spans="117:121" x14ac:dyDescent="0.35">
      <c r="DM8130" s="50"/>
      <c r="DQ8130" s="50"/>
    </row>
    <row r="8131" spans="117:121" x14ac:dyDescent="0.35">
      <c r="DM8131" s="50"/>
      <c r="DQ8131" s="50"/>
    </row>
    <row r="8132" spans="117:121" x14ac:dyDescent="0.35">
      <c r="DM8132" s="50"/>
      <c r="DQ8132" s="50"/>
    </row>
    <row r="8133" spans="117:121" x14ac:dyDescent="0.35">
      <c r="DM8133" s="50"/>
      <c r="DQ8133" s="50"/>
    </row>
    <row r="8134" spans="117:121" x14ac:dyDescent="0.35">
      <c r="DM8134" s="50"/>
      <c r="DQ8134" s="50"/>
    </row>
    <row r="8135" spans="117:121" x14ac:dyDescent="0.35">
      <c r="DM8135" s="50"/>
      <c r="DQ8135" s="50"/>
    </row>
    <row r="8136" spans="117:121" x14ac:dyDescent="0.35">
      <c r="DM8136" s="50"/>
      <c r="DQ8136" s="50"/>
    </row>
    <row r="8137" spans="117:121" x14ac:dyDescent="0.35">
      <c r="DM8137" s="50"/>
      <c r="DQ8137" s="50"/>
    </row>
    <row r="8138" spans="117:121" x14ac:dyDescent="0.35">
      <c r="DM8138" s="50"/>
      <c r="DQ8138" s="50"/>
    </row>
    <row r="8139" spans="117:121" x14ac:dyDescent="0.35">
      <c r="DM8139" s="50"/>
      <c r="DQ8139" s="50"/>
    </row>
    <row r="8140" spans="117:121" x14ac:dyDescent="0.35">
      <c r="DM8140" s="50"/>
      <c r="DQ8140" s="50"/>
    </row>
    <row r="8141" spans="117:121" x14ac:dyDescent="0.35">
      <c r="DM8141" s="50"/>
      <c r="DQ8141" s="50"/>
    </row>
    <row r="8142" spans="117:121" x14ac:dyDescent="0.35">
      <c r="DM8142" s="50"/>
      <c r="DQ8142" s="50"/>
    </row>
    <row r="8143" spans="117:121" x14ac:dyDescent="0.35">
      <c r="DM8143" s="50"/>
      <c r="DQ8143" s="50"/>
    </row>
    <row r="8144" spans="117:121" x14ac:dyDescent="0.35">
      <c r="DM8144" s="50"/>
      <c r="DQ8144" s="50"/>
    </row>
    <row r="8145" spans="117:121" x14ac:dyDescent="0.35">
      <c r="DM8145" s="50"/>
      <c r="DQ8145" s="50"/>
    </row>
    <row r="8146" spans="117:121" x14ac:dyDescent="0.35">
      <c r="DM8146" s="50"/>
      <c r="DQ8146" s="50"/>
    </row>
    <row r="8147" spans="117:121" x14ac:dyDescent="0.35">
      <c r="DM8147" s="50"/>
      <c r="DQ8147" s="50"/>
    </row>
    <row r="8148" spans="117:121" x14ac:dyDescent="0.35">
      <c r="DM8148" s="50"/>
      <c r="DQ8148" s="50"/>
    </row>
    <row r="8149" spans="117:121" x14ac:dyDescent="0.35">
      <c r="DM8149" s="50"/>
      <c r="DQ8149" s="50"/>
    </row>
    <row r="8150" spans="117:121" x14ac:dyDescent="0.35">
      <c r="DM8150" s="50"/>
      <c r="DQ8150" s="50"/>
    </row>
    <row r="8151" spans="117:121" x14ac:dyDescent="0.35">
      <c r="DM8151" s="50"/>
      <c r="DQ8151" s="50"/>
    </row>
    <row r="8152" spans="117:121" x14ac:dyDescent="0.35">
      <c r="DM8152" s="50"/>
      <c r="DQ8152" s="50"/>
    </row>
    <row r="8153" spans="117:121" x14ac:dyDescent="0.35">
      <c r="DM8153" s="50"/>
      <c r="DQ8153" s="50"/>
    </row>
    <row r="8154" spans="117:121" x14ac:dyDescent="0.35">
      <c r="DM8154" s="50"/>
      <c r="DQ8154" s="50"/>
    </row>
    <row r="8155" spans="117:121" x14ac:dyDescent="0.35">
      <c r="DM8155" s="50"/>
      <c r="DQ8155" s="50"/>
    </row>
    <row r="8156" spans="117:121" x14ac:dyDescent="0.35">
      <c r="DM8156" s="50"/>
      <c r="DQ8156" s="50"/>
    </row>
    <row r="8157" spans="117:121" x14ac:dyDescent="0.35">
      <c r="DM8157" s="50"/>
      <c r="DQ8157" s="50"/>
    </row>
    <row r="8158" spans="117:121" x14ac:dyDescent="0.35">
      <c r="DM8158" s="50"/>
      <c r="DQ8158" s="50"/>
    </row>
    <row r="8159" spans="117:121" x14ac:dyDescent="0.35">
      <c r="DM8159" s="50"/>
      <c r="DQ8159" s="50"/>
    </row>
    <row r="8160" spans="117:121" x14ac:dyDescent="0.35">
      <c r="DM8160" s="50"/>
      <c r="DQ8160" s="50"/>
    </row>
    <row r="8161" spans="117:121" x14ac:dyDescent="0.35">
      <c r="DM8161" s="50"/>
      <c r="DQ8161" s="50"/>
    </row>
    <row r="8162" spans="117:121" x14ac:dyDescent="0.35">
      <c r="DM8162" s="50"/>
      <c r="DQ8162" s="50"/>
    </row>
    <row r="8163" spans="117:121" x14ac:dyDescent="0.35">
      <c r="DM8163" s="50"/>
      <c r="DQ8163" s="50"/>
    </row>
    <row r="8164" spans="117:121" x14ac:dyDescent="0.35">
      <c r="DM8164" s="50"/>
      <c r="DQ8164" s="50"/>
    </row>
    <row r="8165" spans="117:121" x14ac:dyDescent="0.35">
      <c r="DM8165" s="50"/>
      <c r="DQ8165" s="50"/>
    </row>
    <row r="8166" spans="117:121" x14ac:dyDescent="0.35">
      <c r="DM8166" s="50"/>
      <c r="DQ8166" s="50"/>
    </row>
    <row r="8167" spans="117:121" x14ac:dyDescent="0.35">
      <c r="DM8167" s="50"/>
      <c r="DQ8167" s="50"/>
    </row>
    <row r="8168" spans="117:121" x14ac:dyDescent="0.35">
      <c r="DM8168" s="50"/>
      <c r="DQ8168" s="50"/>
    </row>
    <row r="8169" spans="117:121" x14ac:dyDescent="0.35">
      <c r="DM8169" s="50"/>
      <c r="DQ8169" s="50"/>
    </row>
    <row r="8170" spans="117:121" x14ac:dyDescent="0.35">
      <c r="DM8170" s="50"/>
      <c r="DQ8170" s="50"/>
    </row>
    <row r="8171" spans="117:121" x14ac:dyDescent="0.35">
      <c r="DM8171" s="50"/>
      <c r="DQ8171" s="50"/>
    </row>
    <row r="8172" spans="117:121" x14ac:dyDescent="0.35">
      <c r="DM8172" s="50"/>
      <c r="DQ8172" s="50"/>
    </row>
    <row r="8173" spans="117:121" x14ac:dyDescent="0.35">
      <c r="DM8173" s="50"/>
      <c r="DQ8173" s="50"/>
    </row>
    <row r="8174" spans="117:121" x14ac:dyDescent="0.35">
      <c r="DM8174" s="50"/>
      <c r="DQ8174" s="50"/>
    </row>
    <row r="8175" spans="117:121" x14ac:dyDescent="0.35">
      <c r="DM8175" s="50"/>
      <c r="DQ8175" s="50"/>
    </row>
    <row r="8176" spans="117:121" x14ac:dyDescent="0.35">
      <c r="DM8176" s="50"/>
      <c r="DQ8176" s="50"/>
    </row>
    <row r="8177" spans="117:121" x14ac:dyDescent="0.35">
      <c r="DM8177" s="50"/>
      <c r="DQ8177" s="50"/>
    </row>
    <row r="8178" spans="117:121" x14ac:dyDescent="0.35">
      <c r="DM8178" s="50"/>
      <c r="DQ8178" s="50"/>
    </row>
    <row r="8179" spans="117:121" x14ac:dyDescent="0.35">
      <c r="DM8179" s="50"/>
      <c r="DQ8179" s="50"/>
    </row>
    <row r="8180" spans="117:121" x14ac:dyDescent="0.35">
      <c r="DM8180" s="50"/>
      <c r="DQ8180" s="50"/>
    </row>
    <row r="8181" spans="117:121" x14ac:dyDescent="0.35">
      <c r="DM8181" s="50"/>
      <c r="DQ8181" s="50"/>
    </row>
    <row r="8182" spans="117:121" x14ac:dyDescent="0.35">
      <c r="DM8182" s="50"/>
      <c r="DQ8182" s="50"/>
    </row>
    <row r="8183" spans="117:121" x14ac:dyDescent="0.35">
      <c r="DM8183" s="50"/>
      <c r="DQ8183" s="50"/>
    </row>
    <row r="8184" spans="117:121" x14ac:dyDescent="0.35">
      <c r="DM8184" s="50"/>
      <c r="DQ8184" s="50"/>
    </row>
    <row r="8185" spans="117:121" x14ac:dyDescent="0.35">
      <c r="DM8185" s="50"/>
      <c r="DQ8185" s="50"/>
    </row>
    <row r="8186" spans="117:121" x14ac:dyDescent="0.35">
      <c r="DM8186" s="50"/>
      <c r="DQ8186" s="50"/>
    </row>
    <row r="8187" spans="117:121" x14ac:dyDescent="0.35">
      <c r="DM8187" s="50"/>
      <c r="DQ8187" s="50"/>
    </row>
    <row r="8188" spans="117:121" x14ac:dyDescent="0.35">
      <c r="DM8188" s="50"/>
      <c r="DQ8188" s="50"/>
    </row>
    <row r="8189" spans="117:121" x14ac:dyDescent="0.35">
      <c r="DM8189" s="50"/>
      <c r="DQ8189" s="50"/>
    </row>
    <row r="8190" spans="117:121" x14ac:dyDescent="0.35">
      <c r="DM8190" s="50"/>
      <c r="DQ8190" s="50"/>
    </row>
    <row r="8191" spans="117:121" x14ac:dyDescent="0.35">
      <c r="DM8191" s="50"/>
      <c r="DQ8191" s="50"/>
    </row>
    <row r="8192" spans="117:121" x14ac:dyDescent="0.35">
      <c r="DM8192" s="50"/>
      <c r="DQ8192" s="50"/>
    </row>
    <row r="8193" spans="117:121" x14ac:dyDescent="0.35">
      <c r="DM8193" s="50"/>
      <c r="DQ8193" s="50"/>
    </row>
    <row r="8194" spans="117:121" x14ac:dyDescent="0.35">
      <c r="DM8194" s="50"/>
      <c r="DQ8194" s="50"/>
    </row>
    <row r="8195" spans="117:121" x14ac:dyDescent="0.35">
      <c r="DM8195" s="50"/>
      <c r="DQ8195" s="50"/>
    </row>
    <row r="8196" spans="117:121" x14ac:dyDescent="0.35">
      <c r="DM8196" s="50"/>
      <c r="DQ8196" s="50"/>
    </row>
    <row r="8197" spans="117:121" x14ac:dyDescent="0.35">
      <c r="DM8197" s="50"/>
      <c r="DQ8197" s="50"/>
    </row>
    <row r="8198" spans="117:121" x14ac:dyDescent="0.35">
      <c r="DM8198" s="50"/>
      <c r="DQ8198" s="50"/>
    </row>
    <row r="8199" spans="117:121" x14ac:dyDescent="0.35">
      <c r="DM8199" s="50"/>
      <c r="DQ8199" s="50"/>
    </row>
    <row r="8200" spans="117:121" x14ac:dyDescent="0.35">
      <c r="DM8200" s="50"/>
      <c r="DQ8200" s="50"/>
    </row>
    <row r="8201" spans="117:121" x14ac:dyDescent="0.35">
      <c r="DM8201" s="50"/>
      <c r="DQ8201" s="50"/>
    </row>
    <row r="8202" spans="117:121" x14ac:dyDescent="0.35">
      <c r="DM8202" s="50"/>
      <c r="DQ8202" s="50"/>
    </row>
    <row r="8203" spans="117:121" x14ac:dyDescent="0.35">
      <c r="DM8203" s="50"/>
      <c r="DQ8203" s="50"/>
    </row>
    <row r="8204" spans="117:121" x14ac:dyDescent="0.35">
      <c r="DM8204" s="50"/>
      <c r="DQ8204" s="50"/>
    </row>
    <row r="8205" spans="117:121" x14ac:dyDescent="0.35">
      <c r="DM8205" s="50"/>
      <c r="DQ8205" s="50"/>
    </row>
    <row r="8206" spans="117:121" x14ac:dyDescent="0.35">
      <c r="DM8206" s="50"/>
      <c r="DQ8206" s="50"/>
    </row>
    <row r="8207" spans="117:121" x14ac:dyDescent="0.35">
      <c r="DM8207" s="50"/>
      <c r="DQ8207" s="50"/>
    </row>
    <row r="8208" spans="117:121" x14ac:dyDescent="0.35">
      <c r="DM8208" s="50"/>
      <c r="DQ8208" s="50"/>
    </row>
    <row r="8209" spans="117:121" x14ac:dyDescent="0.35">
      <c r="DM8209" s="50"/>
      <c r="DQ8209" s="50"/>
    </row>
    <row r="8210" spans="117:121" x14ac:dyDescent="0.35">
      <c r="DM8210" s="50"/>
      <c r="DQ8210" s="50"/>
    </row>
    <row r="8211" spans="117:121" x14ac:dyDescent="0.35">
      <c r="DM8211" s="50"/>
      <c r="DQ8211" s="50"/>
    </row>
    <row r="8212" spans="117:121" x14ac:dyDescent="0.35">
      <c r="DM8212" s="50"/>
      <c r="DQ8212" s="50"/>
    </row>
    <row r="8213" spans="117:121" x14ac:dyDescent="0.35">
      <c r="DM8213" s="50"/>
      <c r="DQ8213" s="50"/>
    </row>
    <row r="8214" spans="117:121" x14ac:dyDescent="0.35">
      <c r="DM8214" s="50"/>
      <c r="DQ8214" s="50"/>
    </row>
    <row r="8215" spans="117:121" x14ac:dyDescent="0.35">
      <c r="DM8215" s="50"/>
      <c r="DQ8215" s="50"/>
    </row>
    <row r="8216" spans="117:121" x14ac:dyDescent="0.35">
      <c r="DM8216" s="50"/>
      <c r="DQ8216" s="50"/>
    </row>
    <row r="8217" spans="117:121" x14ac:dyDescent="0.35">
      <c r="DM8217" s="50"/>
      <c r="DQ8217" s="50"/>
    </row>
    <row r="8218" spans="117:121" x14ac:dyDescent="0.35">
      <c r="DM8218" s="50"/>
      <c r="DQ8218" s="50"/>
    </row>
    <row r="8219" spans="117:121" x14ac:dyDescent="0.35">
      <c r="DM8219" s="50"/>
      <c r="DQ8219" s="50"/>
    </row>
    <row r="8220" spans="117:121" x14ac:dyDescent="0.35">
      <c r="DM8220" s="50"/>
      <c r="DQ8220" s="50"/>
    </row>
    <row r="8221" spans="117:121" x14ac:dyDescent="0.35">
      <c r="DM8221" s="50"/>
      <c r="DQ8221" s="50"/>
    </row>
    <row r="8222" spans="117:121" x14ac:dyDescent="0.35">
      <c r="DM8222" s="50"/>
      <c r="DQ8222" s="50"/>
    </row>
    <row r="8223" spans="117:121" x14ac:dyDescent="0.35">
      <c r="DM8223" s="50"/>
      <c r="DQ8223" s="50"/>
    </row>
    <row r="8224" spans="117:121" x14ac:dyDescent="0.35">
      <c r="DM8224" s="50"/>
      <c r="DQ8224" s="50"/>
    </row>
    <row r="8225" spans="117:121" x14ac:dyDescent="0.35">
      <c r="DM8225" s="50"/>
      <c r="DQ8225" s="50"/>
    </row>
    <row r="8226" spans="117:121" x14ac:dyDescent="0.35">
      <c r="DM8226" s="50"/>
      <c r="DQ8226" s="50"/>
    </row>
    <row r="8227" spans="117:121" x14ac:dyDescent="0.35">
      <c r="DM8227" s="50"/>
      <c r="DQ8227" s="50"/>
    </row>
    <row r="8228" spans="117:121" x14ac:dyDescent="0.35">
      <c r="DM8228" s="50"/>
      <c r="DQ8228" s="50"/>
    </row>
    <row r="8229" spans="117:121" x14ac:dyDescent="0.35">
      <c r="DM8229" s="50"/>
      <c r="DQ8229" s="50"/>
    </row>
    <row r="8230" spans="117:121" x14ac:dyDescent="0.35">
      <c r="DM8230" s="50"/>
      <c r="DQ8230" s="50"/>
    </row>
    <row r="8231" spans="117:121" x14ac:dyDescent="0.35">
      <c r="DM8231" s="50"/>
      <c r="DQ8231" s="50"/>
    </row>
    <row r="8232" spans="117:121" x14ac:dyDescent="0.35">
      <c r="DM8232" s="50"/>
      <c r="DQ8232" s="50"/>
    </row>
    <row r="8233" spans="117:121" x14ac:dyDescent="0.35">
      <c r="DM8233" s="50"/>
      <c r="DQ8233" s="50"/>
    </row>
    <row r="8234" spans="117:121" x14ac:dyDescent="0.35">
      <c r="DM8234" s="50"/>
      <c r="DQ8234" s="50"/>
    </row>
    <row r="8235" spans="117:121" x14ac:dyDescent="0.35">
      <c r="DM8235" s="50"/>
      <c r="DQ8235" s="50"/>
    </row>
    <row r="8236" spans="117:121" x14ac:dyDescent="0.35">
      <c r="DM8236" s="50"/>
      <c r="DQ8236" s="50"/>
    </row>
    <row r="8237" spans="117:121" x14ac:dyDescent="0.35">
      <c r="DM8237" s="50"/>
      <c r="DQ8237" s="50"/>
    </row>
    <row r="8238" spans="117:121" x14ac:dyDescent="0.35">
      <c r="DM8238" s="50"/>
      <c r="DQ8238" s="50"/>
    </row>
    <row r="8239" spans="117:121" x14ac:dyDescent="0.35">
      <c r="DM8239" s="50"/>
      <c r="DQ8239" s="50"/>
    </row>
    <row r="8240" spans="117:121" x14ac:dyDescent="0.35">
      <c r="DM8240" s="50"/>
      <c r="DQ8240" s="50"/>
    </row>
    <row r="8241" spans="117:121" x14ac:dyDescent="0.35">
      <c r="DM8241" s="50"/>
      <c r="DQ8241" s="50"/>
    </row>
    <row r="8242" spans="117:121" x14ac:dyDescent="0.35">
      <c r="DM8242" s="50"/>
      <c r="DQ8242" s="50"/>
    </row>
    <row r="8243" spans="117:121" x14ac:dyDescent="0.35">
      <c r="DM8243" s="50"/>
      <c r="DQ8243" s="50"/>
    </row>
    <row r="8244" spans="117:121" x14ac:dyDescent="0.35">
      <c r="DM8244" s="50"/>
      <c r="DQ8244" s="50"/>
    </row>
    <row r="8245" spans="117:121" x14ac:dyDescent="0.35">
      <c r="DM8245" s="50"/>
      <c r="DQ8245" s="50"/>
    </row>
    <row r="8246" spans="117:121" x14ac:dyDescent="0.35">
      <c r="DM8246" s="50"/>
      <c r="DQ8246" s="50"/>
    </row>
    <row r="8247" spans="117:121" x14ac:dyDescent="0.35">
      <c r="DM8247" s="50"/>
      <c r="DQ8247" s="50"/>
    </row>
    <row r="8248" spans="117:121" x14ac:dyDescent="0.35">
      <c r="DM8248" s="50"/>
      <c r="DQ8248" s="50"/>
    </row>
    <row r="8249" spans="117:121" x14ac:dyDescent="0.35">
      <c r="DM8249" s="50"/>
      <c r="DQ8249" s="50"/>
    </row>
    <row r="8250" spans="117:121" x14ac:dyDescent="0.35">
      <c r="DM8250" s="50"/>
      <c r="DQ8250" s="50"/>
    </row>
    <row r="8251" spans="117:121" x14ac:dyDescent="0.35">
      <c r="DM8251" s="50"/>
      <c r="DQ8251" s="50"/>
    </row>
    <row r="8252" spans="117:121" x14ac:dyDescent="0.35">
      <c r="DM8252" s="50"/>
      <c r="DQ8252" s="50"/>
    </row>
    <row r="8253" spans="117:121" x14ac:dyDescent="0.35">
      <c r="DM8253" s="50"/>
      <c r="DQ8253" s="50"/>
    </row>
    <row r="8254" spans="117:121" x14ac:dyDescent="0.35">
      <c r="DM8254" s="50"/>
      <c r="DQ8254" s="50"/>
    </row>
    <row r="8255" spans="117:121" x14ac:dyDescent="0.35">
      <c r="DM8255" s="50"/>
      <c r="DQ8255" s="50"/>
    </row>
    <row r="8256" spans="117:121" x14ac:dyDescent="0.35">
      <c r="DM8256" s="50"/>
      <c r="DQ8256" s="50"/>
    </row>
    <row r="8257" spans="117:121" x14ac:dyDescent="0.35">
      <c r="DM8257" s="50"/>
      <c r="DQ8257" s="50"/>
    </row>
    <row r="8258" spans="117:121" x14ac:dyDescent="0.35">
      <c r="DM8258" s="50"/>
      <c r="DQ8258" s="50"/>
    </row>
    <row r="8259" spans="117:121" x14ac:dyDescent="0.35">
      <c r="DM8259" s="50"/>
      <c r="DQ8259" s="50"/>
    </row>
    <row r="8260" spans="117:121" x14ac:dyDescent="0.35">
      <c r="DM8260" s="50"/>
      <c r="DQ8260" s="50"/>
    </row>
    <row r="8261" spans="117:121" x14ac:dyDescent="0.35">
      <c r="DM8261" s="50"/>
      <c r="DQ8261" s="50"/>
    </row>
    <row r="8262" spans="117:121" x14ac:dyDescent="0.35">
      <c r="DM8262" s="50"/>
      <c r="DQ8262" s="50"/>
    </row>
    <row r="8263" spans="117:121" x14ac:dyDescent="0.35">
      <c r="DM8263" s="50"/>
      <c r="DQ8263" s="50"/>
    </row>
    <row r="8264" spans="117:121" x14ac:dyDescent="0.35">
      <c r="DM8264" s="50"/>
      <c r="DQ8264" s="50"/>
    </row>
    <row r="8265" spans="117:121" x14ac:dyDescent="0.35">
      <c r="DM8265" s="50"/>
      <c r="DQ8265" s="50"/>
    </row>
    <row r="8266" spans="117:121" x14ac:dyDescent="0.35">
      <c r="DM8266" s="50"/>
      <c r="DQ8266" s="50"/>
    </row>
    <row r="8267" spans="117:121" x14ac:dyDescent="0.35">
      <c r="DM8267" s="50"/>
      <c r="DQ8267" s="50"/>
    </row>
    <row r="8268" spans="117:121" x14ac:dyDescent="0.35">
      <c r="DM8268" s="50"/>
      <c r="DQ8268" s="50"/>
    </row>
    <row r="8269" spans="117:121" x14ac:dyDescent="0.35">
      <c r="DM8269" s="50"/>
      <c r="DQ8269" s="50"/>
    </row>
    <row r="8270" spans="117:121" x14ac:dyDescent="0.35">
      <c r="DM8270" s="50"/>
      <c r="DQ8270" s="50"/>
    </row>
    <row r="8271" spans="117:121" x14ac:dyDescent="0.35">
      <c r="DM8271" s="50"/>
      <c r="DQ8271" s="50"/>
    </row>
    <row r="8272" spans="117:121" x14ac:dyDescent="0.35">
      <c r="DM8272" s="50"/>
      <c r="DQ8272" s="50"/>
    </row>
    <row r="8273" spans="117:121" x14ac:dyDescent="0.35">
      <c r="DM8273" s="50"/>
      <c r="DQ8273" s="50"/>
    </row>
    <row r="8274" spans="117:121" x14ac:dyDescent="0.35">
      <c r="DM8274" s="50"/>
      <c r="DQ8274" s="50"/>
    </row>
    <row r="8275" spans="117:121" x14ac:dyDescent="0.35">
      <c r="DM8275" s="50"/>
      <c r="DQ8275" s="50"/>
    </row>
    <row r="8276" spans="117:121" x14ac:dyDescent="0.35">
      <c r="DM8276" s="50"/>
      <c r="DQ8276" s="50"/>
    </row>
    <row r="8277" spans="117:121" x14ac:dyDescent="0.35">
      <c r="DM8277" s="50"/>
      <c r="DQ8277" s="50"/>
    </row>
    <row r="8278" spans="117:121" x14ac:dyDescent="0.35">
      <c r="DM8278" s="50"/>
      <c r="DQ8278" s="50"/>
    </row>
    <row r="8279" spans="117:121" x14ac:dyDescent="0.35">
      <c r="DM8279" s="50"/>
      <c r="DQ8279" s="50"/>
    </row>
    <row r="8280" spans="117:121" x14ac:dyDescent="0.35">
      <c r="DM8280" s="50"/>
      <c r="DQ8280" s="50"/>
    </row>
    <row r="8281" spans="117:121" x14ac:dyDescent="0.35">
      <c r="DM8281" s="50"/>
      <c r="DQ8281" s="50"/>
    </row>
    <row r="8282" spans="117:121" x14ac:dyDescent="0.35">
      <c r="DM8282" s="50"/>
      <c r="DQ8282" s="50"/>
    </row>
    <row r="8283" spans="117:121" x14ac:dyDescent="0.35">
      <c r="DM8283" s="50"/>
      <c r="DQ8283" s="50"/>
    </row>
    <row r="8284" spans="117:121" x14ac:dyDescent="0.35">
      <c r="DM8284" s="50"/>
      <c r="DQ8284" s="50"/>
    </row>
    <row r="8285" spans="117:121" x14ac:dyDescent="0.35">
      <c r="DM8285" s="50"/>
      <c r="DQ8285" s="50"/>
    </row>
    <row r="8286" spans="117:121" x14ac:dyDescent="0.35">
      <c r="DM8286" s="50"/>
      <c r="DQ8286" s="50"/>
    </row>
    <row r="8287" spans="117:121" x14ac:dyDescent="0.35">
      <c r="DM8287" s="50"/>
      <c r="DQ8287" s="50"/>
    </row>
    <row r="8288" spans="117:121" x14ac:dyDescent="0.35">
      <c r="DM8288" s="50"/>
      <c r="DQ8288" s="50"/>
    </row>
    <row r="8289" spans="117:121" x14ac:dyDescent="0.35">
      <c r="DM8289" s="50"/>
      <c r="DQ8289" s="50"/>
    </row>
    <row r="8290" spans="117:121" x14ac:dyDescent="0.35">
      <c r="DM8290" s="50"/>
      <c r="DQ8290" s="50"/>
    </row>
    <row r="8291" spans="117:121" x14ac:dyDescent="0.35">
      <c r="DM8291" s="50"/>
      <c r="DQ8291" s="50"/>
    </row>
    <row r="8292" spans="117:121" x14ac:dyDescent="0.35">
      <c r="DM8292" s="50"/>
      <c r="DQ8292" s="50"/>
    </row>
    <row r="8293" spans="117:121" x14ac:dyDescent="0.35">
      <c r="DM8293" s="50"/>
      <c r="DQ8293" s="50"/>
    </row>
    <row r="8294" spans="117:121" x14ac:dyDescent="0.35">
      <c r="DM8294" s="50"/>
      <c r="DQ8294" s="50"/>
    </row>
    <row r="8295" spans="117:121" x14ac:dyDescent="0.35">
      <c r="DM8295" s="50"/>
      <c r="DQ8295" s="50"/>
    </row>
    <row r="8296" spans="117:121" x14ac:dyDescent="0.35">
      <c r="DM8296" s="50"/>
      <c r="DQ8296" s="50"/>
    </row>
    <row r="8297" spans="117:121" x14ac:dyDescent="0.35">
      <c r="DM8297" s="50"/>
      <c r="DQ8297" s="50"/>
    </row>
    <row r="8298" spans="117:121" x14ac:dyDescent="0.35">
      <c r="DM8298" s="50"/>
      <c r="DQ8298" s="50"/>
    </row>
    <row r="8299" spans="117:121" x14ac:dyDescent="0.35">
      <c r="DM8299" s="50"/>
      <c r="DQ8299" s="50"/>
    </row>
    <row r="8300" spans="117:121" x14ac:dyDescent="0.35">
      <c r="DM8300" s="50"/>
      <c r="DQ8300" s="50"/>
    </row>
    <row r="8301" spans="117:121" x14ac:dyDescent="0.35">
      <c r="DM8301" s="50"/>
      <c r="DQ8301" s="50"/>
    </row>
    <row r="8302" spans="117:121" x14ac:dyDescent="0.35">
      <c r="DM8302" s="50"/>
      <c r="DQ8302" s="50"/>
    </row>
    <row r="8303" spans="117:121" x14ac:dyDescent="0.35">
      <c r="DM8303" s="50"/>
      <c r="DQ8303" s="50"/>
    </row>
    <row r="8304" spans="117:121" x14ac:dyDescent="0.35">
      <c r="DM8304" s="50"/>
      <c r="DQ8304" s="50"/>
    </row>
    <row r="8305" spans="117:121" x14ac:dyDescent="0.35">
      <c r="DM8305" s="50"/>
      <c r="DQ8305" s="50"/>
    </row>
    <row r="8306" spans="117:121" x14ac:dyDescent="0.35">
      <c r="DM8306" s="50"/>
      <c r="DQ8306" s="50"/>
    </row>
    <row r="8307" spans="117:121" x14ac:dyDescent="0.35">
      <c r="DM8307" s="50"/>
      <c r="DQ8307" s="50"/>
    </row>
    <row r="8308" spans="117:121" x14ac:dyDescent="0.35">
      <c r="DM8308" s="50"/>
      <c r="DQ8308" s="50"/>
    </row>
    <row r="8309" spans="117:121" x14ac:dyDescent="0.35">
      <c r="DM8309" s="50"/>
      <c r="DQ8309" s="50"/>
    </row>
    <row r="8310" spans="117:121" x14ac:dyDescent="0.35">
      <c r="DM8310" s="50"/>
      <c r="DQ8310" s="50"/>
    </row>
    <row r="8311" spans="117:121" x14ac:dyDescent="0.35">
      <c r="DM8311" s="50"/>
      <c r="DQ8311" s="50"/>
    </row>
    <row r="8312" spans="117:121" x14ac:dyDescent="0.35">
      <c r="DM8312" s="50"/>
      <c r="DQ8312" s="50"/>
    </row>
    <row r="8313" spans="117:121" x14ac:dyDescent="0.35">
      <c r="DM8313" s="50"/>
      <c r="DQ8313" s="50"/>
    </row>
    <row r="8314" spans="117:121" x14ac:dyDescent="0.35">
      <c r="DM8314" s="50"/>
      <c r="DQ8314" s="50"/>
    </row>
    <row r="8315" spans="117:121" x14ac:dyDescent="0.35">
      <c r="DM8315" s="50"/>
      <c r="DQ8315" s="50"/>
    </row>
    <row r="8316" spans="117:121" x14ac:dyDescent="0.35">
      <c r="DM8316" s="50"/>
      <c r="DQ8316" s="50"/>
    </row>
    <row r="8317" spans="117:121" x14ac:dyDescent="0.35">
      <c r="DM8317" s="50"/>
      <c r="DQ8317" s="50"/>
    </row>
    <row r="8318" spans="117:121" x14ac:dyDescent="0.35">
      <c r="DM8318" s="50"/>
      <c r="DQ8318" s="50"/>
    </row>
    <row r="8319" spans="117:121" x14ac:dyDescent="0.35">
      <c r="DM8319" s="50"/>
      <c r="DQ8319" s="50"/>
    </row>
    <row r="8320" spans="117:121" x14ac:dyDescent="0.35">
      <c r="DM8320" s="50"/>
      <c r="DQ8320" s="50"/>
    </row>
    <row r="8321" spans="117:121" x14ac:dyDescent="0.35">
      <c r="DM8321" s="50"/>
      <c r="DQ8321" s="50"/>
    </row>
    <row r="8322" spans="117:121" x14ac:dyDescent="0.35">
      <c r="DM8322" s="50"/>
      <c r="DQ8322" s="50"/>
    </row>
    <row r="8323" spans="117:121" x14ac:dyDescent="0.35">
      <c r="DM8323" s="50"/>
      <c r="DQ8323" s="50"/>
    </row>
    <row r="8324" spans="117:121" x14ac:dyDescent="0.35">
      <c r="DM8324" s="50"/>
      <c r="DQ8324" s="50"/>
    </row>
    <row r="8325" spans="117:121" x14ac:dyDescent="0.35">
      <c r="DM8325" s="50"/>
      <c r="DQ8325" s="50"/>
    </row>
    <row r="8326" spans="117:121" x14ac:dyDescent="0.35">
      <c r="DM8326" s="50"/>
      <c r="DQ8326" s="50"/>
    </row>
    <row r="8327" spans="117:121" x14ac:dyDescent="0.35">
      <c r="DM8327" s="50"/>
      <c r="DQ8327" s="50"/>
    </row>
    <row r="8328" spans="117:121" x14ac:dyDescent="0.35">
      <c r="DM8328" s="50"/>
      <c r="DQ8328" s="50"/>
    </row>
    <row r="8329" spans="117:121" x14ac:dyDescent="0.35">
      <c r="DM8329" s="50"/>
      <c r="DQ8329" s="50"/>
    </row>
    <row r="8330" spans="117:121" x14ac:dyDescent="0.35">
      <c r="DM8330" s="50"/>
      <c r="DQ8330" s="50"/>
    </row>
    <row r="8331" spans="117:121" x14ac:dyDescent="0.35">
      <c r="DM8331" s="50"/>
      <c r="DQ8331" s="50"/>
    </row>
    <row r="8332" spans="117:121" x14ac:dyDescent="0.35">
      <c r="DM8332" s="50"/>
      <c r="DQ8332" s="50"/>
    </row>
    <row r="8333" spans="117:121" x14ac:dyDescent="0.35">
      <c r="DM8333" s="50"/>
      <c r="DQ8333" s="50"/>
    </row>
    <row r="8334" spans="117:121" x14ac:dyDescent="0.35">
      <c r="DM8334" s="50"/>
      <c r="DQ8334" s="50"/>
    </row>
    <row r="8335" spans="117:121" x14ac:dyDescent="0.35">
      <c r="DM8335" s="50"/>
      <c r="DQ8335" s="50"/>
    </row>
    <row r="8336" spans="117:121" x14ac:dyDescent="0.35">
      <c r="DM8336" s="50"/>
      <c r="DQ8336" s="50"/>
    </row>
    <row r="8337" spans="117:121" x14ac:dyDescent="0.35">
      <c r="DM8337" s="50"/>
      <c r="DQ8337" s="50"/>
    </row>
    <row r="8338" spans="117:121" x14ac:dyDescent="0.35">
      <c r="DM8338" s="50"/>
      <c r="DQ8338" s="50"/>
    </row>
    <row r="8339" spans="117:121" x14ac:dyDescent="0.35">
      <c r="DM8339" s="50"/>
      <c r="DQ8339" s="50"/>
    </row>
    <row r="8340" spans="117:121" x14ac:dyDescent="0.35">
      <c r="DM8340" s="50"/>
      <c r="DQ8340" s="50"/>
    </row>
    <row r="8341" spans="117:121" x14ac:dyDescent="0.35">
      <c r="DM8341" s="50"/>
      <c r="DQ8341" s="50"/>
    </row>
    <row r="8342" spans="117:121" x14ac:dyDescent="0.35">
      <c r="DM8342" s="50"/>
      <c r="DQ8342" s="50"/>
    </row>
    <row r="8343" spans="117:121" x14ac:dyDescent="0.35">
      <c r="DM8343" s="50"/>
      <c r="DQ8343" s="50"/>
    </row>
    <row r="8344" spans="117:121" x14ac:dyDescent="0.35">
      <c r="DM8344" s="50"/>
      <c r="DQ8344" s="50"/>
    </row>
    <row r="8345" spans="117:121" x14ac:dyDescent="0.35">
      <c r="DM8345" s="50"/>
      <c r="DQ8345" s="50"/>
    </row>
    <row r="8346" spans="117:121" x14ac:dyDescent="0.35">
      <c r="DM8346" s="50"/>
      <c r="DQ8346" s="50"/>
    </row>
    <row r="8347" spans="117:121" x14ac:dyDescent="0.35">
      <c r="DM8347" s="50"/>
      <c r="DQ8347" s="50"/>
    </row>
    <row r="8348" spans="117:121" x14ac:dyDescent="0.35">
      <c r="DM8348" s="50"/>
      <c r="DQ8348" s="50"/>
    </row>
    <row r="8349" spans="117:121" x14ac:dyDescent="0.35">
      <c r="DM8349" s="50"/>
      <c r="DQ8349" s="50"/>
    </row>
    <row r="8350" spans="117:121" x14ac:dyDescent="0.35">
      <c r="DM8350" s="50"/>
      <c r="DQ8350" s="50"/>
    </row>
    <row r="8351" spans="117:121" x14ac:dyDescent="0.35">
      <c r="DM8351" s="50"/>
      <c r="DQ8351" s="50"/>
    </row>
    <row r="8352" spans="117:121" x14ac:dyDescent="0.35">
      <c r="DM8352" s="50"/>
      <c r="DQ8352" s="50"/>
    </row>
    <row r="8353" spans="117:121" x14ac:dyDescent="0.35">
      <c r="DM8353" s="50"/>
      <c r="DQ8353" s="50"/>
    </row>
    <row r="8354" spans="117:121" x14ac:dyDescent="0.35">
      <c r="DM8354" s="50"/>
      <c r="DQ8354" s="50"/>
    </row>
    <row r="8355" spans="117:121" x14ac:dyDescent="0.35">
      <c r="DM8355" s="50"/>
      <c r="DQ8355" s="50"/>
    </row>
    <row r="8356" spans="117:121" x14ac:dyDescent="0.35">
      <c r="DM8356" s="50"/>
      <c r="DQ8356" s="50"/>
    </row>
    <row r="8357" spans="117:121" x14ac:dyDescent="0.35">
      <c r="DM8357" s="50"/>
      <c r="DQ8357" s="50"/>
    </row>
    <row r="8358" spans="117:121" x14ac:dyDescent="0.35">
      <c r="DM8358" s="50"/>
      <c r="DQ8358" s="50"/>
    </row>
    <row r="8359" spans="117:121" x14ac:dyDescent="0.35">
      <c r="DM8359" s="50"/>
      <c r="DQ8359" s="50"/>
    </row>
    <row r="8360" spans="117:121" x14ac:dyDescent="0.35">
      <c r="DM8360" s="50"/>
      <c r="DQ8360" s="50"/>
    </row>
    <row r="8361" spans="117:121" x14ac:dyDescent="0.35">
      <c r="DM8361" s="50"/>
      <c r="DQ8361" s="50"/>
    </row>
    <row r="8362" spans="117:121" x14ac:dyDescent="0.35">
      <c r="DM8362" s="50"/>
      <c r="DQ8362" s="50"/>
    </row>
    <row r="8363" spans="117:121" x14ac:dyDescent="0.35">
      <c r="DM8363" s="50"/>
      <c r="DQ8363" s="50"/>
    </row>
    <row r="8364" spans="117:121" x14ac:dyDescent="0.35">
      <c r="DM8364" s="50"/>
      <c r="DQ8364" s="50"/>
    </row>
    <row r="8365" spans="117:121" x14ac:dyDescent="0.35">
      <c r="DM8365" s="50"/>
      <c r="DQ8365" s="50"/>
    </row>
    <row r="8366" spans="117:121" x14ac:dyDescent="0.35">
      <c r="DM8366" s="50"/>
      <c r="DQ8366" s="50"/>
    </row>
    <row r="8367" spans="117:121" x14ac:dyDescent="0.35">
      <c r="DM8367" s="50"/>
      <c r="DQ8367" s="50"/>
    </row>
    <row r="8368" spans="117:121" x14ac:dyDescent="0.35">
      <c r="DM8368" s="50"/>
      <c r="DQ8368" s="50"/>
    </row>
    <row r="8369" spans="117:121" x14ac:dyDescent="0.35">
      <c r="DM8369" s="50"/>
      <c r="DQ8369" s="50"/>
    </row>
    <row r="8370" spans="117:121" x14ac:dyDescent="0.35">
      <c r="DM8370" s="50"/>
      <c r="DQ8370" s="50"/>
    </row>
    <row r="8371" spans="117:121" x14ac:dyDescent="0.35">
      <c r="DM8371" s="50"/>
      <c r="DQ8371" s="50"/>
    </row>
    <row r="8372" spans="117:121" x14ac:dyDescent="0.35">
      <c r="DM8372" s="50"/>
      <c r="DQ8372" s="50"/>
    </row>
    <row r="8373" spans="117:121" x14ac:dyDescent="0.35">
      <c r="DM8373" s="50"/>
      <c r="DQ8373" s="50"/>
    </row>
    <row r="8374" spans="117:121" x14ac:dyDescent="0.35">
      <c r="DM8374" s="50"/>
      <c r="DQ8374" s="50"/>
    </row>
    <row r="8375" spans="117:121" x14ac:dyDescent="0.35">
      <c r="DM8375" s="50"/>
      <c r="DQ8375" s="50"/>
    </row>
    <row r="8376" spans="117:121" x14ac:dyDescent="0.35">
      <c r="DM8376" s="50"/>
      <c r="DQ8376" s="50"/>
    </row>
    <row r="8377" spans="117:121" x14ac:dyDescent="0.35">
      <c r="DM8377" s="50"/>
      <c r="DQ8377" s="50"/>
    </row>
    <row r="8378" spans="117:121" x14ac:dyDescent="0.35">
      <c r="DM8378" s="50"/>
      <c r="DQ8378" s="50"/>
    </row>
    <row r="8379" spans="117:121" x14ac:dyDescent="0.35">
      <c r="DM8379" s="50"/>
      <c r="DQ8379" s="50"/>
    </row>
    <row r="8380" spans="117:121" x14ac:dyDescent="0.35">
      <c r="DM8380" s="50"/>
      <c r="DQ8380" s="50"/>
    </row>
    <row r="8381" spans="117:121" x14ac:dyDescent="0.35">
      <c r="DM8381" s="50"/>
      <c r="DQ8381" s="50"/>
    </row>
    <row r="8382" spans="117:121" x14ac:dyDescent="0.35">
      <c r="DM8382" s="50"/>
      <c r="DQ8382" s="50"/>
    </row>
    <row r="8383" spans="117:121" x14ac:dyDescent="0.35">
      <c r="DM8383" s="50"/>
      <c r="DQ8383" s="50"/>
    </row>
    <row r="8384" spans="117:121" x14ac:dyDescent="0.35">
      <c r="DM8384" s="50"/>
      <c r="DQ8384" s="50"/>
    </row>
    <row r="8385" spans="117:121" x14ac:dyDescent="0.35">
      <c r="DM8385" s="50"/>
      <c r="DQ8385" s="50"/>
    </row>
    <row r="8386" spans="117:121" x14ac:dyDescent="0.35">
      <c r="DM8386" s="50"/>
      <c r="DQ8386" s="50"/>
    </row>
    <row r="8387" spans="117:121" x14ac:dyDescent="0.35">
      <c r="DM8387" s="50"/>
      <c r="DQ8387" s="50"/>
    </row>
    <row r="8388" spans="117:121" x14ac:dyDescent="0.35">
      <c r="DM8388" s="50"/>
      <c r="DQ8388" s="50"/>
    </row>
    <row r="8389" spans="117:121" x14ac:dyDescent="0.35">
      <c r="DM8389" s="50"/>
      <c r="DQ8389" s="50"/>
    </row>
    <row r="8390" spans="117:121" x14ac:dyDescent="0.35">
      <c r="DM8390" s="50"/>
      <c r="DQ8390" s="50"/>
    </row>
    <row r="8391" spans="117:121" x14ac:dyDescent="0.35">
      <c r="DM8391" s="50"/>
      <c r="DQ8391" s="50"/>
    </row>
    <row r="8392" spans="117:121" x14ac:dyDescent="0.35">
      <c r="DM8392" s="50"/>
      <c r="DQ8392" s="50"/>
    </row>
    <row r="8393" spans="117:121" x14ac:dyDescent="0.35">
      <c r="DM8393" s="50"/>
      <c r="DQ8393" s="50"/>
    </row>
    <row r="8394" spans="117:121" x14ac:dyDescent="0.35">
      <c r="DM8394" s="50"/>
      <c r="DQ8394" s="50"/>
    </row>
    <row r="8395" spans="117:121" x14ac:dyDescent="0.35">
      <c r="DM8395" s="50"/>
      <c r="DQ8395" s="50"/>
    </row>
    <row r="8396" spans="117:121" x14ac:dyDescent="0.35">
      <c r="DM8396" s="50"/>
      <c r="DQ8396" s="50"/>
    </row>
    <row r="8397" spans="117:121" x14ac:dyDescent="0.35">
      <c r="DM8397" s="50"/>
      <c r="DQ8397" s="50"/>
    </row>
    <row r="8398" spans="117:121" x14ac:dyDescent="0.35">
      <c r="DM8398" s="50"/>
      <c r="DQ8398" s="50"/>
    </row>
    <row r="8399" spans="117:121" x14ac:dyDescent="0.35">
      <c r="DM8399" s="50"/>
      <c r="DQ8399" s="50"/>
    </row>
    <row r="8400" spans="117:121" x14ac:dyDescent="0.35">
      <c r="DM8400" s="50"/>
      <c r="DQ8400" s="50"/>
    </row>
    <row r="8401" spans="117:121" x14ac:dyDescent="0.35">
      <c r="DM8401" s="50"/>
      <c r="DQ8401" s="50"/>
    </row>
    <row r="8402" spans="117:121" x14ac:dyDescent="0.35">
      <c r="DM8402" s="50"/>
      <c r="DQ8402" s="50"/>
    </row>
    <row r="8403" spans="117:121" x14ac:dyDescent="0.35">
      <c r="DM8403" s="50"/>
      <c r="DQ8403" s="50"/>
    </row>
    <row r="8404" spans="117:121" x14ac:dyDescent="0.35">
      <c r="DM8404" s="50"/>
      <c r="DQ8404" s="50"/>
    </row>
    <row r="8405" spans="117:121" x14ac:dyDescent="0.35">
      <c r="DM8405" s="50"/>
      <c r="DQ8405" s="50"/>
    </row>
    <row r="8406" spans="117:121" x14ac:dyDescent="0.35">
      <c r="DM8406" s="50"/>
      <c r="DQ8406" s="50"/>
    </row>
    <row r="8407" spans="117:121" x14ac:dyDescent="0.35">
      <c r="DM8407" s="50"/>
      <c r="DQ8407" s="50"/>
    </row>
    <row r="8408" spans="117:121" x14ac:dyDescent="0.35">
      <c r="DM8408" s="50"/>
      <c r="DQ8408" s="50"/>
    </row>
    <row r="8409" spans="117:121" x14ac:dyDescent="0.35">
      <c r="DM8409" s="50"/>
      <c r="DQ8409" s="50"/>
    </row>
    <row r="8410" spans="117:121" x14ac:dyDescent="0.35">
      <c r="DM8410" s="50"/>
      <c r="DQ8410" s="50"/>
    </row>
    <row r="8411" spans="117:121" x14ac:dyDescent="0.35">
      <c r="DM8411" s="50"/>
      <c r="DQ8411" s="50"/>
    </row>
    <row r="8412" spans="117:121" x14ac:dyDescent="0.35">
      <c r="DM8412" s="50"/>
      <c r="DQ8412" s="50"/>
    </row>
    <row r="8413" spans="117:121" x14ac:dyDescent="0.35">
      <c r="DM8413" s="50"/>
      <c r="DQ8413" s="50"/>
    </row>
    <row r="8414" spans="117:121" x14ac:dyDescent="0.35">
      <c r="DM8414" s="50"/>
      <c r="DQ8414" s="50"/>
    </row>
    <row r="8415" spans="117:121" x14ac:dyDescent="0.35">
      <c r="DM8415" s="50"/>
      <c r="DQ8415" s="50"/>
    </row>
    <row r="8416" spans="117:121" x14ac:dyDescent="0.35">
      <c r="DM8416" s="50"/>
      <c r="DQ8416" s="50"/>
    </row>
    <row r="8417" spans="117:121" x14ac:dyDescent="0.35">
      <c r="DM8417" s="50"/>
      <c r="DQ8417" s="50"/>
    </row>
    <row r="8418" spans="117:121" x14ac:dyDescent="0.35">
      <c r="DM8418" s="50"/>
      <c r="DQ8418" s="50"/>
    </row>
    <row r="8419" spans="117:121" x14ac:dyDescent="0.35">
      <c r="DM8419" s="50"/>
      <c r="DQ8419" s="50"/>
    </row>
    <row r="8420" spans="117:121" x14ac:dyDescent="0.35">
      <c r="DM8420" s="50"/>
      <c r="DQ8420" s="50"/>
    </row>
    <row r="8421" spans="117:121" x14ac:dyDescent="0.35">
      <c r="DM8421" s="50"/>
      <c r="DQ8421" s="50"/>
    </row>
    <row r="8422" spans="117:121" x14ac:dyDescent="0.35">
      <c r="DM8422" s="50"/>
      <c r="DQ8422" s="50"/>
    </row>
    <row r="8423" spans="117:121" x14ac:dyDescent="0.35">
      <c r="DM8423" s="50"/>
      <c r="DQ8423" s="50"/>
    </row>
    <row r="8424" spans="117:121" x14ac:dyDescent="0.35">
      <c r="DM8424" s="50"/>
      <c r="DQ8424" s="50"/>
    </row>
    <row r="8425" spans="117:121" x14ac:dyDescent="0.35">
      <c r="DM8425" s="50"/>
      <c r="DQ8425" s="50"/>
    </row>
    <row r="8426" spans="117:121" x14ac:dyDescent="0.35">
      <c r="DM8426" s="50"/>
      <c r="DQ8426" s="50"/>
    </row>
    <row r="8427" spans="117:121" x14ac:dyDescent="0.35">
      <c r="DM8427" s="50"/>
      <c r="DQ8427" s="50"/>
    </row>
    <row r="8428" spans="117:121" x14ac:dyDescent="0.35">
      <c r="DM8428" s="50"/>
      <c r="DQ8428" s="50"/>
    </row>
    <row r="8429" spans="117:121" x14ac:dyDescent="0.35">
      <c r="DM8429" s="50"/>
      <c r="DQ8429" s="50"/>
    </row>
    <row r="8430" spans="117:121" x14ac:dyDescent="0.35">
      <c r="DM8430" s="50"/>
      <c r="DQ8430" s="50"/>
    </row>
    <row r="8431" spans="117:121" x14ac:dyDescent="0.35">
      <c r="DM8431" s="50"/>
      <c r="DQ8431" s="50"/>
    </row>
    <row r="8432" spans="117:121" x14ac:dyDescent="0.35">
      <c r="DM8432" s="50"/>
      <c r="DQ8432" s="50"/>
    </row>
    <row r="8433" spans="117:121" x14ac:dyDescent="0.35">
      <c r="DM8433" s="50"/>
      <c r="DQ8433" s="50"/>
    </row>
    <row r="8434" spans="117:121" x14ac:dyDescent="0.35">
      <c r="DM8434" s="50"/>
      <c r="DQ8434" s="50"/>
    </row>
    <row r="8435" spans="117:121" x14ac:dyDescent="0.35">
      <c r="DM8435" s="50"/>
      <c r="DQ8435" s="50"/>
    </row>
    <row r="8436" spans="117:121" x14ac:dyDescent="0.35">
      <c r="DM8436" s="50"/>
      <c r="DQ8436" s="50"/>
    </row>
    <row r="8437" spans="117:121" x14ac:dyDescent="0.35">
      <c r="DM8437" s="50"/>
      <c r="DQ8437" s="50"/>
    </row>
    <row r="8438" spans="117:121" x14ac:dyDescent="0.35">
      <c r="DM8438" s="50"/>
      <c r="DQ8438" s="50"/>
    </row>
    <row r="8439" spans="117:121" x14ac:dyDescent="0.35">
      <c r="DM8439" s="50"/>
      <c r="DQ8439" s="50"/>
    </row>
    <row r="8440" spans="117:121" x14ac:dyDescent="0.35">
      <c r="DM8440" s="50"/>
      <c r="DQ8440" s="50"/>
    </row>
    <row r="8441" spans="117:121" x14ac:dyDescent="0.35">
      <c r="DM8441" s="50"/>
      <c r="DQ8441" s="50"/>
    </row>
    <row r="8442" spans="117:121" x14ac:dyDescent="0.35">
      <c r="DM8442" s="50"/>
      <c r="DQ8442" s="50"/>
    </row>
    <row r="8443" spans="117:121" x14ac:dyDescent="0.35">
      <c r="DM8443" s="50"/>
      <c r="DQ8443" s="50"/>
    </row>
    <row r="8444" spans="117:121" x14ac:dyDescent="0.35">
      <c r="DM8444" s="50"/>
      <c r="DQ8444" s="50"/>
    </row>
    <row r="8445" spans="117:121" x14ac:dyDescent="0.35">
      <c r="DM8445" s="50"/>
      <c r="DQ8445" s="50"/>
    </row>
    <row r="8446" spans="117:121" x14ac:dyDescent="0.35">
      <c r="DM8446" s="50"/>
      <c r="DQ8446" s="50"/>
    </row>
    <row r="8447" spans="117:121" x14ac:dyDescent="0.35">
      <c r="DM8447" s="50"/>
      <c r="DQ8447" s="50"/>
    </row>
    <row r="8448" spans="117:121" x14ac:dyDescent="0.35">
      <c r="DM8448" s="50"/>
      <c r="DQ8448" s="50"/>
    </row>
    <row r="8449" spans="117:121" x14ac:dyDescent="0.35">
      <c r="DM8449" s="50"/>
      <c r="DQ8449" s="50"/>
    </row>
    <row r="8450" spans="117:121" x14ac:dyDescent="0.35">
      <c r="DM8450" s="50"/>
      <c r="DQ8450" s="50"/>
    </row>
    <row r="8451" spans="117:121" x14ac:dyDescent="0.35">
      <c r="DM8451" s="50"/>
      <c r="DQ8451" s="50"/>
    </row>
    <row r="8452" spans="117:121" x14ac:dyDescent="0.35">
      <c r="DM8452" s="50"/>
      <c r="DQ8452" s="50"/>
    </row>
    <row r="8453" spans="117:121" x14ac:dyDescent="0.35">
      <c r="DM8453" s="50"/>
      <c r="DQ8453" s="50"/>
    </row>
    <row r="8454" spans="117:121" x14ac:dyDescent="0.35">
      <c r="DM8454" s="50"/>
      <c r="DQ8454" s="50"/>
    </row>
    <row r="8455" spans="117:121" x14ac:dyDescent="0.35">
      <c r="DM8455" s="50"/>
      <c r="DQ8455" s="50"/>
    </row>
    <row r="8456" spans="117:121" x14ac:dyDescent="0.35">
      <c r="DM8456" s="50"/>
      <c r="DQ8456" s="50"/>
    </row>
    <row r="8457" spans="117:121" x14ac:dyDescent="0.35">
      <c r="DM8457" s="50"/>
      <c r="DQ8457" s="50"/>
    </row>
    <row r="8458" spans="117:121" x14ac:dyDescent="0.35">
      <c r="DM8458" s="50"/>
      <c r="DQ8458" s="50"/>
    </row>
    <row r="8459" spans="117:121" x14ac:dyDescent="0.35">
      <c r="DM8459" s="50"/>
      <c r="DQ8459" s="50"/>
    </row>
    <row r="8460" spans="117:121" x14ac:dyDescent="0.35">
      <c r="DM8460" s="50"/>
      <c r="DQ8460" s="50"/>
    </row>
    <row r="8461" spans="117:121" x14ac:dyDescent="0.35">
      <c r="DM8461" s="50"/>
      <c r="DQ8461" s="50"/>
    </row>
    <row r="8462" spans="117:121" x14ac:dyDescent="0.35">
      <c r="DM8462" s="50"/>
      <c r="DQ8462" s="50"/>
    </row>
    <row r="8463" spans="117:121" x14ac:dyDescent="0.35">
      <c r="DM8463" s="50"/>
      <c r="DQ8463" s="50"/>
    </row>
    <row r="8464" spans="117:121" x14ac:dyDescent="0.35">
      <c r="DM8464" s="50"/>
      <c r="DQ8464" s="50"/>
    </row>
    <row r="8465" spans="117:121" x14ac:dyDescent="0.35">
      <c r="DM8465" s="50"/>
      <c r="DQ8465" s="50"/>
    </row>
    <row r="8466" spans="117:121" x14ac:dyDescent="0.35">
      <c r="DM8466" s="50"/>
      <c r="DQ8466" s="50"/>
    </row>
    <row r="8467" spans="117:121" x14ac:dyDescent="0.35">
      <c r="DM8467" s="50"/>
      <c r="DQ8467" s="50"/>
    </row>
    <row r="8468" spans="117:121" x14ac:dyDescent="0.35">
      <c r="DM8468" s="50"/>
      <c r="DQ8468" s="50"/>
    </row>
    <row r="8469" spans="117:121" x14ac:dyDescent="0.35">
      <c r="DM8469" s="50"/>
      <c r="DQ8469" s="50"/>
    </row>
    <row r="8470" spans="117:121" x14ac:dyDescent="0.35">
      <c r="DM8470" s="50"/>
      <c r="DQ8470" s="50"/>
    </row>
    <row r="8471" spans="117:121" x14ac:dyDescent="0.35">
      <c r="DM8471" s="50"/>
      <c r="DQ8471" s="50"/>
    </row>
    <row r="8472" spans="117:121" x14ac:dyDescent="0.35">
      <c r="DM8472" s="50"/>
      <c r="DQ8472" s="50"/>
    </row>
    <row r="8473" spans="117:121" x14ac:dyDescent="0.35">
      <c r="DM8473" s="50"/>
      <c r="DQ8473" s="50"/>
    </row>
    <row r="8474" spans="117:121" x14ac:dyDescent="0.35">
      <c r="DM8474" s="50"/>
      <c r="DQ8474" s="50"/>
    </row>
    <row r="8475" spans="117:121" x14ac:dyDescent="0.35">
      <c r="DM8475" s="50"/>
      <c r="DQ8475" s="50"/>
    </row>
    <row r="8476" spans="117:121" x14ac:dyDescent="0.35">
      <c r="DM8476" s="50"/>
      <c r="DQ8476" s="50"/>
    </row>
    <row r="8477" spans="117:121" x14ac:dyDescent="0.35">
      <c r="DM8477" s="50"/>
      <c r="DQ8477" s="50"/>
    </row>
    <row r="8478" spans="117:121" x14ac:dyDescent="0.35">
      <c r="DM8478" s="50"/>
      <c r="DQ8478" s="50"/>
    </row>
    <row r="8479" spans="117:121" x14ac:dyDescent="0.35">
      <c r="DM8479" s="50"/>
      <c r="DQ8479" s="50"/>
    </row>
    <row r="8480" spans="117:121" x14ac:dyDescent="0.35">
      <c r="DM8480" s="50"/>
      <c r="DQ8480" s="50"/>
    </row>
    <row r="8481" spans="117:121" x14ac:dyDescent="0.35">
      <c r="DM8481" s="50"/>
      <c r="DQ8481" s="50"/>
    </row>
    <row r="8482" spans="117:121" x14ac:dyDescent="0.35">
      <c r="DM8482" s="50"/>
      <c r="DQ8482" s="50"/>
    </row>
    <row r="8483" spans="117:121" x14ac:dyDescent="0.35">
      <c r="DM8483" s="50"/>
      <c r="DQ8483" s="50"/>
    </row>
    <row r="8484" spans="117:121" x14ac:dyDescent="0.35">
      <c r="DM8484" s="50"/>
      <c r="DQ8484" s="50"/>
    </row>
    <row r="8485" spans="117:121" x14ac:dyDescent="0.35">
      <c r="DM8485" s="50"/>
      <c r="DQ8485" s="50"/>
    </row>
    <row r="8486" spans="117:121" x14ac:dyDescent="0.35">
      <c r="DM8486" s="50"/>
      <c r="DQ8486" s="50"/>
    </row>
    <row r="8487" spans="117:121" x14ac:dyDescent="0.35">
      <c r="DM8487" s="50"/>
      <c r="DQ8487" s="50"/>
    </row>
    <row r="8488" spans="117:121" x14ac:dyDescent="0.35">
      <c r="DM8488" s="50"/>
      <c r="DQ8488" s="50"/>
    </row>
    <row r="8489" spans="117:121" x14ac:dyDescent="0.35">
      <c r="DM8489" s="50"/>
      <c r="DQ8489" s="50"/>
    </row>
    <row r="8490" spans="117:121" x14ac:dyDescent="0.35">
      <c r="DM8490" s="50"/>
      <c r="DQ8490" s="50"/>
    </row>
    <row r="8491" spans="117:121" x14ac:dyDescent="0.35">
      <c r="DM8491" s="50"/>
      <c r="DQ8491" s="50"/>
    </row>
    <row r="8492" spans="117:121" x14ac:dyDescent="0.35">
      <c r="DM8492" s="50"/>
      <c r="DQ8492" s="50"/>
    </row>
    <row r="8493" spans="117:121" x14ac:dyDescent="0.35">
      <c r="DM8493" s="50"/>
      <c r="DQ8493" s="50"/>
    </row>
    <row r="8494" spans="117:121" x14ac:dyDescent="0.35">
      <c r="DM8494" s="50"/>
      <c r="DQ8494" s="50"/>
    </row>
    <row r="8495" spans="117:121" x14ac:dyDescent="0.35">
      <c r="DM8495" s="50"/>
      <c r="DQ8495" s="50"/>
    </row>
    <row r="8496" spans="117:121" x14ac:dyDescent="0.35">
      <c r="DM8496" s="50"/>
      <c r="DQ8496" s="50"/>
    </row>
    <row r="8497" spans="117:121" x14ac:dyDescent="0.35">
      <c r="DM8497" s="50"/>
      <c r="DQ8497" s="50"/>
    </row>
    <row r="8498" spans="117:121" x14ac:dyDescent="0.35">
      <c r="DM8498" s="50"/>
      <c r="DQ8498" s="50"/>
    </row>
    <row r="8499" spans="117:121" x14ac:dyDescent="0.35">
      <c r="DM8499" s="50"/>
      <c r="DQ8499" s="50"/>
    </row>
    <row r="8500" spans="117:121" x14ac:dyDescent="0.35">
      <c r="DM8500" s="50"/>
      <c r="DQ8500" s="50"/>
    </row>
    <row r="8501" spans="117:121" x14ac:dyDescent="0.35">
      <c r="DM8501" s="50"/>
      <c r="DQ8501" s="50"/>
    </row>
    <row r="8502" spans="117:121" x14ac:dyDescent="0.35">
      <c r="DM8502" s="50"/>
      <c r="DQ8502" s="50"/>
    </row>
    <row r="8503" spans="117:121" x14ac:dyDescent="0.35">
      <c r="DM8503" s="50"/>
      <c r="DQ8503" s="50"/>
    </row>
    <row r="8504" spans="117:121" x14ac:dyDescent="0.35">
      <c r="DM8504" s="50"/>
      <c r="DQ8504" s="50"/>
    </row>
    <row r="8505" spans="117:121" x14ac:dyDescent="0.35">
      <c r="DM8505" s="50"/>
      <c r="DQ8505" s="50"/>
    </row>
    <row r="8506" spans="117:121" x14ac:dyDescent="0.35">
      <c r="DM8506" s="50"/>
      <c r="DQ8506" s="50"/>
    </row>
    <row r="8507" spans="117:121" x14ac:dyDescent="0.35">
      <c r="DM8507" s="50"/>
      <c r="DQ8507" s="50"/>
    </row>
    <row r="8508" spans="117:121" x14ac:dyDescent="0.35">
      <c r="DM8508" s="50"/>
      <c r="DQ8508" s="50"/>
    </row>
    <row r="8509" spans="117:121" x14ac:dyDescent="0.35">
      <c r="DM8509" s="50"/>
      <c r="DQ8509" s="50"/>
    </row>
    <row r="8510" spans="117:121" x14ac:dyDescent="0.35">
      <c r="DM8510" s="50"/>
      <c r="DQ8510" s="50"/>
    </row>
    <row r="8511" spans="117:121" x14ac:dyDescent="0.35">
      <c r="DM8511" s="50"/>
      <c r="DQ8511" s="50"/>
    </row>
    <row r="8512" spans="117:121" x14ac:dyDescent="0.35">
      <c r="DM8512" s="50"/>
      <c r="DQ8512" s="50"/>
    </row>
    <row r="8513" spans="117:121" x14ac:dyDescent="0.35">
      <c r="DM8513" s="50"/>
      <c r="DQ8513" s="50"/>
    </row>
    <row r="8514" spans="117:121" x14ac:dyDescent="0.35">
      <c r="DM8514" s="50"/>
      <c r="DQ8514" s="50"/>
    </row>
    <row r="8515" spans="117:121" x14ac:dyDescent="0.35">
      <c r="DM8515" s="50"/>
      <c r="DQ8515" s="50"/>
    </row>
    <row r="8516" spans="117:121" x14ac:dyDescent="0.35">
      <c r="DM8516" s="50"/>
      <c r="DQ8516" s="50"/>
    </row>
    <row r="8517" spans="117:121" x14ac:dyDescent="0.35">
      <c r="DM8517" s="50"/>
      <c r="DQ8517" s="50"/>
    </row>
    <row r="8518" spans="117:121" x14ac:dyDescent="0.35">
      <c r="DM8518" s="50"/>
      <c r="DQ8518" s="50"/>
    </row>
    <row r="8519" spans="117:121" x14ac:dyDescent="0.35">
      <c r="DM8519" s="50"/>
      <c r="DQ8519" s="50"/>
    </row>
    <row r="8520" spans="117:121" x14ac:dyDescent="0.35">
      <c r="DM8520" s="50"/>
      <c r="DQ8520" s="50"/>
    </row>
    <row r="8521" spans="117:121" x14ac:dyDescent="0.35">
      <c r="DM8521" s="50"/>
      <c r="DQ8521" s="50"/>
    </row>
    <row r="8522" spans="117:121" x14ac:dyDescent="0.35">
      <c r="DM8522" s="50"/>
      <c r="DQ8522" s="50"/>
    </row>
    <row r="8523" spans="117:121" x14ac:dyDescent="0.35">
      <c r="DM8523" s="50"/>
      <c r="DQ8523" s="50"/>
    </row>
    <row r="8524" spans="117:121" x14ac:dyDescent="0.35">
      <c r="DM8524" s="50"/>
      <c r="DQ8524" s="50"/>
    </row>
    <row r="8525" spans="117:121" x14ac:dyDescent="0.35">
      <c r="DM8525" s="50"/>
      <c r="DQ8525" s="50"/>
    </row>
    <row r="8526" spans="117:121" x14ac:dyDescent="0.35">
      <c r="DM8526" s="50"/>
      <c r="DQ8526" s="50"/>
    </row>
    <row r="8527" spans="117:121" x14ac:dyDescent="0.35">
      <c r="DM8527" s="50"/>
      <c r="DQ8527" s="50"/>
    </row>
    <row r="8528" spans="117:121" x14ac:dyDescent="0.35">
      <c r="DM8528" s="50"/>
      <c r="DQ8528" s="50"/>
    </row>
    <row r="8529" spans="117:121" x14ac:dyDescent="0.35">
      <c r="DM8529" s="50"/>
      <c r="DQ8529" s="50"/>
    </row>
    <row r="8530" spans="117:121" x14ac:dyDescent="0.35">
      <c r="DM8530" s="50"/>
      <c r="DQ8530" s="50"/>
    </row>
    <row r="8531" spans="117:121" x14ac:dyDescent="0.35">
      <c r="DM8531" s="50"/>
      <c r="DQ8531" s="50"/>
    </row>
    <row r="8532" spans="117:121" x14ac:dyDescent="0.35">
      <c r="DM8532" s="50"/>
      <c r="DQ8532" s="50"/>
    </row>
    <row r="8533" spans="117:121" x14ac:dyDescent="0.35">
      <c r="DM8533" s="50"/>
      <c r="DQ8533" s="50"/>
    </row>
    <row r="8534" spans="117:121" x14ac:dyDescent="0.35">
      <c r="DM8534" s="50"/>
      <c r="DQ8534" s="50"/>
    </row>
    <row r="8535" spans="117:121" x14ac:dyDescent="0.35">
      <c r="DM8535" s="50"/>
      <c r="DQ8535" s="50"/>
    </row>
    <row r="8536" spans="117:121" x14ac:dyDescent="0.35">
      <c r="DM8536" s="50"/>
      <c r="DQ8536" s="50"/>
    </row>
    <row r="8537" spans="117:121" x14ac:dyDescent="0.35">
      <c r="DM8537" s="50"/>
      <c r="DQ8537" s="50"/>
    </row>
    <row r="8538" spans="117:121" x14ac:dyDescent="0.35">
      <c r="DM8538" s="50"/>
      <c r="DQ8538" s="50"/>
    </row>
    <row r="8539" spans="117:121" x14ac:dyDescent="0.35">
      <c r="DM8539" s="50"/>
      <c r="DQ8539" s="50"/>
    </row>
    <row r="8540" spans="117:121" x14ac:dyDescent="0.35">
      <c r="DM8540" s="50"/>
      <c r="DQ8540" s="50"/>
    </row>
    <row r="8541" spans="117:121" x14ac:dyDescent="0.35">
      <c r="DM8541" s="50"/>
      <c r="DQ8541" s="50"/>
    </row>
    <row r="8542" spans="117:121" x14ac:dyDescent="0.35">
      <c r="DM8542" s="50"/>
      <c r="DQ8542" s="50"/>
    </row>
    <row r="8543" spans="117:121" x14ac:dyDescent="0.35">
      <c r="DM8543" s="50"/>
      <c r="DQ8543" s="50"/>
    </row>
    <row r="8544" spans="117:121" x14ac:dyDescent="0.35">
      <c r="DM8544" s="50"/>
      <c r="DQ8544" s="50"/>
    </row>
    <row r="8545" spans="117:121" x14ac:dyDescent="0.35">
      <c r="DM8545" s="50"/>
      <c r="DQ8545" s="50"/>
    </row>
    <row r="8546" spans="117:121" x14ac:dyDescent="0.35">
      <c r="DM8546" s="50"/>
      <c r="DQ8546" s="50"/>
    </row>
    <row r="8547" spans="117:121" x14ac:dyDescent="0.35">
      <c r="DM8547" s="50"/>
      <c r="DQ8547" s="50"/>
    </row>
    <row r="8548" spans="117:121" x14ac:dyDescent="0.35">
      <c r="DM8548" s="50"/>
      <c r="DQ8548" s="50"/>
    </row>
    <row r="8549" spans="117:121" x14ac:dyDescent="0.35">
      <c r="DM8549" s="50"/>
      <c r="DQ8549" s="50"/>
    </row>
    <row r="8550" spans="117:121" x14ac:dyDescent="0.35">
      <c r="DM8550" s="50"/>
      <c r="DQ8550" s="50"/>
    </row>
    <row r="8551" spans="117:121" x14ac:dyDescent="0.35">
      <c r="DM8551" s="50"/>
      <c r="DQ8551" s="50"/>
    </row>
    <row r="8552" spans="117:121" x14ac:dyDescent="0.35">
      <c r="DM8552" s="50"/>
      <c r="DQ8552" s="50"/>
    </row>
    <row r="8553" spans="117:121" x14ac:dyDescent="0.35">
      <c r="DM8553" s="50"/>
      <c r="DQ8553" s="50"/>
    </row>
    <row r="8554" spans="117:121" x14ac:dyDescent="0.35">
      <c r="DM8554" s="50"/>
      <c r="DQ8554" s="50"/>
    </row>
    <row r="8555" spans="117:121" x14ac:dyDescent="0.35">
      <c r="DM8555" s="50"/>
      <c r="DQ8555" s="50"/>
    </row>
    <row r="8556" spans="117:121" x14ac:dyDescent="0.35">
      <c r="DM8556" s="50"/>
      <c r="DQ8556" s="50"/>
    </row>
    <row r="8557" spans="117:121" x14ac:dyDescent="0.35">
      <c r="DM8557" s="50"/>
      <c r="DQ8557" s="50"/>
    </row>
    <row r="8558" spans="117:121" x14ac:dyDescent="0.35">
      <c r="DM8558" s="50"/>
      <c r="DQ8558" s="50"/>
    </row>
    <row r="8559" spans="117:121" x14ac:dyDescent="0.35">
      <c r="DM8559" s="50"/>
      <c r="DQ8559" s="50"/>
    </row>
    <row r="8560" spans="117:121" x14ac:dyDescent="0.35">
      <c r="DM8560" s="50"/>
      <c r="DQ8560" s="50"/>
    </row>
    <row r="8561" spans="117:121" x14ac:dyDescent="0.35">
      <c r="DM8561" s="50"/>
      <c r="DQ8561" s="50"/>
    </row>
    <row r="8562" spans="117:121" x14ac:dyDescent="0.35">
      <c r="DM8562" s="50"/>
      <c r="DQ8562" s="50"/>
    </row>
    <row r="8563" spans="117:121" x14ac:dyDescent="0.35">
      <c r="DM8563" s="50"/>
      <c r="DQ8563" s="50"/>
    </row>
    <row r="8564" spans="117:121" x14ac:dyDescent="0.35">
      <c r="DM8564" s="50"/>
      <c r="DQ8564" s="50"/>
    </row>
    <row r="8565" spans="117:121" x14ac:dyDescent="0.35">
      <c r="DM8565" s="50"/>
      <c r="DQ8565" s="50"/>
    </row>
    <row r="8566" spans="117:121" x14ac:dyDescent="0.35">
      <c r="DM8566" s="50"/>
      <c r="DQ8566" s="50"/>
    </row>
    <row r="8567" spans="117:121" x14ac:dyDescent="0.35">
      <c r="DM8567" s="50"/>
      <c r="DQ8567" s="50"/>
    </row>
    <row r="8568" spans="117:121" x14ac:dyDescent="0.35">
      <c r="DM8568" s="50"/>
      <c r="DQ8568" s="50"/>
    </row>
    <row r="8569" spans="117:121" x14ac:dyDescent="0.35">
      <c r="DM8569" s="50"/>
      <c r="DQ8569" s="50"/>
    </row>
    <row r="8570" spans="117:121" x14ac:dyDescent="0.35">
      <c r="DM8570" s="50"/>
      <c r="DQ8570" s="50"/>
    </row>
    <row r="8571" spans="117:121" x14ac:dyDescent="0.35">
      <c r="DM8571" s="50"/>
      <c r="DQ8571" s="50"/>
    </row>
    <row r="8572" spans="117:121" x14ac:dyDescent="0.35">
      <c r="DM8572" s="50"/>
      <c r="DQ8572" s="50"/>
    </row>
    <row r="8573" spans="117:121" x14ac:dyDescent="0.35">
      <c r="DM8573" s="50"/>
      <c r="DQ8573" s="50"/>
    </row>
    <row r="8574" spans="117:121" x14ac:dyDescent="0.35">
      <c r="DM8574" s="50"/>
      <c r="DQ8574" s="50"/>
    </row>
    <row r="8575" spans="117:121" x14ac:dyDescent="0.35">
      <c r="DM8575" s="50"/>
      <c r="DQ8575" s="50"/>
    </row>
    <row r="8576" spans="117:121" x14ac:dyDescent="0.35">
      <c r="DM8576" s="50"/>
      <c r="DQ8576" s="50"/>
    </row>
    <row r="8577" spans="117:121" x14ac:dyDescent="0.35">
      <c r="DM8577" s="50"/>
      <c r="DQ8577" s="50"/>
    </row>
    <row r="8578" spans="117:121" x14ac:dyDescent="0.35">
      <c r="DM8578" s="50"/>
      <c r="DQ8578" s="50"/>
    </row>
    <row r="8579" spans="117:121" x14ac:dyDescent="0.35">
      <c r="DM8579" s="50"/>
      <c r="DQ8579" s="50"/>
    </row>
    <row r="8580" spans="117:121" x14ac:dyDescent="0.35">
      <c r="DM8580" s="50"/>
      <c r="DQ8580" s="50"/>
    </row>
    <row r="8581" spans="117:121" x14ac:dyDescent="0.35">
      <c r="DM8581" s="50"/>
      <c r="DQ8581" s="50"/>
    </row>
    <row r="8582" spans="117:121" x14ac:dyDescent="0.35">
      <c r="DM8582" s="50"/>
      <c r="DQ8582" s="50"/>
    </row>
    <row r="8583" spans="117:121" x14ac:dyDescent="0.35">
      <c r="DM8583" s="50"/>
      <c r="DQ8583" s="50"/>
    </row>
    <row r="8584" spans="117:121" x14ac:dyDescent="0.35">
      <c r="DM8584" s="50"/>
      <c r="DQ8584" s="50"/>
    </row>
    <row r="8585" spans="117:121" x14ac:dyDescent="0.35">
      <c r="DM8585" s="50"/>
      <c r="DQ8585" s="50"/>
    </row>
    <row r="8586" spans="117:121" x14ac:dyDescent="0.35">
      <c r="DM8586" s="50"/>
      <c r="DQ8586" s="50"/>
    </row>
    <row r="8587" spans="117:121" x14ac:dyDescent="0.35">
      <c r="DM8587" s="50"/>
      <c r="DQ8587" s="50"/>
    </row>
    <row r="8588" spans="117:121" x14ac:dyDescent="0.35">
      <c r="DM8588" s="50"/>
      <c r="DQ8588" s="50"/>
    </row>
    <row r="8589" spans="117:121" x14ac:dyDescent="0.35">
      <c r="DM8589" s="50"/>
      <c r="DQ8589" s="50"/>
    </row>
    <row r="8590" spans="117:121" x14ac:dyDescent="0.35">
      <c r="DM8590" s="50"/>
      <c r="DQ8590" s="50"/>
    </row>
    <row r="8591" spans="117:121" x14ac:dyDescent="0.35">
      <c r="DM8591" s="50"/>
      <c r="DQ8591" s="50"/>
    </row>
    <row r="8592" spans="117:121" x14ac:dyDescent="0.35">
      <c r="DM8592" s="50"/>
      <c r="DQ8592" s="50"/>
    </row>
    <row r="8593" spans="117:121" x14ac:dyDescent="0.35">
      <c r="DM8593" s="50"/>
      <c r="DQ8593" s="50"/>
    </row>
    <row r="8594" spans="117:121" x14ac:dyDescent="0.35">
      <c r="DM8594" s="50"/>
      <c r="DQ8594" s="50"/>
    </row>
    <row r="8595" spans="117:121" x14ac:dyDescent="0.35">
      <c r="DM8595" s="50"/>
      <c r="DQ8595" s="50"/>
    </row>
    <row r="8596" spans="117:121" x14ac:dyDescent="0.35">
      <c r="DM8596" s="50"/>
      <c r="DQ8596" s="50"/>
    </row>
    <row r="8597" spans="117:121" x14ac:dyDescent="0.35">
      <c r="DM8597" s="50"/>
      <c r="DQ8597" s="50"/>
    </row>
    <row r="8598" spans="117:121" x14ac:dyDescent="0.35">
      <c r="DM8598" s="50"/>
      <c r="DQ8598" s="50"/>
    </row>
    <row r="8599" spans="117:121" x14ac:dyDescent="0.35">
      <c r="DM8599" s="50"/>
      <c r="DQ8599" s="50"/>
    </row>
    <row r="8600" spans="117:121" x14ac:dyDescent="0.35">
      <c r="DM8600" s="50"/>
      <c r="DQ8600" s="50"/>
    </row>
    <row r="8601" spans="117:121" x14ac:dyDescent="0.35">
      <c r="DM8601" s="50"/>
      <c r="DQ8601" s="50"/>
    </row>
    <row r="8602" spans="117:121" x14ac:dyDescent="0.35">
      <c r="DM8602" s="50"/>
      <c r="DQ8602" s="50"/>
    </row>
    <row r="8603" spans="117:121" x14ac:dyDescent="0.35">
      <c r="DM8603" s="50"/>
      <c r="DQ8603" s="50"/>
    </row>
    <row r="8604" spans="117:121" x14ac:dyDescent="0.35">
      <c r="DM8604" s="50"/>
      <c r="DQ8604" s="50"/>
    </row>
    <row r="8605" spans="117:121" x14ac:dyDescent="0.35">
      <c r="DM8605" s="50"/>
      <c r="DQ8605" s="50"/>
    </row>
    <row r="8606" spans="117:121" x14ac:dyDescent="0.35">
      <c r="DM8606" s="50"/>
      <c r="DQ8606" s="50"/>
    </row>
    <row r="8607" spans="117:121" x14ac:dyDescent="0.35">
      <c r="DM8607" s="50"/>
      <c r="DQ8607" s="50"/>
    </row>
    <row r="8608" spans="117:121" x14ac:dyDescent="0.35">
      <c r="DM8608" s="50"/>
      <c r="DQ8608" s="50"/>
    </row>
    <row r="8609" spans="117:121" x14ac:dyDescent="0.35">
      <c r="DM8609" s="50"/>
      <c r="DQ8609" s="50"/>
    </row>
    <row r="8610" spans="117:121" x14ac:dyDescent="0.35">
      <c r="DM8610" s="50"/>
      <c r="DQ8610" s="50"/>
    </row>
    <row r="8611" spans="117:121" x14ac:dyDescent="0.35">
      <c r="DM8611" s="50"/>
      <c r="DQ8611" s="50"/>
    </row>
    <row r="8612" spans="117:121" x14ac:dyDescent="0.35">
      <c r="DM8612" s="50"/>
      <c r="DQ8612" s="50"/>
    </row>
    <row r="8613" spans="117:121" x14ac:dyDescent="0.35">
      <c r="DM8613" s="50"/>
      <c r="DQ8613" s="50"/>
    </row>
    <row r="8614" spans="117:121" x14ac:dyDescent="0.35">
      <c r="DM8614" s="50"/>
      <c r="DQ8614" s="50"/>
    </row>
    <row r="8615" spans="117:121" x14ac:dyDescent="0.35">
      <c r="DM8615" s="50"/>
      <c r="DQ8615" s="50"/>
    </row>
    <row r="8616" spans="117:121" x14ac:dyDescent="0.35">
      <c r="DM8616" s="50"/>
      <c r="DQ8616" s="50"/>
    </row>
    <row r="8617" spans="117:121" x14ac:dyDescent="0.35">
      <c r="DM8617" s="50"/>
      <c r="DQ8617" s="50"/>
    </row>
    <row r="8618" spans="117:121" x14ac:dyDescent="0.35">
      <c r="DM8618" s="50"/>
      <c r="DQ8618" s="50"/>
    </row>
    <row r="8619" spans="117:121" x14ac:dyDescent="0.35">
      <c r="DM8619" s="50"/>
      <c r="DQ8619" s="50"/>
    </row>
    <row r="8620" spans="117:121" x14ac:dyDescent="0.35">
      <c r="DM8620" s="50"/>
      <c r="DQ8620" s="50"/>
    </row>
    <row r="8621" spans="117:121" x14ac:dyDescent="0.35">
      <c r="DM8621" s="50"/>
      <c r="DQ8621" s="50"/>
    </row>
    <row r="8622" spans="117:121" x14ac:dyDescent="0.35">
      <c r="DM8622" s="50"/>
      <c r="DQ8622" s="50"/>
    </row>
    <row r="8623" spans="117:121" x14ac:dyDescent="0.35">
      <c r="DM8623" s="50"/>
      <c r="DQ8623" s="50"/>
    </row>
    <row r="8624" spans="117:121" x14ac:dyDescent="0.35">
      <c r="DM8624" s="50"/>
      <c r="DQ8624" s="50"/>
    </row>
    <row r="8625" spans="117:121" x14ac:dyDescent="0.35">
      <c r="DM8625" s="50"/>
      <c r="DQ8625" s="50"/>
    </row>
    <row r="8626" spans="117:121" x14ac:dyDescent="0.35">
      <c r="DM8626" s="50"/>
      <c r="DQ8626" s="50"/>
    </row>
    <row r="8627" spans="117:121" x14ac:dyDescent="0.35">
      <c r="DM8627" s="50"/>
      <c r="DQ8627" s="50"/>
    </row>
    <row r="8628" spans="117:121" x14ac:dyDescent="0.35">
      <c r="DM8628" s="50"/>
      <c r="DQ8628" s="50"/>
    </row>
    <row r="8629" spans="117:121" x14ac:dyDescent="0.35">
      <c r="DM8629" s="50"/>
      <c r="DQ8629" s="50"/>
    </row>
    <row r="8630" spans="117:121" x14ac:dyDescent="0.35">
      <c r="DM8630" s="50"/>
      <c r="DQ8630" s="50"/>
    </row>
    <row r="8631" spans="117:121" x14ac:dyDescent="0.35">
      <c r="DM8631" s="50"/>
      <c r="DQ8631" s="50"/>
    </row>
    <row r="8632" spans="117:121" x14ac:dyDescent="0.35">
      <c r="DM8632" s="50"/>
      <c r="DQ8632" s="50"/>
    </row>
    <row r="8633" spans="117:121" x14ac:dyDescent="0.35">
      <c r="DM8633" s="50"/>
      <c r="DQ8633" s="50"/>
    </row>
    <row r="8634" spans="117:121" x14ac:dyDescent="0.35">
      <c r="DM8634" s="50"/>
      <c r="DQ8634" s="50"/>
    </row>
    <row r="8635" spans="117:121" x14ac:dyDescent="0.35">
      <c r="DM8635" s="50"/>
      <c r="DQ8635" s="50"/>
    </row>
    <row r="8636" spans="117:121" x14ac:dyDescent="0.35">
      <c r="DM8636" s="50"/>
      <c r="DQ8636" s="50"/>
    </row>
    <row r="8637" spans="117:121" x14ac:dyDescent="0.35">
      <c r="DM8637" s="50"/>
      <c r="DQ8637" s="50"/>
    </row>
    <row r="8638" spans="117:121" x14ac:dyDescent="0.35">
      <c r="DM8638" s="50"/>
      <c r="DQ8638" s="50"/>
    </row>
    <row r="8639" spans="117:121" x14ac:dyDescent="0.35">
      <c r="DM8639" s="50"/>
      <c r="DQ8639" s="50"/>
    </row>
    <row r="8640" spans="117:121" x14ac:dyDescent="0.35">
      <c r="DM8640" s="50"/>
      <c r="DQ8640" s="50"/>
    </row>
    <row r="8641" spans="117:121" x14ac:dyDescent="0.35">
      <c r="DM8641" s="50"/>
      <c r="DQ8641" s="50"/>
    </row>
    <row r="8642" spans="117:121" x14ac:dyDescent="0.35">
      <c r="DM8642" s="50"/>
      <c r="DQ8642" s="50"/>
    </row>
    <row r="8643" spans="117:121" x14ac:dyDescent="0.35">
      <c r="DM8643" s="50"/>
      <c r="DQ8643" s="50"/>
    </row>
    <row r="8644" spans="117:121" x14ac:dyDescent="0.35">
      <c r="DM8644" s="50"/>
      <c r="DQ8644" s="50"/>
    </row>
    <row r="8645" spans="117:121" x14ac:dyDescent="0.35">
      <c r="DM8645" s="50"/>
      <c r="DQ8645" s="50"/>
    </row>
    <row r="8646" spans="117:121" x14ac:dyDescent="0.35">
      <c r="DM8646" s="50"/>
      <c r="DQ8646" s="50"/>
    </row>
    <row r="8647" spans="117:121" x14ac:dyDescent="0.35">
      <c r="DM8647" s="50"/>
      <c r="DQ8647" s="50"/>
    </row>
    <row r="8648" spans="117:121" x14ac:dyDescent="0.35">
      <c r="DM8648" s="50"/>
      <c r="DQ8648" s="50"/>
    </row>
    <row r="8649" spans="117:121" x14ac:dyDescent="0.35">
      <c r="DM8649" s="50"/>
      <c r="DQ8649" s="50"/>
    </row>
    <row r="8650" spans="117:121" x14ac:dyDescent="0.35">
      <c r="DM8650" s="50"/>
      <c r="DQ8650" s="50"/>
    </row>
    <row r="8651" spans="117:121" x14ac:dyDescent="0.35">
      <c r="DM8651" s="50"/>
      <c r="DQ8651" s="50"/>
    </row>
    <row r="8652" spans="117:121" x14ac:dyDescent="0.35">
      <c r="DM8652" s="50"/>
      <c r="DQ8652" s="50"/>
    </row>
    <row r="8653" spans="117:121" x14ac:dyDescent="0.35">
      <c r="DM8653" s="50"/>
      <c r="DQ8653" s="50"/>
    </row>
    <row r="8654" spans="117:121" x14ac:dyDescent="0.35">
      <c r="DM8654" s="50"/>
      <c r="DQ8654" s="50"/>
    </row>
    <row r="8655" spans="117:121" x14ac:dyDescent="0.35">
      <c r="DM8655" s="50"/>
      <c r="DQ8655" s="50"/>
    </row>
    <row r="8656" spans="117:121" x14ac:dyDescent="0.35">
      <c r="DM8656" s="50"/>
      <c r="DQ8656" s="50"/>
    </row>
    <row r="8657" spans="117:121" x14ac:dyDescent="0.35">
      <c r="DM8657" s="50"/>
      <c r="DQ8657" s="50"/>
    </row>
    <row r="8658" spans="117:121" x14ac:dyDescent="0.35">
      <c r="DM8658" s="50"/>
      <c r="DQ8658" s="50"/>
    </row>
    <row r="8659" spans="117:121" x14ac:dyDescent="0.35">
      <c r="DM8659" s="50"/>
      <c r="DQ8659" s="50"/>
    </row>
    <row r="8660" spans="117:121" x14ac:dyDescent="0.35">
      <c r="DM8660" s="50"/>
      <c r="DQ8660" s="50"/>
    </row>
    <row r="8661" spans="117:121" x14ac:dyDescent="0.35">
      <c r="DM8661" s="50"/>
      <c r="DQ8661" s="50"/>
    </row>
    <row r="8662" spans="117:121" x14ac:dyDescent="0.35">
      <c r="DM8662" s="50"/>
      <c r="DQ8662" s="50"/>
    </row>
    <row r="8663" spans="117:121" x14ac:dyDescent="0.35">
      <c r="DM8663" s="50"/>
      <c r="DQ8663" s="50"/>
    </row>
    <row r="8664" spans="117:121" x14ac:dyDescent="0.35">
      <c r="DM8664" s="50"/>
      <c r="DQ8664" s="50"/>
    </row>
    <row r="8665" spans="117:121" x14ac:dyDescent="0.35">
      <c r="DM8665" s="50"/>
      <c r="DQ8665" s="50"/>
    </row>
    <row r="8666" spans="117:121" x14ac:dyDescent="0.35">
      <c r="DM8666" s="50"/>
      <c r="DQ8666" s="50"/>
    </row>
    <row r="8667" spans="117:121" x14ac:dyDescent="0.35">
      <c r="DM8667" s="50"/>
      <c r="DQ8667" s="50"/>
    </row>
    <row r="8668" spans="117:121" x14ac:dyDescent="0.35">
      <c r="DM8668" s="50"/>
      <c r="DQ8668" s="50"/>
    </row>
    <row r="8669" spans="117:121" x14ac:dyDescent="0.35">
      <c r="DM8669" s="50"/>
      <c r="DQ8669" s="50"/>
    </row>
    <row r="8670" spans="117:121" x14ac:dyDescent="0.35">
      <c r="DM8670" s="50"/>
      <c r="DQ8670" s="50"/>
    </row>
    <row r="8671" spans="117:121" x14ac:dyDescent="0.35">
      <c r="DM8671" s="50"/>
      <c r="DQ8671" s="50"/>
    </row>
    <row r="8672" spans="117:121" x14ac:dyDescent="0.35">
      <c r="DM8672" s="50"/>
      <c r="DQ8672" s="50"/>
    </row>
    <row r="8673" spans="117:121" x14ac:dyDescent="0.35">
      <c r="DM8673" s="50"/>
      <c r="DQ8673" s="50"/>
    </row>
    <row r="8674" spans="117:121" x14ac:dyDescent="0.35">
      <c r="DM8674" s="50"/>
      <c r="DQ8674" s="50"/>
    </row>
    <row r="8675" spans="117:121" x14ac:dyDescent="0.35">
      <c r="DM8675" s="50"/>
      <c r="DQ8675" s="50"/>
    </row>
    <row r="8676" spans="117:121" x14ac:dyDescent="0.35">
      <c r="DM8676" s="50"/>
      <c r="DQ8676" s="50"/>
    </row>
    <row r="8677" spans="117:121" x14ac:dyDescent="0.35">
      <c r="DM8677" s="50"/>
      <c r="DQ8677" s="50"/>
    </row>
    <row r="8678" spans="117:121" x14ac:dyDescent="0.35">
      <c r="DM8678" s="50"/>
      <c r="DQ8678" s="50"/>
    </row>
    <row r="8679" spans="117:121" x14ac:dyDescent="0.35">
      <c r="DM8679" s="50"/>
      <c r="DQ8679" s="50"/>
    </row>
    <row r="8680" spans="117:121" x14ac:dyDescent="0.35">
      <c r="DM8680" s="50"/>
      <c r="DQ8680" s="50"/>
    </row>
    <row r="8681" spans="117:121" x14ac:dyDescent="0.35">
      <c r="DM8681" s="50"/>
      <c r="DQ8681" s="50"/>
    </row>
    <row r="8682" spans="117:121" x14ac:dyDescent="0.35">
      <c r="DM8682" s="50"/>
      <c r="DQ8682" s="50"/>
    </row>
    <row r="8683" spans="117:121" x14ac:dyDescent="0.35">
      <c r="DM8683" s="50"/>
      <c r="DQ8683" s="50"/>
    </row>
    <row r="8684" spans="117:121" x14ac:dyDescent="0.35">
      <c r="DM8684" s="50"/>
      <c r="DQ8684" s="50"/>
    </row>
    <row r="8685" spans="117:121" x14ac:dyDescent="0.35">
      <c r="DM8685" s="50"/>
      <c r="DQ8685" s="50"/>
    </row>
    <row r="8686" spans="117:121" x14ac:dyDescent="0.35">
      <c r="DM8686" s="50"/>
      <c r="DQ8686" s="50"/>
    </row>
    <row r="8687" spans="117:121" x14ac:dyDescent="0.35">
      <c r="DM8687" s="50"/>
      <c r="DQ8687" s="50"/>
    </row>
    <row r="8688" spans="117:121" x14ac:dyDescent="0.35">
      <c r="DM8688" s="50"/>
      <c r="DQ8688" s="50"/>
    </row>
    <row r="8689" spans="117:121" x14ac:dyDescent="0.35">
      <c r="DM8689" s="50"/>
      <c r="DQ8689" s="50"/>
    </row>
    <row r="8690" spans="117:121" x14ac:dyDescent="0.35">
      <c r="DM8690" s="50"/>
      <c r="DQ8690" s="50"/>
    </row>
    <row r="8691" spans="117:121" x14ac:dyDescent="0.35">
      <c r="DM8691" s="50"/>
      <c r="DQ8691" s="50"/>
    </row>
    <row r="8692" spans="117:121" x14ac:dyDescent="0.35">
      <c r="DM8692" s="50"/>
      <c r="DQ8692" s="50"/>
    </row>
    <row r="8693" spans="117:121" x14ac:dyDescent="0.35">
      <c r="DM8693" s="50"/>
      <c r="DQ8693" s="50"/>
    </row>
    <row r="8694" spans="117:121" x14ac:dyDescent="0.35">
      <c r="DM8694" s="50"/>
      <c r="DQ8694" s="50"/>
    </row>
    <row r="8695" spans="117:121" x14ac:dyDescent="0.35">
      <c r="DM8695" s="50"/>
      <c r="DQ8695" s="50"/>
    </row>
    <row r="8696" spans="117:121" x14ac:dyDescent="0.35">
      <c r="DM8696" s="50"/>
      <c r="DQ8696" s="50"/>
    </row>
    <row r="8697" spans="117:121" x14ac:dyDescent="0.35">
      <c r="DM8697" s="50"/>
      <c r="DQ8697" s="50"/>
    </row>
    <row r="8698" spans="117:121" x14ac:dyDescent="0.35">
      <c r="DM8698" s="50"/>
      <c r="DQ8698" s="50"/>
    </row>
    <row r="8699" spans="117:121" x14ac:dyDescent="0.35">
      <c r="DM8699" s="50"/>
      <c r="DQ8699" s="50"/>
    </row>
    <row r="8700" spans="117:121" x14ac:dyDescent="0.35">
      <c r="DM8700" s="50"/>
      <c r="DQ8700" s="50"/>
    </row>
    <row r="8701" spans="117:121" x14ac:dyDescent="0.35">
      <c r="DM8701" s="50"/>
      <c r="DQ8701" s="50"/>
    </row>
    <row r="8702" spans="117:121" x14ac:dyDescent="0.35">
      <c r="DM8702" s="50"/>
      <c r="DQ8702" s="50"/>
    </row>
    <row r="8703" spans="117:121" x14ac:dyDescent="0.35">
      <c r="DM8703" s="50"/>
      <c r="DQ8703" s="50"/>
    </row>
    <row r="8704" spans="117:121" x14ac:dyDescent="0.35">
      <c r="DM8704" s="50"/>
      <c r="DQ8704" s="50"/>
    </row>
    <row r="8705" spans="117:121" x14ac:dyDescent="0.35">
      <c r="DM8705" s="50"/>
      <c r="DQ8705" s="50"/>
    </row>
    <row r="8706" spans="117:121" x14ac:dyDescent="0.35">
      <c r="DM8706" s="50"/>
      <c r="DQ8706" s="50"/>
    </row>
    <row r="8707" spans="117:121" x14ac:dyDescent="0.35">
      <c r="DM8707" s="50"/>
      <c r="DQ8707" s="50"/>
    </row>
    <row r="8708" spans="117:121" x14ac:dyDescent="0.35">
      <c r="DM8708" s="50"/>
      <c r="DQ8708" s="50"/>
    </row>
    <row r="8709" spans="117:121" x14ac:dyDescent="0.35">
      <c r="DM8709" s="50"/>
      <c r="DQ8709" s="50"/>
    </row>
    <row r="8710" spans="117:121" x14ac:dyDescent="0.35">
      <c r="DM8710" s="50"/>
      <c r="DQ8710" s="50"/>
    </row>
    <row r="8711" spans="117:121" x14ac:dyDescent="0.35">
      <c r="DM8711" s="50"/>
      <c r="DQ8711" s="50"/>
    </row>
    <row r="8712" spans="117:121" x14ac:dyDescent="0.35">
      <c r="DM8712" s="50"/>
      <c r="DQ8712" s="50"/>
    </row>
    <row r="8713" spans="117:121" x14ac:dyDescent="0.35">
      <c r="DM8713" s="50"/>
      <c r="DQ8713" s="50"/>
    </row>
    <row r="8714" spans="117:121" x14ac:dyDescent="0.35">
      <c r="DM8714" s="50"/>
      <c r="DQ8714" s="50"/>
    </row>
    <row r="8715" spans="117:121" x14ac:dyDescent="0.35">
      <c r="DM8715" s="50"/>
      <c r="DQ8715" s="50"/>
    </row>
    <row r="8716" spans="117:121" x14ac:dyDescent="0.35">
      <c r="DM8716" s="50"/>
      <c r="DQ8716" s="50"/>
    </row>
    <row r="8717" spans="117:121" x14ac:dyDescent="0.35">
      <c r="DM8717" s="50"/>
      <c r="DQ8717" s="50"/>
    </row>
    <row r="8718" spans="117:121" x14ac:dyDescent="0.35">
      <c r="DM8718" s="50"/>
      <c r="DQ8718" s="50"/>
    </row>
    <row r="8719" spans="117:121" x14ac:dyDescent="0.35">
      <c r="DM8719" s="50"/>
      <c r="DQ8719" s="50"/>
    </row>
    <row r="8720" spans="117:121" x14ac:dyDescent="0.35">
      <c r="DM8720" s="50"/>
      <c r="DQ8720" s="50"/>
    </row>
    <row r="8721" spans="117:121" x14ac:dyDescent="0.35">
      <c r="DM8721" s="50"/>
      <c r="DQ8721" s="50"/>
    </row>
    <row r="8722" spans="117:121" x14ac:dyDescent="0.35">
      <c r="DM8722" s="50"/>
      <c r="DQ8722" s="50"/>
    </row>
    <row r="8723" spans="117:121" x14ac:dyDescent="0.35">
      <c r="DM8723" s="50"/>
      <c r="DQ8723" s="50"/>
    </row>
    <row r="8724" spans="117:121" x14ac:dyDescent="0.35">
      <c r="DM8724" s="50"/>
      <c r="DQ8724" s="50"/>
    </row>
    <row r="8725" spans="117:121" x14ac:dyDescent="0.35">
      <c r="DM8725" s="50"/>
      <c r="DQ8725" s="50"/>
    </row>
    <row r="8726" spans="117:121" x14ac:dyDescent="0.35">
      <c r="DM8726" s="50"/>
      <c r="DQ8726" s="50"/>
    </row>
    <row r="8727" spans="117:121" x14ac:dyDescent="0.35">
      <c r="DM8727" s="50"/>
      <c r="DQ8727" s="50"/>
    </row>
    <row r="8728" spans="117:121" x14ac:dyDescent="0.35">
      <c r="DM8728" s="50"/>
      <c r="DQ8728" s="50"/>
    </row>
    <row r="8729" spans="117:121" x14ac:dyDescent="0.35">
      <c r="DM8729" s="50"/>
      <c r="DQ8729" s="50"/>
    </row>
    <row r="8730" spans="117:121" x14ac:dyDescent="0.35">
      <c r="DM8730" s="50"/>
      <c r="DQ8730" s="50"/>
    </row>
    <row r="8731" spans="117:121" x14ac:dyDescent="0.35">
      <c r="DM8731" s="50"/>
      <c r="DQ8731" s="50"/>
    </row>
    <row r="8732" spans="117:121" x14ac:dyDescent="0.35">
      <c r="DM8732" s="50"/>
      <c r="DQ8732" s="50"/>
    </row>
    <row r="8733" spans="117:121" x14ac:dyDescent="0.35">
      <c r="DM8733" s="50"/>
      <c r="DQ8733" s="50"/>
    </row>
    <row r="8734" spans="117:121" x14ac:dyDescent="0.35">
      <c r="DM8734" s="50"/>
      <c r="DQ8734" s="50"/>
    </row>
    <row r="8735" spans="117:121" x14ac:dyDescent="0.35">
      <c r="DM8735" s="50"/>
      <c r="DQ8735" s="50"/>
    </row>
    <row r="8736" spans="117:121" x14ac:dyDescent="0.35">
      <c r="DM8736" s="50"/>
      <c r="DQ8736" s="50"/>
    </row>
    <row r="8737" spans="117:121" x14ac:dyDescent="0.35">
      <c r="DM8737" s="50"/>
      <c r="DQ8737" s="50"/>
    </row>
    <row r="8738" spans="117:121" x14ac:dyDescent="0.35">
      <c r="DM8738" s="50"/>
      <c r="DQ8738" s="50"/>
    </row>
    <row r="8739" spans="117:121" x14ac:dyDescent="0.35">
      <c r="DM8739" s="50"/>
      <c r="DQ8739" s="50"/>
    </row>
    <row r="8740" spans="117:121" x14ac:dyDescent="0.35">
      <c r="DM8740" s="50"/>
      <c r="DQ8740" s="50"/>
    </row>
    <row r="8741" spans="117:121" x14ac:dyDescent="0.35">
      <c r="DM8741" s="50"/>
      <c r="DQ8741" s="50"/>
    </row>
    <row r="8742" spans="117:121" x14ac:dyDescent="0.35">
      <c r="DM8742" s="50"/>
      <c r="DQ8742" s="50"/>
    </row>
    <row r="8743" spans="117:121" x14ac:dyDescent="0.35">
      <c r="DM8743" s="50"/>
      <c r="DQ8743" s="50"/>
    </row>
    <row r="8744" spans="117:121" x14ac:dyDescent="0.35">
      <c r="DM8744" s="50"/>
      <c r="DQ8744" s="50"/>
    </row>
    <row r="8745" spans="117:121" x14ac:dyDescent="0.35">
      <c r="DM8745" s="50"/>
      <c r="DQ8745" s="50"/>
    </row>
    <row r="8746" spans="117:121" x14ac:dyDescent="0.35">
      <c r="DM8746" s="50"/>
      <c r="DQ8746" s="50"/>
    </row>
    <row r="8747" spans="117:121" x14ac:dyDescent="0.35">
      <c r="DM8747" s="50"/>
      <c r="DQ8747" s="50"/>
    </row>
    <row r="8748" spans="117:121" x14ac:dyDescent="0.35">
      <c r="DM8748" s="50"/>
      <c r="DQ8748" s="50"/>
    </row>
    <row r="8749" spans="117:121" x14ac:dyDescent="0.35">
      <c r="DM8749" s="50"/>
      <c r="DQ8749" s="50"/>
    </row>
    <row r="8750" spans="117:121" x14ac:dyDescent="0.35">
      <c r="DM8750" s="50"/>
      <c r="DQ8750" s="50"/>
    </row>
    <row r="8751" spans="117:121" x14ac:dyDescent="0.35">
      <c r="DM8751" s="50"/>
      <c r="DQ8751" s="50"/>
    </row>
    <row r="8752" spans="117:121" x14ac:dyDescent="0.35">
      <c r="DM8752" s="50"/>
      <c r="DQ8752" s="50"/>
    </row>
    <row r="8753" spans="117:121" x14ac:dyDescent="0.35">
      <c r="DM8753" s="50"/>
      <c r="DQ8753" s="50"/>
    </row>
    <row r="8754" spans="117:121" x14ac:dyDescent="0.35">
      <c r="DM8754" s="50"/>
      <c r="DQ8754" s="50"/>
    </row>
    <row r="8755" spans="117:121" x14ac:dyDescent="0.35">
      <c r="DM8755" s="50"/>
      <c r="DQ8755" s="50"/>
    </row>
    <row r="8756" spans="117:121" x14ac:dyDescent="0.35">
      <c r="DM8756" s="50"/>
      <c r="DQ8756" s="50"/>
    </row>
    <row r="8757" spans="117:121" x14ac:dyDescent="0.35">
      <c r="DM8757" s="50"/>
      <c r="DQ8757" s="50"/>
    </row>
    <row r="8758" spans="117:121" x14ac:dyDescent="0.35">
      <c r="DM8758" s="50"/>
      <c r="DQ8758" s="50"/>
    </row>
    <row r="8759" spans="117:121" x14ac:dyDescent="0.35">
      <c r="DM8759" s="50"/>
      <c r="DQ8759" s="50"/>
    </row>
    <row r="8760" spans="117:121" x14ac:dyDescent="0.35">
      <c r="DM8760" s="50"/>
      <c r="DQ8760" s="50"/>
    </row>
    <row r="8761" spans="117:121" x14ac:dyDescent="0.35">
      <c r="DM8761" s="50"/>
      <c r="DQ8761" s="50"/>
    </row>
    <row r="8762" spans="117:121" x14ac:dyDescent="0.35">
      <c r="DM8762" s="50"/>
      <c r="DQ8762" s="50"/>
    </row>
  </sheetData>
  <mergeCells count="4">
    <mergeCell ref="J1:K1"/>
    <mergeCell ref="A2:B2"/>
    <mergeCell ref="D1:E1"/>
    <mergeCell ref="G1:H1"/>
  </mergeCells>
  <phoneticPr fontId="2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2026-05-06T11:04:10Z</dcterms:modified>
</cp:coreProperties>
</file>