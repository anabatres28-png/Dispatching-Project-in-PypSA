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Parte III. Modelo España-Portugal-Francia\"/>
    </mc:Choice>
  </mc:AlternateContent>
  <xr:revisionPtr revIDLastSave="0" documentId="13_ncr:1_{EDF16DC5-D4B4-44CA-88BB-711441D5F314}" xr6:coauthVersionLast="47" xr6:coauthVersionMax="47" xr10:uidLastSave="{00000000-0000-0000-0000-000000000000}"/>
  <bookViews>
    <workbookView xWindow="28690" yWindow="-110" windowWidth="29020" windowHeight="15700" tabRatio="752" activeTab="11" xr2:uid="{00000000-000D-0000-FFFF-FFFF00000000}"/>
  </bookViews>
  <sheets>
    <sheet name="Guide Sheet" sheetId="8" r:id="rId1"/>
    <sheet name="carriers" sheetId="2" r:id="rId2"/>
    <sheet name="buses_2busSRES" sheetId="15" r:id="rId3"/>
    <sheet name="generators_2busSRES" sheetId="17" r:id="rId4"/>
    <sheet name="links_2busSRES" sheetId="16" r:id="rId5"/>
    <sheet name="loads" sheetId="5" r:id="rId6"/>
    <sheet name="run_of_river_inflow" sheetId="12" r:id="rId7"/>
    <sheet name="store" sheetId="7" r:id="rId8"/>
    <sheet name="storage_units" sheetId="6" r:id="rId9"/>
    <sheet name="demands" sheetId="11" r:id="rId10"/>
    <sheet name="profiles" sheetId="10" r:id="rId11"/>
    <sheet name="Origen de Datos" sheetId="2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L170" i="20" l="1"/>
  <c r="DL169" i="20"/>
  <c r="DL168" i="20"/>
  <c r="DL167" i="20"/>
  <c r="DL166" i="20"/>
  <c r="DL165" i="20"/>
  <c r="DL164" i="20"/>
  <c r="DL163" i="20"/>
  <c r="DL162" i="20"/>
  <c r="DL161" i="20"/>
  <c r="DL160" i="20"/>
  <c r="DL159" i="20"/>
  <c r="DL158" i="20"/>
  <c r="DL157" i="20"/>
  <c r="DL156" i="20"/>
  <c r="DL155" i="20"/>
  <c r="DL154" i="20"/>
  <c r="DL153" i="20"/>
  <c r="DL152" i="20"/>
  <c r="DL151" i="20"/>
  <c r="DL150" i="20"/>
  <c r="DL149" i="20"/>
  <c r="DL148" i="20"/>
  <c r="DL147" i="20"/>
  <c r="DL146" i="20"/>
  <c r="DL145" i="20"/>
  <c r="DL144" i="20"/>
  <c r="DL143" i="20"/>
  <c r="DL142" i="20"/>
  <c r="DL141" i="20"/>
  <c r="DL140" i="20"/>
  <c r="DL139" i="20"/>
  <c r="DL138" i="20"/>
  <c r="DL137" i="20"/>
  <c r="DL136" i="20"/>
  <c r="DL135" i="20"/>
  <c r="DL134" i="20"/>
  <c r="DL133" i="20"/>
  <c r="DL132" i="20"/>
  <c r="DL131" i="20"/>
  <c r="DL130" i="20"/>
  <c r="DL129" i="20"/>
  <c r="DL128" i="20"/>
  <c r="DL127" i="20"/>
  <c r="DL126" i="20"/>
  <c r="DL125" i="20"/>
  <c r="DL124" i="20"/>
  <c r="DL123" i="20"/>
  <c r="DL122" i="20"/>
  <c r="DL121" i="20"/>
  <c r="DL120" i="20"/>
  <c r="DL119" i="20"/>
  <c r="DL118" i="20"/>
  <c r="DL117" i="20"/>
  <c r="DL116" i="20"/>
  <c r="DL115" i="20"/>
  <c r="DL114" i="20"/>
  <c r="DL113" i="20"/>
  <c r="DL112" i="20"/>
  <c r="DL111" i="20"/>
  <c r="DL110" i="20"/>
  <c r="DL109" i="20"/>
  <c r="DL108" i="20"/>
  <c r="DL107" i="20"/>
  <c r="DL106" i="20"/>
  <c r="DL105" i="20"/>
  <c r="DL104" i="20"/>
  <c r="DL103" i="20"/>
  <c r="DL102" i="20"/>
  <c r="DL101" i="20"/>
  <c r="DL100" i="20"/>
  <c r="DL99" i="20"/>
  <c r="DL98" i="20"/>
  <c r="DL97" i="20"/>
  <c r="DL96" i="20"/>
  <c r="DL95" i="20"/>
  <c r="DL94" i="20"/>
  <c r="DL93" i="20"/>
  <c r="DL92" i="20"/>
  <c r="DL91" i="20"/>
  <c r="DL90" i="20"/>
  <c r="DL89" i="20"/>
  <c r="DL88" i="20"/>
  <c r="DL87" i="20"/>
  <c r="DL86" i="20"/>
  <c r="DL85" i="20"/>
  <c r="DL84" i="20"/>
  <c r="DL83" i="20"/>
  <c r="DL82" i="20"/>
  <c r="DL81" i="20"/>
  <c r="DL80" i="20"/>
  <c r="DL79" i="20"/>
  <c r="DL78" i="20"/>
  <c r="DL77" i="20"/>
  <c r="DL76" i="20"/>
  <c r="DL75" i="20"/>
  <c r="DL74" i="20"/>
  <c r="DL73" i="20"/>
  <c r="DM73" i="20" s="1"/>
  <c r="DL72" i="20"/>
  <c r="DL71" i="20"/>
  <c r="DL70" i="20"/>
  <c r="DL69" i="20"/>
  <c r="DL68" i="20"/>
  <c r="DL67" i="20"/>
  <c r="DL66" i="20"/>
  <c r="DL65" i="20"/>
  <c r="DL64" i="20"/>
  <c r="DL63" i="20"/>
  <c r="DL62" i="20"/>
  <c r="DL61" i="20"/>
  <c r="DL60" i="20"/>
  <c r="DL59" i="20"/>
  <c r="DL58" i="20"/>
  <c r="DL57" i="20"/>
  <c r="DL56" i="20"/>
  <c r="DL55" i="20"/>
  <c r="DL54" i="20"/>
  <c r="DL53" i="20"/>
  <c r="DL52" i="20"/>
  <c r="DL51" i="20"/>
  <c r="DL50" i="20"/>
  <c r="DL49" i="20"/>
  <c r="DL48" i="20"/>
  <c r="DL47" i="20"/>
  <c r="DL46" i="20"/>
  <c r="DL45" i="20"/>
  <c r="DL44" i="20"/>
  <c r="DL43" i="20"/>
  <c r="DL42" i="20"/>
  <c r="DL41" i="20"/>
  <c r="DL40" i="20"/>
  <c r="DL39" i="20"/>
  <c r="DL38" i="20"/>
  <c r="DL37" i="20"/>
  <c r="DL36" i="20"/>
  <c r="DL35" i="20"/>
  <c r="DL34" i="20"/>
  <c r="DL33" i="20"/>
  <c r="DL32" i="20"/>
  <c r="DL31" i="20"/>
  <c r="DL30" i="20"/>
  <c r="DL29" i="20"/>
  <c r="DL28" i="20"/>
  <c r="DL27" i="20"/>
  <c r="DL26" i="20"/>
  <c r="DL25" i="20"/>
  <c r="DL24" i="20"/>
  <c r="DL23" i="20"/>
  <c r="DL22" i="20"/>
  <c r="DL21" i="20"/>
  <c r="DL20" i="20"/>
  <c r="DL19" i="20"/>
  <c r="DL18" i="20"/>
  <c r="DL17" i="20"/>
  <c r="DL16" i="20"/>
  <c r="DL15" i="20"/>
  <c r="DL14" i="20"/>
  <c r="DL13" i="20"/>
  <c r="DL12" i="20"/>
  <c r="DL11" i="20"/>
  <c r="DL10" i="20"/>
  <c r="DL9" i="20"/>
  <c r="DL8" i="20"/>
  <c r="DL7" i="20"/>
  <c r="DL6" i="20"/>
  <c r="DL5" i="20"/>
  <c r="DL4" i="20"/>
  <c r="DL3" i="20"/>
  <c r="DJ170" i="20"/>
  <c r="DJ169" i="20"/>
  <c r="DJ168" i="20"/>
  <c r="DJ167" i="20"/>
  <c r="DJ166" i="20"/>
  <c r="DJ165" i="20"/>
  <c r="DJ164" i="20"/>
  <c r="DJ163" i="20"/>
  <c r="DJ162" i="20"/>
  <c r="DJ161" i="20"/>
  <c r="DJ160" i="20"/>
  <c r="DJ159" i="20"/>
  <c r="DJ158" i="20"/>
  <c r="DJ157" i="20"/>
  <c r="DJ156" i="20"/>
  <c r="DJ155" i="20"/>
  <c r="DJ154" i="20"/>
  <c r="DJ153" i="20"/>
  <c r="DJ152" i="20"/>
  <c r="DJ151" i="20"/>
  <c r="DJ150" i="20"/>
  <c r="DJ149" i="20"/>
  <c r="DJ148" i="20"/>
  <c r="DJ147" i="20"/>
  <c r="DJ146" i="20"/>
  <c r="DJ145" i="20"/>
  <c r="DJ144" i="20"/>
  <c r="DJ143" i="20"/>
  <c r="DJ142" i="20"/>
  <c r="DJ141" i="20"/>
  <c r="DJ140" i="20"/>
  <c r="DJ139" i="20"/>
  <c r="DJ138" i="20"/>
  <c r="DJ137" i="20"/>
  <c r="DJ136" i="20"/>
  <c r="DJ135" i="20"/>
  <c r="DJ134" i="20"/>
  <c r="DJ133" i="20"/>
  <c r="DJ132" i="20"/>
  <c r="DJ131" i="20"/>
  <c r="DJ130" i="20"/>
  <c r="DJ129" i="20"/>
  <c r="DJ128" i="20"/>
  <c r="DJ127" i="20"/>
  <c r="DJ126" i="20"/>
  <c r="DJ125" i="20"/>
  <c r="DJ124" i="20"/>
  <c r="DJ123" i="20"/>
  <c r="DJ122" i="20"/>
  <c r="DJ121" i="20"/>
  <c r="DJ120" i="20"/>
  <c r="DJ119" i="20"/>
  <c r="DJ118" i="20"/>
  <c r="DJ117" i="20"/>
  <c r="DJ116" i="20"/>
  <c r="DJ115" i="20"/>
  <c r="DJ114" i="20"/>
  <c r="DJ113" i="20"/>
  <c r="DJ112" i="20"/>
  <c r="DJ111" i="20"/>
  <c r="DJ110" i="20"/>
  <c r="DJ109" i="20"/>
  <c r="DJ108" i="20"/>
  <c r="DJ107" i="20"/>
  <c r="DJ106" i="20"/>
  <c r="DJ105" i="20"/>
  <c r="DJ104" i="20"/>
  <c r="DJ103" i="20"/>
  <c r="DJ102" i="20"/>
  <c r="DJ101" i="20"/>
  <c r="DJ100" i="20"/>
  <c r="DJ99" i="20"/>
  <c r="DJ98" i="20"/>
  <c r="DJ97" i="20"/>
  <c r="DJ96" i="20"/>
  <c r="DJ95" i="20"/>
  <c r="DJ94" i="20"/>
  <c r="DJ93" i="20"/>
  <c r="DJ92" i="20"/>
  <c r="DJ91" i="20"/>
  <c r="DJ90" i="20"/>
  <c r="DJ89" i="20"/>
  <c r="DJ88" i="20"/>
  <c r="DJ87" i="20"/>
  <c r="DJ86" i="20"/>
  <c r="DJ85" i="20"/>
  <c r="DJ84" i="20"/>
  <c r="DJ83" i="20"/>
  <c r="DJ82" i="20"/>
  <c r="DJ81" i="20"/>
  <c r="DJ80" i="20"/>
  <c r="DJ79" i="20"/>
  <c r="DJ78" i="20"/>
  <c r="DJ77" i="20"/>
  <c r="DJ76" i="20"/>
  <c r="DJ75" i="20"/>
  <c r="DJ74" i="20"/>
  <c r="DJ73" i="20"/>
  <c r="DJ72" i="20"/>
  <c r="DJ71" i="20"/>
  <c r="DJ70" i="20"/>
  <c r="DJ69" i="20"/>
  <c r="DJ68" i="20"/>
  <c r="DJ67" i="20"/>
  <c r="DJ66" i="20"/>
  <c r="DJ65" i="20"/>
  <c r="DJ64" i="20"/>
  <c r="DJ63" i="20"/>
  <c r="DJ62" i="20"/>
  <c r="DJ61" i="20"/>
  <c r="DJ60" i="20"/>
  <c r="DJ59" i="20"/>
  <c r="DJ58" i="20"/>
  <c r="DJ57" i="20"/>
  <c r="DJ56" i="20"/>
  <c r="DJ55" i="20"/>
  <c r="DJ54" i="20"/>
  <c r="DJ53" i="20"/>
  <c r="DJ52" i="20"/>
  <c r="DJ51" i="20"/>
  <c r="DJ50" i="20"/>
  <c r="DJ49" i="20"/>
  <c r="DJ48" i="20"/>
  <c r="DJ47" i="20"/>
  <c r="DM47" i="20" s="1"/>
  <c r="DJ46" i="20"/>
  <c r="DJ45" i="20"/>
  <c r="DJ44" i="20"/>
  <c r="DJ43" i="20"/>
  <c r="DJ42" i="20"/>
  <c r="DJ41" i="20"/>
  <c r="DJ40" i="20"/>
  <c r="DJ39" i="20"/>
  <c r="DJ38" i="20"/>
  <c r="DJ37" i="20"/>
  <c r="DJ36" i="20"/>
  <c r="DJ35" i="20"/>
  <c r="DJ34" i="20"/>
  <c r="DJ33" i="20"/>
  <c r="DJ32" i="20"/>
  <c r="DJ31" i="20"/>
  <c r="DJ30" i="20"/>
  <c r="DJ29" i="20"/>
  <c r="DJ28" i="20"/>
  <c r="DJ27" i="20"/>
  <c r="DJ26" i="20"/>
  <c r="DJ25" i="20"/>
  <c r="DJ24" i="20"/>
  <c r="DJ23" i="20"/>
  <c r="DJ22" i="20"/>
  <c r="DJ21" i="20"/>
  <c r="DJ20" i="20"/>
  <c r="DJ19" i="20"/>
  <c r="DJ18" i="20"/>
  <c r="DJ17" i="20"/>
  <c r="DJ16" i="20"/>
  <c r="DJ15" i="20"/>
  <c r="DJ14" i="20"/>
  <c r="DJ13" i="20"/>
  <c r="DJ12" i="20"/>
  <c r="DJ11" i="20"/>
  <c r="DJ10" i="20"/>
  <c r="DJ9" i="20"/>
  <c r="DJ8" i="20"/>
  <c r="DJ7" i="20"/>
  <c r="DJ6" i="20"/>
  <c r="DJ5" i="20"/>
  <c r="DJ4" i="20"/>
  <c r="DJ3" i="20"/>
  <c r="DH170" i="20"/>
  <c r="DH169" i="20"/>
  <c r="DH168" i="20"/>
  <c r="DH167" i="20"/>
  <c r="DH166" i="20"/>
  <c r="DH165" i="20"/>
  <c r="DH164" i="20"/>
  <c r="DH163" i="20"/>
  <c r="DH162" i="20"/>
  <c r="DH161" i="20"/>
  <c r="DH160" i="20"/>
  <c r="DH159" i="20"/>
  <c r="DH158" i="20"/>
  <c r="DH157" i="20"/>
  <c r="DH156" i="20"/>
  <c r="DH155" i="20"/>
  <c r="DH154" i="20"/>
  <c r="DH153" i="20"/>
  <c r="DH152" i="20"/>
  <c r="DH151" i="20"/>
  <c r="DH150" i="20"/>
  <c r="DH149" i="20"/>
  <c r="DH148" i="20"/>
  <c r="DH147" i="20"/>
  <c r="DH146" i="20"/>
  <c r="DH145" i="20"/>
  <c r="DH144" i="20"/>
  <c r="DH143" i="20"/>
  <c r="DH142" i="20"/>
  <c r="DH141" i="20"/>
  <c r="DH140" i="20"/>
  <c r="DH139" i="20"/>
  <c r="DH138" i="20"/>
  <c r="DH137" i="20"/>
  <c r="DH136" i="20"/>
  <c r="DH135" i="20"/>
  <c r="DH134" i="20"/>
  <c r="DH133" i="20"/>
  <c r="DH132" i="20"/>
  <c r="DH131" i="20"/>
  <c r="DH130" i="20"/>
  <c r="DH129" i="20"/>
  <c r="DH128" i="20"/>
  <c r="DH127" i="20"/>
  <c r="DH126" i="20"/>
  <c r="DH125" i="20"/>
  <c r="DH124" i="20"/>
  <c r="DH123" i="20"/>
  <c r="DH122" i="20"/>
  <c r="DH121" i="20"/>
  <c r="DH120" i="20"/>
  <c r="DH119" i="20"/>
  <c r="DH118" i="20"/>
  <c r="DH117" i="20"/>
  <c r="DH116" i="20"/>
  <c r="DH115" i="20"/>
  <c r="DH114" i="20"/>
  <c r="DH113" i="20"/>
  <c r="DH112" i="20"/>
  <c r="DH111" i="20"/>
  <c r="DH110" i="20"/>
  <c r="DH109" i="20"/>
  <c r="DH108" i="20"/>
  <c r="DH107" i="20"/>
  <c r="DH106" i="20"/>
  <c r="DH105" i="20"/>
  <c r="DH104" i="20"/>
  <c r="DH103" i="20"/>
  <c r="DH102" i="20"/>
  <c r="DH101" i="20"/>
  <c r="DH100" i="20"/>
  <c r="DH99" i="20"/>
  <c r="DH98" i="20"/>
  <c r="DH97" i="20"/>
  <c r="DH96" i="20"/>
  <c r="DH95" i="20"/>
  <c r="DH94" i="20"/>
  <c r="DH93" i="20"/>
  <c r="DH92" i="20"/>
  <c r="DH91" i="20"/>
  <c r="DH90" i="20"/>
  <c r="DH89" i="20"/>
  <c r="DH88" i="20"/>
  <c r="DH87" i="20"/>
  <c r="DH86" i="20"/>
  <c r="DH85" i="20"/>
  <c r="DH84" i="20"/>
  <c r="DH83" i="20"/>
  <c r="DH82" i="20"/>
  <c r="DH81" i="20"/>
  <c r="DH80" i="20"/>
  <c r="DH79" i="20"/>
  <c r="DH78" i="20"/>
  <c r="DH77" i="20"/>
  <c r="DH76" i="20"/>
  <c r="DH75" i="20"/>
  <c r="DH74" i="20"/>
  <c r="DH73" i="20"/>
  <c r="DH72" i="20"/>
  <c r="DH71" i="20"/>
  <c r="DH70" i="20"/>
  <c r="DH69" i="20"/>
  <c r="DH68" i="20"/>
  <c r="DH67" i="20"/>
  <c r="DH66" i="20"/>
  <c r="DH65" i="20"/>
  <c r="DH64" i="20"/>
  <c r="DH63" i="20"/>
  <c r="DH62" i="20"/>
  <c r="DH61" i="20"/>
  <c r="DH60" i="20"/>
  <c r="DH59" i="20"/>
  <c r="DH58" i="20"/>
  <c r="DH57" i="20"/>
  <c r="DH56" i="20"/>
  <c r="DH55" i="20"/>
  <c r="DH54" i="20"/>
  <c r="DH53" i="20"/>
  <c r="DH52" i="20"/>
  <c r="DH51" i="20"/>
  <c r="DH50" i="20"/>
  <c r="DH49" i="20"/>
  <c r="DH48" i="20"/>
  <c r="DH47" i="20"/>
  <c r="DH46" i="20"/>
  <c r="DH45" i="20"/>
  <c r="DH44" i="20"/>
  <c r="DH43" i="20"/>
  <c r="DH42" i="20"/>
  <c r="DH41" i="20"/>
  <c r="DH40" i="20"/>
  <c r="DH39" i="20"/>
  <c r="DH38" i="20"/>
  <c r="DH37" i="20"/>
  <c r="DH36" i="20"/>
  <c r="DH35" i="20"/>
  <c r="DH34" i="20"/>
  <c r="DH33" i="20"/>
  <c r="DH32" i="20"/>
  <c r="DH31" i="20"/>
  <c r="DH30" i="20"/>
  <c r="DH29" i="20"/>
  <c r="DH28" i="20"/>
  <c r="DH27" i="20"/>
  <c r="DH26" i="20"/>
  <c r="DH25" i="20"/>
  <c r="DH24" i="20"/>
  <c r="DH23" i="20"/>
  <c r="DH22" i="20"/>
  <c r="DH21" i="20"/>
  <c r="DH20" i="20"/>
  <c r="DH19" i="20"/>
  <c r="DH18" i="20"/>
  <c r="DH17" i="20"/>
  <c r="DH16" i="20"/>
  <c r="DH15" i="20"/>
  <c r="DH14" i="20"/>
  <c r="DH13" i="20"/>
  <c r="DH12" i="20"/>
  <c r="DH11" i="20"/>
  <c r="DH10" i="20"/>
  <c r="DH9" i="20"/>
  <c r="DH8" i="20"/>
  <c r="DH7" i="20"/>
  <c r="DH6" i="20"/>
  <c r="DH5" i="20"/>
  <c r="DH4" i="20"/>
  <c r="DH3" i="20"/>
  <c r="DF170" i="20"/>
  <c r="DF169" i="20"/>
  <c r="DF168" i="20"/>
  <c r="DF167" i="20"/>
  <c r="DF166" i="20"/>
  <c r="DF165" i="20"/>
  <c r="DF164" i="20"/>
  <c r="DF163" i="20"/>
  <c r="DF162" i="20"/>
  <c r="DF161" i="20"/>
  <c r="DF160" i="20"/>
  <c r="DF159" i="20"/>
  <c r="DF158" i="20"/>
  <c r="DF157" i="20"/>
  <c r="DF156" i="20"/>
  <c r="DF155" i="20"/>
  <c r="DF154" i="20"/>
  <c r="DF153" i="20"/>
  <c r="DF152" i="20"/>
  <c r="DF151" i="20"/>
  <c r="DF150" i="20"/>
  <c r="DF149" i="20"/>
  <c r="DF148" i="20"/>
  <c r="DF147" i="20"/>
  <c r="DF146" i="20"/>
  <c r="DF145" i="20"/>
  <c r="DF144" i="20"/>
  <c r="DF143" i="20"/>
  <c r="DF142" i="20"/>
  <c r="DF141" i="20"/>
  <c r="DF140" i="20"/>
  <c r="DF139" i="20"/>
  <c r="DF138" i="20"/>
  <c r="DF137" i="20"/>
  <c r="DF136" i="20"/>
  <c r="DF135" i="20"/>
  <c r="DF134" i="20"/>
  <c r="DF133" i="20"/>
  <c r="DF132" i="20"/>
  <c r="DF131" i="20"/>
  <c r="DF130" i="20"/>
  <c r="DF129" i="20"/>
  <c r="DF128" i="20"/>
  <c r="DF127" i="20"/>
  <c r="DF126" i="20"/>
  <c r="DF125" i="20"/>
  <c r="DF124" i="20"/>
  <c r="DF123" i="20"/>
  <c r="DF122" i="20"/>
  <c r="DF121" i="20"/>
  <c r="DF120" i="20"/>
  <c r="DF119" i="20"/>
  <c r="DF118" i="20"/>
  <c r="DF117" i="20"/>
  <c r="DF116" i="20"/>
  <c r="DF115" i="20"/>
  <c r="DF114" i="20"/>
  <c r="DF113" i="20"/>
  <c r="DF112" i="20"/>
  <c r="DF111" i="20"/>
  <c r="DF110" i="20"/>
  <c r="DF109" i="20"/>
  <c r="DF108" i="20"/>
  <c r="DF107" i="20"/>
  <c r="DF106" i="20"/>
  <c r="DF105" i="20"/>
  <c r="DF104" i="20"/>
  <c r="DF103" i="20"/>
  <c r="DF102" i="20"/>
  <c r="DF101" i="20"/>
  <c r="DF100" i="20"/>
  <c r="DF99" i="20"/>
  <c r="DF98" i="20"/>
  <c r="DF97" i="20"/>
  <c r="DF96" i="20"/>
  <c r="DF95" i="20"/>
  <c r="DF94" i="20"/>
  <c r="DF93" i="20"/>
  <c r="DF92" i="20"/>
  <c r="DF91" i="20"/>
  <c r="DF90" i="20"/>
  <c r="DF89" i="20"/>
  <c r="DF88" i="20"/>
  <c r="DF87" i="20"/>
  <c r="DF86" i="20"/>
  <c r="DF85" i="20"/>
  <c r="DF84" i="20"/>
  <c r="DF83" i="20"/>
  <c r="DF82" i="20"/>
  <c r="DF81" i="20"/>
  <c r="DF80" i="20"/>
  <c r="DF79" i="20"/>
  <c r="DF78" i="20"/>
  <c r="DF77" i="20"/>
  <c r="DF76" i="20"/>
  <c r="DF75" i="20"/>
  <c r="DF74" i="20"/>
  <c r="DF73" i="20"/>
  <c r="DF72" i="20"/>
  <c r="DF71" i="20"/>
  <c r="DF70" i="20"/>
  <c r="DF69" i="20"/>
  <c r="DF68" i="20"/>
  <c r="DF67" i="20"/>
  <c r="DF66" i="20"/>
  <c r="DF65" i="20"/>
  <c r="DF64" i="20"/>
  <c r="DF63" i="20"/>
  <c r="DF62" i="20"/>
  <c r="DF61" i="20"/>
  <c r="DF60" i="20"/>
  <c r="DF59" i="20"/>
  <c r="DF58" i="20"/>
  <c r="DF57" i="20"/>
  <c r="DF56" i="20"/>
  <c r="DF55" i="20"/>
  <c r="DF54" i="20"/>
  <c r="DF53" i="20"/>
  <c r="DF52" i="20"/>
  <c r="DF51" i="20"/>
  <c r="DF50" i="20"/>
  <c r="DF49" i="20"/>
  <c r="DF48" i="20"/>
  <c r="DF47" i="20"/>
  <c r="DF46" i="20"/>
  <c r="DF45" i="20"/>
  <c r="DF44" i="20"/>
  <c r="DF43" i="20"/>
  <c r="DF42" i="20"/>
  <c r="DF41" i="20"/>
  <c r="DF40" i="20"/>
  <c r="DF39" i="20"/>
  <c r="DF38" i="20"/>
  <c r="DF37" i="20"/>
  <c r="DF36" i="20"/>
  <c r="DF35" i="20"/>
  <c r="DF34" i="20"/>
  <c r="DF33" i="20"/>
  <c r="DF32" i="20"/>
  <c r="DF31" i="20"/>
  <c r="DF30" i="20"/>
  <c r="DF29" i="20"/>
  <c r="DF28" i="20"/>
  <c r="DF27" i="20"/>
  <c r="DF26" i="20"/>
  <c r="DF25" i="20"/>
  <c r="DF24" i="20"/>
  <c r="DF23" i="20"/>
  <c r="DF22" i="20"/>
  <c r="DF21" i="20"/>
  <c r="DF20" i="20"/>
  <c r="DF19" i="20"/>
  <c r="DF18" i="20"/>
  <c r="DF17" i="20"/>
  <c r="DF16" i="20"/>
  <c r="DF15" i="20"/>
  <c r="DF14" i="20"/>
  <c r="DF13" i="20"/>
  <c r="DF12" i="20"/>
  <c r="DF11" i="20"/>
  <c r="DF10" i="20"/>
  <c r="DF9" i="20"/>
  <c r="DF8" i="20"/>
  <c r="DF7" i="20"/>
  <c r="DF6" i="20"/>
  <c r="DF5" i="20"/>
  <c r="DF4" i="20"/>
  <c r="DF3" i="20"/>
  <c r="DD170" i="20"/>
  <c r="DD169" i="20"/>
  <c r="DD168" i="20"/>
  <c r="DD167" i="20"/>
  <c r="DD166" i="20"/>
  <c r="DD165" i="20"/>
  <c r="DD164" i="20"/>
  <c r="DD163" i="20"/>
  <c r="DD162" i="20"/>
  <c r="DD161" i="20"/>
  <c r="DD160" i="20"/>
  <c r="DD159" i="20"/>
  <c r="DD158" i="20"/>
  <c r="DD157" i="20"/>
  <c r="DD156" i="20"/>
  <c r="DD155" i="20"/>
  <c r="DD154" i="20"/>
  <c r="DD153" i="20"/>
  <c r="DD152" i="20"/>
  <c r="DD151" i="20"/>
  <c r="DD150" i="20"/>
  <c r="DD149" i="20"/>
  <c r="DD148" i="20"/>
  <c r="DD147" i="20"/>
  <c r="DD146" i="20"/>
  <c r="DD145" i="20"/>
  <c r="DD144" i="20"/>
  <c r="DD143" i="20"/>
  <c r="DD142" i="20"/>
  <c r="DD141" i="20"/>
  <c r="DD140" i="20"/>
  <c r="DD139" i="20"/>
  <c r="DD138" i="20"/>
  <c r="DD137" i="20"/>
  <c r="DD136" i="20"/>
  <c r="DD135" i="20"/>
  <c r="DD134" i="20"/>
  <c r="DD133" i="20"/>
  <c r="DD132" i="20"/>
  <c r="DD131" i="20"/>
  <c r="DD130" i="20"/>
  <c r="DD129" i="20"/>
  <c r="DD128" i="20"/>
  <c r="DD127" i="20"/>
  <c r="DD126" i="20"/>
  <c r="DD125" i="20"/>
  <c r="DD124" i="20"/>
  <c r="DD123" i="20"/>
  <c r="DD122" i="20"/>
  <c r="DD121" i="20"/>
  <c r="DD120" i="20"/>
  <c r="DD119" i="20"/>
  <c r="DD118" i="20"/>
  <c r="DD117" i="20"/>
  <c r="DD116" i="20"/>
  <c r="DD115" i="20"/>
  <c r="DD114" i="20"/>
  <c r="DD113" i="20"/>
  <c r="DM113" i="20" s="1"/>
  <c r="DD112" i="20"/>
  <c r="DD111" i="20"/>
  <c r="DD110" i="20"/>
  <c r="DD109" i="20"/>
  <c r="DD108" i="20"/>
  <c r="DD107" i="20"/>
  <c r="DD106" i="20"/>
  <c r="DD105" i="20"/>
  <c r="DD104" i="20"/>
  <c r="DD103" i="20"/>
  <c r="DD102" i="20"/>
  <c r="DD101" i="20"/>
  <c r="DD100" i="20"/>
  <c r="DD99" i="20"/>
  <c r="DD98" i="20"/>
  <c r="DD97" i="20"/>
  <c r="DD96" i="20"/>
  <c r="DD95" i="20"/>
  <c r="DD94" i="20"/>
  <c r="DD93" i="20"/>
  <c r="DD92" i="20"/>
  <c r="DD91" i="20"/>
  <c r="DD90" i="20"/>
  <c r="DD89" i="20"/>
  <c r="DD88" i="20"/>
  <c r="DD87" i="20"/>
  <c r="DD86" i="20"/>
  <c r="DD85" i="20"/>
  <c r="DD84" i="20"/>
  <c r="DD83" i="20"/>
  <c r="DD82" i="20"/>
  <c r="DD81" i="20"/>
  <c r="DD80" i="20"/>
  <c r="DD79" i="20"/>
  <c r="DD78" i="20"/>
  <c r="DD77" i="20"/>
  <c r="DD76" i="20"/>
  <c r="DD75" i="20"/>
  <c r="DD74" i="20"/>
  <c r="DD73" i="20"/>
  <c r="DD72" i="20"/>
  <c r="DD71" i="20"/>
  <c r="DD70" i="20"/>
  <c r="DD69" i="20"/>
  <c r="DD68" i="20"/>
  <c r="DD67" i="20"/>
  <c r="DD66" i="20"/>
  <c r="DD65" i="20"/>
  <c r="DM65" i="20" s="1"/>
  <c r="DD64" i="20"/>
  <c r="DD63" i="20"/>
  <c r="DD62" i="20"/>
  <c r="DD61" i="20"/>
  <c r="DD60" i="20"/>
  <c r="DD59" i="20"/>
  <c r="DD58" i="20"/>
  <c r="DD57" i="20"/>
  <c r="DD56" i="20"/>
  <c r="DD55" i="20"/>
  <c r="DD54" i="20"/>
  <c r="DD53" i="20"/>
  <c r="DD52" i="20"/>
  <c r="DD51" i="20"/>
  <c r="DD50" i="20"/>
  <c r="DD49" i="20"/>
  <c r="DD48" i="20"/>
  <c r="DD47" i="20"/>
  <c r="DD46" i="20"/>
  <c r="DD45" i="20"/>
  <c r="DD44" i="20"/>
  <c r="DD43" i="20"/>
  <c r="DD42" i="20"/>
  <c r="DD41" i="20"/>
  <c r="DD40" i="20"/>
  <c r="DD39" i="20"/>
  <c r="DD38" i="20"/>
  <c r="DD37" i="20"/>
  <c r="DD36" i="20"/>
  <c r="DD35" i="20"/>
  <c r="DD34" i="20"/>
  <c r="DD33" i="20"/>
  <c r="DD32" i="20"/>
  <c r="DD31" i="20"/>
  <c r="DD30" i="20"/>
  <c r="DD29" i="20"/>
  <c r="DD28" i="20"/>
  <c r="DD27" i="20"/>
  <c r="DD26" i="20"/>
  <c r="DD25" i="20"/>
  <c r="DD24" i="20"/>
  <c r="DD23" i="20"/>
  <c r="DD22" i="20"/>
  <c r="DD21" i="20"/>
  <c r="DD20" i="20"/>
  <c r="DD19" i="20"/>
  <c r="DD18" i="20"/>
  <c r="DD17" i="20"/>
  <c r="DD16" i="20"/>
  <c r="DD15" i="20"/>
  <c r="DD14" i="20"/>
  <c r="DD13" i="20"/>
  <c r="DD12" i="20"/>
  <c r="DD11" i="20"/>
  <c r="DD10" i="20"/>
  <c r="DD9" i="20"/>
  <c r="DD8" i="20"/>
  <c r="DD7" i="20"/>
  <c r="DD6" i="20"/>
  <c r="DD5" i="20"/>
  <c r="DD4" i="20"/>
  <c r="DD3" i="20"/>
  <c r="DB170" i="20"/>
  <c r="DB169" i="20"/>
  <c r="DB168" i="20"/>
  <c r="DB167" i="20"/>
  <c r="DB166" i="20"/>
  <c r="DB165" i="20"/>
  <c r="DB164" i="20"/>
  <c r="DB163" i="20"/>
  <c r="DB162" i="20"/>
  <c r="DB161" i="20"/>
  <c r="DB160" i="20"/>
  <c r="DB159" i="20"/>
  <c r="DB158" i="20"/>
  <c r="DB157" i="20"/>
  <c r="DB156" i="20"/>
  <c r="DB155" i="20"/>
  <c r="DB154" i="20"/>
  <c r="DB153" i="20"/>
  <c r="DB152" i="20"/>
  <c r="DB151" i="20"/>
  <c r="DB150" i="20"/>
  <c r="DB149" i="20"/>
  <c r="DB148" i="20"/>
  <c r="DB147" i="20"/>
  <c r="DB146" i="20"/>
  <c r="DB145" i="20"/>
  <c r="DB144" i="20"/>
  <c r="DB143" i="20"/>
  <c r="DB142" i="20"/>
  <c r="DB141" i="20"/>
  <c r="DB140" i="20"/>
  <c r="DB139" i="20"/>
  <c r="DB138" i="20"/>
  <c r="DB137" i="20"/>
  <c r="DB136" i="20"/>
  <c r="DB135" i="20"/>
  <c r="DB134" i="20"/>
  <c r="DB133" i="20"/>
  <c r="DB132" i="20"/>
  <c r="DB131" i="20"/>
  <c r="DB130" i="20"/>
  <c r="DB129" i="20"/>
  <c r="DB128" i="20"/>
  <c r="DB127" i="20"/>
  <c r="DB126" i="20"/>
  <c r="DB125" i="20"/>
  <c r="DB124" i="20"/>
  <c r="DB123" i="20"/>
  <c r="DB122" i="20"/>
  <c r="DB121" i="20"/>
  <c r="DB120" i="20"/>
  <c r="DB119" i="20"/>
  <c r="DB118" i="20"/>
  <c r="DB117" i="20"/>
  <c r="DB116" i="20"/>
  <c r="DB115" i="20"/>
  <c r="DB114" i="20"/>
  <c r="DB113" i="20"/>
  <c r="DB112" i="20"/>
  <c r="DB111" i="20"/>
  <c r="DB110" i="20"/>
  <c r="DB109" i="20"/>
  <c r="DB108" i="20"/>
  <c r="DB107" i="20"/>
  <c r="DB106" i="20"/>
  <c r="DB105" i="20"/>
  <c r="DB104" i="20"/>
  <c r="DB103" i="20"/>
  <c r="DB102" i="20"/>
  <c r="DB101" i="20"/>
  <c r="DB100" i="20"/>
  <c r="DB99" i="20"/>
  <c r="DB98" i="20"/>
  <c r="DB97" i="20"/>
  <c r="DB96" i="20"/>
  <c r="DB95" i="20"/>
  <c r="DM95" i="20" s="1"/>
  <c r="DB94" i="20"/>
  <c r="DB93" i="20"/>
  <c r="DB92" i="20"/>
  <c r="DB91" i="20"/>
  <c r="DB90" i="20"/>
  <c r="DB89" i="20"/>
  <c r="DB88" i="20"/>
  <c r="DB87" i="20"/>
  <c r="DB86" i="20"/>
  <c r="DB85" i="20"/>
  <c r="DB84" i="20"/>
  <c r="DB83" i="20"/>
  <c r="DB82" i="20"/>
  <c r="DB81" i="20"/>
  <c r="DB80" i="20"/>
  <c r="DB79" i="20"/>
  <c r="DB78" i="20"/>
  <c r="DB77" i="20"/>
  <c r="DB76" i="20"/>
  <c r="DB75" i="20"/>
  <c r="DB74" i="20"/>
  <c r="DB73" i="20"/>
  <c r="DB72" i="20"/>
  <c r="DB71" i="20"/>
  <c r="DB70" i="20"/>
  <c r="DB69" i="20"/>
  <c r="DB68" i="20"/>
  <c r="DB67" i="20"/>
  <c r="DB66" i="20"/>
  <c r="DB65" i="20"/>
  <c r="DB64" i="20"/>
  <c r="DB63" i="20"/>
  <c r="DB62" i="20"/>
  <c r="DB61" i="20"/>
  <c r="DB60" i="20"/>
  <c r="DB59" i="20"/>
  <c r="DB58" i="20"/>
  <c r="DB57" i="20"/>
  <c r="DB56" i="20"/>
  <c r="DB55" i="20"/>
  <c r="DB54" i="20"/>
  <c r="DB53" i="20"/>
  <c r="DB52" i="20"/>
  <c r="DB51" i="20"/>
  <c r="DB50" i="20"/>
  <c r="DB49" i="20"/>
  <c r="DB48" i="20"/>
  <c r="DB47" i="20"/>
  <c r="DB46" i="20"/>
  <c r="DB45" i="20"/>
  <c r="DB44" i="20"/>
  <c r="DB43" i="20"/>
  <c r="DB42" i="20"/>
  <c r="DB41" i="20"/>
  <c r="DB40" i="20"/>
  <c r="DB39" i="20"/>
  <c r="DB38" i="20"/>
  <c r="DB37" i="20"/>
  <c r="DB36" i="20"/>
  <c r="DB35" i="20"/>
  <c r="DB34" i="20"/>
  <c r="DB33" i="20"/>
  <c r="DB32" i="20"/>
  <c r="DB31" i="20"/>
  <c r="DM31" i="20" s="1"/>
  <c r="DB30" i="20"/>
  <c r="DB29" i="20"/>
  <c r="DB28" i="20"/>
  <c r="DB27" i="20"/>
  <c r="DB26" i="20"/>
  <c r="DM26" i="20" s="1"/>
  <c r="DB25" i="20"/>
  <c r="DB24" i="20"/>
  <c r="DM24" i="20" s="1"/>
  <c r="DB23" i="20"/>
  <c r="DB22" i="20"/>
  <c r="DB21" i="20"/>
  <c r="DB20" i="20"/>
  <c r="DB19" i="20"/>
  <c r="DB18" i="20"/>
  <c r="DM18" i="20" s="1"/>
  <c r="DB17" i="20"/>
  <c r="DB16" i="20"/>
  <c r="DB15" i="20"/>
  <c r="DB14" i="20"/>
  <c r="DB13" i="20"/>
  <c r="DB12" i="20"/>
  <c r="DB11" i="20"/>
  <c r="DB10" i="20"/>
  <c r="DB9" i="20"/>
  <c r="DB8" i="20"/>
  <c r="DB7" i="20"/>
  <c r="DB6" i="20"/>
  <c r="DB5" i="20"/>
  <c r="DB4" i="20"/>
  <c r="DB3" i="20"/>
  <c r="CZ170" i="20"/>
  <c r="CZ169" i="20"/>
  <c r="CZ168" i="20"/>
  <c r="CZ167" i="20"/>
  <c r="CZ166" i="20"/>
  <c r="CZ165" i="20"/>
  <c r="CZ164" i="20"/>
  <c r="CZ163" i="20"/>
  <c r="CZ162" i="20"/>
  <c r="CZ161" i="20"/>
  <c r="CZ160" i="20"/>
  <c r="CZ159" i="20"/>
  <c r="CZ158" i="20"/>
  <c r="CZ157" i="20"/>
  <c r="CZ156" i="20"/>
  <c r="CZ155" i="20"/>
  <c r="CZ154" i="20"/>
  <c r="CZ153" i="20"/>
  <c r="CZ152" i="20"/>
  <c r="CZ151" i="20"/>
  <c r="CZ150" i="20"/>
  <c r="CZ149" i="20"/>
  <c r="CZ148" i="20"/>
  <c r="CZ147" i="20"/>
  <c r="CZ146" i="20"/>
  <c r="CZ145" i="20"/>
  <c r="CZ144" i="20"/>
  <c r="CZ143" i="20"/>
  <c r="CZ142" i="20"/>
  <c r="CZ141" i="20"/>
  <c r="CZ140" i="20"/>
  <c r="CZ139" i="20"/>
  <c r="CZ138" i="20"/>
  <c r="CZ137" i="20"/>
  <c r="CZ136" i="20"/>
  <c r="CZ135" i="20"/>
  <c r="CZ134" i="20"/>
  <c r="CZ133" i="20"/>
  <c r="CZ132" i="20"/>
  <c r="CZ131" i="20"/>
  <c r="CZ130" i="20"/>
  <c r="CZ129" i="20"/>
  <c r="DM129" i="20" s="1"/>
  <c r="CZ128" i="20"/>
  <c r="CZ127" i="20"/>
  <c r="CZ126" i="20"/>
  <c r="CZ125" i="20"/>
  <c r="CZ124" i="20"/>
  <c r="CZ123" i="20"/>
  <c r="CZ122" i="20"/>
  <c r="CZ121" i="20"/>
  <c r="DM121" i="20" s="1"/>
  <c r="CZ120" i="20"/>
  <c r="CZ119" i="20"/>
  <c r="CZ118" i="20"/>
  <c r="CZ117" i="20"/>
  <c r="CZ116" i="20"/>
  <c r="CZ115" i="20"/>
  <c r="CZ114" i="20"/>
  <c r="CZ113" i="20"/>
  <c r="CZ112" i="20"/>
  <c r="CZ111" i="20"/>
  <c r="CZ110" i="20"/>
  <c r="CZ109" i="20"/>
  <c r="CZ108" i="20"/>
  <c r="CZ107" i="20"/>
  <c r="CZ106" i="20"/>
  <c r="CZ105" i="20"/>
  <c r="DM105" i="20" s="1"/>
  <c r="CZ104" i="20"/>
  <c r="CZ103" i="20"/>
  <c r="CZ102" i="20"/>
  <c r="CZ101" i="20"/>
  <c r="CZ100" i="20"/>
  <c r="CZ99" i="20"/>
  <c r="CZ98" i="20"/>
  <c r="CZ97" i="20"/>
  <c r="DM97" i="20" s="1"/>
  <c r="CZ96" i="20"/>
  <c r="CZ95" i="20"/>
  <c r="CZ94" i="20"/>
  <c r="CZ93" i="20"/>
  <c r="CZ92" i="20"/>
  <c r="CZ91" i="20"/>
  <c r="CZ90" i="20"/>
  <c r="CZ89" i="20"/>
  <c r="DM89" i="20" s="1"/>
  <c r="CZ88" i="20"/>
  <c r="CZ87" i="20"/>
  <c r="CZ86" i="20"/>
  <c r="CZ85" i="20"/>
  <c r="CZ84" i="20"/>
  <c r="CZ83" i="20"/>
  <c r="CZ82" i="20"/>
  <c r="CZ81" i="20"/>
  <c r="DM81" i="20" s="1"/>
  <c r="CZ80" i="20"/>
  <c r="CZ79" i="20"/>
  <c r="CZ78" i="20"/>
  <c r="CZ77" i="20"/>
  <c r="CZ76" i="20"/>
  <c r="CZ75" i="20"/>
  <c r="CZ74" i="20"/>
  <c r="CZ73" i="20"/>
  <c r="CZ72" i="20"/>
  <c r="CZ71" i="20"/>
  <c r="CZ70" i="20"/>
  <c r="CZ69" i="20"/>
  <c r="CZ68" i="20"/>
  <c r="CZ67" i="20"/>
  <c r="CZ66" i="20"/>
  <c r="DM66" i="20" s="1"/>
  <c r="CZ65" i="20"/>
  <c r="CZ64" i="20"/>
  <c r="CZ63" i="20"/>
  <c r="DM63" i="20" s="1"/>
  <c r="CZ62" i="20"/>
  <c r="CZ61" i="20"/>
  <c r="CZ60" i="20"/>
  <c r="CZ59" i="20"/>
  <c r="CZ58" i="20"/>
  <c r="CZ57" i="20"/>
  <c r="DM57" i="20" s="1"/>
  <c r="CZ56" i="20"/>
  <c r="CZ55" i="20"/>
  <c r="CZ54" i="20"/>
  <c r="CZ53" i="20"/>
  <c r="CZ52" i="20"/>
  <c r="CZ51" i="20"/>
  <c r="CZ50" i="20"/>
  <c r="CZ49" i="20"/>
  <c r="DM49" i="20" s="1"/>
  <c r="CZ48" i="20"/>
  <c r="CZ47" i="20"/>
  <c r="CZ46" i="20"/>
  <c r="CZ45" i="20"/>
  <c r="DM45" i="20" s="1"/>
  <c r="CZ44" i="20"/>
  <c r="CZ43" i="20"/>
  <c r="CZ42" i="20"/>
  <c r="CZ41" i="20"/>
  <c r="DM41" i="20" s="1"/>
  <c r="CZ40" i="20"/>
  <c r="CZ39" i="20"/>
  <c r="CZ38" i="20"/>
  <c r="CZ37" i="20"/>
  <c r="CZ36" i="20"/>
  <c r="CZ35" i="20"/>
  <c r="CZ34" i="20"/>
  <c r="CZ33" i="20"/>
  <c r="DM33" i="20" s="1"/>
  <c r="CZ32" i="20"/>
  <c r="CZ31" i="20"/>
  <c r="CZ30" i="20"/>
  <c r="CZ29" i="20"/>
  <c r="DM29" i="20" s="1"/>
  <c r="CZ28" i="20"/>
  <c r="CZ27" i="20"/>
  <c r="CZ26" i="20"/>
  <c r="CZ25" i="20"/>
  <c r="DM25" i="20" s="1"/>
  <c r="CZ24" i="20"/>
  <c r="CZ23" i="20"/>
  <c r="CZ22" i="20"/>
  <c r="CZ21" i="20"/>
  <c r="CZ20" i="20"/>
  <c r="CZ19" i="20"/>
  <c r="CZ18" i="20"/>
  <c r="CZ17" i="20"/>
  <c r="DM17" i="20" s="1"/>
  <c r="CZ16" i="20"/>
  <c r="CZ15" i="20"/>
  <c r="CZ14" i="20"/>
  <c r="CZ13" i="20"/>
  <c r="CZ12" i="20"/>
  <c r="CZ11" i="20"/>
  <c r="CZ10" i="20"/>
  <c r="DM10" i="20" s="1"/>
  <c r="CZ9" i="20"/>
  <c r="DM9" i="20" s="1"/>
  <c r="CZ8" i="20"/>
  <c r="CZ7" i="20"/>
  <c r="CZ6" i="20"/>
  <c r="CZ5" i="20"/>
  <c r="CZ4" i="20"/>
  <c r="CZ3" i="20"/>
  <c r="CX4" i="20"/>
  <c r="CX5" i="20"/>
  <c r="CX6" i="20"/>
  <c r="CX7" i="20"/>
  <c r="CX8" i="20"/>
  <c r="CX9" i="20"/>
  <c r="CX10" i="20"/>
  <c r="CX11" i="20"/>
  <c r="CX12" i="20"/>
  <c r="CX13" i="20"/>
  <c r="CX14" i="20"/>
  <c r="CX15" i="20"/>
  <c r="CX16" i="20"/>
  <c r="CX17" i="20"/>
  <c r="CX18" i="20"/>
  <c r="CX19" i="20"/>
  <c r="CX20" i="20"/>
  <c r="CX21" i="20"/>
  <c r="CX22" i="20"/>
  <c r="CX23" i="20"/>
  <c r="CX24" i="20"/>
  <c r="CX25" i="20"/>
  <c r="CX26" i="20"/>
  <c r="CX27" i="20"/>
  <c r="CX28" i="20"/>
  <c r="CX29" i="20"/>
  <c r="CX30" i="20"/>
  <c r="CX31" i="20"/>
  <c r="CX32" i="20"/>
  <c r="CX33" i="20"/>
  <c r="CX34" i="20"/>
  <c r="CX35" i="20"/>
  <c r="CX36" i="20"/>
  <c r="CX37" i="20"/>
  <c r="CX38" i="20"/>
  <c r="CX39" i="20"/>
  <c r="CX40" i="20"/>
  <c r="CX41" i="20"/>
  <c r="CX42" i="20"/>
  <c r="CX43" i="20"/>
  <c r="CX44" i="20"/>
  <c r="CX45" i="20"/>
  <c r="CX46" i="20"/>
  <c r="CX47" i="20"/>
  <c r="CX48" i="20"/>
  <c r="CX49" i="20"/>
  <c r="CX50" i="20"/>
  <c r="CX51" i="20"/>
  <c r="CX52" i="20"/>
  <c r="CX53" i="20"/>
  <c r="CX54" i="20"/>
  <c r="CX55" i="20"/>
  <c r="CX56" i="20"/>
  <c r="CX57" i="20"/>
  <c r="CX58" i="20"/>
  <c r="CX59" i="20"/>
  <c r="CX60" i="20"/>
  <c r="CX61" i="20"/>
  <c r="CX62" i="20"/>
  <c r="CX63" i="20"/>
  <c r="CX64" i="20"/>
  <c r="CX65" i="20"/>
  <c r="CX66" i="20"/>
  <c r="CX67" i="20"/>
  <c r="CX68" i="20"/>
  <c r="CX69" i="20"/>
  <c r="CX70" i="20"/>
  <c r="CX71" i="20"/>
  <c r="CX72" i="20"/>
  <c r="CX73" i="20"/>
  <c r="CX74" i="20"/>
  <c r="CX75" i="20"/>
  <c r="CX76" i="20"/>
  <c r="CX77" i="20"/>
  <c r="CX78" i="20"/>
  <c r="CX79" i="20"/>
  <c r="CX80" i="20"/>
  <c r="CX81" i="20"/>
  <c r="CX82" i="20"/>
  <c r="CX83" i="20"/>
  <c r="CX84" i="20"/>
  <c r="CX85" i="20"/>
  <c r="CX86" i="20"/>
  <c r="CX87" i="20"/>
  <c r="CX88" i="20"/>
  <c r="CX89" i="20"/>
  <c r="CX90" i="20"/>
  <c r="CX91" i="20"/>
  <c r="CX92" i="20"/>
  <c r="CX93" i="20"/>
  <c r="CX94" i="20"/>
  <c r="CX95" i="20"/>
  <c r="CX96" i="20"/>
  <c r="CX97" i="20"/>
  <c r="CX98" i="20"/>
  <c r="CX99" i="20"/>
  <c r="CX100" i="20"/>
  <c r="CX101" i="20"/>
  <c r="CX102" i="20"/>
  <c r="CX103" i="20"/>
  <c r="CX104" i="20"/>
  <c r="CX105" i="20"/>
  <c r="CX106" i="20"/>
  <c r="CX107" i="20"/>
  <c r="CX108" i="20"/>
  <c r="CX109" i="20"/>
  <c r="CX110" i="20"/>
  <c r="CX111" i="20"/>
  <c r="CX112" i="20"/>
  <c r="CX113" i="20"/>
  <c r="CX114" i="20"/>
  <c r="CX115" i="20"/>
  <c r="CX116" i="20"/>
  <c r="CX117" i="20"/>
  <c r="CX118" i="20"/>
  <c r="CX119" i="20"/>
  <c r="CX120" i="20"/>
  <c r="CX121" i="20"/>
  <c r="CX122" i="20"/>
  <c r="CX123" i="20"/>
  <c r="CX124" i="20"/>
  <c r="CX125" i="20"/>
  <c r="CX126" i="20"/>
  <c r="CX127" i="20"/>
  <c r="CX128" i="20"/>
  <c r="CX129" i="20"/>
  <c r="CX130" i="20"/>
  <c r="CX131" i="20"/>
  <c r="CX132" i="20"/>
  <c r="CX133" i="20"/>
  <c r="CX134" i="20"/>
  <c r="CX135" i="20"/>
  <c r="CX136" i="20"/>
  <c r="CX137" i="20"/>
  <c r="CX138" i="20"/>
  <c r="CX139" i="20"/>
  <c r="CX140" i="20"/>
  <c r="CX141" i="20"/>
  <c r="CX142" i="20"/>
  <c r="CX143" i="20"/>
  <c r="CX144" i="20"/>
  <c r="CX145" i="20"/>
  <c r="CX146" i="20"/>
  <c r="CX147" i="20"/>
  <c r="CX148" i="20"/>
  <c r="CX149" i="20"/>
  <c r="CX150" i="20"/>
  <c r="CX151" i="20"/>
  <c r="CX152" i="20"/>
  <c r="CX153" i="20"/>
  <c r="CX154" i="20"/>
  <c r="CX155" i="20"/>
  <c r="CX156" i="20"/>
  <c r="CX157" i="20"/>
  <c r="CX158" i="20"/>
  <c r="CX159" i="20"/>
  <c r="CX160" i="20"/>
  <c r="CX161" i="20"/>
  <c r="CX162" i="20"/>
  <c r="CX163" i="20"/>
  <c r="CX164" i="20"/>
  <c r="CX165" i="20"/>
  <c r="CX166" i="20"/>
  <c r="CX167" i="20"/>
  <c r="CX168" i="20"/>
  <c r="CX169" i="20"/>
  <c r="CX170" i="20"/>
  <c r="CX3" i="20"/>
  <c r="DM6" i="20"/>
  <c r="DM8" i="20"/>
  <c r="DM13" i="20"/>
  <c r="DM14" i="20"/>
  <c r="DM16" i="20"/>
  <c r="DM20" i="20"/>
  <c r="DM22" i="20"/>
  <c r="DM28" i="20"/>
  <c r="DM30" i="20"/>
  <c r="DM32" i="20"/>
  <c r="DM34" i="20"/>
  <c r="DM36" i="20"/>
  <c r="DM38" i="20"/>
  <c r="DM40" i="20"/>
  <c r="DM42" i="20"/>
  <c r="DM44" i="20"/>
  <c r="DM46" i="20"/>
  <c r="DM48" i="20"/>
  <c r="DM50" i="20"/>
  <c r="DM52" i="20"/>
  <c r="DM54" i="20"/>
  <c r="DM56" i="20"/>
  <c r="DM58" i="20"/>
  <c r="DM60" i="20"/>
  <c r="DM62" i="20"/>
  <c r="DM64" i="20"/>
  <c r="DM68" i="20"/>
  <c r="DM70" i="20"/>
  <c r="DM72" i="20"/>
  <c r="DM74" i="20"/>
  <c r="DM76" i="20"/>
  <c r="DM77" i="20"/>
  <c r="DM78" i="20"/>
  <c r="DM80" i="20"/>
  <c r="DM82" i="20"/>
  <c r="DM84" i="20"/>
  <c r="DM86" i="20"/>
  <c r="DM88" i="20"/>
  <c r="DM90" i="20"/>
  <c r="DM92" i="20"/>
  <c r="DM93" i="20"/>
  <c r="DM94" i="20"/>
  <c r="DM96" i="20"/>
  <c r="DM98" i="20"/>
  <c r="DM100" i="20"/>
  <c r="DM102" i="20"/>
  <c r="DM104" i="20"/>
  <c r="DM106" i="20"/>
  <c r="DM108" i="20"/>
  <c r="DM109" i="20"/>
  <c r="DM110" i="20"/>
  <c r="DM112" i="20"/>
  <c r="DM114" i="20"/>
  <c r="DM116" i="20"/>
  <c r="DM118" i="20"/>
  <c r="DM120" i="20"/>
  <c r="DM122" i="20"/>
  <c r="DM124" i="20"/>
  <c r="DM126" i="20"/>
  <c r="DM128" i="20"/>
  <c r="DM130" i="20"/>
  <c r="DM132" i="20"/>
  <c r="DM134" i="20"/>
  <c r="DM136" i="20"/>
  <c r="DM137" i="20"/>
  <c r="DM138" i="20"/>
  <c r="DM140" i="20"/>
  <c r="DM141" i="20"/>
  <c r="DM142" i="20"/>
  <c r="DM144" i="20"/>
  <c r="DM145" i="20"/>
  <c r="DM146" i="20"/>
  <c r="DM148" i="20"/>
  <c r="DM150" i="20"/>
  <c r="DM152" i="20"/>
  <c r="DM153" i="20"/>
  <c r="DM154" i="20"/>
  <c r="DM156" i="20"/>
  <c r="DM158" i="20"/>
  <c r="DM160" i="20"/>
  <c r="DM161" i="20"/>
  <c r="DM162" i="20"/>
  <c r="DM164" i="20"/>
  <c r="DM166" i="20"/>
  <c r="DM168" i="20"/>
  <c r="DM169" i="20"/>
  <c r="DM170" i="20"/>
  <c r="CJ3" i="20"/>
  <c r="CH3" i="20"/>
  <c r="CF3" i="20"/>
  <c r="CT170" i="20"/>
  <c r="CT169" i="20"/>
  <c r="CT168" i="20"/>
  <c r="CT167" i="20"/>
  <c r="CT166" i="20"/>
  <c r="CT165" i="20"/>
  <c r="CT164" i="20"/>
  <c r="CT163" i="20"/>
  <c r="CT162" i="20"/>
  <c r="CT161" i="20"/>
  <c r="CT160" i="20"/>
  <c r="CT159" i="20"/>
  <c r="CT158" i="20"/>
  <c r="CT157" i="20"/>
  <c r="CT156" i="20"/>
  <c r="CT155" i="20"/>
  <c r="CT154" i="20"/>
  <c r="CT153" i="20"/>
  <c r="CT152" i="20"/>
  <c r="CT151" i="20"/>
  <c r="CT150" i="20"/>
  <c r="CT149" i="20"/>
  <c r="CT148" i="20"/>
  <c r="CT147" i="20"/>
  <c r="CT146" i="20"/>
  <c r="CT145" i="20"/>
  <c r="CT144" i="20"/>
  <c r="CT143" i="20"/>
  <c r="CT142" i="20"/>
  <c r="CT141" i="20"/>
  <c r="CT140" i="20"/>
  <c r="CT139" i="20"/>
  <c r="CT138" i="20"/>
  <c r="CT137" i="20"/>
  <c r="CT136" i="20"/>
  <c r="CT135" i="20"/>
  <c r="CT134" i="20"/>
  <c r="CT133" i="20"/>
  <c r="CT132" i="20"/>
  <c r="CT131" i="20"/>
  <c r="CT130" i="20"/>
  <c r="CT129" i="20"/>
  <c r="CT128" i="20"/>
  <c r="CT127" i="20"/>
  <c r="CT126" i="20"/>
  <c r="CT125" i="20"/>
  <c r="CT124" i="20"/>
  <c r="CT123" i="20"/>
  <c r="CT122" i="20"/>
  <c r="CT121" i="20"/>
  <c r="CT120" i="20"/>
  <c r="CT119" i="20"/>
  <c r="CT118" i="20"/>
  <c r="CT117" i="20"/>
  <c r="CT116" i="20"/>
  <c r="CT115" i="20"/>
  <c r="CT114" i="20"/>
  <c r="CT113" i="20"/>
  <c r="CT112" i="20"/>
  <c r="CT111" i="20"/>
  <c r="CT110" i="20"/>
  <c r="CT109" i="20"/>
  <c r="CT108" i="20"/>
  <c r="CT107" i="20"/>
  <c r="CT106" i="20"/>
  <c r="CT105" i="20"/>
  <c r="CT104" i="20"/>
  <c r="CT103" i="20"/>
  <c r="CT102" i="20"/>
  <c r="CT101" i="20"/>
  <c r="CT100" i="20"/>
  <c r="CT99" i="20"/>
  <c r="CT98" i="20"/>
  <c r="CT97" i="20"/>
  <c r="CT96" i="20"/>
  <c r="CT95" i="20"/>
  <c r="CT94" i="20"/>
  <c r="CT93" i="20"/>
  <c r="CT92" i="20"/>
  <c r="CT91" i="20"/>
  <c r="CT90" i="20"/>
  <c r="CT89" i="20"/>
  <c r="CT88" i="20"/>
  <c r="CT87" i="20"/>
  <c r="CT86" i="20"/>
  <c r="CT85" i="20"/>
  <c r="CT84" i="20"/>
  <c r="CT83" i="20"/>
  <c r="CT82" i="20"/>
  <c r="CT81" i="20"/>
  <c r="CT80" i="20"/>
  <c r="CT79" i="20"/>
  <c r="CT78" i="20"/>
  <c r="CT77" i="20"/>
  <c r="CT76" i="20"/>
  <c r="CT75" i="20"/>
  <c r="CT74" i="20"/>
  <c r="CT73" i="20"/>
  <c r="CT72" i="20"/>
  <c r="CT71" i="20"/>
  <c r="CT70" i="20"/>
  <c r="CT69" i="20"/>
  <c r="CT68" i="20"/>
  <c r="CT67" i="20"/>
  <c r="CT66" i="20"/>
  <c r="CT65" i="20"/>
  <c r="CT64" i="20"/>
  <c r="CT63" i="20"/>
  <c r="CT62" i="20"/>
  <c r="CT61" i="20"/>
  <c r="CT60" i="20"/>
  <c r="CT59" i="20"/>
  <c r="CT58" i="20"/>
  <c r="CT57" i="20"/>
  <c r="CT56" i="20"/>
  <c r="CT55" i="20"/>
  <c r="CT54" i="20"/>
  <c r="CT53" i="20"/>
  <c r="CT52" i="20"/>
  <c r="CT51" i="20"/>
  <c r="CT50" i="20"/>
  <c r="CT49" i="20"/>
  <c r="CT48" i="20"/>
  <c r="CT47" i="20"/>
  <c r="CT46" i="20"/>
  <c r="CT45" i="20"/>
  <c r="CT44" i="20"/>
  <c r="CT43" i="20"/>
  <c r="CT42" i="20"/>
  <c r="CT41" i="20"/>
  <c r="CT40" i="20"/>
  <c r="CT39" i="20"/>
  <c r="CT38" i="20"/>
  <c r="CT37" i="20"/>
  <c r="CT36" i="20"/>
  <c r="CT35" i="20"/>
  <c r="CT34" i="20"/>
  <c r="CT33" i="20"/>
  <c r="CT32" i="20"/>
  <c r="CT31" i="20"/>
  <c r="CT30" i="20"/>
  <c r="CT29" i="20"/>
  <c r="CT28" i="20"/>
  <c r="CT27" i="20"/>
  <c r="CT26" i="20"/>
  <c r="CT25" i="20"/>
  <c r="CT24" i="20"/>
  <c r="CT23" i="20"/>
  <c r="CT22" i="20"/>
  <c r="CT21" i="20"/>
  <c r="CT20" i="20"/>
  <c r="CT19" i="20"/>
  <c r="CT18" i="20"/>
  <c r="CT17" i="20"/>
  <c r="CT16" i="20"/>
  <c r="CT15" i="20"/>
  <c r="CT14" i="20"/>
  <c r="CT13" i="20"/>
  <c r="CT12" i="20"/>
  <c r="CT11" i="20"/>
  <c r="CT10" i="20"/>
  <c r="CT9" i="20"/>
  <c r="CT8" i="20"/>
  <c r="CT7" i="20"/>
  <c r="CT6" i="20"/>
  <c r="CT5" i="20"/>
  <c r="CT4" i="20"/>
  <c r="CT3" i="20"/>
  <c r="CR170" i="20"/>
  <c r="CR169" i="20"/>
  <c r="CR168" i="20"/>
  <c r="CR167" i="20"/>
  <c r="CR166" i="20"/>
  <c r="CR165" i="20"/>
  <c r="CR164" i="20"/>
  <c r="CR163" i="20"/>
  <c r="CR162" i="20"/>
  <c r="CR161" i="20"/>
  <c r="CR160" i="20"/>
  <c r="CR159" i="20"/>
  <c r="CR158" i="20"/>
  <c r="CR157" i="20"/>
  <c r="CR156" i="20"/>
  <c r="CR155" i="20"/>
  <c r="CR154" i="20"/>
  <c r="CR153" i="20"/>
  <c r="CR152" i="20"/>
  <c r="CR151" i="20"/>
  <c r="CR150" i="20"/>
  <c r="CR149" i="20"/>
  <c r="CR148" i="20"/>
  <c r="CR147" i="20"/>
  <c r="CR146" i="20"/>
  <c r="CR145" i="20"/>
  <c r="CR144" i="20"/>
  <c r="CR143" i="20"/>
  <c r="CR142" i="20"/>
  <c r="CR141" i="20"/>
  <c r="CR140" i="20"/>
  <c r="CR139" i="20"/>
  <c r="CR138" i="20"/>
  <c r="CR137" i="20"/>
  <c r="CR136" i="20"/>
  <c r="CR135" i="20"/>
  <c r="CR134" i="20"/>
  <c r="CR133" i="20"/>
  <c r="CR132" i="20"/>
  <c r="CR131" i="20"/>
  <c r="CR130" i="20"/>
  <c r="CR129" i="20"/>
  <c r="CR128" i="20"/>
  <c r="CR127" i="20"/>
  <c r="CR126" i="20"/>
  <c r="CR125" i="20"/>
  <c r="CR124" i="20"/>
  <c r="CR123" i="20"/>
  <c r="CR122" i="20"/>
  <c r="CR121" i="20"/>
  <c r="CR120" i="20"/>
  <c r="CR119" i="20"/>
  <c r="CR118" i="20"/>
  <c r="CR117" i="20"/>
  <c r="CR116" i="20"/>
  <c r="CR115" i="20"/>
  <c r="CR114" i="20"/>
  <c r="CR113" i="20"/>
  <c r="CR112" i="20"/>
  <c r="CR111" i="20"/>
  <c r="CR110" i="20"/>
  <c r="CR109" i="20"/>
  <c r="CR108" i="20"/>
  <c r="CR107" i="20"/>
  <c r="CR106" i="20"/>
  <c r="CR105" i="20"/>
  <c r="CR104" i="20"/>
  <c r="CR103" i="20"/>
  <c r="CR102" i="20"/>
  <c r="CR101" i="20"/>
  <c r="CR100" i="20"/>
  <c r="CR99" i="20"/>
  <c r="CR98" i="20"/>
  <c r="CR97" i="20"/>
  <c r="CR96" i="20"/>
  <c r="CR95" i="20"/>
  <c r="CR94" i="20"/>
  <c r="CR93" i="20"/>
  <c r="CR92" i="20"/>
  <c r="CR91" i="20"/>
  <c r="CR90" i="20"/>
  <c r="CR89" i="20"/>
  <c r="CR88" i="20"/>
  <c r="CR87" i="20"/>
  <c r="CR86" i="20"/>
  <c r="CR85" i="20"/>
  <c r="CR84" i="20"/>
  <c r="CR83" i="20"/>
  <c r="CR82" i="20"/>
  <c r="CR81" i="20"/>
  <c r="CR80" i="20"/>
  <c r="CR79" i="20"/>
  <c r="CR78" i="20"/>
  <c r="CR77" i="20"/>
  <c r="CR76" i="20"/>
  <c r="CR75" i="20"/>
  <c r="CR74" i="20"/>
  <c r="CR73" i="20"/>
  <c r="CR72" i="20"/>
  <c r="CR71" i="20"/>
  <c r="CR70" i="20"/>
  <c r="CR69" i="20"/>
  <c r="CR68" i="20"/>
  <c r="CR67" i="20"/>
  <c r="CR66" i="20"/>
  <c r="CR65" i="20"/>
  <c r="CR64" i="20"/>
  <c r="CR63" i="20"/>
  <c r="CR62" i="20"/>
  <c r="CR61" i="20"/>
  <c r="CR60" i="20"/>
  <c r="CR59" i="20"/>
  <c r="CR58" i="20"/>
  <c r="CR57" i="20"/>
  <c r="CR56" i="20"/>
  <c r="CR55" i="20"/>
  <c r="CR54" i="20"/>
  <c r="CR53" i="20"/>
  <c r="CR52" i="20"/>
  <c r="CR51" i="20"/>
  <c r="CR50" i="20"/>
  <c r="CR49" i="20"/>
  <c r="CR48" i="20"/>
  <c r="CR47" i="20"/>
  <c r="CR46" i="20"/>
  <c r="CR45" i="20"/>
  <c r="CR44" i="20"/>
  <c r="CR43" i="20"/>
  <c r="CR42" i="20"/>
  <c r="CR41" i="20"/>
  <c r="CR40" i="20"/>
  <c r="CR39" i="20"/>
  <c r="CR38" i="20"/>
  <c r="CR37" i="20"/>
  <c r="CR36" i="20"/>
  <c r="CR35" i="20"/>
  <c r="CR34" i="20"/>
  <c r="CR33" i="20"/>
  <c r="CR32" i="20"/>
  <c r="CR31" i="20"/>
  <c r="CR30" i="20"/>
  <c r="CR29" i="20"/>
  <c r="CR28" i="20"/>
  <c r="CR27" i="20"/>
  <c r="CR26" i="20"/>
  <c r="CR25" i="20"/>
  <c r="CR24" i="20"/>
  <c r="CR23" i="20"/>
  <c r="CR22" i="20"/>
  <c r="CR21" i="20"/>
  <c r="CR20" i="20"/>
  <c r="CR19" i="20"/>
  <c r="CR18" i="20"/>
  <c r="CR17" i="20"/>
  <c r="CR16" i="20"/>
  <c r="CR15" i="20"/>
  <c r="CR14" i="20"/>
  <c r="CR13" i="20"/>
  <c r="CR12" i="20"/>
  <c r="CR11" i="20"/>
  <c r="CR10" i="20"/>
  <c r="CR9" i="20"/>
  <c r="CR8" i="20"/>
  <c r="CR7" i="20"/>
  <c r="CR6" i="20"/>
  <c r="CR5" i="20"/>
  <c r="CR4" i="20"/>
  <c r="CR3" i="20"/>
  <c r="CP170" i="20"/>
  <c r="CP169" i="20"/>
  <c r="CP168" i="20"/>
  <c r="CP167" i="20"/>
  <c r="CP166" i="20"/>
  <c r="CP165" i="20"/>
  <c r="CP164" i="20"/>
  <c r="CP163" i="20"/>
  <c r="CP162" i="20"/>
  <c r="CP161" i="20"/>
  <c r="CP160" i="20"/>
  <c r="CP159" i="20"/>
  <c r="CP158" i="20"/>
  <c r="CP157" i="20"/>
  <c r="CP156" i="20"/>
  <c r="CP155" i="20"/>
  <c r="CP154" i="20"/>
  <c r="CP153" i="20"/>
  <c r="CP152" i="20"/>
  <c r="CP151" i="20"/>
  <c r="CP150" i="20"/>
  <c r="CP149" i="20"/>
  <c r="CP148" i="20"/>
  <c r="CP147" i="20"/>
  <c r="CP146" i="20"/>
  <c r="CP145" i="20"/>
  <c r="CP144" i="20"/>
  <c r="CP143" i="20"/>
  <c r="CP142" i="20"/>
  <c r="CP141" i="20"/>
  <c r="CP140" i="20"/>
  <c r="CP139" i="20"/>
  <c r="CP138" i="20"/>
  <c r="CP137" i="20"/>
  <c r="CP136" i="20"/>
  <c r="CP135" i="20"/>
  <c r="CP134" i="20"/>
  <c r="CP133" i="20"/>
  <c r="CP132" i="20"/>
  <c r="CP131" i="20"/>
  <c r="CP130" i="20"/>
  <c r="CP129" i="20"/>
  <c r="CP128" i="20"/>
  <c r="CP127" i="20"/>
  <c r="CP126" i="20"/>
  <c r="CP125" i="20"/>
  <c r="CP124" i="20"/>
  <c r="CP123" i="20"/>
  <c r="CP122" i="20"/>
  <c r="CP121" i="20"/>
  <c r="CP120" i="20"/>
  <c r="CP119" i="20"/>
  <c r="CP118" i="20"/>
  <c r="CP117" i="20"/>
  <c r="CP116" i="20"/>
  <c r="CP115" i="20"/>
  <c r="CP114" i="20"/>
  <c r="CP113" i="20"/>
  <c r="CP112" i="20"/>
  <c r="CP111" i="20"/>
  <c r="CP110" i="20"/>
  <c r="CP109" i="20"/>
  <c r="CP108" i="20"/>
  <c r="CP107" i="20"/>
  <c r="CP106" i="20"/>
  <c r="CP105" i="20"/>
  <c r="CP104" i="20"/>
  <c r="CP103" i="20"/>
  <c r="CP102" i="20"/>
  <c r="CP101" i="20"/>
  <c r="CP100" i="20"/>
  <c r="CP99" i="20"/>
  <c r="CP98" i="20"/>
  <c r="CP97" i="20"/>
  <c r="CP96" i="20"/>
  <c r="CP95" i="20"/>
  <c r="CP94" i="20"/>
  <c r="CP93" i="20"/>
  <c r="CP92" i="20"/>
  <c r="CP91" i="20"/>
  <c r="CP90" i="20"/>
  <c r="CP89" i="20"/>
  <c r="CP88" i="20"/>
  <c r="CP87" i="20"/>
  <c r="CP86" i="20"/>
  <c r="CP85" i="20"/>
  <c r="CP84" i="20"/>
  <c r="CP83" i="20"/>
  <c r="CP82" i="20"/>
  <c r="CP81" i="20"/>
  <c r="CP80" i="20"/>
  <c r="CP79" i="20"/>
  <c r="CP78" i="20"/>
  <c r="CP77" i="20"/>
  <c r="CP76" i="20"/>
  <c r="CP75" i="20"/>
  <c r="CP74" i="20"/>
  <c r="CP73" i="20"/>
  <c r="CP72" i="20"/>
  <c r="CP71" i="20"/>
  <c r="CP70" i="20"/>
  <c r="CP69" i="20"/>
  <c r="CP68" i="20"/>
  <c r="CP67" i="20"/>
  <c r="CP66" i="20"/>
  <c r="CP65" i="20"/>
  <c r="CP64" i="20"/>
  <c r="CP63" i="20"/>
  <c r="CP62" i="20"/>
  <c r="CP61" i="20"/>
  <c r="CP60" i="20"/>
  <c r="CP59" i="20"/>
  <c r="CP58" i="20"/>
  <c r="CP57" i="20"/>
  <c r="CP56" i="20"/>
  <c r="CP55" i="20"/>
  <c r="CP54" i="20"/>
  <c r="CP53" i="20"/>
  <c r="CP52" i="20"/>
  <c r="CP51" i="20"/>
  <c r="CP50" i="20"/>
  <c r="CP49" i="20"/>
  <c r="CP48" i="20"/>
  <c r="CP47" i="20"/>
  <c r="CP46" i="20"/>
  <c r="CP45" i="20"/>
  <c r="CP44" i="20"/>
  <c r="CP43" i="20"/>
  <c r="CP42" i="20"/>
  <c r="CP41" i="20"/>
  <c r="CP40" i="20"/>
  <c r="CP39" i="20"/>
  <c r="CP38" i="20"/>
  <c r="CP37" i="20"/>
  <c r="CP36" i="20"/>
  <c r="CP35" i="20"/>
  <c r="CP34" i="20"/>
  <c r="CP33" i="20"/>
  <c r="CP32" i="20"/>
  <c r="CP31" i="20"/>
  <c r="CP30" i="20"/>
  <c r="CP29" i="20"/>
  <c r="CP28" i="20"/>
  <c r="CP27" i="20"/>
  <c r="CP26" i="20"/>
  <c r="CP25" i="20"/>
  <c r="CP24" i="20"/>
  <c r="CP23" i="20"/>
  <c r="CP22" i="20"/>
  <c r="CP21" i="20"/>
  <c r="CP20" i="20"/>
  <c r="CP19" i="20"/>
  <c r="CP18" i="20"/>
  <c r="CP17" i="20"/>
  <c r="CP16" i="20"/>
  <c r="CP15" i="20"/>
  <c r="CP14" i="20"/>
  <c r="CP13" i="20"/>
  <c r="CP12" i="20"/>
  <c r="CP11" i="20"/>
  <c r="CP10" i="20"/>
  <c r="CP9" i="20"/>
  <c r="CP8" i="20"/>
  <c r="CP7" i="20"/>
  <c r="CP6" i="20"/>
  <c r="CP5" i="20"/>
  <c r="CP4" i="20"/>
  <c r="CP3" i="20"/>
  <c r="CN170" i="20"/>
  <c r="CN169" i="20"/>
  <c r="CN168" i="20"/>
  <c r="CN167" i="20"/>
  <c r="CN166" i="20"/>
  <c r="CN165" i="20"/>
  <c r="CN164" i="20"/>
  <c r="CN163" i="20"/>
  <c r="CN162" i="20"/>
  <c r="CN161" i="20"/>
  <c r="CN160" i="20"/>
  <c r="CN159" i="20"/>
  <c r="CN158" i="20"/>
  <c r="CN157" i="20"/>
  <c r="CN156" i="20"/>
  <c r="CN155" i="20"/>
  <c r="CN154" i="20"/>
  <c r="CN153" i="20"/>
  <c r="CN152" i="20"/>
  <c r="CN151" i="20"/>
  <c r="CN150" i="20"/>
  <c r="CN149" i="20"/>
  <c r="CN148" i="20"/>
  <c r="CN147" i="20"/>
  <c r="CN146" i="20"/>
  <c r="CN145" i="20"/>
  <c r="CN144" i="20"/>
  <c r="CN143" i="20"/>
  <c r="CN142" i="20"/>
  <c r="CN141" i="20"/>
  <c r="CN140" i="20"/>
  <c r="CN139" i="20"/>
  <c r="CN138" i="20"/>
  <c r="CN137" i="20"/>
  <c r="CN136" i="20"/>
  <c r="CN135" i="20"/>
  <c r="CN134" i="20"/>
  <c r="CN133" i="20"/>
  <c r="CN132" i="20"/>
  <c r="CN131" i="20"/>
  <c r="CN130" i="20"/>
  <c r="CN129" i="20"/>
  <c r="CN128" i="20"/>
  <c r="CN127" i="20"/>
  <c r="CN126" i="20"/>
  <c r="CN125" i="20"/>
  <c r="CN124" i="20"/>
  <c r="CN123" i="20"/>
  <c r="CN122" i="20"/>
  <c r="CN121" i="20"/>
  <c r="CN120" i="20"/>
  <c r="CN119" i="20"/>
  <c r="CN118" i="20"/>
  <c r="CN117" i="20"/>
  <c r="CN116" i="20"/>
  <c r="CN115" i="20"/>
  <c r="CN114" i="20"/>
  <c r="CN113" i="20"/>
  <c r="CN112" i="20"/>
  <c r="CN111" i="20"/>
  <c r="CN110" i="20"/>
  <c r="CN109" i="20"/>
  <c r="CN108" i="20"/>
  <c r="CN107" i="20"/>
  <c r="CN106" i="20"/>
  <c r="CN105" i="20"/>
  <c r="CN104" i="20"/>
  <c r="CN103" i="20"/>
  <c r="CN102" i="20"/>
  <c r="CN101" i="20"/>
  <c r="CN100" i="20"/>
  <c r="CN99" i="20"/>
  <c r="CN98" i="20"/>
  <c r="CN97" i="20"/>
  <c r="CN96" i="20"/>
  <c r="CN95" i="20"/>
  <c r="CN94" i="20"/>
  <c r="CN93" i="20"/>
  <c r="CN92" i="20"/>
  <c r="CN91" i="20"/>
  <c r="CN90" i="20"/>
  <c r="CN89" i="20"/>
  <c r="CN88" i="20"/>
  <c r="CN87" i="20"/>
  <c r="CN86" i="20"/>
  <c r="CN85" i="20"/>
  <c r="CN84" i="20"/>
  <c r="CN83" i="20"/>
  <c r="CN82" i="20"/>
  <c r="CN81" i="20"/>
  <c r="CN80" i="20"/>
  <c r="CN79" i="20"/>
  <c r="CN78" i="20"/>
  <c r="CN77" i="20"/>
  <c r="CN76" i="20"/>
  <c r="CN75" i="20"/>
  <c r="CN74" i="20"/>
  <c r="CN73" i="20"/>
  <c r="CN72" i="20"/>
  <c r="CN71" i="20"/>
  <c r="CN70" i="20"/>
  <c r="CN69" i="20"/>
  <c r="CN68" i="20"/>
  <c r="CN67" i="20"/>
  <c r="CN66" i="20"/>
  <c r="CN65" i="20"/>
  <c r="CN64" i="20"/>
  <c r="CN63" i="20"/>
  <c r="CN62" i="20"/>
  <c r="CN61" i="20"/>
  <c r="CN60" i="20"/>
  <c r="CN59" i="20"/>
  <c r="CN58" i="20"/>
  <c r="CN57" i="20"/>
  <c r="CN56" i="20"/>
  <c r="CN55" i="20"/>
  <c r="CN54" i="20"/>
  <c r="CN53" i="20"/>
  <c r="CN52" i="20"/>
  <c r="CN51" i="20"/>
  <c r="CN50" i="20"/>
  <c r="CN49" i="20"/>
  <c r="CN48" i="20"/>
  <c r="CN47" i="20"/>
  <c r="CN46" i="20"/>
  <c r="CN45" i="20"/>
  <c r="CN44" i="20"/>
  <c r="CN43" i="20"/>
  <c r="CN42" i="20"/>
  <c r="CN41" i="20"/>
  <c r="CN40" i="20"/>
  <c r="CN39" i="20"/>
  <c r="CN38" i="20"/>
  <c r="CN37" i="20"/>
  <c r="CN36" i="20"/>
  <c r="CN35" i="20"/>
  <c r="CN34" i="20"/>
  <c r="CN33" i="20"/>
  <c r="CN32" i="20"/>
  <c r="CN31" i="20"/>
  <c r="CN30" i="20"/>
  <c r="CN29" i="20"/>
  <c r="CN28" i="20"/>
  <c r="CN27" i="20"/>
  <c r="CN26" i="20"/>
  <c r="CN25" i="20"/>
  <c r="CN24" i="20"/>
  <c r="CN23" i="20"/>
  <c r="CN22" i="20"/>
  <c r="CN21" i="20"/>
  <c r="CN20" i="20"/>
  <c r="CN19" i="20"/>
  <c r="CN18" i="20"/>
  <c r="CN17" i="20"/>
  <c r="CN16" i="20"/>
  <c r="CN15" i="20"/>
  <c r="CN14" i="20"/>
  <c r="CN13" i="20"/>
  <c r="CN12" i="20"/>
  <c r="CN11" i="20"/>
  <c r="CN10" i="20"/>
  <c r="CN9" i="20"/>
  <c r="CN8" i="20"/>
  <c r="CN7" i="20"/>
  <c r="CN6" i="20"/>
  <c r="CN5" i="20"/>
  <c r="CN4" i="20"/>
  <c r="CN3" i="20"/>
  <c r="CL170" i="20"/>
  <c r="CL169" i="20"/>
  <c r="CL168" i="20"/>
  <c r="CL167" i="20"/>
  <c r="CL166" i="20"/>
  <c r="CL165" i="20"/>
  <c r="CL164" i="20"/>
  <c r="CL163" i="20"/>
  <c r="CL162" i="20"/>
  <c r="CL161" i="20"/>
  <c r="CL160" i="20"/>
  <c r="CL159" i="20"/>
  <c r="CL158" i="20"/>
  <c r="CL157" i="20"/>
  <c r="CL156" i="20"/>
  <c r="CL155" i="20"/>
  <c r="CL154" i="20"/>
  <c r="CL153" i="20"/>
  <c r="CL152" i="20"/>
  <c r="CL151" i="20"/>
  <c r="CL150" i="20"/>
  <c r="CL149" i="20"/>
  <c r="CL148" i="20"/>
  <c r="CL147" i="20"/>
  <c r="CL146" i="20"/>
  <c r="CL145" i="20"/>
  <c r="CL144" i="20"/>
  <c r="CL143" i="20"/>
  <c r="CL142" i="20"/>
  <c r="CL141" i="20"/>
  <c r="CL140" i="20"/>
  <c r="CL139" i="20"/>
  <c r="CL138" i="20"/>
  <c r="CL137" i="20"/>
  <c r="CL136" i="20"/>
  <c r="CL135" i="20"/>
  <c r="CL134" i="20"/>
  <c r="CL133" i="20"/>
  <c r="CL132" i="20"/>
  <c r="CL131" i="20"/>
  <c r="CL130" i="20"/>
  <c r="CL129" i="20"/>
  <c r="CL128" i="20"/>
  <c r="CL127" i="20"/>
  <c r="CL126" i="20"/>
  <c r="CL125" i="20"/>
  <c r="CL124" i="20"/>
  <c r="CL123" i="20"/>
  <c r="CL122" i="20"/>
  <c r="CL121" i="20"/>
  <c r="CL120" i="20"/>
  <c r="CL119" i="20"/>
  <c r="CL118" i="20"/>
  <c r="CL117" i="20"/>
  <c r="CL116" i="20"/>
  <c r="CL115" i="20"/>
  <c r="CL114" i="20"/>
  <c r="CL113" i="20"/>
  <c r="CL112" i="20"/>
  <c r="CL111" i="20"/>
  <c r="CL110" i="20"/>
  <c r="CL109" i="20"/>
  <c r="CL108" i="20"/>
  <c r="CL107" i="20"/>
  <c r="CL106" i="20"/>
  <c r="CL105" i="20"/>
  <c r="CL104" i="20"/>
  <c r="CL103" i="20"/>
  <c r="CL102" i="20"/>
  <c r="CL101" i="20"/>
  <c r="CL100" i="20"/>
  <c r="CL99" i="20"/>
  <c r="CL98" i="20"/>
  <c r="CL97" i="20"/>
  <c r="CL96" i="20"/>
  <c r="CL95" i="20"/>
  <c r="CL94" i="20"/>
  <c r="CL93" i="20"/>
  <c r="CL92" i="20"/>
  <c r="CL91" i="20"/>
  <c r="CL90" i="20"/>
  <c r="CL89" i="20"/>
  <c r="CL88" i="20"/>
  <c r="CL87" i="20"/>
  <c r="CL86" i="20"/>
  <c r="CL85" i="20"/>
  <c r="CL84" i="20"/>
  <c r="CL83" i="20"/>
  <c r="CL82" i="20"/>
  <c r="CL81" i="20"/>
  <c r="CL80" i="20"/>
  <c r="CL79" i="20"/>
  <c r="CL78" i="20"/>
  <c r="CL77" i="20"/>
  <c r="CL76" i="20"/>
  <c r="CL75" i="20"/>
  <c r="CL74" i="20"/>
  <c r="CL73" i="20"/>
  <c r="CL72" i="20"/>
  <c r="CL71" i="20"/>
  <c r="CL70" i="20"/>
  <c r="CL69" i="20"/>
  <c r="CL68" i="20"/>
  <c r="CL67" i="20"/>
  <c r="CL66" i="20"/>
  <c r="CL65" i="20"/>
  <c r="CL64" i="20"/>
  <c r="CL63" i="20"/>
  <c r="CL62" i="20"/>
  <c r="CL61" i="20"/>
  <c r="CL60" i="20"/>
  <c r="CL59" i="20"/>
  <c r="CL58" i="20"/>
  <c r="CL57" i="20"/>
  <c r="CL56" i="20"/>
  <c r="CL55" i="20"/>
  <c r="CL54" i="20"/>
  <c r="CL53" i="20"/>
  <c r="CL52" i="20"/>
  <c r="CL51" i="20"/>
  <c r="CL50" i="20"/>
  <c r="CL49" i="20"/>
  <c r="CL48" i="20"/>
  <c r="CL47" i="20"/>
  <c r="CL46" i="20"/>
  <c r="CL45" i="20"/>
  <c r="CL44" i="20"/>
  <c r="CL43" i="20"/>
  <c r="CL42" i="20"/>
  <c r="CL41" i="20"/>
  <c r="CL40" i="20"/>
  <c r="CL39" i="20"/>
  <c r="CL38" i="20"/>
  <c r="CL37" i="20"/>
  <c r="CL36" i="20"/>
  <c r="CL35" i="20"/>
  <c r="CL34" i="20"/>
  <c r="CL33" i="20"/>
  <c r="CL32" i="20"/>
  <c r="CL31" i="20"/>
  <c r="CL30" i="20"/>
  <c r="CL29" i="20"/>
  <c r="CL28" i="20"/>
  <c r="CL27" i="20"/>
  <c r="CL26" i="20"/>
  <c r="CL25" i="20"/>
  <c r="CL24" i="20"/>
  <c r="CL23" i="20"/>
  <c r="CL22" i="20"/>
  <c r="CL21" i="20"/>
  <c r="CL20" i="20"/>
  <c r="CL19" i="20"/>
  <c r="CL18" i="20"/>
  <c r="CL17" i="20"/>
  <c r="CL16" i="20"/>
  <c r="CL15" i="20"/>
  <c r="CL14" i="20"/>
  <c r="CL13" i="20"/>
  <c r="CL12" i="20"/>
  <c r="CL11" i="20"/>
  <c r="CL10" i="20"/>
  <c r="CL9" i="20"/>
  <c r="CL8" i="20"/>
  <c r="CL7" i="20"/>
  <c r="CL6" i="20"/>
  <c r="CL5" i="20"/>
  <c r="CL4" i="20"/>
  <c r="CL3" i="20"/>
  <c r="CJ170" i="20"/>
  <c r="CJ169" i="20"/>
  <c r="CJ168" i="20"/>
  <c r="CJ167" i="20"/>
  <c r="CJ166" i="20"/>
  <c r="CJ165" i="20"/>
  <c r="CJ164" i="20"/>
  <c r="CJ163" i="20"/>
  <c r="CJ162" i="20"/>
  <c r="CJ161" i="20"/>
  <c r="CJ160" i="20"/>
  <c r="CJ159" i="20"/>
  <c r="CJ158" i="20"/>
  <c r="CJ157" i="20"/>
  <c r="CJ156" i="20"/>
  <c r="CJ155" i="20"/>
  <c r="CJ154" i="20"/>
  <c r="CJ153" i="20"/>
  <c r="CJ152" i="20"/>
  <c r="CJ151" i="20"/>
  <c r="CJ150" i="20"/>
  <c r="CJ149" i="20"/>
  <c r="CJ148" i="20"/>
  <c r="CJ147" i="20"/>
  <c r="CJ146" i="20"/>
  <c r="CJ145" i="20"/>
  <c r="CJ144" i="20"/>
  <c r="CJ143" i="20"/>
  <c r="CJ142" i="20"/>
  <c r="CJ141" i="20"/>
  <c r="CJ140" i="20"/>
  <c r="CJ139" i="20"/>
  <c r="CJ138" i="20"/>
  <c r="CJ137" i="20"/>
  <c r="CJ136" i="20"/>
  <c r="CJ135" i="20"/>
  <c r="CJ134" i="20"/>
  <c r="CJ133" i="20"/>
  <c r="CJ132" i="20"/>
  <c r="CJ131" i="20"/>
  <c r="CJ130" i="20"/>
  <c r="CJ129" i="20"/>
  <c r="CJ128" i="20"/>
  <c r="CJ127" i="20"/>
  <c r="CJ126" i="20"/>
  <c r="CJ125" i="20"/>
  <c r="CJ124" i="20"/>
  <c r="CJ123" i="20"/>
  <c r="CJ122" i="20"/>
  <c r="CJ121" i="20"/>
  <c r="CJ120" i="20"/>
  <c r="CJ119" i="20"/>
  <c r="CJ118" i="20"/>
  <c r="CJ117" i="20"/>
  <c r="CJ116" i="20"/>
  <c r="CJ115" i="20"/>
  <c r="CJ114" i="20"/>
  <c r="CJ113" i="20"/>
  <c r="CJ112" i="20"/>
  <c r="CJ111" i="20"/>
  <c r="CJ110" i="20"/>
  <c r="CJ109" i="20"/>
  <c r="CJ108" i="20"/>
  <c r="CJ107" i="20"/>
  <c r="CJ106" i="20"/>
  <c r="CJ105" i="20"/>
  <c r="CJ104" i="20"/>
  <c r="CJ103" i="20"/>
  <c r="CJ102" i="20"/>
  <c r="CJ101" i="20"/>
  <c r="CJ100" i="20"/>
  <c r="CJ99" i="20"/>
  <c r="CJ98" i="20"/>
  <c r="CJ97" i="20"/>
  <c r="CJ96" i="20"/>
  <c r="CJ95" i="20"/>
  <c r="CJ94" i="20"/>
  <c r="CJ93" i="20"/>
  <c r="CJ92" i="20"/>
  <c r="CJ91" i="20"/>
  <c r="CJ90" i="20"/>
  <c r="CJ89" i="20"/>
  <c r="CJ88" i="20"/>
  <c r="CJ87" i="20"/>
  <c r="CJ86" i="20"/>
  <c r="CJ85" i="20"/>
  <c r="CJ84" i="20"/>
  <c r="CJ83" i="20"/>
  <c r="CJ82" i="20"/>
  <c r="CJ81" i="20"/>
  <c r="CJ80" i="20"/>
  <c r="CJ79" i="20"/>
  <c r="CJ78" i="20"/>
  <c r="CJ77" i="20"/>
  <c r="CJ76" i="20"/>
  <c r="CJ75" i="20"/>
  <c r="CJ74" i="20"/>
  <c r="CJ73" i="20"/>
  <c r="CJ72" i="20"/>
  <c r="CJ71" i="20"/>
  <c r="CJ70" i="20"/>
  <c r="CJ69" i="20"/>
  <c r="CJ68" i="20"/>
  <c r="CJ67" i="20"/>
  <c r="CJ66" i="20"/>
  <c r="CJ65" i="20"/>
  <c r="CJ64" i="20"/>
  <c r="CJ63" i="20"/>
  <c r="CJ62" i="20"/>
  <c r="CJ61" i="20"/>
  <c r="CJ60" i="20"/>
  <c r="CJ59" i="20"/>
  <c r="CJ58" i="20"/>
  <c r="CJ57" i="20"/>
  <c r="CJ56" i="20"/>
  <c r="CJ55" i="20"/>
  <c r="CJ54" i="20"/>
  <c r="CJ53" i="20"/>
  <c r="CJ52" i="20"/>
  <c r="CJ51" i="20"/>
  <c r="CJ50" i="20"/>
  <c r="CJ49" i="20"/>
  <c r="CJ48" i="20"/>
  <c r="CJ47" i="20"/>
  <c r="CJ46" i="20"/>
  <c r="CJ45" i="20"/>
  <c r="CJ44" i="20"/>
  <c r="CJ43" i="20"/>
  <c r="CJ42" i="20"/>
  <c r="CJ41" i="20"/>
  <c r="CJ40" i="20"/>
  <c r="CJ39" i="20"/>
  <c r="CJ38" i="20"/>
  <c r="CJ37" i="20"/>
  <c r="CJ36" i="20"/>
  <c r="CJ35" i="20"/>
  <c r="CJ34" i="20"/>
  <c r="CJ33" i="20"/>
  <c r="CJ32" i="20"/>
  <c r="CJ31" i="20"/>
  <c r="CJ30" i="20"/>
  <c r="CJ29" i="20"/>
  <c r="CJ28" i="20"/>
  <c r="CJ27" i="20"/>
  <c r="CJ26" i="20"/>
  <c r="CJ25" i="20"/>
  <c r="CJ24" i="20"/>
  <c r="CJ23" i="20"/>
  <c r="CJ22" i="20"/>
  <c r="CJ21" i="20"/>
  <c r="CJ20" i="20"/>
  <c r="CJ19" i="20"/>
  <c r="CJ18" i="20"/>
  <c r="CJ17" i="20"/>
  <c r="CJ16" i="20"/>
  <c r="CJ15" i="20"/>
  <c r="CJ14" i="20"/>
  <c r="CJ13" i="20"/>
  <c r="CJ12" i="20"/>
  <c r="CJ11" i="20"/>
  <c r="CJ10" i="20"/>
  <c r="CJ9" i="20"/>
  <c r="CJ8" i="20"/>
  <c r="CJ7" i="20"/>
  <c r="CJ6" i="20"/>
  <c r="CJ5" i="20"/>
  <c r="CJ4" i="20"/>
  <c r="CH170" i="20"/>
  <c r="CH169" i="20"/>
  <c r="CH168" i="20"/>
  <c r="CH167" i="20"/>
  <c r="CH166" i="20"/>
  <c r="CH165" i="20"/>
  <c r="CH164" i="20"/>
  <c r="CH163" i="20"/>
  <c r="CH162" i="20"/>
  <c r="CH161" i="20"/>
  <c r="CH160" i="20"/>
  <c r="CH159" i="20"/>
  <c r="CH158" i="20"/>
  <c r="CH157" i="20"/>
  <c r="CH156" i="20"/>
  <c r="CH155" i="20"/>
  <c r="CH154" i="20"/>
  <c r="CH153" i="20"/>
  <c r="CH152" i="20"/>
  <c r="CH151" i="20"/>
  <c r="CH150" i="20"/>
  <c r="CH149" i="20"/>
  <c r="CH148" i="20"/>
  <c r="CH147" i="20"/>
  <c r="CH146" i="20"/>
  <c r="CH145" i="20"/>
  <c r="CH144" i="20"/>
  <c r="CH143" i="20"/>
  <c r="CH142" i="20"/>
  <c r="CH141" i="20"/>
  <c r="CH140" i="20"/>
  <c r="CH139" i="20"/>
  <c r="CH138" i="20"/>
  <c r="CH137" i="20"/>
  <c r="CH136" i="20"/>
  <c r="CH135" i="20"/>
  <c r="CH134" i="20"/>
  <c r="CH133" i="20"/>
  <c r="CH132" i="20"/>
  <c r="CH131" i="20"/>
  <c r="CH130" i="20"/>
  <c r="CH129" i="20"/>
  <c r="CH128" i="20"/>
  <c r="CH127" i="20"/>
  <c r="CH126" i="20"/>
  <c r="CH125" i="20"/>
  <c r="CH124" i="20"/>
  <c r="CH123" i="20"/>
  <c r="CH122" i="20"/>
  <c r="CH121" i="20"/>
  <c r="CH120" i="20"/>
  <c r="CH119" i="20"/>
  <c r="CH118" i="20"/>
  <c r="CH117" i="20"/>
  <c r="CH116" i="20"/>
  <c r="CH115" i="20"/>
  <c r="CH114" i="20"/>
  <c r="CH113" i="20"/>
  <c r="CH112" i="20"/>
  <c r="CH111" i="20"/>
  <c r="CH110" i="20"/>
  <c r="CH109" i="20"/>
  <c r="CH108" i="20"/>
  <c r="CH107" i="20"/>
  <c r="CH106" i="20"/>
  <c r="CH105" i="20"/>
  <c r="CH104" i="20"/>
  <c r="CH103" i="20"/>
  <c r="CH102" i="20"/>
  <c r="CH101" i="20"/>
  <c r="CH100" i="20"/>
  <c r="CH99" i="20"/>
  <c r="CH98" i="20"/>
  <c r="CH97" i="20"/>
  <c r="CH96" i="20"/>
  <c r="CH95" i="20"/>
  <c r="CH94" i="20"/>
  <c r="CH93" i="20"/>
  <c r="CH92" i="20"/>
  <c r="CH91" i="20"/>
  <c r="CH90" i="20"/>
  <c r="CH89" i="20"/>
  <c r="CH88" i="20"/>
  <c r="CH87" i="20"/>
  <c r="CH86" i="20"/>
  <c r="CH85" i="20"/>
  <c r="CH84" i="20"/>
  <c r="CH83" i="20"/>
  <c r="CH82" i="20"/>
  <c r="CH81" i="20"/>
  <c r="CH80" i="20"/>
  <c r="CH79" i="20"/>
  <c r="CH78" i="20"/>
  <c r="CH77" i="20"/>
  <c r="CH76" i="20"/>
  <c r="CH75" i="20"/>
  <c r="CH74" i="20"/>
  <c r="CH73" i="20"/>
  <c r="CH72" i="20"/>
  <c r="CH71" i="20"/>
  <c r="CH70" i="20"/>
  <c r="CH69" i="20"/>
  <c r="CH68" i="20"/>
  <c r="CH67" i="20"/>
  <c r="CH66" i="20"/>
  <c r="CH65" i="20"/>
  <c r="CH64" i="20"/>
  <c r="CH63" i="20"/>
  <c r="CH62" i="20"/>
  <c r="CH61" i="20"/>
  <c r="CH60" i="20"/>
  <c r="CH59" i="20"/>
  <c r="CH58" i="20"/>
  <c r="CH57" i="20"/>
  <c r="CH56" i="20"/>
  <c r="CH55" i="20"/>
  <c r="CH54" i="20"/>
  <c r="CH53" i="20"/>
  <c r="CH52" i="20"/>
  <c r="CH51" i="20"/>
  <c r="CH50" i="20"/>
  <c r="CH49" i="20"/>
  <c r="CH48" i="20"/>
  <c r="CH47" i="20"/>
  <c r="CH46" i="20"/>
  <c r="CH45" i="20"/>
  <c r="CH44" i="20"/>
  <c r="CH43" i="20"/>
  <c r="CH42" i="20"/>
  <c r="CH41" i="20"/>
  <c r="CH40" i="20"/>
  <c r="CH39" i="20"/>
  <c r="CH38" i="20"/>
  <c r="CH37" i="20"/>
  <c r="CH36" i="20"/>
  <c r="CH35" i="20"/>
  <c r="CH34" i="20"/>
  <c r="CH33" i="20"/>
  <c r="CH32" i="20"/>
  <c r="CH31" i="20"/>
  <c r="CH30" i="20"/>
  <c r="CH29" i="20"/>
  <c r="CH28" i="20"/>
  <c r="CH27" i="20"/>
  <c r="CH26" i="20"/>
  <c r="CH25" i="20"/>
  <c r="CH24" i="20"/>
  <c r="CH23" i="20"/>
  <c r="CH22" i="20"/>
  <c r="CH21" i="20"/>
  <c r="CH20" i="20"/>
  <c r="CH19" i="20"/>
  <c r="CH18" i="20"/>
  <c r="CH17" i="20"/>
  <c r="CH16" i="20"/>
  <c r="CH15" i="20"/>
  <c r="CH14" i="20"/>
  <c r="CH13" i="20"/>
  <c r="CH12" i="20"/>
  <c r="CH11" i="20"/>
  <c r="CH10" i="20"/>
  <c r="CH9" i="20"/>
  <c r="CH8" i="20"/>
  <c r="CH7" i="20"/>
  <c r="CH6" i="20"/>
  <c r="CH5" i="20"/>
  <c r="CH4" i="20"/>
  <c r="CF4" i="20"/>
  <c r="CF5" i="20"/>
  <c r="CF6" i="20"/>
  <c r="CF7" i="20"/>
  <c r="CF8" i="20"/>
  <c r="CF9" i="20"/>
  <c r="CU9" i="20" s="1"/>
  <c r="CF10" i="20"/>
  <c r="CF11" i="20"/>
  <c r="CU11" i="20" s="1"/>
  <c r="CF12" i="20"/>
  <c r="CF13" i="20"/>
  <c r="CF14" i="20"/>
  <c r="CF15" i="20"/>
  <c r="CF16" i="20"/>
  <c r="CF17" i="20"/>
  <c r="CU17" i="20" s="1"/>
  <c r="CF18" i="20"/>
  <c r="CF19" i="20"/>
  <c r="CU19" i="20" s="1"/>
  <c r="CF20" i="20"/>
  <c r="CF21" i="20"/>
  <c r="CF22" i="20"/>
  <c r="CF23" i="20"/>
  <c r="CF24" i="20"/>
  <c r="CF25" i="20"/>
  <c r="CU25" i="20" s="1"/>
  <c r="CF26" i="20"/>
  <c r="CF27" i="20"/>
  <c r="CU27" i="20" s="1"/>
  <c r="CF28" i="20"/>
  <c r="CU28" i="20" s="1"/>
  <c r="CF29" i="20"/>
  <c r="CF30" i="20"/>
  <c r="CF31" i="20"/>
  <c r="CF32" i="20"/>
  <c r="CF33" i="20"/>
  <c r="CU33" i="20" s="1"/>
  <c r="CF34" i="20"/>
  <c r="CF35" i="20"/>
  <c r="CU35" i="20" s="1"/>
  <c r="CF36" i="20"/>
  <c r="CU36" i="20" s="1"/>
  <c r="CF37" i="20"/>
  <c r="CF38" i="20"/>
  <c r="CF39" i="20"/>
  <c r="CF40" i="20"/>
  <c r="CF41" i="20"/>
  <c r="CU41" i="20" s="1"/>
  <c r="CF42" i="20"/>
  <c r="CF43" i="20"/>
  <c r="CU43" i="20" s="1"/>
  <c r="CF44" i="20"/>
  <c r="CU44" i="20" s="1"/>
  <c r="CF45" i="20"/>
  <c r="CF46" i="20"/>
  <c r="CF47" i="20"/>
  <c r="CF48" i="20"/>
  <c r="CF49" i="20"/>
  <c r="CU49" i="20" s="1"/>
  <c r="CF50" i="20"/>
  <c r="CF51" i="20"/>
  <c r="CU51" i="20" s="1"/>
  <c r="CF52" i="20"/>
  <c r="CU52" i="20" s="1"/>
  <c r="CF53" i="20"/>
  <c r="CF54" i="20"/>
  <c r="CF55" i="20"/>
  <c r="CF56" i="20"/>
  <c r="CF57" i="20"/>
  <c r="CU57" i="20" s="1"/>
  <c r="CF58" i="20"/>
  <c r="CF59" i="20"/>
  <c r="CU59" i="20" s="1"/>
  <c r="CF60" i="20"/>
  <c r="CU60" i="20" s="1"/>
  <c r="CF61" i="20"/>
  <c r="CF62" i="20"/>
  <c r="CF63" i="20"/>
  <c r="CF64" i="20"/>
  <c r="CF65" i="20"/>
  <c r="CU65" i="20" s="1"/>
  <c r="CF66" i="20"/>
  <c r="CF67" i="20"/>
  <c r="CF68" i="20"/>
  <c r="CU68" i="20" s="1"/>
  <c r="CF69" i="20"/>
  <c r="CF70" i="20"/>
  <c r="CF71" i="20"/>
  <c r="CF72" i="20"/>
  <c r="CF73" i="20"/>
  <c r="CU73" i="20" s="1"/>
  <c r="CF74" i="20"/>
  <c r="CF75" i="20"/>
  <c r="CU75" i="20" s="1"/>
  <c r="CF76" i="20"/>
  <c r="CU76" i="20" s="1"/>
  <c r="CF77" i="20"/>
  <c r="CF78" i="20"/>
  <c r="CF79" i="20"/>
  <c r="CF80" i="20"/>
  <c r="CU80" i="20" s="1"/>
  <c r="CF81" i="20"/>
  <c r="CU81" i="20" s="1"/>
  <c r="CF82" i="20"/>
  <c r="CF83" i="20"/>
  <c r="CU83" i="20" s="1"/>
  <c r="CF84" i="20"/>
  <c r="CU84" i="20" s="1"/>
  <c r="CF85" i="20"/>
  <c r="CF86" i="20"/>
  <c r="CF87" i="20"/>
  <c r="CF88" i="20"/>
  <c r="CU88" i="20" s="1"/>
  <c r="CF89" i="20"/>
  <c r="CU89" i="20" s="1"/>
  <c r="CF90" i="20"/>
  <c r="CF91" i="20"/>
  <c r="CU91" i="20" s="1"/>
  <c r="CF92" i="20"/>
  <c r="CU92" i="20" s="1"/>
  <c r="CF93" i="20"/>
  <c r="CF94" i="20"/>
  <c r="CF95" i="20"/>
  <c r="CF96" i="20"/>
  <c r="CU96" i="20" s="1"/>
  <c r="CF97" i="20"/>
  <c r="CU97" i="20" s="1"/>
  <c r="CF98" i="20"/>
  <c r="CF99" i="20"/>
  <c r="CU99" i="20" s="1"/>
  <c r="CF100" i="20"/>
  <c r="CU100" i="20" s="1"/>
  <c r="CF101" i="20"/>
  <c r="CF102" i="20"/>
  <c r="CF103" i="20"/>
  <c r="CF104" i="20"/>
  <c r="CU104" i="20" s="1"/>
  <c r="CF105" i="20"/>
  <c r="CU105" i="20" s="1"/>
  <c r="CF106" i="20"/>
  <c r="CF107" i="20"/>
  <c r="CU107" i="20" s="1"/>
  <c r="CF108" i="20"/>
  <c r="CU108" i="20" s="1"/>
  <c r="CF109" i="20"/>
  <c r="CF110" i="20"/>
  <c r="CF111" i="20"/>
  <c r="CF112" i="20"/>
  <c r="CU112" i="20" s="1"/>
  <c r="CF113" i="20"/>
  <c r="CU113" i="20" s="1"/>
  <c r="CF114" i="20"/>
  <c r="CF115" i="20"/>
  <c r="CU115" i="20" s="1"/>
  <c r="CF116" i="20"/>
  <c r="CU116" i="20" s="1"/>
  <c r="CF117" i="20"/>
  <c r="CF118" i="20"/>
  <c r="CF119" i="20"/>
  <c r="CF120" i="20"/>
  <c r="CU120" i="20" s="1"/>
  <c r="CF121" i="20"/>
  <c r="CU121" i="20" s="1"/>
  <c r="CF122" i="20"/>
  <c r="CF123" i="20"/>
  <c r="CU123" i="20" s="1"/>
  <c r="CF124" i="20"/>
  <c r="CU124" i="20" s="1"/>
  <c r="CF125" i="20"/>
  <c r="CF126" i="20"/>
  <c r="CF127" i="20"/>
  <c r="CF128" i="20"/>
  <c r="CU128" i="20" s="1"/>
  <c r="CF129" i="20"/>
  <c r="CU129" i="20" s="1"/>
  <c r="CF130" i="20"/>
  <c r="CF131" i="20"/>
  <c r="CF132" i="20"/>
  <c r="CU132" i="20" s="1"/>
  <c r="CF133" i="20"/>
  <c r="CF134" i="20"/>
  <c r="CF135" i="20"/>
  <c r="CF136" i="20"/>
  <c r="CU136" i="20" s="1"/>
  <c r="CF137" i="20"/>
  <c r="CU137" i="20" s="1"/>
  <c r="CF138" i="20"/>
  <c r="CF139" i="20"/>
  <c r="CU139" i="20" s="1"/>
  <c r="CF140" i="20"/>
  <c r="CU140" i="20" s="1"/>
  <c r="CF141" i="20"/>
  <c r="CF142" i="20"/>
  <c r="CF143" i="20"/>
  <c r="CF144" i="20"/>
  <c r="CU144" i="20" s="1"/>
  <c r="CF145" i="20"/>
  <c r="CU145" i="20" s="1"/>
  <c r="CF146" i="20"/>
  <c r="CF147" i="20"/>
  <c r="CU147" i="20" s="1"/>
  <c r="CF148" i="20"/>
  <c r="CU148" i="20" s="1"/>
  <c r="CF149" i="20"/>
  <c r="CF150" i="20"/>
  <c r="CF151" i="20"/>
  <c r="CF152" i="20"/>
  <c r="CU152" i="20" s="1"/>
  <c r="CF153" i="20"/>
  <c r="CU153" i="20" s="1"/>
  <c r="CF154" i="20"/>
  <c r="CF155" i="20"/>
  <c r="CU155" i="20" s="1"/>
  <c r="CF156" i="20"/>
  <c r="CU156" i="20" s="1"/>
  <c r="CF157" i="20"/>
  <c r="CF158" i="20"/>
  <c r="CF159" i="20"/>
  <c r="CF160" i="20"/>
  <c r="CU160" i="20" s="1"/>
  <c r="CF161" i="20"/>
  <c r="CU161" i="20" s="1"/>
  <c r="CF162" i="20"/>
  <c r="CF163" i="20"/>
  <c r="CU163" i="20" s="1"/>
  <c r="CF164" i="20"/>
  <c r="CU164" i="20" s="1"/>
  <c r="CF165" i="20"/>
  <c r="CF166" i="20"/>
  <c r="CF167" i="20"/>
  <c r="CF168" i="20"/>
  <c r="CU168" i="20" s="1"/>
  <c r="CF169" i="20"/>
  <c r="CU169" i="20" s="1"/>
  <c r="CF170" i="20"/>
  <c r="DM3" i="20" l="1"/>
  <c r="DM79" i="20"/>
  <c r="DM111" i="20"/>
  <c r="DM159" i="20"/>
  <c r="DM139" i="20"/>
  <c r="DM91" i="20"/>
  <c r="DM59" i="20"/>
  <c r="DM165" i="20"/>
  <c r="DM151" i="20"/>
  <c r="DM135" i="20"/>
  <c r="DM131" i="20"/>
  <c r="DM125" i="20"/>
  <c r="DM115" i="20"/>
  <c r="DM101" i="20"/>
  <c r="DM71" i="20"/>
  <c r="DM69" i="20"/>
  <c r="DM51" i="20"/>
  <c r="DM23" i="20"/>
  <c r="DM5" i="20"/>
  <c r="DM157" i="20"/>
  <c r="DM143" i="20"/>
  <c r="DM127" i="20"/>
  <c r="DM61" i="20"/>
  <c r="DM43" i="20"/>
  <c r="DM15" i="20"/>
  <c r="DM12" i="20"/>
  <c r="DM149" i="20"/>
  <c r="DM119" i="20"/>
  <c r="DM117" i="20"/>
  <c r="DM53" i="20"/>
  <c r="DM35" i="20"/>
  <c r="DM7" i="20"/>
  <c r="DM4" i="20"/>
  <c r="DM123" i="20"/>
  <c r="DM107" i="20"/>
  <c r="DM27" i="20"/>
  <c r="DM167" i="20"/>
  <c r="DM163" i="20"/>
  <c r="DM133" i="20"/>
  <c r="DM103" i="20"/>
  <c r="DM99" i="20"/>
  <c r="DM83" i="20"/>
  <c r="DM55" i="20"/>
  <c r="DM37" i="20"/>
  <c r="DM19" i="20"/>
  <c r="DM155" i="20"/>
  <c r="DM75" i="20"/>
  <c r="DM11" i="20"/>
  <c r="DM147" i="20"/>
  <c r="DM87" i="20"/>
  <c r="DM85" i="20"/>
  <c r="DM67" i="20"/>
  <c r="DM39" i="20"/>
  <c r="DM21" i="20"/>
  <c r="CU72" i="20"/>
  <c r="CU64" i="20"/>
  <c r="CU56" i="20"/>
  <c r="CU48" i="20"/>
  <c r="CU40" i="20"/>
  <c r="CU32" i="20"/>
  <c r="CU24" i="20"/>
  <c r="CU16" i="20"/>
  <c r="CU8" i="20"/>
  <c r="CU165" i="20"/>
  <c r="CU157" i="20"/>
  <c r="CU149" i="20"/>
  <c r="CU141" i="20"/>
  <c r="CU133" i="20"/>
  <c r="CU125" i="20"/>
  <c r="CU117" i="20"/>
  <c r="CU109" i="20"/>
  <c r="CU101" i="20"/>
  <c r="CU93" i="20"/>
  <c r="CU85" i="20"/>
  <c r="CU77" i="20"/>
  <c r="CU69" i="20"/>
  <c r="CU61" i="20"/>
  <c r="CU53" i="20"/>
  <c r="CU45" i="20"/>
  <c r="CU37" i="20"/>
  <c r="CU29" i="20"/>
  <c r="CU21" i="20"/>
  <c r="CU13" i="20"/>
  <c r="CU5" i="20"/>
  <c r="CU67" i="20"/>
  <c r="CU131" i="20"/>
  <c r="CU3" i="20"/>
  <c r="CU20" i="20"/>
  <c r="CU12" i="20"/>
  <c r="CU4" i="20"/>
  <c r="CU146" i="20"/>
  <c r="CU114" i="20"/>
  <c r="CU74" i="20"/>
  <c r="CU42" i="20"/>
  <c r="CU34" i="20"/>
  <c r="CU170" i="20"/>
  <c r="CU122" i="20"/>
  <c r="CU90" i="20"/>
  <c r="CU50" i="20"/>
  <c r="CU10" i="20"/>
  <c r="CU7" i="20"/>
  <c r="CU15" i="20"/>
  <c r="CU23" i="20"/>
  <c r="CU31" i="20"/>
  <c r="CU39" i="20"/>
  <c r="CU47" i="20"/>
  <c r="CU55" i="20"/>
  <c r="CU63" i="20"/>
  <c r="CU71" i="20"/>
  <c r="CU79" i="20"/>
  <c r="CU87" i="20"/>
  <c r="CU95" i="20"/>
  <c r="CU103" i="20"/>
  <c r="CU111" i="20"/>
  <c r="CU119" i="20"/>
  <c r="CU127" i="20"/>
  <c r="CU135" i="20"/>
  <c r="CU143" i="20"/>
  <c r="CU151" i="20"/>
  <c r="CU159" i="20"/>
  <c r="CU167" i="20"/>
  <c r="CU154" i="20"/>
  <c r="CU130" i="20"/>
  <c r="CU98" i="20"/>
  <c r="CU66" i="20"/>
  <c r="CU26" i="20"/>
  <c r="CU162" i="20"/>
  <c r="CU138" i="20"/>
  <c r="CU106" i="20"/>
  <c r="CU82" i="20"/>
  <c r="CU58" i="20"/>
  <c r="CU18" i="20"/>
  <c r="CU166" i="20"/>
  <c r="CU158" i="20"/>
  <c r="CU150" i="20"/>
  <c r="CU142" i="20"/>
  <c r="CU134" i="20"/>
  <c r="CU126" i="20"/>
  <c r="CU118" i="20"/>
  <c r="CU110" i="20"/>
  <c r="CU102" i="20"/>
  <c r="CU94" i="20"/>
  <c r="CU86" i="20"/>
  <c r="CU78" i="20"/>
  <c r="CU70" i="20"/>
  <c r="CU62" i="20"/>
  <c r="CU54" i="20"/>
  <c r="CU46" i="20"/>
  <c r="CU38" i="20"/>
  <c r="CU30" i="20"/>
  <c r="CU22" i="20"/>
  <c r="CU14" i="20"/>
  <c r="CU6" i="20"/>
  <c r="CA4" i="20" l="1"/>
  <c r="CA5" i="20"/>
  <c r="CA6" i="20"/>
  <c r="CA7" i="20"/>
  <c r="CA8" i="20"/>
  <c r="CA9" i="20"/>
  <c r="CA10" i="20"/>
  <c r="CA11" i="20"/>
  <c r="CA12" i="20"/>
  <c r="CA13" i="20"/>
  <c r="CA14" i="20"/>
  <c r="CA15" i="20"/>
  <c r="CA16" i="20"/>
  <c r="CA17" i="20"/>
  <c r="CA18" i="20"/>
  <c r="CA19" i="20"/>
  <c r="CA20" i="20"/>
  <c r="CA21" i="20"/>
  <c r="CA22" i="20"/>
  <c r="CA23" i="20"/>
  <c r="CA24" i="20"/>
  <c r="CA25" i="20"/>
  <c r="CA26" i="20"/>
  <c r="CA27" i="20"/>
  <c r="CA28" i="20"/>
  <c r="CA29" i="20"/>
  <c r="CA30" i="20"/>
  <c r="CA31" i="20"/>
  <c r="CA32" i="20"/>
  <c r="CA33" i="20"/>
  <c r="CA34" i="20"/>
  <c r="CA35" i="20"/>
  <c r="CA36" i="20"/>
  <c r="CA37" i="20"/>
  <c r="CA38" i="20"/>
  <c r="CA39" i="20"/>
  <c r="CA40" i="20"/>
  <c r="CA41" i="20"/>
  <c r="CA42" i="20"/>
  <c r="CA43" i="20"/>
  <c r="CA44" i="20"/>
  <c r="CA45" i="20"/>
  <c r="CA46" i="20"/>
  <c r="CA47" i="20"/>
  <c r="CA48" i="20"/>
  <c r="CA49" i="20"/>
  <c r="CA50" i="20"/>
  <c r="CA51" i="20"/>
  <c r="CA52" i="20"/>
  <c r="CA53" i="20"/>
  <c r="CA54" i="20"/>
  <c r="CA55" i="20"/>
  <c r="CA56" i="20"/>
  <c r="CA57" i="20"/>
  <c r="CA58" i="20"/>
  <c r="CA59" i="20"/>
  <c r="CA60" i="20"/>
  <c r="CA61" i="20"/>
  <c r="CA62" i="20"/>
  <c r="CA63" i="20"/>
  <c r="CA64" i="20"/>
  <c r="CA65" i="20"/>
  <c r="CA66" i="20"/>
  <c r="CA67" i="20"/>
  <c r="CA68" i="20"/>
  <c r="CA69" i="20"/>
  <c r="CA70" i="20"/>
  <c r="CA71" i="20"/>
  <c r="CA72" i="20"/>
  <c r="CA73" i="20"/>
  <c r="CA74" i="20"/>
  <c r="CA75" i="20"/>
  <c r="CA76" i="20"/>
  <c r="CA77" i="20"/>
  <c r="CA78" i="20"/>
  <c r="CA79" i="20"/>
  <c r="CA80" i="20"/>
  <c r="CA81" i="20"/>
  <c r="CA82" i="20"/>
  <c r="CA83" i="20"/>
  <c r="CA84" i="20"/>
  <c r="CA85" i="20"/>
  <c r="CA86" i="20"/>
  <c r="CA87" i="20"/>
  <c r="CA88" i="20"/>
  <c r="CA89" i="20"/>
  <c r="CA90" i="20"/>
  <c r="CA91" i="20"/>
  <c r="CA92" i="20"/>
  <c r="CA93" i="20"/>
  <c r="CA94" i="20"/>
  <c r="CA95" i="20"/>
  <c r="CA96" i="20"/>
  <c r="CA97" i="20"/>
  <c r="CA98" i="20"/>
  <c r="CA99" i="20"/>
  <c r="CA100" i="20"/>
  <c r="CA101" i="20"/>
  <c r="CA102" i="20"/>
  <c r="CA103" i="20"/>
  <c r="CA104" i="20"/>
  <c r="CA105" i="20"/>
  <c r="CA106" i="20"/>
  <c r="CA107" i="20"/>
  <c r="CA108" i="20"/>
  <c r="CA109" i="20"/>
  <c r="CA110" i="20"/>
  <c r="CA111" i="20"/>
  <c r="CA112" i="20"/>
  <c r="CA113" i="20"/>
  <c r="CA114" i="20"/>
  <c r="CA115" i="20"/>
  <c r="CA116" i="20"/>
  <c r="CA117" i="20"/>
  <c r="CA118" i="20"/>
  <c r="CA119" i="20"/>
  <c r="CA120" i="20"/>
  <c r="CA121" i="20"/>
  <c r="CA122" i="20"/>
  <c r="CA123" i="20"/>
  <c r="CA124" i="20"/>
  <c r="CA125" i="20"/>
  <c r="CA126" i="20"/>
  <c r="CA127" i="20"/>
  <c r="CA128" i="20"/>
  <c r="CA129" i="20"/>
  <c r="CA130" i="20"/>
  <c r="CA131" i="20"/>
  <c r="CA132" i="20"/>
  <c r="CA133" i="20"/>
  <c r="CA134" i="20"/>
  <c r="CA135" i="20"/>
  <c r="CA136" i="20"/>
  <c r="CA137" i="20"/>
  <c r="CA138" i="20"/>
  <c r="CA139" i="20"/>
  <c r="CA140" i="20"/>
  <c r="CA141" i="20"/>
  <c r="CA142" i="20"/>
  <c r="CA143" i="20"/>
  <c r="CA144" i="20"/>
  <c r="CA145" i="20"/>
  <c r="CA146" i="20"/>
  <c r="CA147" i="20"/>
  <c r="CA148" i="20"/>
  <c r="CA149" i="20"/>
  <c r="CA150" i="20"/>
  <c r="CA151" i="20"/>
  <c r="CA152" i="20"/>
  <c r="CA153" i="20"/>
  <c r="CA154" i="20"/>
  <c r="CA155" i="20"/>
  <c r="CA156" i="20"/>
  <c r="CA157" i="20"/>
  <c r="CA158" i="20"/>
  <c r="CA159" i="20"/>
  <c r="CA160" i="20"/>
  <c r="CA161" i="20"/>
  <c r="CA162" i="20"/>
  <c r="CA163" i="20"/>
  <c r="CA164" i="20"/>
  <c r="CA165" i="20"/>
  <c r="CA166" i="20"/>
  <c r="CA167" i="20"/>
  <c r="CA168" i="20"/>
  <c r="CA169" i="20"/>
  <c r="CA170" i="20"/>
  <c r="CA3" i="20"/>
  <c r="BZ4" i="20"/>
  <c r="BZ5" i="20"/>
  <c r="BZ6" i="20"/>
  <c r="BZ7" i="20"/>
  <c r="BZ8" i="20"/>
  <c r="BZ9" i="20"/>
  <c r="BZ10" i="20"/>
  <c r="BZ11" i="20"/>
  <c r="BZ12" i="20"/>
  <c r="BZ13" i="20"/>
  <c r="BZ14" i="20"/>
  <c r="BZ15" i="20"/>
  <c r="BZ16" i="20"/>
  <c r="BZ17" i="20"/>
  <c r="BZ18" i="20"/>
  <c r="BZ19" i="20"/>
  <c r="BZ20" i="20"/>
  <c r="BZ21" i="20"/>
  <c r="BZ22" i="20"/>
  <c r="BZ23" i="20"/>
  <c r="BZ24" i="20"/>
  <c r="BZ25" i="20"/>
  <c r="BZ26" i="20"/>
  <c r="BZ27" i="20"/>
  <c r="BZ28" i="20"/>
  <c r="BZ29" i="20"/>
  <c r="BZ30" i="20"/>
  <c r="BZ31" i="20"/>
  <c r="BZ32" i="20"/>
  <c r="BZ33" i="20"/>
  <c r="BZ34" i="20"/>
  <c r="BZ35" i="20"/>
  <c r="BZ36" i="20"/>
  <c r="BZ37" i="20"/>
  <c r="BZ38" i="20"/>
  <c r="BZ39" i="20"/>
  <c r="BZ40" i="20"/>
  <c r="BZ41" i="20"/>
  <c r="BZ42" i="20"/>
  <c r="BZ43" i="20"/>
  <c r="BZ44" i="20"/>
  <c r="BZ45" i="20"/>
  <c r="BZ46" i="20"/>
  <c r="BZ47" i="20"/>
  <c r="BZ48" i="20"/>
  <c r="BZ49" i="20"/>
  <c r="BZ50" i="20"/>
  <c r="BZ51" i="20"/>
  <c r="BZ52" i="20"/>
  <c r="BZ53" i="20"/>
  <c r="BZ54" i="20"/>
  <c r="BZ55" i="20"/>
  <c r="BZ56" i="20"/>
  <c r="BZ57" i="20"/>
  <c r="BZ58" i="20"/>
  <c r="BZ59" i="20"/>
  <c r="BZ60" i="20"/>
  <c r="BZ61" i="20"/>
  <c r="BZ62" i="20"/>
  <c r="BZ63" i="20"/>
  <c r="BZ64" i="20"/>
  <c r="BZ65" i="20"/>
  <c r="BZ66" i="20"/>
  <c r="BZ67" i="20"/>
  <c r="BZ68" i="20"/>
  <c r="BZ69" i="20"/>
  <c r="BZ70" i="20"/>
  <c r="BZ71" i="20"/>
  <c r="BZ72" i="20"/>
  <c r="BZ73" i="20"/>
  <c r="BZ74" i="20"/>
  <c r="BZ75" i="20"/>
  <c r="BZ76" i="20"/>
  <c r="BZ77" i="20"/>
  <c r="BZ78" i="20"/>
  <c r="BZ79" i="20"/>
  <c r="BZ80" i="20"/>
  <c r="BZ81" i="20"/>
  <c r="BZ82" i="20"/>
  <c r="BZ83" i="20"/>
  <c r="BZ84" i="20"/>
  <c r="BZ85" i="20"/>
  <c r="BZ86" i="20"/>
  <c r="BZ87" i="20"/>
  <c r="BZ88" i="20"/>
  <c r="BZ89" i="20"/>
  <c r="BZ90" i="20"/>
  <c r="BZ91" i="20"/>
  <c r="BZ92" i="20"/>
  <c r="BZ93" i="20"/>
  <c r="BZ94" i="20"/>
  <c r="BZ95" i="20"/>
  <c r="BZ96" i="20"/>
  <c r="BZ97" i="20"/>
  <c r="BZ98" i="20"/>
  <c r="BZ99" i="20"/>
  <c r="BZ100" i="20"/>
  <c r="BZ101" i="20"/>
  <c r="BZ102" i="20"/>
  <c r="BZ103" i="20"/>
  <c r="BZ104" i="20"/>
  <c r="BZ105" i="20"/>
  <c r="BZ106" i="20"/>
  <c r="BZ107" i="20"/>
  <c r="BZ108" i="20"/>
  <c r="BZ109" i="20"/>
  <c r="BZ110" i="20"/>
  <c r="BZ111" i="20"/>
  <c r="BZ112" i="20"/>
  <c r="BZ113" i="20"/>
  <c r="BZ114" i="20"/>
  <c r="BZ115" i="20"/>
  <c r="BZ116" i="20"/>
  <c r="BZ117" i="20"/>
  <c r="BZ118" i="20"/>
  <c r="BZ119" i="20"/>
  <c r="BZ120" i="20"/>
  <c r="BZ121" i="20"/>
  <c r="BZ122" i="20"/>
  <c r="BZ123" i="20"/>
  <c r="BZ124" i="20"/>
  <c r="BZ125" i="20"/>
  <c r="BZ126" i="20"/>
  <c r="BZ127" i="20"/>
  <c r="BZ128" i="20"/>
  <c r="BZ129" i="20"/>
  <c r="BZ130" i="20"/>
  <c r="BZ131" i="20"/>
  <c r="BZ132" i="20"/>
  <c r="BZ133" i="20"/>
  <c r="BZ134" i="20"/>
  <c r="BZ135" i="20"/>
  <c r="BZ136" i="20"/>
  <c r="BZ137" i="20"/>
  <c r="BZ138" i="20"/>
  <c r="BZ139" i="20"/>
  <c r="BZ140" i="20"/>
  <c r="BZ141" i="20"/>
  <c r="BZ142" i="20"/>
  <c r="BZ143" i="20"/>
  <c r="BZ144" i="20"/>
  <c r="BZ145" i="20"/>
  <c r="BZ146" i="20"/>
  <c r="BZ147" i="20"/>
  <c r="BZ148" i="20"/>
  <c r="BZ149" i="20"/>
  <c r="BZ150" i="20"/>
  <c r="BZ151" i="20"/>
  <c r="BZ152" i="20"/>
  <c r="BZ153" i="20"/>
  <c r="BZ154" i="20"/>
  <c r="BZ155" i="20"/>
  <c r="BZ156" i="20"/>
  <c r="BZ157" i="20"/>
  <c r="BZ158" i="20"/>
  <c r="BZ159" i="20"/>
  <c r="BZ160" i="20"/>
  <c r="BZ161" i="20"/>
  <c r="BZ162" i="20"/>
  <c r="BZ163" i="20"/>
  <c r="BZ164" i="20"/>
  <c r="BZ165" i="20"/>
  <c r="BZ166" i="20"/>
  <c r="BZ167" i="20"/>
  <c r="BZ168" i="20"/>
  <c r="BZ169" i="20"/>
  <c r="BZ170" i="20"/>
  <c r="BZ3" i="20"/>
  <c r="BU4" i="20"/>
  <c r="BU5" i="20"/>
  <c r="BU6" i="20"/>
  <c r="BU7" i="20"/>
  <c r="BU8" i="20"/>
  <c r="BU9" i="20"/>
  <c r="BU10" i="20"/>
  <c r="BU11" i="20"/>
  <c r="BU12" i="20"/>
  <c r="BU13" i="20"/>
  <c r="BU14" i="20"/>
  <c r="BU15" i="20"/>
  <c r="BU16" i="20"/>
  <c r="BU17" i="20"/>
  <c r="BU18" i="20"/>
  <c r="BU19" i="20"/>
  <c r="BU20" i="20"/>
  <c r="BU21" i="20"/>
  <c r="BU22" i="20"/>
  <c r="BU23" i="20"/>
  <c r="BU24" i="20"/>
  <c r="BU25" i="20"/>
  <c r="BU26" i="20"/>
  <c r="BU27" i="20"/>
  <c r="BU28" i="20"/>
  <c r="BU29" i="20"/>
  <c r="BU30" i="20"/>
  <c r="BU31" i="20"/>
  <c r="BU32" i="20"/>
  <c r="BU33" i="20"/>
  <c r="BU34" i="20"/>
  <c r="BU35" i="20"/>
  <c r="BU36" i="20"/>
  <c r="BU37" i="20"/>
  <c r="BU38" i="20"/>
  <c r="BU39" i="20"/>
  <c r="BU40" i="20"/>
  <c r="BU41" i="20"/>
  <c r="BU42" i="20"/>
  <c r="BU43" i="20"/>
  <c r="BU44" i="20"/>
  <c r="BU45" i="20"/>
  <c r="BU46" i="20"/>
  <c r="BU47" i="20"/>
  <c r="BU48" i="20"/>
  <c r="BU49" i="20"/>
  <c r="BU50" i="20"/>
  <c r="BU51" i="20"/>
  <c r="BU52" i="20"/>
  <c r="BU53" i="20"/>
  <c r="BU54" i="20"/>
  <c r="BU55" i="20"/>
  <c r="BU56" i="20"/>
  <c r="BU57" i="20"/>
  <c r="BU58" i="20"/>
  <c r="BU59" i="20"/>
  <c r="BU60" i="20"/>
  <c r="BU61" i="20"/>
  <c r="BU62" i="20"/>
  <c r="BU63" i="20"/>
  <c r="BU64" i="20"/>
  <c r="BU65" i="20"/>
  <c r="BU66" i="20"/>
  <c r="BU67" i="20"/>
  <c r="BU68" i="20"/>
  <c r="BU69" i="20"/>
  <c r="BU70" i="20"/>
  <c r="BU71" i="20"/>
  <c r="BU72" i="20"/>
  <c r="BU73" i="20"/>
  <c r="BU74" i="20"/>
  <c r="BU75" i="20"/>
  <c r="BU76" i="20"/>
  <c r="BU77" i="20"/>
  <c r="BU78" i="20"/>
  <c r="BU79" i="20"/>
  <c r="BU80" i="20"/>
  <c r="BU81" i="20"/>
  <c r="BU82" i="20"/>
  <c r="BU83" i="20"/>
  <c r="BU84" i="20"/>
  <c r="BU85" i="20"/>
  <c r="BU86" i="20"/>
  <c r="BU87" i="20"/>
  <c r="BU88" i="20"/>
  <c r="BU89" i="20"/>
  <c r="BU90" i="20"/>
  <c r="BU91" i="20"/>
  <c r="BU92" i="20"/>
  <c r="BU93" i="20"/>
  <c r="BU94" i="20"/>
  <c r="BU95" i="20"/>
  <c r="BU96" i="20"/>
  <c r="BU97" i="20"/>
  <c r="BU98" i="20"/>
  <c r="BU99" i="20"/>
  <c r="BU100" i="20"/>
  <c r="BU101" i="20"/>
  <c r="BU102" i="20"/>
  <c r="BU103" i="20"/>
  <c r="BU104" i="20"/>
  <c r="BU105" i="20"/>
  <c r="BU106" i="20"/>
  <c r="BU107" i="20"/>
  <c r="BU108" i="20"/>
  <c r="BU109" i="20"/>
  <c r="BU110" i="20"/>
  <c r="BU111" i="20"/>
  <c r="BU112" i="20"/>
  <c r="BU113" i="20"/>
  <c r="BU114" i="20"/>
  <c r="BU115" i="20"/>
  <c r="BU116" i="20"/>
  <c r="BU117" i="20"/>
  <c r="BU118" i="20"/>
  <c r="BU119" i="20"/>
  <c r="BU120" i="20"/>
  <c r="BU121" i="20"/>
  <c r="BU122" i="20"/>
  <c r="BU123" i="20"/>
  <c r="BU124" i="20"/>
  <c r="BU125" i="20"/>
  <c r="BU126" i="20"/>
  <c r="BU127" i="20"/>
  <c r="BU128" i="20"/>
  <c r="BU129" i="20"/>
  <c r="BU130" i="20"/>
  <c r="BU131" i="20"/>
  <c r="BU132" i="20"/>
  <c r="BU133" i="20"/>
  <c r="BU134" i="20"/>
  <c r="BU135" i="20"/>
  <c r="BU136" i="20"/>
  <c r="BU137" i="20"/>
  <c r="BU138" i="20"/>
  <c r="BU139" i="20"/>
  <c r="BU140" i="20"/>
  <c r="BU141" i="20"/>
  <c r="BU142" i="20"/>
  <c r="BU143" i="20"/>
  <c r="BU144" i="20"/>
  <c r="BU145" i="20"/>
  <c r="BU146" i="20"/>
  <c r="BU147" i="20"/>
  <c r="BU148" i="20"/>
  <c r="BU149" i="20"/>
  <c r="BU150" i="20"/>
  <c r="BU151" i="20"/>
  <c r="BU152" i="20"/>
  <c r="BU153" i="20"/>
  <c r="BU154" i="20"/>
  <c r="BU155" i="20"/>
  <c r="BU156" i="20"/>
  <c r="BU157" i="20"/>
  <c r="BU158" i="20"/>
  <c r="BU159" i="20"/>
  <c r="BU160" i="20"/>
  <c r="BU161" i="20"/>
  <c r="BU162" i="20"/>
  <c r="BU163" i="20"/>
  <c r="BU164" i="20"/>
  <c r="BU165" i="20"/>
  <c r="BU166" i="20"/>
  <c r="BU167" i="20"/>
  <c r="BU168" i="20"/>
  <c r="BU169" i="20"/>
  <c r="BU170" i="20"/>
  <c r="BT4" i="20"/>
  <c r="BT5" i="20"/>
  <c r="BT6" i="20"/>
  <c r="BT7" i="20"/>
  <c r="BT8" i="20"/>
  <c r="BT9" i="20"/>
  <c r="BT10" i="20"/>
  <c r="BT11" i="20"/>
  <c r="BT12" i="20"/>
  <c r="BT13" i="20"/>
  <c r="BT14" i="20"/>
  <c r="BT15" i="20"/>
  <c r="BT16" i="20"/>
  <c r="BT17" i="20"/>
  <c r="BT18" i="20"/>
  <c r="BT19" i="20"/>
  <c r="BT20" i="20"/>
  <c r="BT21" i="20"/>
  <c r="BT22" i="20"/>
  <c r="BT23" i="20"/>
  <c r="BT24" i="20"/>
  <c r="BT25" i="20"/>
  <c r="BT26" i="20"/>
  <c r="BT27" i="20"/>
  <c r="BT28" i="20"/>
  <c r="BT29" i="20"/>
  <c r="BT30" i="20"/>
  <c r="BT31" i="20"/>
  <c r="BT32" i="20"/>
  <c r="BT33" i="20"/>
  <c r="BT34" i="20"/>
  <c r="BT35" i="20"/>
  <c r="BT36" i="20"/>
  <c r="BT37" i="20"/>
  <c r="BT38" i="20"/>
  <c r="BT39" i="20"/>
  <c r="BT40" i="20"/>
  <c r="BT41" i="20"/>
  <c r="BT42" i="20"/>
  <c r="BT43" i="20"/>
  <c r="BT44" i="20"/>
  <c r="BT45" i="20"/>
  <c r="BT46" i="20"/>
  <c r="BT47" i="20"/>
  <c r="BT48" i="20"/>
  <c r="BT49" i="20"/>
  <c r="BT50" i="20"/>
  <c r="BT51" i="20"/>
  <c r="BT52" i="20"/>
  <c r="BT53" i="20"/>
  <c r="BT54" i="20"/>
  <c r="BT55" i="20"/>
  <c r="BT56" i="20"/>
  <c r="BT57" i="20"/>
  <c r="BT58" i="20"/>
  <c r="BT59" i="20"/>
  <c r="BT60" i="20"/>
  <c r="BT61" i="20"/>
  <c r="BT62" i="20"/>
  <c r="BT63" i="20"/>
  <c r="BT64" i="20"/>
  <c r="BT65" i="20"/>
  <c r="BT66" i="20"/>
  <c r="BT67" i="20"/>
  <c r="BT68" i="20"/>
  <c r="BT69" i="20"/>
  <c r="BT70" i="20"/>
  <c r="BT71" i="20"/>
  <c r="BT72" i="20"/>
  <c r="BT73" i="20"/>
  <c r="BT74" i="20"/>
  <c r="BT75" i="20"/>
  <c r="BT76" i="20"/>
  <c r="BT77" i="20"/>
  <c r="BT78" i="20"/>
  <c r="BT79" i="20"/>
  <c r="BT80" i="20"/>
  <c r="BT81" i="20"/>
  <c r="BT82" i="20"/>
  <c r="BT83" i="20"/>
  <c r="BT84" i="20"/>
  <c r="BT85" i="20"/>
  <c r="BT86" i="20"/>
  <c r="BT87" i="20"/>
  <c r="BT88" i="20"/>
  <c r="BT89" i="20"/>
  <c r="BT90" i="20"/>
  <c r="BT91" i="20"/>
  <c r="BT92" i="20"/>
  <c r="BT93" i="20"/>
  <c r="BT94" i="20"/>
  <c r="BT95" i="20"/>
  <c r="BT96" i="20"/>
  <c r="BT97" i="20"/>
  <c r="BT98" i="20"/>
  <c r="BT99" i="20"/>
  <c r="BT100" i="20"/>
  <c r="BT101" i="20"/>
  <c r="BT102" i="20"/>
  <c r="BT103" i="20"/>
  <c r="BT104" i="20"/>
  <c r="BT105" i="20"/>
  <c r="BT106" i="20"/>
  <c r="BT107" i="20"/>
  <c r="BT108" i="20"/>
  <c r="BT109" i="20"/>
  <c r="BT110" i="20"/>
  <c r="BT111" i="20"/>
  <c r="BT112" i="20"/>
  <c r="BT113" i="20"/>
  <c r="BT114" i="20"/>
  <c r="BT115" i="20"/>
  <c r="BT116" i="20"/>
  <c r="BT117" i="20"/>
  <c r="BT118" i="20"/>
  <c r="BT119" i="20"/>
  <c r="BT120" i="20"/>
  <c r="BT121" i="20"/>
  <c r="BT122" i="20"/>
  <c r="BT123" i="20"/>
  <c r="BT124" i="20"/>
  <c r="BT125" i="20"/>
  <c r="BT126" i="20"/>
  <c r="BT127" i="20"/>
  <c r="BT128" i="20"/>
  <c r="BT129" i="20"/>
  <c r="BT130" i="20"/>
  <c r="BT131" i="20"/>
  <c r="BT132" i="20"/>
  <c r="BT133" i="20"/>
  <c r="BT134" i="20"/>
  <c r="BT135" i="20"/>
  <c r="BT136" i="20"/>
  <c r="BT137" i="20"/>
  <c r="BT138" i="20"/>
  <c r="BT139" i="20"/>
  <c r="BT140" i="20"/>
  <c r="BT141" i="20"/>
  <c r="BT142" i="20"/>
  <c r="BT143" i="20"/>
  <c r="BT144" i="20"/>
  <c r="BT145" i="20"/>
  <c r="BT146" i="20"/>
  <c r="BT147" i="20"/>
  <c r="BT148" i="20"/>
  <c r="BT149" i="20"/>
  <c r="BT150" i="20"/>
  <c r="BT151" i="20"/>
  <c r="BT152" i="20"/>
  <c r="BT153" i="20"/>
  <c r="BT154" i="20"/>
  <c r="BT155" i="20"/>
  <c r="BT156" i="20"/>
  <c r="BT157" i="20"/>
  <c r="BT158" i="20"/>
  <c r="BT159" i="20"/>
  <c r="BT160" i="20"/>
  <c r="BT161" i="20"/>
  <c r="BT162" i="20"/>
  <c r="BT163" i="20"/>
  <c r="BT164" i="20"/>
  <c r="BT165" i="20"/>
  <c r="BT166" i="20"/>
  <c r="BT167" i="20"/>
  <c r="BT168" i="20"/>
  <c r="BT169" i="20"/>
  <c r="BT170" i="20"/>
  <c r="BT3" i="20"/>
  <c r="BU3" i="20"/>
  <c r="AH4" i="20" l="1"/>
  <c r="AH5" i="20"/>
  <c r="AH6" i="20"/>
  <c r="AH7" i="20"/>
  <c r="AH8" i="20"/>
  <c r="AH9" i="20"/>
  <c r="AH10" i="20"/>
  <c r="AH11" i="20"/>
  <c r="AH12" i="20"/>
  <c r="AH13" i="20"/>
  <c r="AH14" i="20"/>
  <c r="AH15" i="20"/>
  <c r="AH16" i="20"/>
  <c r="AH17" i="20"/>
  <c r="AH18" i="20"/>
  <c r="AH19" i="20"/>
  <c r="AH20" i="20"/>
  <c r="AH21" i="20"/>
  <c r="AH22" i="20"/>
  <c r="AH23" i="20"/>
  <c r="AH24" i="20"/>
  <c r="AH25" i="20"/>
  <c r="AH26" i="20"/>
  <c r="AH27" i="20"/>
  <c r="AH28" i="20"/>
  <c r="AH29" i="20"/>
  <c r="AH30" i="20"/>
  <c r="AH31" i="20"/>
  <c r="AH32" i="20"/>
  <c r="AH33" i="20"/>
  <c r="AH34" i="20"/>
  <c r="AH35" i="20"/>
  <c r="AH36" i="20"/>
  <c r="AH37" i="20"/>
  <c r="AH38" i="20"/>
  <c r="AH39" i="20"/>
  <c r="AH40" i="20"/>
  <c r="AH41" i="20"/>
  <c r="AH42" i="20"/>
  <c r="AH43" i="20"/>
  <c r="AH44" i="20"/>
  <c r="AH45" i="20"/>
  <c r="AH46" i="20"/>
  <c r="AH47" i="20"/>
  <c r="AH48" i="20"/>
  <c r="AH49" i="20"/>
  <c r="AH50" i="20"/>
  <c r="AH51" i="20"/>
  <c r="AH52" i="20"/>
  <c r="AH53" i="20"/>
  <c r="AH54" i="20"/>
  <c r="AH55" i="20"/>
  <c r="AH56" i="20"/>
  <c r="AH57" i="20"/>
  <c r="AH58" i="20"/>
  <c r="AH59" i="20"/>
  <c r="AH60" i="20"/>
  <c r="AH61" i="20"/>
  <c r="AH62" i="20"/>
  <c r="AH63" i="20"/>
  <c r="AH64" i="20"/>
  <c r="AH65" i="20"/>
  <c r="AH66" i="20"/>
  <c r="AH67" i="20"/>
  <c r="AH68" i="20"/>
  <c r="AH69" i="20"/>
  <c r="AH70" i="20"/>
  <c r="AH71" i="20"/>
  <c r="AH72" i="20"/>
  <c r="AH73" i="20"/>
  <c r="AH74" i="20"/>
  <c r="AH75" i="20"/>
  <c r="AH76" i="20"/>
  <c r="AH77" i="20"/>
  <c r="AH78" i="20"/>
  <c r="AH79" i="20"/>
  <c r="AH80" i="20"/>
  <c r="AH81" i="20"/>
  <c r="AH82" i="20"/>
  <c r="AH83" i="20"/>
  <c r="AH84" i="20"/>
  <c r="AH85" i="20"/>
  <c r="AH86" i="20"/>
  <c r="AH87" i="20"/>
  <c r="AH88" i="20"/>
  <c r="AH89" i="20"/>
  <c r="AH90" i="20"/>
  <c r="AH91" i="20"/>
  <c r="AH92" i="20"/>
  <c r="AH93" i="20"/>
  <c r="AH94" i="20"/>
  <c r="AH95" i="20"/>
  <c r="AH96" i="20"/>
  <c r="AH97" i="20"/>
  <c r="AH98" i="20"/>
  <c r="AH99" i="20"/>
  <c r="AH100" i="20"/>
  <c r="AH101" i="20"/>
  <c r="AH102" i="20"/>
  <c r="AH103" i="20"/>
  <c r="AH104" i="20"/>
  <c r="AH105" i="20"/>
  <c r="AH106" i="20"/>
  <c r="AH107" i="20"/>
  <c r="AH108" i="20"/>
  <c r="AH109" i="20"/>
  <c r="AH110" i="20"/>
  <c r="AH111" i="20"/>
  <c r="AH112" i="20"/>
  <c r="AH113" i="20"/>
  <c r="AH114" i="20"/>
  <c r="AH115" i="20"/>
  <c r="AH116" i="20"/>
  <c r="AH117" i="20"/>
  <c r="AH118" i="20"/>
  <c r="AH119" i="20"/>
  <c r="AH120" i="20"/>
  <c r="AH121" i="20"/>
  <c r="AH122" i="20"/>
  <c r="AH123" i="20"/>
  <c r="AH124" i="20"/>
  <c r="AH125" i="20"/>
  <c r="AH126" i="20"/>
  <c r="AH127" i="20"/>
  <c r="AH128" i="20"/>
  <c r="AH129" i="20"/>
  <c r="AH130" i="20"/>
  <c r="AH131" i="20"/>
  <c r="AH132" i="20"/>
  <c r="AH133" i="20"/>
  <c r="AH134" i="20"/>
  <c r="AH135" i="20"/>
  <c r="AH136" i="20"/>
  <c r="AH137" i="20"/>
  <c r="AH138" i="20"/>
  <c r="AH139" i="20"/>
  <c r="AH140" i="20"/>
  <c r="AH141" i="20"/>
  <c r="AH142" i="20"/>
  <c r="AH143" i="20"/>
  <c r="AH144" i="20"/>
  <c r="AH145" i="20"/>
  <c r="AH146" i="20"/>
  <c r="AH147" i="20"/>
  <c r="AH148" i="20"/>
  <c r="AH149" i="20"/>
  <c r="AH150" i="20"/>
  <c r="AH151" i="20"/>
  <c r="AH152" i="20"/>
  <c r="AH153" i="20"/>
  <c r="AH154" i="20"/>
  <c r="AH155" i="20"/>
  <c r="AH156" i="20"/>
  <c r="AH157" i="20"/>
  <c r="AH158" i="20"/>
  <c r="AH159" i="20"/>
  <c r="AH160" i="20"/>
  <c r="AH161" i="20"/>
  <c r="AH162" i="20"/>
  <c r="AH163" i="20"/>
  <c r="AH164" i="20"/>
  <c r="AH165" i="20"/>
  <c r="AH166" i="20"/>
  <c r="AH167" i="20"/>
  <c r="AH168" i="20"/>
  <c r="AH169" i="20"/>
  <c r="AH170" i="20"/>
  <c r="AF4" i="20"/>
  <c r="AF5" i="20"/>
  <c r="AF6" i="20"/>
  <c r="AF7" i="20"/>
  <c r="AF8" i="20"/>
  <c r="AF9" i="20"/>
  <c r="AF10" i="20"/>
  <c r="AF11" i="20"/>
  <c r="AF12" i="20"/>
  <c r="AF13" i="20"/>
  <c r="AF14" i="20"/>
  <c r="AF15" i="20"/>
  <c r="AF16" i="20"/>
  <c r="AF17" i="20"/>
  <c r="AF18" i="20"/>
  <c r="AF19" i="20"/>
  <c r="AF20" i="20"/>
  <c r="AF21" i="20"/>
  <c r="AF22" i="20"/>
  <c r="AF23" i="20"/>
  <c r="AF24" i="20"/>
  <c r="AF25" i="20"/>
  <c r="AF26" i="20"/>
  <c r="AF27" i="20"/>
  <c r="AF28" i="20"/>
  <c r="AF29" i="20"/>
  <c r="AF30" i="20"/>
  <c r="AF31" i="20"/>
  <c r="AF32" i="20"/>
  <c r="AF33" i="20"/>
  <c r="AF34" i="20"/>
  <c r="AF35" i="20"/>
  <c r="AF36" i="20"/>
  <c r="AF37" i="20"/>
  <c r="AF38" i="20"/>
  <c r="AF39" i="20"/>
  <c r="AF40" i="20"/>
  <c r="AF41" i="20"/>
  <c r="AF42" i="20"/>
  <c r="AF43" i="20"/>
  <c r="AF44" i="20"/>
  <c r="AF45" i="20"/>
  <c r="AF46" i="20"/>
  <c r="AF47" i="20"/>
  <c r="AF48" i="20"/>
  <c r="AF49" i="20"/>
  <c r="AF50" i="20"/>
  <c r="AF51" i="20"/>
  <c r="AF52" i="20"/>
  <c r="AF53" i="20"/>
  <c r="AF54" i="20"/>
  <c r="AF55" i="20"/>
  <c r="AF56" i="20"/>
  <c r="AF57" i="20"/>
  <c r="AF58" i="20"/>
  <c r="AF59" i="20"/>
  <c r="AF60" i="20"/>
  <c r="AF61" i="20"/>
  <c r="AF62" i="20"/>
  <c r="AF63" i="20"/>
  <c r="AF64" i="20"/>
  <c r="AF65" i="20"/>
  <c r="AF66" i="20"/>
  <c r="AF67" i="20"/>
  <c r="AF68" i="20"/>
  <c r="AF69" i="20"/>
  <c r="AF70" i="20"/>
  <c r="AF71" i="20"/>
  <c r="AF72" i="20"/>
  <c r="AF73" i="20"/>
  <c r="AF74" i="20"/>
  <c r="AF75" i="20"/>
  <c r="AF76" i="20"/>
  <c r="AF77" i="20"/>
  <c r="AF78" i="20"/>
  <c r="AF79" i="20"/>
  <c r="AF80" i="20"/>
  <c r="AF81" i="20"/>
  <c r="AF82" i="20"/>
  <c r="AF83" i="20"/>
  <c r="AF84" i="20"/>
  <c r="AF85" i="20"/>
  <c r="AF86" i="20"/>
  <c r="AF87" i="20"/>
  <c r="AF88" i="20"/>
  <c r="AF89" i="20"/>
  <c r="AF90" i="20"/>
  <c r="AF91" i="20"/>
  <c r="AF92" i="20"/>
  <c r="AF93" i="20"/>
  <c r="AF94" i="20"/>
  <c r="AF95" i="20"/>
  <c r="AF96" i="20"/>
  <c r="AF97" i="20"/>
  <c r="AF98" i="20"/>
  <c r="AF99" i="20"/>
  <c r="AF100" i="20"/>
  <c r="AF101" i="20"/>
  <c r="AF102" i="20"/>
  <c r="AF103" i="20"/>
  <c r="AF104" i="20"/>
  <c r="AF105" i="20"/>
  <c r="AF106" i="20"/>
  <c r="AF107" i="20"/>
  <c r="AF108" i="20"/>
  <c r="AF109" i="20"/>
  <c r="AF110" i="20"/>
  <c r="AF111" i="20"/>
  <c r="AF112" i="20"/>
  <c r="AF113" i="20"/>
  <c r="AF114" i="20"/>
  <c r="AF115" i="20"/>
  <c r="AF116" i="20"/>
  <c r="AF117" i="20"/>
  <c r="AF118" i="20"/>
  <c r="AF119" i="20"/>
  <c r="AF120" i="20"/>
  <c r="AF121" i="20"/>
  <c r="AF122" i="20"/>
  <c r="AF123" i="20"/>
  <c r="AF124" i="20"/>
  <c r="AF125" i="20"/>
  <c r="AF126" i="20"/>
  <c r="AF127" i="20"/>
  <c r="AF128" i="20"/>
  <c r="AF129" i="20"/>
  <c r="AF130" i="20"/>
  <c r="AF131" i="20"/>
  <c r="AF132" i="20"/>
  <c r="AF133" i="20"/>
  <c r="AF134" i="20"/>
  <c r="AF135" i="20"/>
  <c r="AF136" i="20"/>
  <c r="AF137" i="20"/>
  <c r="AF138" i="20"/>
  <c r="AF139" i="20"/>
  <c r="AF140" i="20"/>
  <c r="AF141" i="20"/>
  <c r="AF142" i="20"/>
  <c r="AF143" i="20"/>
  <c r="AF144" i="20"/>
  <c r="AF145" i="20"/>
  <c r="AF146" i="20"/>
  <c r="AF147" i="20"/>
  <c r="AF148" i="20"/>
  <c r="AF149" i="20"/>
  <c r="AF150" i="20"/>
  <c r="AF151" i="20"/>
  <c r="AF152" i="20"/>
  <c r="AF153" i="20"/>
  <c r="AF154" i="20"/>
  <c r="AF155" i="20"/>
  <c r="AF156" i="20"/>
  <c r="AF157" i="20"/>
  <c r="AF158" i="20"/>
  <c r="AF159" i="20"/>
  <c r="AF160" i="20"/>
  <c r="AF161" i="20"/>
  <c r="AF162" i="20"/>
  <c r="AF163" i="20"/>
  <c r="AF164" i="20"/>
  <c r="AF165" i="20"/>
  <c r="AF166" i="20"/>
  <c r="AF167" i="20"/>
  <c r="AF168" i="20"/>
  <c r="AF169" i="20"/>
  <c r="AF170" i="20"/>
  <c r="AD4" i="20"/>
  <c r="AD5" i="20"/>
  <c r="AD6" i="20"/>
  <c r="AD7" i="20"/>
  <c r="AD8" i="20"/>
  <c r="AD9" i="20"/>
  <c r="AD10" i="20"/>
  <c r="AD11" i="20"/>
  <c r="AD12" i="20"/>
  <c r="AD13" i="20"/>
  <c r="AD14" i="20"/>
  <c r="AD15" i="20"/>
  <c r="AD16" i="20"/>
  <c r="AD17" i="20"/>
  <c r="AD18" i="20"/>
  <c r="AD19" i="20"/>
  <c r="AD20" i="20"/>
  <c r="AD21" i="20"/>
  <c r="AD22" i="20"/>
  <c r="AD23" i="20"/>
  <c r="AD24" i="20"/>
  <c r="AD25" i="20"/>
  <c r="AD26" i="20"/>
  <c r="AD27" i="20"/>
  <c r="AD28" i="20"/>
  <c r="AD29" i="20"/>
  <c r="AD30" i="20"/>
  <c r="AD31" i="20"/>
  <c r="AD32" i="20"/>
  <c r="AD33" i="20"/>
  <c r="AD34" i="20"/>
  <c r="AD35" i="20"/>
  <c r="AD36" i="20"/>
  <c r="AD37" i="20"/>
  <c r="AD38" i="20"/>
  <c r="AD39" i="20"/>
  <c r="AD40" i="20"/>
  <c r="AD41" i="20"/>
  <c r="AD42" i="20"/>
  <c r="AD43" i="20"/>
  <c r="AD44" i="20"/>
  <c r="AD45" i="20"/>
  <c r="AD46" i="20"/>
  <c r="AD47" i="20"/>
  <c r="AD48" i="20"/>
  <c r="AD49" i="20"/>
  <c r="AD50" i="20"/>
  <c r="AD51" i="20"/>
  <c r="AD52" i="20"/>
  <c r="AD53" i="20"/>
  <c r="AD54" i="20"/>
  <c r="AD55" i="20"/>
  <c r="AD56" i="20"/>
  <c r="AD57" i="20"/>
  <c r="AD58" i="20"/>
  <c r="AD59" i="20"/>
  <c r="AD60" i="20"/>
  <c r="AD61" i="20"/>
  <c r="AD62" i="20"/>
  <c r="AD63" i="20"/>
  <c r="AD64" i="20"/>
  <c r="AD65" i="20"/>
  <c r="AD66" i="20"/>
  <c r="AD67" i="20"/>
  <c r="AD68" i="20"/>
  <c r="AD69" i="20"/>
  <c r="AD70" i="20"/>
  <c r="AD71" i="20"/>
  <c r="AD72" i="20"/>
  <c r="AD73" i="20"/>
  <c r="AD74" i="20"/>
  <c r="AD75" i="20"/>
  <c r="AD76" i="20"/>
  <c r="AD77" i="20"/>
  <c r="AD78" i="20"/>
  <c r="AD79" i="20"/>
  <c r="AD80" i="20"/>
  <c r="AD81" i="20"/>
  <c r="AD82" i="20"/>
  <c r="AD83" i="20"/>
  <c r="AD84" i="20"/>
  <c r="AD85" i="20"/>
  <c r="AD86" i="20"/>
  <c r="AD87" i="20"/>
  <c r="AD88" i="20"/>
  <c r="AD89" i="20"/>
  <c r="AD90" i="20"/>
  <c r="AD91" i="20"/>
  <c r="AD92" i="20"/>
  <c r="AD93" i="20"/>
  <c r="AD94" i="20"/>
  <c r="AD95" i="20"/>
  <c r="AD96" i="20"/>
  <c r="AD97" i="20"/>
  <c r="AD98" i="20"/>
  <c r="AD99" i="20"/>
  <c r="AD100" i="20"/>
  <c r="AD101" i="20"/>
  <c r="AD102" i="20"/>
  <c r="AD103" i="20"/>
  <c r="AD104" i="20"/>
  <c r="AD105" i="20"/>
  <c r="AD106" i="20"/>
  <c r="AD107" i="20"/>
  <c r="AD108" i="20"/>
  <c r="AD109" i="20"/>
  <c r="AD110" i="20"/>
  <c r="AD111" i="20"/>
  <c r="AD112" i="20"/>
  <c r="AD113" i="20"/>
  <c r="AD114" i="20"/>
  <c r="AD115" i="20"/>
  <c r="AD116" i="20"/>
  <c r="AD117" i="20"/>
  <c r="AD118" i="20"/>
  <c r="AD119" i="20"/>
  <c r="AD120" i="20"/>
  <c r="AD121" i="20"/>
  <c r="AD122" i="20"/>
  <c r="AD123" i="20"/>
  <c r="AD124" i="20"/>
  <c r="AD125" i="20"/>
  <c r="AD126" i="20"/>
  <c r="AD127" i="20"/>
  <c r="AD128" i="20"/>
  <c r="AD129" i="20"/>
  <c r="AD130" i="20"/>
  <c r="AD131" i="20"/>
  <c r="AD132" i="20"/>
  <c r="AD133" i="20"/>
  <c r="AD134" i="20"/>
  <c r="AD135" i="20"/>
  <c r="AD136" i="20"/>
  <c r="AD137" i="20"/>
  <c r="AD138" i="20"/>
  <c r="AD139" i="20"/>
  <c r="AD140" i="20"/>
  <c r="AD141" i="20"/>
  <c r="AD142" i="20"/>
  <c r="AD143" i="20"/>
  <c r="AD144" i="20"/>
  <c r="AD145" i="20"/>
  <c r="AD146" i="20"/>
  <c r="AD147" i="20"/>
  <c r="AD148" i="20"/>
  <c r="AD149" i="20"/>
  <c r="AD150" i="20"/>
  <c r="AD151" i="20"/>
  <c r="AD152" i="20"/>
  <c r="AD153" i="20"/>
  <c r="AD154" i="20"/>
  <c r="AD155" i="20"/>
  <c r="AD156" i="20"/>
  <c r="AD157" i="20"/>
  <c r="AD158" i="20"/>
  <c r="AD159" i="20"/>
  <c r="AD160" i="20"/>
  <c r="AD161" i="20"/>
  <c r="AD162" i="20"/>
  <c r="AD163" i="20"/>
  <c r="AD164" i="20"/>
  <c r="AD165" i="20"/>
  <c r="AD166" i="20"/>
  <c r="AD167" i="20"/>
  <c r="AD168" i="20"/>
  <c r="AD169" i="20"/>
  <c r="AD170" i="20"/>
  <c r="AD3" i="20"/>
  <c r="AF3" i="20"/>
  <c r="AH3" i="20"/>
  <c r="AW4" i="20"/>
  <c r="AW5" i="20"/>
  <c r="AW6" i="20"/>
  <c r="AW7" i="20"/>
  <c r="AW8" i="20"/>
  <c r="AW9" i="20"/>
  <c r="AW10" i="20"/>
  <c r="AW11" i="20"/>
  <c r="AW12" i="20"/>
  <c r="AW13" i="20"/>
  <c r="AW14" i="20"/>
  <c r="AW15" i="20"/>
  <c r="AW16" i="20"/>
  <c r="AW17" i="20"/>
  <c r="AW18" i="20"/>
  <c r="AW19" i="20"/>
  <c r="AW20" i="20"/>
  <c r="AW21" i="20"/>
  <c r="AW22" i="20"/>
  <c r="AW23" i="20"/>
  <c r="AW24" i="20"/>
  <c r="AW25" i="20"/>
  <c r="AW26" i="20"/>
  <c r="AW27" i="20"/>
  <c r="AW28" i="20"/>
  <c r="AW29" i="20"/>
  <c r="AW30" i="20"/>
  <c r="AW31" i="20"/>
  <c r="AW32" i="20"/>
  <c r="AW33" i="20"/>
  <c r="AW34" i="20"/>
  <c r="AW35" i="20"/>
  <c r="AW36" i="20"/>
  <c r="AW37" i="20"/>
  <c r="AW38" i="20"/>
  <c r="AW39" i="20"/>
  <c r="AW40" i="20"/>
  <c r="AW41" i="20"/>
  <c r="AW42" i="20"/>
  <c r="AW43" i="20"/>
  <c r="AW44" i="20"/>
  <c r="AW45" i="20"/>
  <c r="AW46" i="20"/>
  <c r="AW47" i="20"/>
  <c r="AW48" i="20"/>
  <c r="AW49" i="20"/>
  <c r="AW50" i="20"/>
  <c r="AW51" i="20"/>
  <c r="AW52" i="20"/>
  <c r="AW53" i="20"/>
  <c r="AW54" i="20"/>
  <c r="AW55" i="20"/>
  <c r="AW56" i="20"/>
  <c r="AW57" i="20"/>
  <c r="AW58" i="20"/>
  <c r="AW59" i="20"/>
  <c r="AW60" i="20"/>
  <c r="AW61" i="20"/>
  <c r="AW62" i="20"/>
  <c r="AW63" i="20"/>
  <c r="AW64" i="20"/>
  <c r="AW65" i="20"/>
  <c r="AW66" i="20"/>
  <c r="AW67" i="20"/>
  <c r="AW68" i="20"/>
  <c r="AW69" i="20"/>
  <c r="AW70" i="20"/>
  <c r="AW71" i="20"/>
  <c r="AW72" i="20"/>
  <c r="AW73" i="20"/>
  <c r="AW74" i="20"/>
  <c r="AW75" i="20"/>
  <c r="AW76" i="20"/>
  <c r="AW77" i="20"/>
  <c r="AW78" i="20"/>
  <c r="AW79" i="20"/>
  <c r="AW80" i="20"/>
  <c r="AW81" i="20"/>
  <c r="AW82" i="20"/>
  <c r="AW83" i="20"/>
  <c r="AW84" i="20"/>
  <c r="AW85" i="20"/>
  <c r="AW86" i="20"/>
  <c r="AW87" i="20"/>
  <c r="AW88" i="20"/>
  <c r="AW89" i="20"/>
  <c r="AW90" i="20"/>
  <c r="AW91" i="20"/>
  <c r="AW92" i="20"/>
  <c r="AW93" i="20"/>
  <c r="AW94" i="20"/>
  <c r="AW95" i="20"/>
  <c r="AW96" i="20"/>
  <c r="AW97" i="20"/>
  <c r="AW98" i="20"/>
  <c r="AW99" i="20"/>
  <c r="AW100" i="20"/>
  <c r="AW101" i="20"/>
  <c r="AW102" i="20"/>
  <c r="AW103" i="20"/>
  <c r="AW104" i="20"/>
  <c r="AW105" i="20"/>
  <c r="AW106" i="20"/>
  <c r="AW107" i="20"/>
  <c r="AW108" i="20"/>
  <c r="AW109" i="20"/>
  <c r="AW110" i="20"/>
  <c r="AW111" i="20"/>
  <c r="AW112" i="20"/>
  <c r="AW113" i="20"/>
  <c r="AW114" i="20"/>
  <c r="AW115" i="20"/>
  <c r="AW116" i="20"/>
  <c r="AW117" i="20"/>
  <c r="AW118" i="20"/>
  <c r="AW119" i="20"/>
  <c r="AW120" i="20"/>
  <c r="AW121" i="20"/>
  <c r="AW122" i="20"/>
  <c r="AW123" i="20"/>
  <c r="AW124" i="20"/>
  <c r="AW125" i="20"/>
  <c r="AW126" i="20"/>
  <c r="AW127" i="20"/>
  <c r="AW128" i="20"/>
  <c r="AW129" i="20"/>
  <c r="AW130" i="20"/>
  <c r="AW131" i="20"/>
  <c r="AW132" i="20"/>
  <c r="AW133" i="20"/>
  <c r="AW134" i="20"/>
  <c r="AW135" i="20"/>
  <c r="AW136" i="20"/>
  <c r="AW137" i="20"/>
  <c r="AW138" i="20"/>
  <c r="AW139" i="20"/>
  <c r="AW140" i="20"/>
  <c r="AW141" i="20"/>
  <c r="AW142" i="20"/>
  <c r="AW143" i="20"/>
  <c r="AW144" i="20"/>
  <c r="AW145" i="20"/>
  <c r="AW146" i="20"/>
  <c r="AW147" i="20"/>
  <c r="AW148" i="20"/>
  <c r="AW149" i="20"/>
  <c r="AW150" i="20"/>
  <c r="AW151" i="20"/>
  <c r="AW152" i="20"/>
  <c r="AW153" i="20"/>
  <c r="AW154" i="20"/>
  <c r="AW155" i="20"/>
  <c r="AW156" i="20"/>
  <c r="AW157" i="20"/>
  <c r="AW158" i="20"/>
  <c r="AW159" i="20"/>
  <c r="AW160" i="20"/>
  <c r="AW161" i="20"/>
  <c r="AW162" i="20"/>
  <c r="AW163" i="20"/>
  <c r="AW164" i="20"/>
  <c r="AW165" i="20"/>
  <c r="AW166" i="20"/>
  <c r="AW167" i="20"/>
  <c r="AW168" i="20"/>
  <c r="AW169" i="20"/>
  <c r="AW170" i="20"/>
  <c r="AV4" i="20"/>
  <c r="AV5" i="20"/>
  <c r="AV6" i="20"/>
  <c r="AV7" i="20"/>
  <c r="AV8" i="20"/>
  <c r="AV9" i="20"/>
  <c r="AV10" i="20"/>
  <c r="AV11" i="20"/>
  <c r="AV12" i="20"/>
  <c r="AV13" i="20"/>
  <c r="AV14" i="20"/>
  <c r="AV15" i="20"/>
  <c r="AV16" i="20"/>
  <c r="AV17" i="20"/>
  <c r="AV18" i="20"/>
  <c r="AV19" i="20"/>
  <c r="AV20" i="20"/>
  <c r="AV21" i="20"/>
  <c r="AV22" i="20"/>
  <c r="AV23" i="20"/>
  <c r="AV24" i="20"/>
  <c r="AV25" i="20"/>
  <c r="AV26" i="20"/>
  <c r="AV27" i="20"/>
  <c r="AV28" i="20"/>
  <c r="AV29" i="20"/>
  <c r="AV30" i="20"/>
  <c r="AV31" i="20"/>
  <c r="AV32" i="20"/>
  <c r="AV33" i="20"/>
  <c r="AV34" i="20"/>
  <c r="AV35" i="20"/>
  <c r="AV36" i="20"/>
  <c r="AV37" i="20"/>
  <c r="AV38" i="20"/>
  <c r="AV39" i="20"/>
  <c r="AV40" i="20"/>
  <c r="AV41" i="20"/>
  <c r="AV42" i="20"/>
  <c r="AV43" i="20"/>
  <c r="AV44" i="20"/>
  <c r="AV45" i="20"/>
  <c r="AV46" i="20"/>
  <c r="AV47" i="20"/>
  <c r="AV48" i="20"/>
  <c r="AV49" i="20"/>
  <c r="AV50" i="20"/>
  <c r="AV51" i="20"/>
  <c r="AV52" i="20"/>
  <c r="AV53" i="20"/>
  <c r="AV54" i="20"/>
  <c r="AV55" i="20"/>
  <c r="AV56" i="20"/>
  <c r="AV57" i="20"/>
  <c r="AV58" i="20"/>
  <c r="AV59" i="20"/>
  <c r="AV60" i="20"/>
  <c r="AV61" i="20"/>
  <c r="AV62" i="20"/>
  <c r="AV63" i="20"/>
  <c r="AV64" i="20"/>
  <c r="AV65" i="20"/>
  <c r="AV66" i="20"/>
  <c r="AV67" i="20"/>
  <c r="AV68" i="20"/>
  <c r="AV69" i="20"/>
  <c r="AV70" i="20"/>
  <c r="AV71" i="20"/>
  <c r="AV72" i="20"/>
  <c r="AV73" i="20"/>
  <c r="AV74" i="20"/>
  <c r="AV75" i="20"/>
  <c r="AV76" i="20"/>
  <c r="AV77" i="20"/>
  <c r="AV78" i="20"/>
  <c r="AV79" i="20"/>
  <c r="AV80" i="20"/>
  <c r="AV81" i="20"/>
  <c r="AV82" i="20"/>
  <c r="AV83" i="20"/>
  <c r="AV84" i="20"/>
  <c r="AV85" i="20"/>
  <c r="AV86" i="20"/>
  <c r="AV87" i="20"/>
  <c r="AV88" i="20"/>
  <c r="AV89" i="20"/>
  <c r="AV90" i="20"/>
  <c r="AV91" i="20"/>
  <c r="AV92" i="20"/>
  <c r="AV93" i="20"/>
  <c r="AV94" i="20"/>
  <c r="AV95" i="20"/>
  <c r="AV96" i="20"/>
  <c r="AV97" i="20"/>
  <c r="AV98" i="20"/>
  <c r="AV99" i="20"/>
  <c r="AV100" i="20"/>
  <c r="AV101" i="20"/>
  <c r="AV102" i="20"/>
  <c r="AV103" i="20"/>
  <c r="AV104" i="20"/>
  <c r="AV105" i="20"/>
  <c r="AV106" i="20"/>
  <c r="AV107" i="20"/>
  <c r="AV108" i="20"/>
  <c r="AV109" i="20"/>
  <c r="AV110" i="20"/>
  <c r="AV111" i="20"/>
  <c r="AV112" i="20"/>
  <c r="AV113" i="20"/>
  <c r="AV114" i="20"/>
  <c r="AV115" i="20"/>
  <c r="AV116" i="20"/>
  <c r="AV117" i="20"/>
  <c r="AV118" i="20"/>
  <c r="AV119" i="20"/>
  <c r="AV120" i="20"/>
  <c r="AV121" i="20"/>
  <c r="AV122" i="20"/>
  <c r="AV123" i="20"/>
  <c r="AV124" i="20"/>
  <c r="AV125" i="20"/>
  <c r="AV126" i="20"/>
  <c r="AV127" i="20"/>
  <c r="AV128" i="20"/>
  <c r="AV129" i="20"/>
  <c r="AV130" i="20"/>
  <c r="AV131" i="20"/>
  <c r="AV132" i="20"/>
  <c r="AV133" i="20"/>
  <c r="AV134" i="20"/>
  <c r="AV135" i="20"/>
  <c r="AV136" i="20"/>
  <c r="AV137" i="20"/>
  <c r="AV138" i="20"/>
  <c r="AV139" i="20"/>
  <c r="AV140" i="20"/>
  <c r="AV141" i="20"/>
  <c r="AV142" i="20"/>
  <c r="AV143" i="20"/>
  <c r="AV144" i="20"/>
  <c r="AV145" i="20"/>
  <c r="AV146" i="20"/>
  <c r="AV147" i="20"/>
  <c r="AV148" i="20"/>
  <c r="AV149" i="20"/>
  <c r="AV150" i="20"/>
  <c r="AV151" i="20"/>
  <c r="AV152" i="20"/>
  <c r="AV153" i="20"/>
  <c r="AV154" i="20"/>
  <c r="AV155" i="20"/>
  <c r="AV156" i="20"/>
  <c r="AV157" i="20"/>
  <c r="AV158" i="20"/>
  <c r="AV159" i="20"/>
  <c r="AV160" i="20"/>
  <c r="AV161" i="20"/>
  <c r="AV162" i="20"/>
  <c r="AV163" i="20"/>
  <c r="AV164" i="20"/>
  <c r="AV165" i="20"/>
  <c r="AV166" i="20"/>
  <c r="AV167" i="20"/>
  <c r="AV168" i="20"/>
  <c r="AV169" i="20"/>
  <c r="AV170" i="20"/>
  <c r="AU4" i="20"/>
  <c r="AU5" i="20"/>
  <c r="AU6" i="20"/>
  <c r="AU7" i="20"/>
  <c r="AU8" i="20"/>
  <c r="AU9" i="20"/>
  <c r="AU10" i="20"/>
  <c r="AU11" i="20"/>
  <c r="AU12" i="20"/>
  <c r="AU13" i="20"/>
  <c r="AU14" i="20"/>
  <c r="AU15" i="20"/>
  <c r="AU16" i="20"/>
  <c r="AU17" i="20"/>
  <c r="AU18" i="20"/>
  <c r="AU19" i="20"/>
  <c r="AU20" i="20"/>
  <c r="AU21" i="20"/>
  <c r="AU22" i="20"/>
  <c r="AU23" i="20"/>
  <c r="AU24" i="20"/>
  <c r="AU25" i="20"/>
  <c r="AU26" i="20"/>
  <c r="AU27" i="20"/>
  <c r="AU28" i="20"/>
  <c r="AU29" i="20"/>
  <c r="AU30" i="20"/>
  <c r="AU31" i="20"/>
  <c r="AU32" i="20"/>
  <c r="AU33" i="20"/>
  <c r="AU34" i="20"/>
  <c r="AU35" i="20"/>
  <c r="AU36" i="20"/>
  <c r="AU37" i="20"/>
  <c r="AU38" i="20"/>
  <c r="AU39" i="20"/>
  <c r="AU40" i="20"/>
  <c r="AU41" i="20"/>
  <c r="AU42" i="20"/>
  <c r="AU43" i="20"/>
  <c r="AU44" i="20"/>
  <c r="AU45" i="20"/>
  <c r="AU46" i="20"/>
  <c r="AU47" i="20"/>
  <c r="AU48" i="20"/>
  <c r="AU49" i="20"/>
  <c r="AU50" i="20"/>
  <c r="AU51" i="20"/>
  <c r="AU52" i="20"/>
  <c r="AU53" i="20"/>
  <c r="AU54" i="20"/>
  <c r="AU55" i="20"/>
  <c r="AU56" i="20"/>
  <c r="AU57" i="20"/>
  <c r="AU58" i="20"/>
  <c r="AU59" i="20"/>
  <c r="AU60" i="20"/>
  <c r="AU61" i="20"/>
  <c r="AU62" i="20"/>
  <c r="AU63" i="20"/>
  <c r="AU64" i="20"/>
  <c r="AU65" i="20"/>
  <c r="AU66" i="20"/>
  <c r="AU67" i="20"/>
  <c r="AU68" i="20"/>
  <c r="AU69" i="20"/>
  <c r="AU70" i="20"/>
  <c r="AU71" i="20"/>
  <c r="AU72" i="20"/>
  <c r="AU73" i="20"/>
  <c r="AU74" i="20"/>
  <c r="AU75" i="20"/>
  <c r="AU76" i="20"/>
  <c r="AU77" i="20"/>
  <c r="AU78" i="20"/>
  <c r="AU79" i="20"/>
  <c r="AU80" i="20"/>
  <c r="AU81" i="20"/>
  <c r="AU82" i="20"/>
  <c r="AU83" i="20"/>
  <c r="AU84" i="20"/>
  <c r="AU85" i="20"/>
  <c r="AU86" i="20"/>
  <c r="AU87" i="20"/>
  <c r="AU88" i="20"/>
  <c r="AU89" i="20"/>
  <c r="AU90" i="20"/>
  <c r="AU91" i="20"/>
  <c r="AU92" i="20"/>
  <c r="AU93" i="20"/>
  <c r="AU94" i="20"/>
  <c r="AU95" i="20"/>
  <c r="AU96" i="20"/>
  <c r="AU97" i="20"/>
  <c r="AU98" i="20"/>
  <c r="AU99" i="20"/>
  <c r="AU100" i="20"/>
  <c r="AU101" i="20"/>
  <c r="AU102" i="20"/>
  <c r="AU103" i="20"/>
  <c r="AU104" i="20"/>
  <c r="AU105" i="20"/>
  <c r="AU106" i="20"/>
  <c r="AU107" i="20"/>
  <c r="AU108" i="20"/>
  <c r="AU109" i="20"/>
  <c r="AU110" i="20"/>
  <c r="AU111" i="20"/>
  <c r="AU112" i="20"/>
  <c r="AU113" i="20"/>
  <c r="AU114" i="20"/>
  <c r="AU115" i="20"/>
  <c r="AU116" i="20"/>
  <c r="AU117" i="20"/>
  <c r="AU118" i="20"/>
  <c r="AU119" i="20"/>
  <c r="AU120" i="20"/>
  <c r="AU121" i="20"/>
  <c r="AU122" i="20"/>
  <c r="AU123" i="20"/>
  <c r="AU124" i="20"/>
  <c r="AU125" i="20"/>
  <c r="AU126" i="20"/>
  <c r="AU127" i="20"/>
  <c r="AU128" i="20"/>
  <c r="AU129" i="20"/>
  <c r="AU130" i="20"/>
  <c r="AU131" i="20"/>
  <c r="AU132" i="20"/>
  <c r="AU133" i="20"/>
  <c r="AU134" i="20"/>
  <c r="AU135" i="20"/>
  <c r="AU136" i="20"/>
  <c r="AU137" i="20"/>
  <c r="AU138" i="20"/>
  <c r="AU139" i="20"/>
  <c r="AU140" i="20"/>
  <c r="AU141" i="20"/>
  <c r="AU142" i="20"/>
  <c r="AU143" i="20"/>
  <c r="AU144" i="20"/>
  <c r="AU145" i="20"/>
  <c r="AU146" i="20"/>
  <c r="AU147" i="20"/>
  <c r="AU148" i="20"/>
  <c r="AU149" i="20"/>
  <c r="AU150" i="20"/>
  <c r="AU151" i="20"/>
  <c r="AU152" i="20"/>
  <c r="AU153" i="20"/>
  <c r="AU154" i="20"/>
  <c r="AU155" i="20"/>
  <c r="AU156" i="20"/>
  <c r="AU157" i="20"/>
  <c r="AU158" i="20"/>
  <c r="AU159" i="20"/>
  <c r="AU160" i="20"/>
  <c r="AU161" i="20"/>
  <c r="AU162" i="20"/>
  <c r="AU163" i="20"/>
  <c r="AU164" i="20"/>
  <c r="AU165" i="20"/>
  <c r="AU166" i="20"/>
  <c r="AU167" i="20"/>
  <c r="AU168" i="20"/>
  <c r="AU169" i="20"/>
  <c r="AU170" i="20"/>
  <c r="AW3" i="20"/>
  <c r="AV3" i="20"/>
  <c r="AU3" i="20"/>
  <c r="AP4" i="20" l="1"/>
  <c r="AP5" i="20"/>
  <c r="AP6" i="20"/>
  <c r="AP7" i="20"/>
  <c r="AP8" i="20"/>
  <c r="AP9" i="20"/>
  <c r="AP10" i="20"/>
  <c r="AP11" i="20"/>
  <c r="AP12" i="20"/>
  <c r="AP13" i="20"/>
  <c r="AP14" i="20"/>
  <c r="AP15" i="20"/>
  <c r="AP16" i="20"/>
  <c r="AP17" i="20"/>
  <c r="AP18" i="20"/>
  <c r="AP19" i="20"/>
  <c r="AP20" i="20"/>
  <c r="AP21" i="20"/>
  <c r="AP22" i="20"/>
  <c r="AP23" i="20"/>
  <c r="AP24" i="20"/>
  <c r="AP25" i="20"/>
  <c r="AP26" i="20"/>
  <c r="AP27" i="20"/>
  <c r="AP28" i="20"/>
  <c r="AP29" i="20"/>
  <c r="AP30" i="20"/>
  <c r="AP31" i="20"/>
  <c r="AP32" i="20"/>
  <c r="AP33" i="20"/>
  <c r="AP34" i="20"/>
  <c r="AP35" i="20"/>
  <c r="AP36" i="20"/>
  <c r="AP37" i="20"/>
  <c r="AP38" i="20"/>
  <c r="AP39" i="20"/>
  <c r="AP40" i="20"/>
  <c r="AP41" i="20"/>
  <c r="AP42" i="20"/>
  <c r="AP43" i="20"/>
  <c r="AP44" i="20"/>
  <c r="AP45" i="20"/>
  <c r="AP46" i="20"/>
  <c r="AP47" i="20"/>
  <c r="AP48" i="20"/>
  <c r="AP49" i="20"/>
  <c r="AP50" i="20"/>
  <c r="AP51" i="20"/>
  <c r="AP52" i="20"/>
  <c r="AP53" i="20"/>
  <c r="AP54" i="20"/>
  <c r="AP55" i="20"/>
  <c r="AP56" i="20"/>
  <c r="AP57" i="20"/>
  <c r="AP58" i="20"/>
  <c r="AP59" i="20"/>
  <c r="AP60" i="20"/>
  <c r="AP61" i="20"/>
  <c r="AP62" i="20"/>
  <c r="AP63" i="20"/>
  <c r="AP64" i="20"/>
  <c r="AP65" i="20"/>
  <c r="AP66" i="20"/>
  <c r="AP67" i="20"/>
  <c r="AP68" i="20"/>
  <c r="AP69" i="20"/>
  <c r="AP70" i="20"/>
  <c r="AP71" i="20"/>
  <c r="AP72" i="20"/>
  <c r="AP73" i="20"/>
  <c r="AP74" i="20"/>
  <c r="AP75" i="20"/>
  <c r="AP76" i="20"/>
  <c r="AP77" i="20"/>
  <c r="AP78" i="20"/>
  <c r="AP79" i="20"/>
  <c r="AP80" i="20"/>
  <c r="AP81" i="20"/>
  <c r="AP82" i="20"/>
  <c r="AP83" i="20"/>
  <c r="AP84" i="20"/>
  <c r="AP85" i="20"/>
  <c r="AP86" i="20"/>
  <c r="AP87" i="20"/>
  <c r="AP88" i="20"/>
  <c r="AP89" i="20"/>
  <c r="AP90" i="20"/>
  <c r="AP91" i="20"/>
  <c r="AP92" i="20"/>
  <c r="AP93" i="20"/>
  <c r="AP94" i="20"/>
  <c r="AP95" i="20"/>
  <c r="AP96" i="20"/>
  <c r="AP97" i="20"/>
  <c r="AP98" i="20"/>
  <c r="AP99" i="20"/>
  <c r="AP100" i="20"/>
  <c r="AP101" i="20"/>
  <c r="AP102" i="20"/>
  <c r="AP103" i="20"/>
  <c r="AP104" i="20"/>
  <c r="AP105" i="20"/>
  <c r="AP106" i="20"/>
  <c r="AP107" i="20"/>
  <c r="AP108" i="20"/>
  <c r="AP109" i="20"/>
  <c r="AP110" i="20"/>
  <c r="AP111" i="20"/>
  <c r="AP112" i="20"/>
  <c r="AP113" i="20"/>
  <c r="AP114" i="20"/>
  <c r="AP115" i="20"/>
  <c r="AP116" i="20"/>
  <c r="AP117" i="20"/>
  <c r="AP118" i="20"/>
  <c r="AP119" i="20"/>
  <c r="AP120" i="20"/>
  <c r="AP121" i="20"/>
  <c r="AP122" i="20"/>
  <c r="AP123" i="20"/>
  <c r="AP124" i="20"/>
  <c r="AP125" i="20"/>
  <c r="AP126" i="20"/>
  <c r="AP127" i="20"/>
  <c r="AP128" i="20"/>
  <c r="AP129" i="20"/>
  <c r="AP130" i="20"/>
  <c r="AP131" i="20"/>
  <c r="AP132" i="20"/>
  <c r="AP133" i="20"/>
  <c r="AP134" i="20"/>
  <c r="AP135" i="20"/>
  <c r="AP136" i="20"/>
  <c r="AP137" i="20"/>
  <c r="AP138" i="20"/>
  <c r="AP139" i="20"/>
  <c r="AP140" i="20"/>
  <c r="AP141" i="20"/>
  <c r="AP142" i="20"/>
  <c r="AP143" i="20"/>
  <c r="AP144" i="20"/>
  <c r="AP145" i="20"/>
  <c r="AP146" i="20"/>
  <c r="AP147" i="20"/>
  <c r="AP148" i="20"/>
  <c r="AP149" i="20"/>
  <c r="AP150" i="20"/>
  <c r="AP151" i="20"/>
  <c r="AP152" i="20"/>
  <c r="AP153" i="20"/>
  <c r="AP154" i="20"/>
  <c r="AP155" i="20"/>
  <c r="AP156" i="20"/>
  <c r="AP157" i="20"/>
  <c r="AP158" i="20"/>
  <c r="AP159" i="20"/>
  <c r="AP160" i="20"/>
  <c r="AP161" i="20"/>
  <c r="AP162" i="20"/>
  <c r="AP163" i="20"/>
  <c r="AP164" i="20"/>
  <c r="AP165" i="20"/>
  <c r="AP166" i="20"/>
  <c r="AP167" i="20"/>
  <c r="AP168" i="20"/>
  <c r="AP169" i="20"/>
  <c r="AP170" i="20"/>
  <c r="AP3" i="20"/>
  <c r="AN4" i="20"/>
  <c r="AN5" i="20"/>
  <c r="AN6" i="20"/>
  <c r="AN7" i="20"/>
  <c r="AN8" i="20"/>
  <c r="AN9" i="20"/>
  <c r="AN10" i="20"/>
  <c r="AN11" i="20"/>
  <c r="AN12" i="20"/>
  <c r="AN13" i="20"/>
  <c r="AN14" i="20"/>
  <c r="AN15" i="20"/>
  <c r="AN16" i="20"/>
  <c r="AN17" i="20"/>
  <c r="AN18" i="20"/>
  <c r="AN19" i="20"/>
  <c r="AN20" i="20"/>
  <c r="AN21" i="20"/>
  <c r="AN22" i="20"/>
  <c r="AN23" i="20"/>
  <c r="AN24" i="20"/>
  <c r="AN25" i="20"/>
  <c r="AN26" i="20"/>
  <c r="AN27" i="20"/>
  <c r="AN28" i="20"/>
  <c r="AN29" i="20"/>
  <c r="AN30" i="20"/>
  <c r="AN31" i="20"/>
  <c r="AN32" i="20"/>
  <c r="AN33" i="20"/>
  <c r="AN34" i="20"/>
  <c r="AN35" i="20"/>
  <c r="AN36" i="20"/>
  <c r="AN37" i="20"/>
  <c r="AN38" i="20"/>
  <c r="AN39" i="20"/>
  <c r="AN40" i="20"/>
  <c r="AN41" i="20"/>
  <c r="AN42" i="20"/>
  <c r="AN43" i="20"/>
  <c r="AN44" i="20"/>
  <c r="AN45" i="20"/>
  <c r="AN46" i="20"/>
  <c r="AN47" i="20"/>
  <c r="AN48" i="20"/>
  <c r="AN49" i="20"/>
  <c r="AN50" i="20"/>
  <c r="AN51" i="20"/>
  <c r="AN52" i="20"/>
  <c r="AN53" i="20"/>
  <c r="AN54" i="20"/>
  <c r="AN55" i="20"/>
  <c r="AN56" i="20"/>
  <c r="AN57" i="20"/>
  <c r="AN58" i="20"/>
  <c r="AN59" i="20"/>
  <c r="AN60" i="20"/>
  <c r="AN61" i="20"/>
  <c r="AN62" i="20"/>
  <c r="AN63" i="20"/>
  <c r="AN64" i="20"/>
  <c r="AN65" i="20"/>
  <c r="AN66" i="20"/>
  <c r="AN67" i="20"/>
  <c r="AN68" i="20"/>
  <c r="AN69" i="20"/>
  <c r="AN70" i="20"/>
  <c r="AN71" i="20"/>
  <c r="AN72" i="20"/>
  <c r="AN73" i="20"/>
  <c r="AN74" i="20"/>
  <c r="AN75" i="20"/>
  <c r="AN76" i="20"/>
  <c r="AN77" i="20"/>
  <c r="AN78" i="20"/>
  <c r="AN79" i="20"/>
  <c r="AN80" i="20"/>
  <c r="AN81" i="20"/>
  <c r="AN82" i="20"/>
  <c r="AN83" i="20"/>
  <c r="AN84" i="20"/>
  <c r="AN85" i="20"/>
  <c r="AN86" i="20"/>
  <c r="AN87" i="20"/>
  <c r="AN88" i="20"/>
  <c r="AN89" i="20"/>
  <c r="AN90" i="20"/>
  <c r="AN91" i="20"/>
  <c r="AN92" i="20"/>
  <c r="AN93" i="20"/>
  <c r="AN94" i="20"/>
  <c r="AN95" i="20"/>
  <c r="AN96" i="20"/>
  <c r="AN97" i="20"/>
  <c r="AN98" i="20"/>
  <c r="AN99" i="20"/>
  <c r="AN100" i="20"/>
  <c r="AN101" i="20"/>
  <c r="AN102" i="20"/>
  <c r="AN103" i="20"/>
  <c r="AN104" i="20"/>
  <c r="AN105" i="20"/>
  <c r="AN106" i="20"/>
  <c r="AN107" i="20"/>
  <c r="AN108" i="20"/>
  <c r="AN109" i="20"/>
  <c r="AN110" i="20"/>
  <c r="AN111" i="20"/>
  <c r="AN112" i="20"/>
  <c r="AN113" i="20"/>
  <c r="AN114" i="20"/>
  <c r="AN115" i="20"/>
  <c r="AN116" i="20"/>
  <c r="AN117" i="20"/>
  <c r="AN118" i="20"/>
  <c r="AN119" i="20"/>
  <c r="AN120" i="20"/>
  <c r="AN121" i="20"/>
  <c r="AN122" i="20"/>
  <c r="AN123" i="20"/>
  <c r="AN124" i="20"/>
  <c r="AN125" i="20"/>
  <c r="AN126" i="20"/>
  <c r="AN127" i="20"/>
  <c r="AN128" i="20"/>
  <c r="AN129" i="20"/>
  <c r="AN130" i="20"/>
  <c r="AN131" i="20"/>
  <c r="AN132" i="20"/>
  <c r="AN133" i="20"/>
  <c r="AN134" i="20"/>
  <c r="AN135" i="20"/>
  <c r="AN136" i="20"/>
  <c r="AN137" i="20"/>
  <c r="AN138" i="20"/>
  <c r="AN139" i="20"/>
  <c r="AN140" i="20"/>
  <c r="AN141" i="20"/>
  <c r="AN142" i="20"/>
  <c r="AN143" i="20"/>
  <c r="AN144" i="20"/>
  <c r="AN145" i="20"/>
  <c r="AN146" i="20"/>
  <c r="AN147" i="20"/>
  <c r="AN148" i="20"/>
  <c r="AN149" i="20"/>
  <c r="AN150" i="20"/>
  <c r="AN151" i="20"/>
  <c r="AN152" i="20"/>
  <c r="AN153" i="20"/>
  <c r="AN154" i="20"/>
  <c r="AN155" i="20"/>
  <c r="AN156" i="20"/>
  <c r="AN157" i="20"/>
  <c r="AN158" i="20"/>
  <c r="AN159" i="20"/>
  <c r="AN160" i="20"/>
  <c r="AN161" i="20"/>
  <c r="AN162" i="20"/>
  <c r="AN163" i="20"/>
  <c r="AN164" i="20"/>
  <c r="AN165" i="20"/>
  <c r="AN166" i="20"/>
  <c r="AN167" i="20"/>
  <c r="AN168" i="20"/>
  <c r="AN169" i="20"/>
  <c r="AN170" i="20"/>
  <c r="AN3" i="20"/>
  <c r="BO4" i="20"/>
  <c r="BO5" i="20"/>
  <c r="BO6" i="20"/>
  <c r="BO7" i="20"/>
  <c r="BO8" i="20"/>
  <c r="BO9" i="20"/>
  <c r="BO10" i="20"/>
  <c r="BO11" i="20"/>
  <c r="BO12" i="20"/>
  <c r="BO13" i="20"/>
  <c r="BO14" i="20"/>
  <c r="BO15" i="20"/>
  <c r="BO16" i="20"/>
  <c r="BO17" i="20"/>
  <c r="BO18" i="20"/>
  <c r="BO19" i="20"/>
  <c r="BO20" i="20"/>
  <c r="BO21" i="20"/>
  <c r="BO22" i="20"/>
  <c r="BO23" i="20"/>
  <c r="BO24" i="20"/>
  <c r="BO25" i="20"/>
  <c r="BO26" i="20"/>
  <c r="BO27" i="20"/>
  <c r="BO28" i="20"/>
  <c r="BO29" i="20"/>
  <c r="BO30" i="20"/>
  <c r="BO31" i="20"/>
  <c r="BO32" i="20"/>
  <c r="BO33" i="20"/>
  <c r="BO34" i="20"/>
  <c r="BO35" i="20"/>
  <c r="BO36" i="20"/>
  <c r="BO37" i="20"/>
  <c r="BO38" i="20"/>
  <c r="BO39" i="20"/>
  <c r="BO40" i="20"/>
  <c r="BO41" i="20"/>
  <c r="BO42" i="20"/>
  <c r="BO43" i="20"/>
  <c r="BO44" i="20"/>
  <c r="BO45" i="20"/>
  <c r="BO46" i="20"/>
  <c r="BO47" i="20"/>
  <c r="BO48" i="20"/>
  <c r="BO49" i="20"/>
  <c r="BO50" i="20"/>
  <c r="BO51" i="20"/>
  <c r="BO52" i="20"/>
  <c r="BO53" i="20"/>
  <c r="BO54" i="20"/>
  <c r="BO55" i="20"/>
  <c r="BO56" i="20"/>
  <c r="BO57" i="20"/>
  <c r="BO58" i="20"/>
  <c r="BO59" i="20"/>
  <c r="BO60" i="20"/>
  <c r="BO61" i="20"/>
  <c r="BO62" i="20"/>
  <c r="BO63" i="20"/>
  <c r="BO64" i="20"/>
  <c r="BO65" i="20"/>
  <c r="BO66" i="20"/>
  <c r="BO67" i="20"/>
  <c r="BO68" i="20"/>
  <c r="BO69" i="20"/>
  <c r="BO70" i="20"/>
  <c r="BO71" i="20"/>
  <c r="BO72" i="20"/>
  <c r="BO73" i="20"/>
  <c r="BO74" i="20"/>
  <c r="BO75" i="20"/>
  <c r="BO76" i="20"/>
  <c r="BO77" i="20"/>
  <c r="BO78" i="20"/>
  <c r="BO79" i="20"/>
  <c r="BO80" i="20"/>
  <c r="BO81" i="20"/>
  <c r="BO82" i="20"/>
  <c r="BO83" i="20"/>
  <c r="BO84" i="20"/>
  <c r="BO85" i="20"/>
  <c r="BO86" i="20"/>
  <c r="BO87" i="20"/>
  <c r="BO88" i="20"/>
  <c r="BO89" i="20"/>
  <c r="BO90" i="20"/>
  <c r="BO91" i="20"/>
  <c r="BO92" i="20"/>
  <c r="BO93" i="20"/>
  <c r="BO94" i="20"/>
  <c r="BO95" i="20"/>
  <c r="BO96" i="20"/>
  <c r="BO97" i="20"/>
  <c r="BO98" i="20"/>
  <c r="BO99" i="20"/>
  <c r="BO100" i="20"/>
  <c r="BO101" i="20"/>
  <c r="BO102" i="20"/>
  <c r="BO103" i="20"/>
  <c r="BO104" i="20"/>
  <c r="BO105" i="20"/>
  <c r="BO106" i="20"/>
  <c r="BO107" i="20"/>
  <c r="BO108" i="20"/>
  <c r="BO109" i="20"/>
  <c r="BO110" i="20"/>
  <c r="BO111" i="20"/>
  <c r="BO112" i="20"/>
  <c r="BO113" i="20"/>
  <c r="BO114" i="20"/>
  <c r="BO115" i="20"/>
  <c r="BO116" i="20"/>
  <c r="BO117" i="20"/>
  <c r="BO118" i="20"/>
  <c r="BO119" i="20"/>
  <c r="BO120" i="20"/>
  <c r="BO121" i="20"/>
  <c r="BO122" i="20"/>
  <c r="BO123" i="20"/>
  <c r="BO124" i="20"/>
  <c r="BO125" i="20"/>
  <c r="BO126" i="20"/>
  <c r="BO127" i="20"/>
  <c r="BO128" i="20"/>
  <c r="BO129" i="20"/>
  <c r="BO130" i="20"/>
  <c r="BO131" i="20"/>
  <c r="BO132" i="20"/>
  <c r="BO133" i="20"/>
  <c r="BO134" i="20"/>
  <c r="BO135" i="20"/>
  <c r="BO136" i="20"/>
  <c r="BO137" i="20"/>
  <c r="BO138" i="20"/>
  <c r="BO139" i="20"/>
  <c r="BO140" i="20"/>
  <c r="BO141" i="20"/>
  <c r="BO142" i="20"/>
  <c r="BO143" i="20"/>
  <c r="BO144" i="20"/>
  <c r="BO145" i="20"/>
  <c r="BO146" i="20"/>
  <c r="BO147" i="20"/>
  <c r="BO148" i="20"/>
  <c r="BO149" i="20"/>
  <c r="BO150" i="20"/>
  <c r="BO151" i="20"/>
  <c r="BO152" i="20"/>
  <c r="BO153" i="20"/>
  <c r="BO154" i="20"/>
  <c r="BO155" i="20"/>
  <c r="BO156" i="20"/>
  <c r="BO157" i="20"/>
  <c r="BO158" i="20"/>
  <c r="BO159" i="20"/>
  <c r="BO160" i="20"/>
  <c r="BO161" i="20"/>
  <c r="BO162" i="20"/>
  <c r="BO163" i="20"/>
  <c r="BO164" i="20"/>
  <c r="BO165" i="20"/>
  <c r="BO166" i="20"/>
  <c r="BO167" i="20"/>
  <c r="BO168" i="20"/>
  <c r="BO169" i="20"/>
  <c r="BO170" i="20"/>
  <c r="BO3" i="20"/>
  <c r="BE4" i="20"/>
  <c r="BE5" i="20"/>
  <c r="BE6" i="20"/>
  <c r="BE7" i="20"/>
  <c r="BE8" i="20"/>
  <c r="BE9" i="20"/>
  <c r="BE10" i="20"/>
  <c r="BE11" i="20"/>
  <c r="BE12" i="20"/>
  <c r="BE13" i="20"/>
  <c r="BE14" i="20"/>
  <c r="BE15" i="20"/>
  <c r="BE16" i="20"/>
  <c r="BE17" i="20"/>
  <c r="BE18" i="20"/>
  <c r="BE19" i="20"/>
  <c r="BE20" i="20"/>
  <c r="BE21" i="20"/>
  <c r="BE22" i="20"/>
  <c r="BE23" i="20"/>
  <c r="BE24" i="20"/>
  <c r="BE25" i="20"/>
  <c r="BE26" i="20"/>
  <c r="BE27" i="20"/>
  <c r="BE28" i="20"/>
  <c r="BE29" i="20"/>
  <c r="BE30" i="20"/>
  <c r="BE31" i="20"/>
  <c r="BE32" i="20"/>
  <c r="BE33" i="20"/>
  <c r="BE34" i="20"/>
  <c r="BE35" i="20"/>
  <c r="BE36" i="20"/>
  <c r="BE37" i="20"/>
  <c r="BE38" i="20"/>
  <c r="BE39" i="20"/>
  <c r="BE40" i="20"/>
  <c r="BE41" i="20"/>
  <c r="BE42" i="20"/>
  <c r="BE43" i="20"/>
  <c r="BE44" i="20"/>
  <c r="BE45" i="20"/>
  <c r="BE46" i="20"/>
  <c r="BE47" i="20"/>
  <c r="BE48" i="20"/>
  <c r="BE49" i="20"/>
  <c r="BE50" i="20"/>
  <c r="BE51" i="20"/>
  <c r="BE52" i="20"/>
  <c r="BE53" i="20"/>
  <c r="BE54" i="20"/>
  <c r="BE55" i="20"/>
  <c r="BE56" i="20"/>
  <c r="BE57" i="20"/>
  <c r="BE58" i="20"/>
  <c r="BE59" i="20"/>
  <c r="BE60" i="20"/>
  <c r="BE61" i="20"/>
  <c r="BE62" i="20"/>
  <c r="BE63" i="20"/>
  <c r="BE64" i="20"/>
  <c r="BE65" i="20"/>
  <c r="BE66" i="20"/>
  <c r="BE67" i="20"/>
  <c r="BE68" i="20"/>
  <c r="BE69" i="20"/>
  <c r="BE70" i="20"/>
  <c r="BE71" i="20"/>
  <c r="BE72" i="20"/>
  <c r="BE73" i="20"/>
  <c r="BE74" i="20"/>
  <c r="BE75" i="20"/>
  <c r="BE76" i="20"/>
  <c r="BE77" i="20"/>
  <c r="BE78" i="20"/>
  <c r="BE79" i="20"/>
  <c r="BE80" i="20"/>
  <c r="BE81" i="20"/>
  <c r="BE82" i="20"/>
  <c r="BE83" i="20"/>
  <c r="BE84" i="20"/>
  <c r="BE85" i="20"/>
  <c r="BE86" i="20"/>
  <c r="BE87" i="20"/>
  <c r="BE88" i="20"/>
  <c r="BE89" i="20"/>
  <c r="BE90" i="20"/>
  <c r="BE91" i="20"/>
  <c r="BE92" i="20"/>
  <c r="BE93" i="20"/>
  <c r="BE94" i="20"/>
  <c r="BE95" i="20"/>
  <c r="BE96" i="20"/>
  <c r="BE97" i="20"/>
  <c r="BE98" i="20"/>
  <c r="BE99" i="20"/>
  <c r="BE100" i="20"/>
  <c r="BE101" i="20"/>
  <c r="BE102" i="20"/>
  <c r="BE103" i="20"/>
  <c r="BE104" i="20"/>
  <c r="BE105" i="20"/>
  <c r="BE106" i="20"/>
  <c r="BE107" i="20"/>
  <c r="BE108" i="20"/>
  <c r="BE109" i="20"/>
  <c r="BE110" i="20"/>
  <c r="BE111" i="20"/>
  <c r="BE112" i="20"/>
  <c r="BE113" i="20"/>
  <c r="BE114" i="20"/>
  <c r="BE115" i="20"/>
  <c r="BE116" i="20"/>
  <c r="BE117" i="20"/>
  <c r="BE118" i="20"/>
  <c r="BE119" i="20"/>
  <c r="BE120" i="20"/>
  <c r="BE121" i="20"/>
  <c r="BE122" i="20"/>
  <c r="BE123" i="20"/>
  <c r="BE124" i="20"/>
  <c r="BE125" i="20"/>
  <c r="BE126" i="20"/>
  <c r="BE127" i="20"/>
  <c r="BE128" i="20"/>
  <c r="BE129" i="20"/>
  <c r="BE130" i="20"/>
  <c r="BE131" i="20"/>
  <c r="BE132" i="20"/>
  <c r="BE133" i="20"/>
  <c r="BE134" i="20"/>
  <c r="BE135" i="20"/>
  <c r="BE136" i="20"/>
  <c r="BE137" i="20"/>
  <c r="BE138" i="20"/>
  <c r="BE139" i="20"/>
  <c r="BE140" i="20"/>
  <c r="BE141" i="20"/>
  <c r="BE142" i="20"/>
  <c r="BE143" i="20"/>
  <c r="BE144" i="20"/>
  <c r="BE145" i="20"/>
  <c r="BE146" i="20"/>
  <c r="BE147" i="20"/>
  <c r="BE148" i="20"/>
  <c r="BE149" i="20"/>
  <c r="BE150" i="20"/>
  <c r="BE151" i="20"/>
  <c r="BE152" i="20"/>
  <c r="BE153" i="20"/>
  <c r="BE154" i="20"/>
  <c r="BE155" i="20"/>
  <c r="BE156" i="20"/>
  <c r="BE157" i="20"/>
  <c r="BE158" i="20"/>
  <c r="BE159" i="20"/>
  <c r="BE160" i="20"/>
  <c r="BE161" i="20"/>
  <c r="BE162" i="20"/>
  <c r="BE163" i="20"/>
  <c r="BE164" i="20"/>
  <c r="BE165" i="20"/>
  <c r="BE166" i="20"/>
  <c r="BE167" i="20"/>
  <c r="BE168" i="20"/>
  <c r="BE169" i="20"/>
  <c r="BE170" i="20"/>
  <c r="BD4" i="20"/>
  <c r="BD5" i="20"/>
  <c r="BD6" i="20"/>
  <c r="BD7" i="20"/>
  <c r="BD8" i="20"/>
  <c r="BD9" i="20"/>
  <c r="BD10" i="20"/>
  <c r="BD11" i="20"/>
  <c r="BD12" i="20"/>
  <c r="BD13" i="20"/>
  <c r="BD14" i="20"/>
  <c r="BD15" i="20"/>
  <c r="BD16" i="20"/>
  <c r="BD17" i="20"/>
  <c r="BD18" i="20"/>
  <c r="BD19" i="20"/>
  <c r="BD20" i="20"/>
  <c r="BD21" i="20"/>
  <c r="BD22" i="20"/>
  <c r="BD23" i="20"/>
  <c r="BD24" i="20"/>
  <c r="BD25" i="20"/>
  <c r="BD26" i="20"/>
  <c r="BD27" i="20"/>
  <c r="BD28" i="20"/>
  <c r="BD29" i="20"/>
  <c r="BD30" i="20"/>
  <c r="BD31" i="20"/>
  <c r="BD32" i="20"/>
  <c r="BD33" i="20"/>
  <c r="BD34" i="20"/>
  <c r="BD35" i="20"/>
  <c r="BD36" i="20"/>
  <c r="BD37" i="20"/>
  <c r="BD38" i="20"/>
  <c r="BD39" i="20"/>
  <c r="BD40" i="20"/>
  <c r="BD41" i="20"/>
  <c r="BD42" i="20"/>
  <c r="BD43" i="20"/>
  <c r="BD44" i="20"/>
  <c r="BD45" i="20"/>
  <c r="BD46" i="20"/>
  <c r="BD47" i="20"/>
  <c r="BD48" i="20"/>
  <c r="BD49" i="20"/>
  <c r="BD50" i="20"/>
  <c r="BD51" i="20"/>
  <c r="BD52" i="20"/>
  <c r="BD53" i="20"/>
  <c r="BD54" i="20"/>
  <c r="BD55" i="20"/>
  <c r="BD56" i="20"/>
  <c r="BD57" i="20"/>
  <c r="BD58" i="20"/>
  <c r="BD59" i="20"/>
  <c r="BD60" i="20"/>
  <c r="BD61" i="20"/>
  <c r="BD62" i="20"/>
  <c r="BD63" i="20"/>
  <c r="BD64" i="20"/>
  <c r="BD65" i="20"/>
  <c r="BD66" i="20"/>
  <c r="BD67" i="20"/>
  <c r="BD68" i="20"/>
  <c r="BD69" i="20"/>
  <c r="BD70" i="20"/>
  <c r="BD71" i="20"/>
  <c r="BD72" i="20"/>
  <c r="BD73" i="20"/>
  <c r="BD74" i="20"/>
  <c r="BD75" i="20"/>
  <c r="BD76" i="20"/>
  <c r="BD77" i="20"/>
  <c r="BD78" i="20"/>
  <c r="BD79" i="20"/>
  <c r="BD80" i="20"/>
  <c r="BD81" i="20"/>
  <c r="BD82" i="20"/>
  <c r="BD83" i="20"/>
  <c r="BD84" i="20"/>
  <c r="BD85" i="20"/>
  <c r="BD86" i="20"/>
  <c r="BD87" i="20"/>
  <c r="BD88" i="20"/>
  <c r="BD89" i="20"/>
  <c r="BD90" i="20"/>
  <c r="BD91" i="20"/>
  <c r="BD92" i="20"/>
  <c r="BD93" i="20"/>
  <c r="BD94" i="20"/>
  <c r="BD95" i="20"/>
  <c r="BD96" i="20"/>
  <c r="BD97" i="20"/>
  <c r="BD98" i="20"/>
  <c r="BD99" i="20"/>
  <c r="BD100" i="20"/>
  <c r="BD101" i="20"/>
  <c r="BD102" i="20"/>
  <c r="BD103" i="20"/>
  <c r="BD104" i="20"/>
  <c r="BD105" i="20"/>
  <c r="BD106" i="20"/>
  <c r="BD107" i="20"/>
  <c r="BD108" i="20"/>
  <c r="BD109" i="20"/>
  <c r="BD110" i="20"/>
  <c r="BD111" i="20"/>
  <c r="BD112" i="20"/>
  <c r="BD113" i="20"/>
  <c r="BD114" i="20"/>
  <c r="BD115" i="20"/>
  <c r="BD116" i="20"/>
  <c r="BD117" i="20"/>
  <c r="BD118" i="20"/>
  <c r="BD119" i="20"/>
  <c r="BD120" i="20"/>
  <c r="BD121" i="20"/>
  <c r="BD122" i="20"/>
  <c r="BD123" i="20"/>
  <c r="BD124" i="20"/>
  <c r="BD125" i="20"/>
  <c r="BD126" i="20"/>
  <c r="BD127" i="20"/>
  <c r="BD128" i="20"/>
  <c r="BD129" i="20"/>
  <c r="BD130" i="20"/>
  <c r="BD131" i="20"/>
  <c r="BD132" i="20"/>
  <c r="BD133" i="20"/>
  <c r="BD134" i="20"/>
  <c r="BD135" i="20"/>
  <c r="BD136" i="20"/>
  <c r="BD137" i="20"/>
  <c r="BD138" i="20"/>
  <c r="BD139" i="20"/>
  <c r="BD140" i="20"/>
  <c r="BD141" i="20"/>
  <c r="BD142" i="20"/>
  <c r="BD143" i="20"/>
  <c r="BD144" i="20"/>
  <c r="BD145" i="20"/>
  <c r="BD146" i="20"/>
  <c r="BD147" i="20"/>
  <c r="BD148" i="20"/>
  <c r="BD149" i="20"/>
  <c r="BD150" i="20"/>
  <c r="BD151" i="20"/>
  <c r="BD152" i="20"/>
  <c r="BD153" i="20"/>
  <c r="BD154" i="20"/>
  <c r="BD155" i="20"/>
  <c r="BD156" i="20"/>
  <c r="BD157" i="20"/>
  <c r="BD158" i="20"/>
  <c r="BD159" i="20"/>
  <c r="BD160" i="20"/>
  <c r="BD161" i="20"/>
  <c r="BD162" i="20"/>
  <c r="BD163" i="20"/>
  <c r="BD164" i="20"/>
  <c r="BD165" i="20"/>
  <c r="BD166" i="20"/>
  <c r="BD167" i="20"/>
  <c r="BD168" i="20"/>
  <c r="BD169" i="20"/>
  <c r="BD170" i="20"/>
  <c r="BE3" i="20"/>
  <c r="BD3" i="20"/>
  <c r="BL4" i="20"/>
  <c r="BL5" i="20"/>
  <c r="BL6" i="20"/>
  <c r="BL7" i="20"/>
  <c r="BL8" i="20"/>
  <c r="BL9" i="20"/>
  <c r="BL10" i="20"/>
  <c r="BL11" i="20"/>
  <c r="BL12" i="20"/>
  <c r="BL13" i="20"/>
  <c r="BL14" i="20"/>
  <c r="BL15" i="20"/>
  <c r="BL16" i="20"/>
  <c r="BL17" i="20"/>
  <c r="BL18" i="20"/>
  <c r="BL19" i="20"/>
  <c r="BL20" i="20"/>
  <c r="BL21" i="20"/>
  <c r="BL22" i="20"/>
  <c r="BL23" i="20"/>
  <c r="BL24" i="20"/>
  <c r="BL25" i="20"/>
  <c r="BL26" i="20"/>
  <c r="BL27" i="20"/>
  <c r="BL28" i="20"/>
  <c r="BL29" i="20"/>
  <c r="BL30" i="20"/>
  <c r="BL31" i="20"/>
  <c r="BL32" i="20"/>
  <c r="BL33" i="20"/>
  <c r="BL34" i="20"/>
  <c r="BL35" i="20"/>
  <c r="BL36" i="20"/>
  <c r="BL37" i="20"/>
  <c r="BL38" i="20"/>
  <c r="BL39" i="20"/>
  <c r="BL40" i="20"/>
  <c r="BL41" i="20"/>
  <c r="BL42" i="20"/>
  <c r="BL43" i="20"/>
  <c r="BL44" i="20"/>
  <c r="BL45" i="20"/>
  <c r="BL46" i="20"/>
  <c r="BL47" i="20"/>
  <c r="BL48" i="20"/>
  <c r="BL49" i="20"/>
  <c r="BL50" i="20"/>
  <c r="BL51" i="20"/>
  <c r="BL52" i="20"/>
  <c r="BL53" i="20"/>
  <c r="BL54" i="20"/>
  <c r="BL55" i="20"/>
  <c r="BL56" i="20"/>
  <c r="BL57" i="20"/>
  <c r="BL58" i="20"/>
  <c r="BL59" i="20"/>
  <c r="BL60" i="20"/>
  <c r="BL61" i="20"/>
  <c r="BL62" i="20"/>
  <c r="BL63" i="20"/>
  <c r="BL64" i="20"/>
  <c r="BL65" i="20"/>
  <c r="BL66" i="20"/>
  <c r="BL67" i="20"/>
  <c r="BL68" i="20"/>
  <c r="BL69" i="20"/>
  <c r="BL70" i="20"/>
  <c r="BL71" i="20"/>
  <c r="BL72" i="20"/>
  <c r="BL73" i="20"/>
  <c r="BL74" i="20"/>
  <c r="BL75" i="20"/>
  <c r="BL76" i="20"/>
  <c r="BL77" i="20"/>
  <c r="BL78" i="20"/>
  <c r="BL79" i="20"/>
  <c r="BL80" i="20"/>
  <c r="BL81" i="20"/>
  <c r="BL82" i="20"/>
  <c r="BL83" i="20"/>
  <c r="BL84" i="20"/>
  <c r="BL85" i="20"/>
  <c r="BL86" i="20"/>
  <c r="BL87" i="20"/>
  <c r="BL88" i="20"/>
  <c r="BL89" i="20"/>
  <c r="BL90" i="20"/>
  <c r="BL91" i="20"/>
  <c r="BL92" i="20"/>
  <c r="BL93" i="20"/>
  <c r="BL94" i="20"/>
  <c r="BL95" i="20"/>
  <c r="BL96" i="20"/>
  <c r="BL97" i="20"/>
  <c r="BL98" i="20"/>
  <c r="BL99" i="20"/>
  <c r="BL100" i="20"/>
  <c r="BL101" i="20"/>
  <c r="BL102" i="20"/>
  <c r="BL103" i="20"/>
  <c r="BL104" i="20"/>
  <c r="BL105" i="20"/>
  <c r="BL106" i="20"/>
  <c r="BL107" i="20"/>
  <c r="BL108" i="20"/>
  <c r="BL109" i="20"/>
  <c r="BL110" i="20"/>
  <c r="BL111" i="20"/>
  <c r="BL112" i="20"/>
  <c r="BL113" i="20"/>
  <c r="BL114" i="20"/>
  <c r="BL115" i="20"/>
  <c r="BL116" i="20"/>
  <c r="BL117" i="20"/>
  <c r="BL118" i="20"/>
  <c r="BL119" i="20"/>
  <c r="BL120" i="20"/>
  <c r="BL121" i="20"/>
  <c r="BL122" i="20"/>
  <c r="BL123" i="20"/>
  <c r="BL124" i="20"/>
  <c r="BL125" i="20"/>
  <c r="BL126" i="20"/>
  <c r="BL127" i="20"/>
  <c r="BL128" i="20"/>
  <c r="BL129" i="20"/>
  <c r="BL130" i="20"/>
  <c r="BL131" i="20"/>
  <c r="BL132" i="20"/>
  <c r="BL133" i="20"/>
  <c r="BL134" i="20"/>
  <c r="BL135" i="20"/>
  <c r="BL136" i="20"/>
  <c r="BL137" i="20"/>
  <c r="BL138" i="20"/>
  <c r="BL139" i="20"/>
  <c r="BL140" i="20"/>
  <c r="BL141" i="20"/>
  <c r="BL142" i="20"/>
  <c r="BL143" i="20"/>
  <c r="BL144" i="20"/>
  <c r="BL145" i="20"/>
  <c r="BL146" i="20"/>
  <c r="BL147" i="20"/>
  <c r="BL148" i="20"/>
  <c r="BL149" i="20"/>
  <c r="BL150" i="20"/>
  <c r="BL151" i="20"/>
  <c r="BL152" i="20"/>
  <c r="BL153" i="20"/>
  <c r="BL154" i="20"/>
  <c r="BL155" i="20"/>
  <c r="BL156" i="20"/>
  <c r="BL157" i="20"/>
  <c r="BL158" i="20"/>
  <c r="BL159" i="20"/>
  <c r="BL160" i="20"/>
  <c r="BL161" i="20"/>
  <c r="BL162" i="20"/>
  <c r="BL163" i="20"/>
  <c r="BL164" i="20"/>
  <c r="BL165" i="20"/>
  <c r="BL166" i="20"/>
  <c r="BL167" i="20"/>
  <c r="BL168" i="20"/>
  <c r="BL169" i="20"/>
  <c r="BL170" i="20"/>
  <c r="BL3" i="20"/>
  <c r="C6" i="17"/>
  <c r="BJ4" i="20"/>
  <c r="BJ5" i="20"/>
  <c r="BJ6" i="20"/>
  <c r="BJ7" i="20"/>
  <c r="BJ8" i="20"/>
  <c r="BJ9" i="20"/>
  <c r="BJ10" i="20"/>
  <c r="BJ11" i="20"/>
  <c r="BJ12" i="20"/>
  <c r="BJ13" i="20"/>
  <c r="BJ14" i="20"/>
  <c r="BJ15" i="20"/>
  <c r="BJ16" i="20"/>
  <c r="BJ17" i="20"/>
  <c r="BJ18" i="20"/>
  <c r="BJ19" i="20"/>
  <c r="BJ20" i="20"/>
  <c r="BJ21" i="20"/>
  <c r="BJ22" i="20"/>
  <c r="BJ23" i="20"/>
  <c r="BJ24" i="20"/>
  <c r="BJ25" i="20"/>
  <c r="BJ26" i="20"/>
  <c r="BJ27" i="20"/>
  <c r="BJ28" i="20"/>
  <c r="BJ29" i="20"/>
  <c r="BJ30" i="20"/>
  <c r="BJ31" i="20"/>
  <c r="BJ32" i="20"/>
  <c r="BJ33" i="20"/>
  <c r="BJ34" i="20"/>
  <c r="BJ35" i="20"/>
  <c r="BJ36" i="20"/>
  <c r="BJ37" i="20"/>
  <c r="BJ38" i="20"/>
  <c r="BJ39" i="20"/>
  <c r="BJ40" i="20"/>
  <c r="BJ41" i="20"/>
  <c r="BJ42" i="20"/>
  <c r="BJ43" i="20"/>
  <c r="BJ44" i="20"/>
  <c r="BJ45" i="20"/>
  <c r="BJ46" i="20"/>
  <c r="BJ47" i="20"/>
  <c r="BJ48" i="20"/>
  <c r="BJ49" i="20"/>
  <c r="BJ50" i="20"/>
  <c r="BJ51" i="20"/>
  <c r="BJ52" i="20"/>
  <c r="BJ53" i="20"/>
  <c r="BJ54" i="20"/>
  <c r="BJ55" i="20"/>
  <c r="BJ56" i="20"/>
  <c r="BJ57" i="20"/>
  <c r="BJ58" i="20"/>
  <c r="BJ59" i="20"/>
  <c r="BJ60" i="20"/>
  <c r="BJ61" i="20"/>
  <c r="BJ62" i="20"/>
  <c r="BJ63" i="20"/>
  <c r="BJ64" i="20"/>
  <c r="BJ65" i="20"/>
  <c r="BJ66" i="20"/>
  <c r="BJ67" i="20"/>
  <c r="BJ68" i="20"/>
  <c r="BJ69" i="20"/>
  <c r="BJ70" i="20"/>
  <c r="BJ71" i="20"/>
  <c r="BJ72" i="20"/>
  <c r="BJ73" i="20"/>
  <c r="BJ74" i="20"/>
  <c r="BJ75" i="20"/>
  <c r="BJ76" i="20"/>
  <c r="BJ77" i="20"/>
  <c r="BJ78" i="20"/>
  <c r="BJ79" i="20"/>
  <c r="BJ80" i="20"/>
  <c r="BJ81" i="20"/>
  <c r="BJ82" i="20"/>
  <c r="BJ83" i="20"/>
  <c r="BJ84" i="20"/>
  <c r="BJ85" i="20"/>
  <c r="BJ86" i="20"/>
  <c r="BJ87" i="20"/>
  <c r="BJ88" i="20"/>
  <c r="BJ89" i="20"/>
  <c r="BJ90" i="20"/>
  <c r="BJ91" i="20"/>
  <c r="BJ92" i="20"/>
  <c r="BJ93" i="20"/>
  <c r="BJ94" i="20"/>
  <c r="BJ95" i="20"/>
  <c r="BJ96" i="20"/>
  <c r="BJ97" i="20"/>
  <c r="BJ98" i="20"/>
  <c r="BJ99" i="20"/>
  <c r="BJ100" i="20"/>
  <c r="BJ101" i="20"/>
  <c r="BJ102" i="20"/>
  <c r="BJ103" i="20"/>
  <c r="BJ104" i="20"/>
  <c r="BJ105" i="20"/>
  <c r="BJ106" i="20"/>
  <c r="BJ107" i="20"/>
  <c r="BJ108" i="20"/>
  <c r="BJ109" i="20"/>
  <c r="BJ110" i="20"/>
  <c r="BJ111" i="20"/>
  <c r="BJ112" i="20"/>
  <c r="BJ113" i="20"/>
  <c r="BJ114" i="20"/>
  <c r="BJ115" i="20"/>
  <c r="BJ116" i="20"/>
  <c r="BJ117" i="20"/>
  <c r="BJ118" i="20"/>
  <c r="BJ119" i="20"/>
  <c r="BJ120" i="20"/>
  <c r="BJ121" i="20"/>
  <c r="BJ122" i="20"/>
  <c r="BJ123" i="20"/>
  <c r="BJ124" i="20"/>
  <c r="BJ125" i="20"/>
  <c r="BJ126" i="20"/>
  <c r="BJ127" i="20"/>
  <c r="BJ128" i="20"/>
  <c r="BJ129" i="20"/>
  <c r="BJ130" i="20"/>
  <c r="BJ131" i="20"/>
  <c r="BJ132" i="20"/>
  <c r="BJ133" i="20"/>
  <c r="BJ134" i="20"/>
  <c r="BJ135" i="20"/>
  <c r="BJ136" i="20"/>
  <c r="BJ137" i="20"/>
  <c r="BJ138" i="20"/>
  <c r="BJ139" i="20"/>
  <c r="BJ140" i="20"/>
  <c r="BJ141" i="20"/>
  <c r="BJ142" i="20"/>
  <c r="BJ143" i="20"/>
  <c r="BJ144" i="20"/>
  <c r="BJ145" i="20"/>
  <c r="BJ146" i="20"/>
  <c r="BJ147" i="20"/>
  <c r="BJ148" i="20"/>
  <c r="BJ149" i="20"/>
  <c r="BJ150" i="20"/>
  <c r="BJ151" i="20"/>
  <c r="BJ152" i="20"/>
  <c r="BJ153" i="20"/>
  <c r="BJ154" i="20"/>
  <c r="BJ155" i="20"/>
  <c r="BJ156" i="20"/>
  <c r="BJ157" i="20"/>
  <c r="BJ158" i="20"/>
  <c r="BJ159" i="20"/>
  <c r="BJ160" i="20"/>
  <c r="BJ161" i="20"/>
  <c r="BJ162" i="20"/>
  <c r="BJ163" i="20"/>
  <c r="BJ164" i="20"/>
  <c r="BJ165" i="20"/>
  <c r="BJ166" i="20"/>
  <c r="BJ167" i="20"/>
  <c r="BJ168" i="20"/>
  <c r="BJ169" i="20"/>
  <c r="BJ170" i="20"/>
  <c r="BJ3" i="20"/>
  <c r="BH4" i="20"/>
  <c r="BH5" i="20"/>
  <c r="BH6" i="20"/>
  <c r="BH7" i="20"/>
  <c r="BH8" i="20"/>
  <c r="BH9" i="20"/>
  <c r="BH10" i="20"/>
  <c r="BH11" i="20"/>
  <c r="BH12" i="20"/>
  <c r="BH13" i="20"/>
  <c r="BH14" i="20"/>
  <c r="BH15" i="20"/>
  <c r="BH16" i="20"/>
  <c r="BH17" i="20"/>
  <c r="BH18" i="20"/>
  <c r="BH19" i="20"/>
  <c r="BH20" i="20"/>
  <c r="BH21" i="20"/>
  <c r="BH22" i="20"/>
  <c r="BH23" i="20"/>
  <c r="BH24" i="20"/>
  <c r="BH25" i="20"/>
  <c r="BH26" i="20"/>
  <c r="BH27" i="20"/>
  <c r="BH28" i="20"/>
  <c r="BH29" i="20"/>
  <c r="BH30" i="20"/>
  <c r="BH31" i="20"/>
  <c r="BH32" i="20"/>
  <c r="BH33" i="20"/>
  <c r="BH34" i="20"/>
  <c r="BH35" i="20"/>
  <c r="BH36" i="20"/>
  <c r="BH37" i="20"/>
  <c r="BH38" i="20"/>
  <c r="BH39" i="20"/>
  <c r="BH40" i="20"/>
  <c r="BH41" i="20"/>
  <c r="BH42" i="20"/>
  <c r="BH43" i="20"/>
  <c r="BH44" i="20"/>
  <c r="BH45" i="20"/>
  <c r="BH46" i="20"/>
  <c r="BH47" i="20"/>
  <c r="BH48" i="20"/>
  <c r="BH49" i="20"/>
  <c r="BH50" i="20"/>
  <c r="BH51" i="20"/>
  <c r="BH52" i="20"/>
  <c r="BH53" i="20"/>
  <c r="BH54" i="20"/>
  <c r="BH55" i="20"/>
  <c r="BH56" i="20"/>
  <c r="BH57" i="20"/>
  <c r="BH58" i="20"/>
  <c r="BH59" i="20"/>
  <c r="BH60" i="20"/>
  <c r="BH61" i="20"/>
  <c r="BH62" i="20"/>
  <c r="BH63" i="20"/>
  <c r="BH64" i="20"/>
  <c r="BH65" i="20"/>
  <c r="BH66" i="20"/>
  <c r="BH67" i="20"/>
  <c r="BH68" i="20"/>
  <c r="BH69" i="20"/>
  <c r="BH70" i="20"/>
  <c r="BH71" i="20"/>
  <c r="BH72" i="20"/>
  <c r="BH73" i="20"/>
  <c r="BH74" i="20"/>
  <c r="BH75" i="20"/>
  <c r="BH76" i="20"/>
  <c r="BH77" i="20"/>
  <c r="BH78" i="20"/>
  <c r="BH79" i="20"/>
  <c r="BH80" i="20"/>
  <c r="BH81" i="20"/>
  <c r="BH82" i="20"/>
  <c r="BH83" i="20"/>
  <c r="BH84" i="20"/>
  <c r="BH85" i="20"/>
  <c r="BH86" i="20"/>
  <c r="BH87" i="20"/>
  <c r="BH88" i="20"/>
  <c r="BH89" i="20"/>
  <c r="BH90" i="20"/>
  <c r="BH91" i="20"/>
  <c r="BH92" i="20"/>
  <c r="BH93" i="20"/>
  <c r="BH94" i="20"/>
  <c r="BH95" i="20"/>
  <c r="BH96" i="20"/>
  <c r="BH97" i="20"/>
  <c r="BH98" i="20"/>
  <c r="BH99" i="20"/>
  <c r="BH100" i="20"/>
  <c r="BH101" i="20"/>
  <c r="BH102" i="20"/>
  <c r="BH103" i="20"/>
  <c r="BH104" i="20"/>
  <c r="BH105" i="20"/>
  <c r="BH106" i="20"/>
  <c r="BH107" i="20"/>
  <c r="BH108" i="20"/>
  <c r="BH109" i="20"/>
  <c r="BH110" i="20"/>
  <c r="BH111" i="20"/>
  <c r="BH112" i="20"/>
  <c r="BH113" i="20"/>
  <c r="BH114" i="20"/>
  <c r="BH115" i="20"/>
  <c r="BH116" i="20"/>
  <c r="BH117" i="20"/>
  <c r="BH118" i="20"/>
  <c r="BH119" i="20"/>
  <c r="BH120" i="20"/>
  <c r="BH121" i="20"/>
  <c r="BH122" i="20"/>
  <c r="BH123" i="20"/>
  <c r="BH124" i="20"/>
  <c r="BH125" i="20"/>
  <c r="BH126" i="20"/>
  <c r="BH127" i="20"/>
  <c r="BH128" i="20"/>
  <c r="BH129" i="20"/>
  <c r="BH130" i="20"/>
  <c r="BH131" i="20"/>
  <c r="BH132" i="20"/>
  <c r="BH133" i="20"/>
  <c r="BH134" i="20"/>
  <c r="BH135" i="20"/>
  <c r="BH136" i="20"/>
  <c r="BH137" i="20"/>
  <c r="BH138" i="20"/>
  <c r="BH139" i="20"/>
  <c r="BH140" i="20"/>
  <c r="BH141" i="20"/>
  <c r="BH142" i="20"/>
  <c r="BH143" i="20"/>
  <c r="BH144" i="20"/>
  <c r="BH145" i="20"/>
  <c r="BH146" i="20"/>
  <c r="BH147" i="20"/>
  <c r="BH148" i="20"/>
  <c r="BH149" i="20"/>
  <c r="BH150" i="20"/>
  <c r="BH151" i="20"/>
  <c r="BH152" i="20"/>
  <c r="BH153" i="20"/>
  <c r="BH154" i="20"/>
  <c r="BH155" i="20"/>
  <c r="BH156" i="20"/>
  <c r="BH157" i="20"/>
  <c r="BH158" i="20"/>
  <c r="BH159" i="20"/>
  <c r="BH160" i="20"/>
  <c r="BH161" i="20"/>
  <c r="BH162" i="20"/>
  <c r="BH163" i="20"/>
  <c r="BH164" i="20"/>
  <c r="BH165" i="20"/>
  <c r="BH166" i="20"/>
  <c r="BH167" i="20"/>
  <c r="BH168" i="20"/>
  <c r="BH169" i="20"/>
  <c r="BH170" i="20"/>
  <c r="BH3" i="20"/>
  <c r="X4" i="20" l="1"/>
  <c r="X5" i="20"/>
  <c r="X6" i="20"/>
  <c r="X7" i="20"/>
  <c r="X8" i="20"/>
  <c r="X9" i="20"/>
  <c r="X10" i="20"/>
  <c r="X11" i="20"/>
  <c r="X12" i="20"/>
  <c r="X13" i="20"/>
  <c r="X14" i="20"/>
  <c r="X15" i="20"/>
  <c r="X16" i="20"/>
  <c r="X17" i="20"/>
  <c r="X18" i="20"/>
  <c r="X19" i="20"/>
  <c r="X20" i="20"/>
  <c r="X21" i="20"/>
  <c r="X22" i="20"/>
  <c r="X23" i="20"/>
  <c r="X24" i="20"/>
  <c r="X25" i="20"/>
  <c r="X26" i="20"/>
  <c r="X27" i="20"/>
  <c r="X28" i="20"/>
  <c r="X29" i="20"/>
  <c r="X30" i="20"/>
  <c r="X31" i="20"/>
  <c r="X32" i="20"/>
  <c r="X33" i="20"/>
  <c r="X34" i="20"/>
  <c r="X35" i="20"/>
  <c r="X36" i="20"/>
  <c r="X37" i="20"/>
  <c r="X38" i="20"/>
  <c r="X39" i="20"/>
  <c r="X40" i="20"/>
  <c r="X41" i="20"/>
  <c r="X42" i="20"/>
  <c r="X43" i="20"/>
  <c r="X44" i="20"/>
  <c r="X45" i="20"/>
  <c r="X46" i="20"/>
  <c r="X47" i="20"/>
  <c r="X48" i="20"/>
  <c r="X49" i="20"/>
  <c r="X50" i="20"/>
  <c r="X51" i="20"/>
  <c r="X52" i="20"/>
  <c r="X53" i="20"/>
  <c r="X54" i="20"/>
  <c r="X55" i="20"/>
  <c r="X56" i="20"/>
  <c r="X57" i="20"/>
  <c r="X58" i="20"/>
  <c r="X59" i="20"/>
  <c r="X60" i="20"/>
  <c r="X61" i="20"/>
  <c r="X62" i="20"/>
  <c r="X63" i="20"/>
  <c r="X64" i="20"/>
  <c r="X65" i="20"/>
  <c r="X66" i="20"/>
  <c r="X67" i="20"/>
  <c r="X68" i="20"/>
  <c r="X69" i="20"/>
  <c r="X70" i="20"/>
  <c r="X71" i="20"/>
  <c r="X72" i="20"/>
  <c r="X73" i="20"/>
  <c r="X74" i="20"/>
  <c r="X75" i="20"/>
  <c r="X76" i="20"/>
  <c r="X77" i="20"/>
  <c r="X78" i="20"/>
  <c r="X79" i="20"/>
  <c r="X80" i="20"/>
  <c r="X81" i="20"/>
  <c r="X82" i="20"/>
  <c r="X83" i="20"/>
  <c r="X84" i="20"/>
  <c r="X85" i="20"/>
  <c r="X86" i="20"/>
  <c r="X87" i="20"/>
  <c r="X88" i="20"/>
  <c r="X89" i="20"/>
  <c r="X90" i="20"/>
  <c r="X91" i="20"/>
  <c r="X92" i="20"/>
  <c r="X93" i="20"/>
  <c r="X94" i="20"/>
  <c r="X95" i="20"/>
  <c r="X96" i="20"/>
  <c r="X97" i="20"/>
  <c r="X98" i="20"/>
  <c r="X99" i="20"/>
  <c r="X100" i="20"/>
  <c r="X101" i="20"/>
  <c r="X102" i="20"/>
  <c r="X103" i="20"/>
  <c r="X104" i="20"/>
  <c r="X105" i="20"/>
  <c r="X106" i="20"/>
  <c r="X107" i="20"/>
  <c r="X108" i="20"/>
  <c r="X109" i="20"/>
  <c r="X110" i="20"/>
  <c r="X111" i="20"/>
  <c r="X112" i="20"/>
  <c r="X113" i="20"/>
  <c r="X114" i="20"/>
  <c r="X115" i="20"/>
  <c r="X116" i="20"/>
  <c r="X117" i="20"/>
  <c r="X118" i="20"/>
  <c r="X119" i="20"/>
  <c r="X120" i="20"/>
  <c r="X121" i="20"/>
  <c r="X122" i="20"/>
  <c r="X123" i="20"/>
  <c r="X124" i="20"/>
  <c r="X125" i="20"/>
  <c r="X126" i="20"/>
  <c r="X127" i="20"/>
  <c r="X128" i="20"/>
  <c r="X129" i="20"/>
  <c r="X130" i="20"/>
  <c r="X131" i="20"/>
  <c r="X132" i="20"/>
  <c r="X133" i="20"/>
  <c r="X134" i="20"/>
  <c r="X135" i="20"/>
  <c r="X136" i="20"/>
  <c r="X137" i="20"/>
  <c r="X138" i="20"/>
  <c r="X139" i="20"/>
  <c r="X140" i="20"/>
  <c r="X141" i="20"/>
  <c r="X142" i="20"/>
  <c r="X143" i="20"/>
  <c r="X144" i="20"/>
  <c r="X145" i="20"/>
  <c r="X146" i="20"/>
  <c r="X147" i="20"/>
  <c r="X148" i="20"/>
  <c r="X149" i="20"/>
  <c r="X150" i="20"/>
  <c r="X151" i="20"/>
  <c r="X152" i="20"/>
  <c r="X153" i="20"/>
  <c r="X154" i="20"/>
  <c r="X155" i="20"/>
  <c r="X156" i="20"/>
  <c r="X157" i="20"/>
  <c r="X158" i="20"/>
  <c r="X159" i="20"/>
  <c r="X160" i="20"/>
  <c r="X161" i="20"/>
  <c r="X162" i="20"/>
  <c r="X163" i="20"/>
  <c r="X164" i="20"/>
  <c r="X165" i="20"/>
  <c r="X166" i="20"/>
  <c r="X167" i="20"/>
  <c r="X168" i="20"/>
  <c r="X169" i="20"/>
  <c r="X170" i="20"/>
  <c r="X3" i="20"/>
  <c r="BA4" i="20"/>
  <c r="BA5" i="20"/>
  <c r="BA6" i="20"/>
  <c r="BA7" i="20"/>
  <c r="BA8" i="20"/>
  <c r="BA9" i="20"/>
  <c r="BA10" i="20"/>
  <c r="BA11" i="20"/>
  <c r="BA12" i="20"/>
  <c r="BA13" i="20"/>
  <c r="BA14" i="20"/>
  <c r="BA15" i="20"/>
  <c r="BA16" i="20"/>
  <c r="BA17" i="20"/>
  <c r="BA18" i="20"/>
  <c r="BA19" i="20"/>
  <c r="BA20" i="20"/>
  <c r="BA21" i="20"/>
  <c r="BA22" i="20"/>
  <c r="BA23" i="20"/>
  <c r="BA24" i="20"/>
  <c r="BA25" i="20"/>
  <c r="BA26" i="20"/>
  <c r="BA27" i="20"/>
  <c r="BA28" i="20"/>
  <c r="BA29" i="20"/>
  <c r="BA30" i="20"/>
  <c r="BA31" i="20"/>
  <c r="BA32" i="20"/>
  <c r="BA33" i="20"/>
  <c r="BA34" i="20"/>
  <c r="BA35" i="20"/>
  <c r="BA36" i="20"/>
  <c r="BA37" i="20"/>
  <c r="BA38" i="20"/>
  <c r="BA39" i="20"/>
  <c r="BA40" i="20"/>
  <c r="BA41" i="20"/>
  <c r="BA42" i="20"/>
  <c r="BA43" i="20"/>
  <c r="BA44" i="20"/>
  <c r="BA45" i="20"/>
  <c r="BA46" i="20"/>
  <c r="BA47" i="20"/>
  <c r="BA48" i="20"/>
  <c r="BA49" i="20"/>
  <c r="BA50" i="20"/>
  <c r="BA51" i="20"/>
  <c r="BA52" i="20"/>
  <c r="BA53" i="20"/>
  <c r="BA54" i="20"/>
  <c r="BA55" i="20"/>
  <c r="BA56" i="20"/>
  <c r="BA57" i="20"/>
  <c r="BA58" i="20"/>
  <c r="BA59" i="20"/>
  <c r="BA60" i="20"/>
  <c r="BA61" i="20"/>
  <c r="BA62" i="20"/>
  <c r="BA63" i="20"/>
  <c r="BA64" i="20"/>
  <c r="BA65" i="20"/>
  <c r="BA66" i="20"/>
  <c r="BA67" i="20"/>
  <c r="BA68" i="20"/>
  <c r="BA69" i="20"/>
  <c r="BA70" i="20"/>
  <c r="BA71" i="20"/>
  <c r="BA72" i="20"/>
  <c r="BA73" i="20"/>
  <c r="BA74" i="20"/>
  <c r="BA75" i="20"/>
  <c r="BA76" i="20"/>
  <c r="BA77" i="20"/>
  <c r="BA78" i="20"/>
  <c r="BA79" i="20"/>
  <c r="BA80" i="20"/>
  <c r="BA81" i="20"/>
  <c r="BA82" i="20"/>
  <c r="BA83" i="20"/>
  <c r="BA84" i="20"/>
  <c r="BA85" i="20"/>
  <c r="BA86" i="20"/>
  <c r="BA87" i="20"/>
  <c r="BA88" i="20"/>
  <c r="BA89" i="20"/>
  <c r="BA90" i="20"/>
  <c r="BA91" i="20"/>
  <c r="BA92" i="20"/>
  <c r="BA93" i="20"/>
  <c r="BA94" i="20"/>
  <c r="BA95" i="20"/>
  <c r="BA96" i="20"/>
  <c r="BA97" i="20"/>
  <c r="BA98" i="20"/>
  <c r="BA99" i="20"/>
  <c r="BA100" i="20"/>
  <c r="BA101" i="20"/>
  <c r="BA102" i="20"/>
  <c r="BA103" i="20"/>
  <c r="BA104" i="20"/>
  <c r="BA105" i="20"/>
  <c r="BA106" i="20"/>
  <c r="BA107" i="20"/>
  <c r="BA108" i="20"/>
  <c r="BA109" i="20"/>
  <c r="BA110" i="20"/>
  <c r="BA111" i="20"/>
  <c r="BA112" i="20"/>
  <c r="BA113" i="20"/>
  <c r="BA114" i="20"/>
  <c r="BA115" i="20"/>
  <c r="BA116" i="20"/>
  <c r="BA117" i="20"/>
  <c r="BA118" i="20"/>
  <c r="BA119" i="20"/>
  <c r="BA120" i="20"/>
  <c r="BA121" i="20"/>
  <c r="BA122" i="20"/>
  <c r="BA123" i="20"/>
  <c r="BA124" i="20"/>
  <c r="BA125" i="20"/>
  <c r="BA126" i="20"/>
  <c r="BA127" i="20"/>
  <c r="BA128" i="20"/>
  <c r="BA129" i="20"/>
  <c r="BA130" i="20"/>
  <c r="BA131" i="20"/>
  <c r="BA132" i="20"/>
  <c r="BA133" i="20"/>
  <c r="BA134" i="20"/>
  <c r="BA135" i="20"/>
  <c r="BA136" i="20"/>
  <c r="BA137" i="20"/>
  <c r="BA138" i="20"/>
  <c r="BA139" i="20"/>
  <c r="BA140" i="20"/>
  <c r="BA141" i="20"/>
  <c r="BA142" i="20"/>
  <c r="BA143" i="20"/>
  <c r="BA144" i="20"/>
  <c r="BA145" i="20"/>
  <c r="BA146" i="20"/>
  <c r="BA147" i="20"/>
  <c r="BA148" i="20"/>
  <c r="BA149" i="20"/>
  <c r="BA150" i="20"/>
  <c r="BA151" i="20"/>
  <c r="BA152" i="20"/>
  <c r="BA153" i="20"/>
  <c r="BA154" i="20"/>
  <c r="BA155" i="20"/>
  <c r="BA156" i="20"/>
  <c r="BA157" i="20"/>
  <c r="BA158" i="20"/>
  <c r="BA159" i="20"/>
  <c r="BA160" i="20"/>
  <c r="BA161" i="20"/>
  <c r="BA162" i="20"/>
  <c r="BA163" i="20"/>
  <c r="BA164" i="20"/>
  <c r="BA165" i="20"/>
  <c r="BA166" i="20"/>
  <c r="BA167" i="20"/>
  <c r="BA168" i="20"/>
  <c r="BA169" i="20"/>
  <c r="BA170" i="20"/>
  <c r="BA3" i="20"/>
  <c r="AZ4" i="20"/>
  <c r="AZ5" i="20"/>
  <c r="AZ6" i="20"/>
  <c r="AZ7" i="20"/>
  <c r="AZ8" i="20"/>
  <c r="AZ9" i="20"/>
  <c r="AZ10" i="20"/>
  <c r="AZ11" i="20"/>
  <c r="AZ12" i="20"/>
  <c r="AZ13" i="20"/>
  <c r="AZ14" i="20"/>
  <c r="AZ15" i="20"/>
  <c r="AZ16" i="20"/>
  <c r="AZ17" i="20"/>
  <c r="AZ18" i="20"/>
  <c r="AZ19" i="20"/>
  <c r="AZ20" i="20"/>
  <c r="AZ21" i="20"/>
  <c r="AZ22" i="20"/>
  <c r="AZ23" i="20"/>
  <c r="AZ24" i="20"/>
  <c r="AZ25" i="20"/>
  <c r="AZ26" i="20"/>
  <c r="AZ27" i="20"/>
  <c r="AZ28" i="20"/>
  <c r="AZ29" i="20"/>
  <c r="AZ30" i="20"/>
  <c r="AZ31" i="20"/>
  <c r="AZ32" i="20"/>
  <c r="AZ33" i="20"/>
  <c r="AZ34" i="20"/>
  <c r="AZ35" i="20"/>
  <c r="AZ36" i="20"/>
  <c r="AZ37" i="20"/>
  <c r="AZ38" i="20"/>
  <c r="AZ39" i="20"/>
  <c r="AZ40" i="20"/>
  <c r="AZ41" i="20"/>
  <c r="AZ42" i="20"/>
  <c r="AZ43" i="20"/>
  <c r="AZ44" i="20"/>
  <c r="AZ45" i="20"/>
  <c r="AZ46" i="20"/>
  <c r="AZ47" i="20"/>
  <c r="AZ48" i="20"/>
  <c r="AZ49" i="20"/>
  <c r="AZ50" i="20"/>
  <c r="AZ51" i="20"/>
  <c r="AZ52" i="20"/>
  <c r="AZ53" i="20"/>
  <c r="AZ54" i="20"/>
  <c r="AZ55" i="20"/>
  <c r="AZ56" i="20"/>
  <c r="AZ57" i="20"/>
  <c r="AZ58" i="20"/>
  <c r="AZ59" i="20"/>
  <c r="AZ60" i="20"/>
  <c r="AZ61" i="20"/>
  <c r="AZ62" i="20"/>
  <c r="AZ63" i="20"/>
  <c r="AZ64" i="20"/>
  <c r="AZ65" i="20"/>
  <c r="AZ66" i="20"/>
  <c r="AZ67" i="20"/>
  <c r="AZ68" i="20"/>
  <c r="AZ69" i="20"/>
  <c r="AZ70" i="20"/>
  <c r="AZ71" i="20"/>
  <c r="AZ72" i="20"/>
  <c r="AZ73" i="20"/>
  <c r="AZ74" i="20"/>
  <c r="AZ75" i="20"/>
  <c r="AZ76" i="20"/>
  <c r="AZ77" i="20"/>
  <c r="AZ78" i="20"/>
  <c r="AZ79" i="20"/>
  <c r="AZ80" i="20"/>
  <c r="AZ81" i="20"/>
  <c r="AZ82" i="20"/>
  <c r="AZ83" i="20"/>
  <c r="AZ84" i="20"/>
  <c r="AZ85" i="20"/>
  <c r="AZ86" i="20"/>
  <c r="AZ87" i="20"/>
  <c r="AZ88" i="20"/>
  <c r="AZ89" i="20"/>
  <c r="AZ90" i="20"/>
  <c r="AZ91" i="20"/>
  <c r="AZ92" i="20"/>
  <c r="AZ93" i="20"/>
  <c r="AZ94" i="20"/>
  <c r="AZ95" i="20"/>
  <c r="AZ96" i="20"/>
  <c r="AZ97" i="20"/>
  <c r="AZ98" i="20"/>
  <c r="AZ99" i="20"/>
  <c r="AZ100" i="20"/>
  <c r="AZ101" i="20"/>
  <c r="AZ102" i="20"/>
  <c r="AZ103" i="20"/>
  <c r="AZ104" i="20"/>
  <c r="AZ105" i="20"/>
  <c r="AZ106" i="20"/>
  <c r="AZ107" i="20"/>
  <c r="AZ108" i="20"/>
  <c r="AZ109" i="20"/>
  <c r="AZ110" i="20"/>
  <c r="AZ111" i="20"/>
  <c r="AZ112" i="20"/>
  <c r="AZ113" i="20"/>
  <c r="AZ114" i="20"/>
  <c r="AZ115" i="20"/>
  <c r="AZ116" i="20"/>
  <c r="AZ117" i="20"/>
  <c r="AZ118" i="20"/>
  <c r="AZ119" i="20"/>
  <c r="AZ120" i="20"/>
  <c r="AZ121" i="20"/>
  <c r="AZ122" i="20"/>
  <c r="AZ123" i="20"/>
  <c r="AZ124" i="20"/>
  <c r="AZ125" i="20"/>
  <c r="AZ126" i="20"/>
  <c r="AZ127" i="20"/>
  <c r="AZ128" i="20"/>
  <c r="AZ129" i="20"/>
  <c r="AZ130" i="20"/>
  <c r="AZ131" i="20"/>
  <c r="AZ132" i="20"/>
  <c r="AZ133" i="20"/>
  <c r="AZ134" i="20"/>
  <c r="AZ135" i="20"/>
  <c r="AZ136" i="20"/>
  <c r="AZ137" i="20"/>
  <c r="AZ138" i="20"/>
  <c r="AZ139" i="20"/>
  <c r="AZ140" i="20"/>
  <c r="AZ141" i="20"/>
  <c r="AZ142" i="20"/>
  <c r="AZ143" i="20"/>
  <c r="AZ144" i="20"/>
  <c r="AZ145" i="20"/>
  <c r="AZ146" i="20"/>
  <c r="AZ147" i="20"/>
  <c r="AZ148" i="20"/>
  <c r="AZ149" i="20"/>
  <c r="AZ150" i="20"/>
  <c r="AZ151" i="20"/>
  <c r="AZ152" i="20"/>
  <c r="AZ153" i="20"/>
  <c r="AZ154" i="20"/>
  <c r="AZ155" i="20"/>
  <c r="AZ156" i="20"/>
  <c r="AZ157" i="20"/>
  <c r="AZ158" i="20"/>
  <c r="AZ159" i="20"/>
  <c r="AZ160" i="20"/>
  <c r="AZ161" i="20"/>
  <c r="AZ162" i="20"/>
  <c r="AZ163" i="20"/>
  <c r="AZ164" i="20"/>
  <c r="AZ165" i="20"/>
  <c r="AZ166" i="20"/>
  <c r="AZ167" i="20"/>
  <c r="AZ168" i="20"/>
  <c r="AZ169" i="20"/>
  <c r="AZ170" i="20"/>
  <c r="AZ3" i="20"/>
  <c r="P3" i="10" l="1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2" i="10"/>
  <c r="C10" i="17" l="1"/>
  <c r="AL4" i="20" l="1"/>
  <c r="AL5" i="20"/>
  <c r="AL6" i="20"/>
  <c r="AL7" i="20"/>
  <c r="AL8" i="20"/>
  <c r="AL9" i="20"/>
  <c r="AL10" i="20"/>
  <c r="AL11" i="20"/>
  <c r="AL12" i="20"/>
  <c r="AL13" i="20"/>
  <c r="AL14" i="20"/>
  <c r="AL15" i="20"/>
  <c r="AL16" i="20"/>
  <c r="AL17" i="20"/>
  <c r="AL18" i="20"/>
  <c r="AL19" i="20"/>
  <c r="AL20" i="20"/>
  <c r="AL21" i="20"/>
  <c r="AL22" i="20"/>
  <c r="AL23" i="20"/>
  <c r="AL24" i="20"/>
  <c r="AL25" i="20"/>
  <c r="AL26" i="20"/>
  <c r="AL27" i="20"/>
  <c r="AL28" i="20"/>
  <c r="AL29" i="20"/>
  <c r="AL30" i="20"/>
  <c r="AL31" i="20"/>
  <c r="AL32" i="20"/>
  <c r="AL33" i="20"/>
  <c r="AL34" i="20"/>
  <c r="AL35" i="20"/>
  <c r="AL36" i="20"/>
  <c r="AL37" i="20"/>
  <c r="AL38" i="20"/>
  <c r="AL39" i="20"/>
  <c r="AL40" i="20"/>
  <c r="AL41" i="20"/>
  <c r="AL42" i="20"/>
  <c r="AL43" i="20"/>
  <c r="AL44" i="20"/>
  <c r="AL45" i="20"/>
  <c r="AL46" i="20"/>
  <c r="AL47" i="20"/>
  <c r="AL48" i="20"/>
  <c r="AL49" i="20"/>
  <c r="AL50" i="20"/>
  <c r="AL51" i="20"/>
  <c r="AL52" i="20"/>
  <c r="AL53" i="20"/>
  <c r="AL54" i="20"/>
  <c r="AL55" i="20"/>
  <c r="AL56" i="20"/>
  <c r="AL57" i="20"/>
  <c r="AL58" i="20"/>
  <c r="AL59" i="20"/>
  <c r="AL60" i="20"/>
  <c r="AL61" i="20"/>
  <c r="AL62" i="20"/>
  <c r="AL63" i="20"/>
  <c r="AL64" i="20"/>
  <c r="AL65" i="20"/>
  <c r="AL66" i="20"/>
  <c r="AL67" i="20"/>
  <c r="AL68" i="20"/>
  <c r="AL69" i="20"/>
  <c r="AL70" i="20"/>
  <c r="AL71" i="20"/>
  <c r="AL72" i="20"/>
  <c r="AL73" i="20"/>
  <c r="AL74" i="20"/>
  <c r="AL75" i="20"/>
  <c r="AL76" i="20"/>
  <c r="AL77" i="20"/>
  <c r="AL78" i="20"/>
  <c r="AL79" i="20"/>
  <c r="AL80" i="20"/>
  <c r="AL81" i="20"/>
  <c r="AL82" i="20"/>
  <c r="AL83" i="20"/>
  <c r="AL84" i="20"/>
  <c r="AL85" i="20"/>
  <c r="AL86" i="20"/>
  <c r="AL87" i="20"/>
  <c r="AL88" i="20"/>
  <c r="AL89" i="20"/>
  <c r="AL90" i="20"/>
  <c r="AL91" i="20"/>
  <c r="AL92" i="20"/>
  <c r="AL93" i="20"/>
  <c r="AL94" i="20"/>
  <c r="AL95" i="20"/>
  <c r="AL96" i="20"/>
  <c r="AL97" i="20"/>
  <c r="AL98" i="20"/>
  <c r="AL99" i="20"/>
  <c r="AL100" i="20"/>
  <c r="AL101" i="20"/>
  <c r="AL102" i="20"/>
  <c r="AL103" i="20"/>
  <c r="AL104" i="20"/>
  <c r="AL105" i="20"/>
  <c r="AL106" i="20"/>
  <c r="AL107" i="20"/>
  <c r="AL108" i="20"/>
  <c r="AL109" i="20"/>
  <c r="AL110" i="20"/>
  <c r="AL111" i="20"/>
  <c r="AL112" i="20"/>
  <c r="AL113" i="20"/>
  <c r="AL114" i="20"/>
  <c r="AL115" i="20"/>
  <c r="AL116" i="20"/>
  <c r="AL117" i="20"/>
  <c r="AL118" i="20"/>
  <c r="AL119" i="20"/>
  <c r="AL120" i="20"/>
  <c r="AL121" i="20"/>
  <c r="AL122" i="20"/>
  <c r="AL123" i="20"/>
  <c r="AL124" i="20"/>
  <c r="AL125" i="20"/>
  <c r="AL126" i="20"/>
  <c r="AL127" i="20"/>
  <c r="AL128" i="20"/>
  <c r="AL129" i="20"/>
  <c r="AL130" i="20"/>
  <c r="AL131" i="20"/>
  <c r="AL132" i="20"/>
  <c r="AL133" i="20"/>
  <c r="AL134" i="20"/>
  <c r="AL135" i="20"/>
  <c r="AL136" i="20"/>
  <c r="AL137" i="20"/>
  <c r="AL138" i="20"/>
  <c r="AL139" i="20"/>
  <c r="AL140" i="20"/>
  <c r="AL141" i="20"/>
  <c r="AL142" i="20"/>
  <c r="AL143" i="20"/>
  <c r="AL144" i="20"/>
  <c r="AL145" i="20"/>
  <c r="AL146" i="20"/>
  <c r="AL147" i="20"/>
  <c r="AL148" i="20"/>
  <c r="AL149" i="20"/>
  <c r="AL150" i="20"/>
  <c r="AL151" i="20"/>
  <c r="AL152" i="20"/>
  <c r="AL153" i="20"/>
  <c r="AL154" i="20"/>
  <c r="AL155" i="20"/>
  <c r="AL156" i="20"/>
  <c r="AL157" i="20"/>
  <c r="AL158" i="20"/>
  <c r="AL159" i="20"/>
  <c r="AL160" i="20"/>
  <c r="AL161" i="20"/>
  <c r="AL162" i="20"/>
  <c r="AL163" i="20"/>
  <c r="AL164" i="20"/>
  <c r="AL165" i="20"/>
  <c r="AL166" i="20"/>
  <c r="AL167" i="20"/>
  <c r="AL168" i="20"/>
  <c r="AL169" i="20"/>
  <c r="AL170" i="20"/>
  <c r="AL3" i="20"/>
  <c r="AJ4" i="20"/>
  <c r="AJ5" i="20"/>
  <c r="AJ6" i="20"/>
  <c r="AJ7" i="20"/>
  <c r="AJ8" i="20"/>
  <c r="AJ9" i="20"/>
  <c r="AJ10" i="20"/>
  <c r="AJ11" i="20"/>
  <c r="AJ12" i="20"/>
  <c r="AJ13" i="20"/>
  <c r="AJ14" i="20"/>
  <c r="AJ15" i="20"/>
  <c r="AJ16" i="20"/>
  <c r="AJ17" i="20"/>
  <c r="AJ18" i="20"/>
  <c r="AJ19" i="20"/>
  <c r="AJ20" i="20"/>
  <c r="AJ21" i="20"/>
  <c r="AJ22" i="20"/>
  <c r="AJ23" i="20"/>
  <c r="AJ24" i="20"/>
  <c r="AJ25" i="20"/>
  <c r="AJ26" i="20"/>
  <c r="AJ27" i="20"/>
  <c r="AJ28" i="20"/>
  <c r="AJ29" i="20"/>
  <c r="AJ30" i="20"/>
  <c r="AJ31" i="20"/>
  <c r="AJ32" i="20"/>
  <c r="AJ33" i="20"/>
  <c r="AJ34" i="20"/>
  <c r="AJ35" i="20"/>
  <c r="AJ36" i="20"/>
  <c r="AJ37" i="20"/>
  <c r="AJ38" i="20"/>
  <c r="AJ39" i="20"/>
  <c r="AJ40" i="20"/>
  <c r="AJ41" i="20"/>
  <c r="AJ42" i="20"/>
  <c r="AJ43" i="20"/>
  <c r="AJ44" i="20"/>
  <c r="AJ45" i="20"/>
  <c r="AJ46" i="20"/>
  <c r="AJ47" i="20"/>
  <c r="AJ48" i="20"/>
  <c r="AJ49" i="20"/>
  <c r="AJ50" i="20"/>
  <c r="AJ51" i="20"/>
  <c r="AJ52" i="20"/>
  <c r="AJ53" i="20"/>
  <c r="AJ54" i="20"/>
  <c r="AJ55" i="20"/>
  <c r="AJ56" i="20"/>
  <c r="AJ57" i="20"/>
  <c r="AJ58" i="20"/>
  <c r="AJ59" i="20"/>
  <c r="AJ60" i="20"/>
  <c r="AJ61" i="20"/>
  <c r="AJ62" i="20"/>
  <c r="AJ63" i="20"/>
  <c r="AJ64" i="20"/>
  <c r="AJ65" i="20"/>
  <c r="AJ66" i="20"/>
  <c r="AJ67" i="20"/>
  <c r="AJ68" i="20"/>
  <c r="AJ69" i="20"/>
  <c r="AJ70" i="20"/>
  <c r="AJ71" i="20"/>
  <c r="AJ72" i="20"/>
  <c r="AJ73" i="20"/>
  <c r="AJ74" i="20"/>
  <c r="AJ75" i="20"/>
  <c r="AJ76" i="20"/>
  <c r="AJ77" i="20"/>
  <c r="AJ78" i="20"/>
  <c r="AJ79" i="20"/>
  <c r="AJ80" i="20"/>
  <c r="AJ81" i="20"/>
  <c r="AJ82" i="20"/>
  <c r="AJ83" i="20"/>
  <c r="AJ84" i="20"/>
  <c r="AJ85" i="20"/>
  <c r="AJ86" i="20"/>
  <c r="AJ87" i="20"/>
  <c r="AJ88" i="20"/>
  <c r="AJ89" i="20"/>
  <c r="AJ90" i="20"/>
  <c r="AJ91" i="20"/>
  <c r="AJ92" i="20"/>
  <c r="AJ93" i="20"/>
  <c r="AJ94" i="20"/>
  <c r="AJ95" i="20"/>
  <c r="AJ96" i="20"/>
  <c r="AJ97" i="20"/>
  <c r="AJ98" i="20"/>
  <c r="AJ99" i="20"/>
  <c r="AJ100" i="20"/>
  <c r="AJ101" i="20"/>
  <c r="AJ102" i="20"/>
  <c r="AJ103" i="20"/>
  <c r="AJ104" i="20"/>
  <c r="AJ105" i="20"/>
  <c r="AJ106" i="20"/>
  <c r="AJ107" i="20"/>
  <c r="AJ108" i="20"/>
  <c r="AJ109" i="20"/>
  <c r="AJ110" i="20"/>
  <c r="AJ111" i="20"/>
  <c r="AJ112" i="20"/>
  <c r="AJ113" i="20"/>
  <c r="AJ114" i="20"/>
  <c r="AJ115" i="20"/>
  <c r="AJ116" i="20"/>
  <c r="AJ117" i="20"/>
  <c r="AJ118" i="20"/>
  <c r="AJ119" i="20"/>
  <c r="AJ120" i="20"/>
  <c r="AJ121" i="20"/>
  <c r="AJ122" i="20"/>
  <c r="AJ123" i="20"/>
  <c r="AJ124" i="20"/>
  <c r="AJ125" i="20"/>
  <c r="AJ126" i="20"/>
  <c r="AJ127" i="20"/>
  <c r="AJ128" i="20"/>
  <c r="AJ129" i="20"/>
  <c r="AJ130" i="20"/>
  <c r="AJ131" i="20"/>
  <c r="AJ132" i="20"/>
  <c r="AJ133" i="20"/>
  <c r="AJ134" i="20"/>
  <c r="AJ135" i="20"/>
  <c r="AJ136" i="20"/>
  <c r="AJ137" i="20"/>
  <c r="AJ138" i="20"/>
  <c r="AJ139" i="20"/>
  <c r="AJ140" i="20"/>
  <c r="AJ141" i="20"/>
  <c r="AJ142" i="20"/>
  <c r="AJ143" i="20"/>
  <c r="AJ144" i="20"/>
  <c r="AJ145" i="20"/>
  <c r="AJ146" i="20"/>
  <c r="AJ147" i="20"/>
  <c r="AJ148" i="20"/>
  <c r="AJ149" i="20"/>
  <c r="AJ150" i="20"/>
  <c r="AJ151" i="20"/>
  <c r="AJ152" i="20"/>
  <c r="AJ153" i="20"/>
  <c r="AJ154" i="20"/>
  <c r="AJ155" i="20"/>
  <c r="AJ156" i="20"/>
  <c r="AJ157" i="20"/>
  <c r="AJ158" i="20"/>
  <c r="AJ159" i="20"/>
  <c r="AJ160" i="20"/>
  <c r="AJ161" i="20"/>
  <c r="AJ162" i="20"/>
  <c r="AJ163" i="20"/>
  <c r="AJ164" i="20"/>
  <c r="AJ165" i="20"/>
  <c r="AJ166" i="20"/>
  <c r="AJ167" i="20"/>
  <c r="AJ168" i="20"/>
  <c r="AJ169" i="20"/>
  <c r="AJ170" i="20"/>
  <c r="AJ3" i="20"/>
  <c r="AA4" i="20" l="1"/>
  <c r="AA5" i="20"/>
  <c r="AA6" i="20"/>
  <c r="AA7" i="20"/>
  <c r="AA8" i="20"/>
  <c r="AA9" i="20"/>
  <c r="AA10" i="20"/>
  <c r="AA11" i="20"/>
  <c r="AA12" i="20"/>
  <c r="AA13" i="20"/>
  <c r="AA14" i="20"/>
  <c r="AA15" i="20"/>
  <c r="AA16" i="20"/>
  <c r="AA17" i="20"/>
  <c r="AA18" i="20"/>
  <c r="AA19" i="20"/>
  <c r="AA20" i="20"/>
  <c r="AA21" i="20"/>
  <c r="AA22" i="20"/>
  <c r="AA23" i="20"/>
  <c r="AA24" i="20"/>
  <c r="AA25" i="20"/>
  <c r="AA26" i="20"/>
  <c r="AA27" i="20"/>
  <c r="AA28" i="20"/>
  <c r="AA29" i="20"/>
  <c r="AA30" i="20"/>
  <c r="AA31" i="20"/>
  <c r="AA32" i="20"/>
  <c r="AA33" i="20"/>
  <c r="AA34" i="20"/>
  <c r="AA35" i="20"/>
  <c r="AA36" i="20"/>
  <c r="AA37" i="20"/>
  <c r="AA38" i="20"/>
  <c r="AA39" i="20"/>
  <c r="AA40" i="20"/>
  <c r="AA41" i="20"/>
  <c r="AA42" i="20"/>
  <c r="AA43" i="20"/>
  <c r="AA44" i="20"/>
  <c r="AA45" i="20"/>
  <c r="AA46" i="20"/>
  <c r="AA47" i="20"/>
  <c r="AA48" i="20"/>
  <c r="AA49" i="20"/>
  <c r="AA50" i="20"/>
  <c r="AA51" i="20"/>
  <c r="AA52" i="20"/>
  <c r="AA53" i="20"/>
  <c r="AA54" i="20"/>
  <c r="AA55" i="20"/>
  <c r="AA56" i="20"/>
  <c r="AA57" i="20"/>
  <c r="AA58" i="20"/>
  <c r="AA59" i="20"/>
  <c r="AA60" i="20"/>
  <c r="AA61" i="20"/>
  <c r="AA62" i="20"/>
  <c r="AA63" i="20"/>
  <c r="AA64" i="20"/>
  <c r="AA65" i="20"/>
  <c r="AA66" i="20"/>
  <c r="AA67" i="20"/>
  <c r="AA68" i="20"/>
  <c r="AA69" i="20"/>
  <c r="AA70" i="20"/>
  <c r="AA71" i="20"/>
  <c r="AA72" i="20"/>
  <c r="AA73" i="20"/>
  <c r="AA74" i="20"/>
  <c r="AA75" i="20"/>
  <c r="AA76" i="20"/>
  <c r="AA77" i="20"/>
  <c r="AA78" i="20"/>
  <c r="AA79" i="20"/>
  <c r="AA80" i="20"/>
  <c r="AA81" i="20"/>
  <c r="AA82" i="20"/>
  <c r="AA83" i="20"/>
  <c r="AA84" i="20"/>
  <c r="AA85" i="20"/>
  <c r="AA86" i="20"/>
  <c r="AA87" i="20"/>
  <c r="AA88" i="20"/>
  <c r="AA89" i="20"/>
  <c r="AA90" i="20"/>
  <c r="AA91" i="20"/>
  <c r="AA92" i="20"/>
  <c r="AA93" i="20"/>
  <c r="AA94" i="20"/>
  <c r="AA95" i="20"/>
  <c r="AA96" i="20"/>
  <c r="AA97" i="20"/>
  <c r="AA98" i="20"/>
  <c r="AA99" i="20"/>
  <c r="AA100" i="20"/>
  <c r="AA101" i="20"/>
  <c r="AA102" i="20"/>
  <c r="AA103" i="20"/>
  <c r="AA104" i="20"/>
  <c r="AA105" i="20"/>
  <c r="AA106" i="20"/>
  <c r="AA107" i="20"/>
  <c r="AA108" i="20"/>
  <c r="AA109" i="20"/>
  <c r="AA110" i="20"/>
  <c r="AA111" i="20"/>
  <c r="AA112" i="20"/>
  <c r="AA113" i="20"/>
  <c r="AA114" i="20"/>
  <c r="AA115" i="20"/>
  <c r="AA116" i="20"/>
  <c r="AA117" i="20"/>
  <c r="AA118" i="20"/>
  <c r="AA119" i="20"/>
  <c r="AA120" i="20"/>
  <c r="AA121" i="20"/>
  <c r="AA122" i="20"/>
  <c r="AA123" i="20"/>
  <c r="AA124" i="20"/>
  <c r="AA125" i="20"/>
  <c r="AA126" i="20"/>
  <c r="AA127" i="20"/>
  <c r="AA128" i="20"/>
  <c r="AA129" i="20"/>
  <c r="AA130" i="20"/>
  <c r="AA131" i="20"/>
  <c r="AA132" i="20"/>
  <c r="AA133" i="20"/>
  <c r="AA134" i="20"/>
  <c r="AA135" i="20"/>
  <c r="AA136" i="20"/>
  <c r="AA137" i="20"/>
  <c r="AA138" i="20"/>
  <c r="AA139" i="20"/>
  <c r="AA140" i="20"/>
  <c r="AA141" i="20"/>
  <c r="AA142" i="20"/>
  <c r="AA143" i="20"/>
  <c r="AA144" i="20"/>
  <c r="AA145" i="20"/>
  <c r="AA146" i="20"/>
  <c r="AA147" i="20"/>
  <c r="AA148" i="20"/>
  <c r="AA149" i="20"/>
  <c r="AA150" i="20"/>
  <c r="AA151" i="20"/>
  <c r="AA152" i="20"/>
  <c r="AA153" i="20"/>
  <c r="AA154" i="20"/>
  <c r="AA155" i="20"/>
  <c r="AA156" i="20"/>
  <c r="AA157" i="20"/>
  <c r="AA158" i="20"/>
  <c r="AA159" i="20"/>
  <c r="AA160" i="20"/>
  <c r="AA161" i="20"/>
  <c r="AA162" i="20"/>
  <c r="AA163" i="20"/>
  <c r="AA164" i="20"/>
  <c r="AA165" i="20"/>
  <c r="AA166" i="20"/>
  <c r="AA167" i="20"/>
  <c r="AA168" i="20"/>
  <c r="AA169" i="20"/>
  <c r="AA170" i="20"/>
  <c r="AA3" i="20"/>
  <c r="S4" i="20"/>
  <c r="S5" i="20"/>
  <c r="S6" i="20"/>
  <c r="S7" i="20"/>
  <c r="S8" i="20"/>
  <c r="S9" i="20"/>
  <c r="S10" i="20"/>
  <c r="S11" i="20"/>
  <c r="S12" i="20"/>
  <c r="S13" i="20"/>
  <c r="S14" i="20"/>
  <c r="S15" i="20"/>
  <c r="S16" i="20"/>
  <c r="S17" i="20"/>
  <c r="S18" i="20"/>
  <c r="S19" i="20"/>
  <c r="S20" i="20"/>
  <c r="S21" i="20"/>
  <c r="S22" i="20"/>
  <c r="S23" i="20"/>
  <c r="S24" i="20"/>
  <c r="S25" i="20"/>
  <c r="S26" i="20"/>
  <c r="S27" i="20"/>
  <c r="S28" i="20"/>
  <c r="S29" i="20"/>
  <c r="S30" i="20"/>
  <c r="S31" i="20"/>
  <c r="S32" i="20"/>
  <c r="S33" i="20"/>
  <c r="S34" i="20"/>
  <c r="S35" i="20"/>
  <c r="S36" i="20"/>
  <c r="S37" i="20"/>
  <c r="S38" i="20"/>
  <c r="S39" i="20"/>
  <c r="S40" i="20"/>
  <c r="S41" i="20"/>
  <c r="S42" i="20"/>
  <c r="S43" i="20"/>
  <c r="S44" i="20"/>
  <c r="S45" i="20"/>
  <c r="S46" i="20"/>
  <c r="S47" i="20"/>
  <c r="S48" i="20"/>
  <c r="S49" i="20"/>
  <c r="S50" i="20"/>
  <c r="S51" i="20"/>
  <c r="S52" i="20"/>
  <c r="S53" i="20"/>
  <c r="S54" i="20"/>
  <c r="S55" i="20"/>
  <c r="S56" i="20"/>
  <c r="S57" i="20"/>
  <c r="S58" i="20"/>
  <c r="S59" i="20"/>
  <c r="S60" i="20"/>
  <c r="S61" i="20"/>
  <c r="S62" i="20"/>
  <c r="S63" i="20"/>
  <c r="S64" i="20"/>
  <c r="S65" i="20"/>
  <c r="S66" i="20"/>
  <c r="S67" i="20"/>
  <c r="S68" i="20"/>
  <c r="S69" i="20"/>
  <c r="S70" i="20"/>
  <c r="S71" i="20"/>
  <c r="S72" i="20"/>
  <c r="S73" i="20"/>
  <c r="S74" i="20"/>
  <c r="S75" i="20"/>
  <c r="S76" i="20"/>
  <c r="S77" i="20"/>
  <c r="S78" i="20"/>
  <c r="S79" i="20"/>
  <c r="S80" i="20"/>
  <c r="S81" i="20"/>
  <c r="S82" i="20"/>
  <c r="S83" i="20"/>
  <c r="S84" i="20"/>
  <c r="S85" i="20"/>
  <c r="S86" i="20"/>
  <c r="S87" i="20"/>
  <c r="S88" i="20"/>
  <c r="S89" i="20"/>
  <c r="S90" i="20"/>
  <c r="S91" i="20"/>
  <c r="S92" i="20"/>
  <c r="S93" i="20"/>
  <c r="S94" i="20"/>
  <c r="S95" i="20"/>
  <c r="S96" i="20"/>
  <c r="S97" i="20"/>
  <c r="S98" i="20"/>
  <c r="S99" i="20"/>
  <c r="S100" i="20"/>
  <c r="S101" i="20"/>
  <c r="S102" i="20"/>
  <c r="S103" i="20"/>
  <c r="S104" i="20"/>
  <c r="S105" i="20"/>
  <c r="S106" i="20"/>
  <c r="S107" i="20"/>
  <c r="S108" i="20"/>
  <c r="S109" i="20"/>
  <c r="S110" i="20"/>
  <c r="S111" i="20"/>
  <c r="S112" i="20"/>
  <c r="S113" i="20"/>
  <c r="S114" i="20"/>
  <c r="S115" i="20"/>
  <c r="S116" i="20"/>
  <c r="S117" i="20"/>
  <c r="S118" i="20"/>
  <c r="S119" i="20"/>
  <c r="S120" i="20"/>
  <c r="S121" i="20"/>
  <c r="S122" i="20"/>
  <c r="S123" i="20"/>
  <c r="S124" i="20"/>
  <c r="S125" i="20"/>
  <c r="S126" i="20"/>
  <c r="S127" i="20"/>
  <c r="S128" i="20"/>
  <c r="S129" i="20"/>
  <c r="S130" i="20"/>
  <c r="S131" i="20"/>
  <c r="S132" i="20"/>
  <c r="S133" i="20"/>
  <c r="S134" i="20"/>
  <c r="S135" i="20"/>
  <c r="S136" i="20"/>
  <c r="S137" i="20"/>
  <c r="S138" i="20"/>
  <c r="S139" i="20"/>
  <c r="S140" i="20"/>
  <c r="S141" i="20"/>
  <c r="S142" i="20"/>
  <c r="S143" i="20"/>
  <c r="S144" i="20"/>
  <c r="S145" i="20"/>
  <c r="S146" i="20"/>
  <c r="S147" i="20"/>
  <c r="S148" i="20"/>
  <c r="S149" i="20"/>
  <c r="S150" i="20"/>
  <c r="S151" i="20"/>
  <c r="S152" i="20"/>
  <c r="S153" i="20"/>
  <c r="S154" i="20"/>
  <c r="S155" i="20"/>
  <c r="S156" i="20"/>
  <c r="S157" i="20"/>
  <c r="S158" i="20"/>
  <c r="S159" i="20"/>
  <c r="S160" i="20"/>
  <c r="S161" i="20"/>
  <c r="S162" i="20"/>
  <c r="S163" i="20"/>
  <c r="S164" i="20"/>
  <c r="S165" i="20"/>
  <c r="S166" i="20"/>
  <c r="S167" i="20"/>
  <c r="S168" i="20"/>
  <c r="S169" i="20"/>
  <c r="S170" i="20"/>
  <c r="S3" i="20"/>
  <c r="M3" i="20"/>
  <c r="M4" i="20" s="1"/>
  <c r="M5" i="20" s="1"/>
  <c r="M6" i="20" s="1"/>
  <c r="M7" i="20" s="1"/>
  <c r="M8" i="20" s="1"/>
  <c r="M9" i="20" s="1"/>
  <c r="M10" i="20" s="1"/>
  <c r="M11" i="20" s="1"/>
  <c r="M12" i="20" s="1"/>
  <c r="M13" i="20" s="1"/>
  <c r="M14" i="20" s="1"/>
  <c r="M15" i="20" s="1"/>
  <c r="M16" i="20" s="1"/>
  <c r="M17" i="20" s="1"/>
  <c r="M18" i="20" s="1"/>
  <c r="M19" i="20" s="1"/>
  <c r="M20" i="20" s="1"/>
  <c r="M21" i="20" s="1"/>
  <c r="M22" i="20" s="1"/>
  <c r="M23" i="20" s="1"/>
  <c r="M24" i="20" s="1"/>
  <c r="M25" i="20" s="1"/>
  <c r="M26" i="20" s="1"/>
  <c r="M27" i="20" s="1"/>
  <c r="M28" i="20" s="1"/>
  <c r="M29" i="20" s="1"/>
  <c r="M30" i="20" s="1"/>
  <c r="M31" i="20" s="1"/>
  <c r="M32" i="20" s="1"/>
  <c r="M33" i="20" s="1"/>
  <c r="M34" i="20" s="1"/>
  <c r="M35" i="20" s="1"/>
  <c r="M36" i="20" s="1"/>
  <c r="M37" i="20" s="1"/>
  <c r="M38" i="20" s="1"/>
  <c r="M39" i="20" s="1"/>
  <c r="M40" i="20" s="1"/>
  <c r="M41" i="20" s="1"/>
  <c r="M42" i="20" s="1"/>
  <c r="M43" i="20" s="1"/>
  <c r="M44" i="20" s="1"/>
  <c r="M45" i="20" s="1"/>
  <c r="M46" i="20" s="1"/>
  <c r="M47" i="20" s="1"/>
  <c r="M48" i="20" s="1"/>
  <c r="M49" i="20" s="1"/>
  <c r="M50" i="20" s="1"/>
  <c r="M51" i="20" s="1"/>
  <c r="M52" i="20" s="1"/>
  <c r="M53" i="20" s="1"/>
  <c r="M54" i="20" s="1"/>
  <c r="M55" i="20" s="1"/>
  <c r="M56" i="20" s="1"/>
  <c r="M57" i="20" s="1"/>
  <c r="M58" i="20" s="1"/>
  <c r="M59" i="20" s="1"/>
  <c r="M60" i="20" s="1"/>
  <c r="M61" i="20" s="1"/>
  <c r="M62" i="20" s="1"/>
  <c r="M63" i="20" s="1"/>
  <c r="M64" i="20" s="1"/>
  <c r="M65" i="20" s="1"/>
  <c r="M66" i="20" s="1"/>
  <c r="M67" i="20" s="1"/>
  <c r="M68" i="20" s="1"/>
  <c r="M69" i="20" s="1"/>
  <c r="M70" i="20" s="1"/>
  <c r="M71" i="20" s="1"/>
  <c r="M72" i="20" s="1"/>
  <c r="M73" i="20" s="1"/>
  <c r="M74" i="20" s="1"/>
  <c r="M75" i="20" s="1"/>
  <c r="M76" i="20" s="1"/>
  <c r="M77" i="20" s="1"/>
  <c r="M78" i="20" s="1"/>
  <c r="M79" i="20" s="1"/>
  <c r="M80" i="20" s="1"/>
  <c r="M81" i="20" s="1"/>
  <c r="M82" i="20" s="1"/>
  <c r="M83" i="20" s="1"/>
  <c r="M84" i="20" s="1"/>
  <c r="M85" i="20" s="1"/>
  <c r="M86" i="20" s="1"/>
  <c r="M87" i="20" s="1"/>
  <c r="M88" i="20" s="1"/>
  <c r="M89" i="20" s="1"/>
  <c r="M90" i="20" s="1"/>
  <c r="M91" i="20" s="1"/>
  <c r="M92" i="20" s="1"/>
  <c r="M93" i="20" s="1"/>
  <c r="M94" i="20" s="1"/>
  <c r="M95" i="20" s="1"/>
  <c r="M96" i="20" s="1"/>
  <c r="M97" i="20" s="1"/>
  <c r="M98" i="20" s="1"/>
  <c r="M99" i="20" s="1"/>
  <c r="M100" i="20" s="1"/>
  <c r="M101" i="20" s="1"/>
  <c r="M102" i="20" s="1"/>
  <c r="M103" i="20" s="1"/>
  <c r="M104" i="20" s="1"/>
  <c r="M105" i="20" s="1"/>
  <c r="M106" i="20" s="1"/>
  <c r="M107" i="20" s="1"/>
  <c r="M108" i="20" s="1"/>
  <c r="M109" i="20" s="1"/>
  <c r="M110" i="20" s="1"/>
  <c r="M111" i="20" s="1"/>
  <c r="M112" i="20" s="1"/>
  <c r="M113" i="20" s="1"/>
  <c r="M114" i="20" s="1"/>
  <c r="M115" i="20" s="1"/>
  <c r="M116" i="20" s="1"/>
  <c r="M117" i="20" s="1"/>
  <c r="M118" i="20" s="1"/>
  <c r="M119" i="20" s="1"/>
  <c r="M120" i="20" s="1"/>
  <c r="M121" i="20" s="1"/>
  <c r="M122" i="20" s="1"/>
  <c r="M123" i="20" s="1"/>
  <c r="M124" i="20" s="1"/>
  <c r="M125" i="20" s="1"/>
  <c r="M126" i="20" s="1"/>
  <c r="M127" i="20" s="1"/>
  <c r="M128" i="20" s="1"/>
  <c r="M129" i="20" s="1"/>
  <c r="M130" i="20" s="1"/>
  <c r="M131" i="20" s="1"/>
  <c r="M132" i="20" s="1"/>
  <c r="M133" i="20" s="1"/>
  <c r="M134" i="20" s="1"/>
  <c r="M135" i="20" s="1"/>
  <c r="M136" i="20" s="1"/>
  <c r="M137" i="20" s="1"/>
  <c r="M138" i="20" s="1"/>
  <c r="M139" i="20" s="1"/>
  <c r="M140" i="20" s="1"/>
  <c r="M141" i="20" s="1"/>
  <c r="M142" i="20" s="1"/>
  <c r="M143" i="20" s="1"/>
  <c r="M144" i="20" s="1"/>
  <c r="M145" i="20" s="1"/>
  <c r="M146" i="20" s="1"/>
  <c r="M147" i="20" s="1"/>
  <c r="M148" i="20" s="1"/>
  <c r="M149" i="20" s="1"/>
  <c r="M150" i="20" s="1"/>
  <c r="M151" i="20" s="1"/>
  <c r="M152" i="20" s="1"/>
  <c r="M153" i="20" s="1"/>
  <c r="M154" i="20" s="1"/>
  <c r="M155" i="20" s="1"/>
  <c r="M156" i="20" s="1"/>
  <c r="M157" i="20" s="1"/>
  <c r="M158" i="20" s="1"/>
  <c r="M159" i="20" s="1"/>
  <c r="M160" i="20" s="1"/>
  <c r="M161" i="20" s="1"/>
  <c r="M162" i="20" s="1"/>
  <c r="M163" i="20" s="1"/>
  <c r="M164" i="20" s="1"/>
  <c r="M165" i="20" s="1"/>
  <c r="M166" i="20" s="1"/>
  <c r="M167" i="20" s="1"/>
  <c r="M168" i="20" s="1"/>
  <c r="M169" i="20" s="1"/>
  <c r="M170" i="20" s="1"/>
  <c r="C19" i="17"/>
  <c r="A4" i="12" l="1"/>
  <c r="A5" i="12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3" i="12"/>
  <c r="A2" i="12"/>
  <c r="D32" i="17" l="1"/>
  <c r="D3" i="7" l="1"/>
  <c r="C3" i="7"/>
  <c r="C2" i="7"/>
  <c r="D2" i="7" s="1"/>
  <c r="C2" i="6" l="1"/>
  <c r="C16" i="17" l="1"/>
  <c r="C7" i="17"/>
  <c r="D4" i="16" l="1"/>
  <c r="D3" i="16"/>
</calcChain>
</file>

<file path=xl/sharedStrings.xml><?xml version="1.0" encoding="utf-8"?>
<sst xmlns="http://schemas.openxmlformats.org/spreadsheetml/2006/main" count="684" uniqueCount="262">
  <si>
    <t>carrier</t>
  </si>
  <si>
    <t>overwrite</t>
  </si>
  <si>
    <t xml:space="preserve">water </t>
  </si>
  <si>
    <t>gas</t>
  </si>
  <si>
    <t>hydrogen</t>
  </si>
  <si>
    <t>name</t>
  </si>
  <si>
    <t>true</t>
  </si>
  <si>
    <t>AC</t>
  </si>
  <si>
    <t>water</t>
  </si>
  <si>
    <t>wind</t>
  </si>
  <si>
    <t>grid_import</t>
  </si>
  <si>
    <t>biomass</t>
  </si>
  <si>
    <t>p_nom</t>
  </si>
  <si>
    <t>capital_cost</t>
  </si>
  <si>
    <t>marginal_cost</t>
  </si>
  <si>
    <t>bus</t>
  </si>
  <si>
    <t>efficiency</t>
  </si>
  <si>
    <t>Todo va en minúsculas y separado por un guión bajo</t>
  </si>
  <si>
    <t>ramp_limit_up</t>
  </si>
  <si>
    <t>ramp_limit_down</t>
  </si>
  <si>
    <t>max_hours</t>
  </si>
  <si>
    <t>efficiency_store</t>
  </si>
  <si>
    <t>efficiency_dispatch</t>
  </si>
  <si>
    <t>cyclic_state_of_charge</t>
  </si>
  <si>
    <t>e_nom</t>
  </si>
  <si>
    <t>e_initial</t>
  </si>
  <si>
    <t>e_min_pu</t>
  </si>
  <si>
    <t>e_max_pu</t>
  </si>
  <si>
    <t>PyPSA Model Notebook</t>
  </si>
  <si>
    <t>false</t>
  </si>
  <si>
    <t>ES_electricity_market_bus</t>
  </si>
  <si>
    <t>ES_water_bus</t>
  </si>
  <si>
    <t>ES_gas_bus</t>
  </si>
  <si>
    <t>ES_hydrogen_bus</t>
  </si>
  <si>
    <t>PT_electricity_market_bus</t>
  </si>
  <si>
    <t>PT_water_bus</t>
  </si>
  <si>
    <t>PT_gas_bus</t>
  </si>
  <si>
    <t>PT_hydrogen_bus</t>
  </si>
  <si>
    <t>ES_CCGT</t>
  </si>
  <si>
    <t>ES_turbina</t>
  </si>
  <si>
    <t>ES_pump</t>
  </si>
  <si>
    <t>ES_electrolyzer</t>
  </si>
  <si>
    <t>PT_CCGT</t>
  </si>
  <si>
    <t>PT_turbina</t>
  </si>
  <si>
    <t>PT_pump</t>
  </si>
  <si>
    <t>PT_electrolyzer</t>
  </si>
  <si>
    <t>ES_wind</t>
  </si>
  <si>
    <t>ES_biomass</t>
  </si>
  <si>
    <t>ES_gas</t>
  </si>
  <si>
    <t xml:space="preserve">ES_water </t>
  </si>
  <si>
    <t>PT_biomass</t>
  </si>
  <si>
    <t>PT_gas</t>
  </si>
  <si>
    <t xml:space="preserve">PT_water </t>
  </si>
  <si>
    <t>ES_electricity_market_battery</t>
  </si>
  <si>
    <t>ES_hydrogen_storage</t>
  </si>
  <si>
    <t>PT_electricity_market_battery</t>
  </si>
  <si>
    <t>ES_embalse</t>
  </si>
  <si>
    <t>PT_embalse</t>
  </si>
  <si>
    <t>ES_demand_2040</t>
  </si>
  <si>
    <t>ES_hydrogen_demand</t>
  </si>
  <si>
    <t>PT_demand_2040</t>
  </si>
  <si>
    <t>PT_hydrogen_demand</t>
  </si>
  <si>
    <t>ES_wind_profile</t>
  </si>
  <si>
    <t>ES_hydraulic_profile</t>
  </si>
  <si>
    <t>PT_hydraulic_profile</t>
  </si>
  <si>
    <t>MW</t>
  </si>
  <si>
    <t>euros</t>
  </si>
  <si>
    <t>bus0</t>
  </si>
  <si>
    <t>bus1</t>
  </si>
  <si>
    <t>MWh</t>
  </si>
  <si>
    <t>ES_PT_interconexion_electricidad</t>
  </si>
  <si>
    <t>ES_PT_interconexion_hidrogeno</t>
  </si>
  <si>
    <t>PT_ES_interconexion_electricidad</t>
  </si>
  <si>
    <t>PT_ES_interconexion_hidrogeno</t>
  </si>
  <si>
    <t>ES_SRES_electrolyzer</t>
  </si>
  <si>
    <t>ES_SRES_excedentes</t>
  </si>
  <si>
    <t>PT_SRES_electrolyzer</t>
  </si>
  <si>
    <t>PT_SRES_excedentes</t>
  </si>
  <si>
    <t>load_shedding</t>
  </si>
  <si>
    <t>ES_load_shedding</t>
  </si>
  <si>
    <t>PT_load_shedding</t>
  </si>
  <si>
    <t>ES_load_shedding_h2</t>
  </si>
  <si>
    <t>PT_load_shedding_h2</t>
  </si>
  <si>
    <t>x</t>
  </si>
  <si>
    <t>y</t>
  </si>
  <si>
    <t>FR_electricity_market_bus</t>
  </si>
  <si>
    <t>FR_hydrogen_bus</t>
  </si>
  <si>
    <t>ES_FR_interconexion_electricidad</t>
  </si>
  <si>
    <t>nuclear</t>
  </si>
  <si>
    <t>FR_demand_2040</t>
  </si>
  <si>
    <t>FR_hydrogen_demand</t>
  </si>
  <si>
    <t>FR_ES_interconexion_electricidad</t>
  </si>
  <si>
    <t>Demandas</t>
  </si>
  <si>
    <t>FR_load_shedding_h2</t>
  </si>
  <si>
    <t>FR_load_shedding</t>
  </si>
  <si>
    <t>ES_SRES_excedentes_bus</t>
  </si>
  <si>
    <t>ES_SRES_electrolyzer_bus</t>
  </si>
  <si>
    <t>PT_SRES_excedentes_bus</t>
  </si>
  <si>
    <t>PT_SRES_electrolyzer_bus</t>
  </si>
  <si>
    <t>MA_hydrogen_bus</t>
  </si>
  <si>
    <t>MA_h2lowband</t>
  </si>
  <si>
    <t>MA_h2highband</t>
  </si>
  <si>
    <t>MA_ES_interconexion_hidrogeno</t>
  </si>
  <si>
    <t>FRSW_hydrogen_demand</t>
  </si>
  <si>
    <t>FRS_hydrogen_bus</t>
  </si>
  <si>
    <t>FRSW_hydrogen_bus</t>
  </si>
  <si>
    <t>FRS_load_shedding_h2</t>
  </si>
  <si>
    <t>FRSW_load_shedding_h2</t>
  </si>
  <si>
    <t xml:space="preserve"> </t>
  </si>
  <si>
    <t>ES_FR_interconexion_hidrogeno_BarMar</t>
  </si>
  <si>
    <t>ES_FR_interconexion_hidrogeno_IrunLarrau</t>
  </si>
  <si>
    <t>FR_FR_interconexion_hidrogeno_SWtoS</t>
  </si>
  <si>
    <t>FR_FR_interconexion_hidrogeno_StoFRh2</t>
  </si>
  <si>
    <t>FR_FR_interconexion_hidrogeno_FRh2toS</t>
  </si>
  <si>
    <t>FRS_hydrogen_storage</t>
  </si>
  <si>
    <t>FRSW_hydrogen_storage</t>
  </si>
  <si>
    <t>FR_hydraulic_profile</t>
  </si>
  <si>
    <t>FR00_generation</t>
  </si>
  <si>
    <t>FR_ES_interconexion_hidrogeno_BarMar</t>
  </si>
  <si>
    <t>FRh2SW_generation</t>
  </si>
  <si>
    <t>FR_electricity_generator</t>
  </si>
  <si>
    <t>FR_hydrogen_generator_FRSW</t>
  </si>
  <si>
    <t>FR_hydrogen_generator_FRH2</t>
  </si>
  <si>
    <t>FRh2_generation</t>
  </si>
  <si>
    <t>PT_electrolyzer_profile</t>
  </si>
  <si>
    <t>PT_excedentes_profile</t>
  </si>
  <si>
    <t>ES_excedentes_profile</t>
  </si>
  <si>
    <t>ES_electrolyzer_profile</t>
  </si>
  <si>
    <t>FRh2SW_storage</t>
  </si>
  <si>
    <t>FRh2S_storage</t>
  </si>
  <si>
    <t>sres_electrolyzer</t>
  </si>
  <si>
    <t>sres_excedentes</t>
  </si>
  <si>
    <t>hora</t>
  </si>
  <si>
    <t>MA_hydrogen_profile_low</t>
  </si>
  <si>
    <t>MA_hydrogen_profile_high</t>
  </si>
  <si>
    <t>ES_solar_csp_profile</t>
  </si>
  <si>
    <t>ES_solar_rooftop_profile</t>
  </si>
  <si>
    <t>ES_solar_pv_profile</t>
  </si>
  <si>
    <t>ES_solar_pv</t>
  </si>
  <si>
    <t>ES_solar_csp</t>
  </si>
  <si>
    <t>ES_solar_rooftop</t>
  </si>
  <si>
    <t>PT_solar_pv</t>
  </si>
  <si>
    <t>PT_solar_rooftop</t>
  </si>
  <si>
    <t>PT_solar_rooftop_profile</t>
  </si>
  <si>
    <t>Horas</t>
  </si>
  <si>
    <t>Capacidades Instaladas</t>
  </si>
  <si>
    <t>ES Solar Rooftop</t>
  </si>
  <si>
    <t>ES Solar CSP</t>
  </si>
  <si>
    <t>ES Solar PV Utility</t>
  </si>
  <si>
    <t>PT Solar PV Utility</t>
  </si>
  <si>
    <t>PT Solar Rooftop</t>
  </si>
  <si>
    <t>Demanda ES00RETE</t>
  </si>
  <si>
    <t>ES00 Solar PV Utility</t>
  </si>
  <si>
    <t>PT00 Solar PV Utility</t>
  </si>
  <si>
    <t>Demanda PT00RETE</t>
  </si>
  <si>
    <t>Demanda ES00</t>
  </si>
  <si>
    <t>Demanda PT00</t>
  </si>
  <si>
    <t>PT_solar_pv_profile</t>
  </si>
  <si>
    <t>solar_pv</t>
  </si>
  <si>
    <t>solar_rooftop</t>
  </si>
  <si>
    <t>solar_csp</t>
  </si>
  <si>
    <t>ES00 Solar CSP</t>
  </si>
  <si>
    <t>Perfil</t>
  </si>
  <si>
    <t>PT00RETE Solar PV Rooftop</t>
  </si>
  <si>
    <t>p_min_pu</t>
  </si>
  <si>
    <t>PT00 Wind Offshore Radial</t>
  </si>
  <si>
    <t>PT00 Wind Onshore</t>
  </si>
  <si>
    <t>PT WIND</t>
  </si>
  <si>
    <t>PT_wind_onshore_profile</t>
  </si>
  <si>
    <t>PT_wind_offshore_profile</t>
  </si>
  <si>
    <t>PT_wind_onshore</t>
  </si>
  <si>
    <t>PT_wind_offshore</t>
  </si>
  <si>
    <t>wind_onshore</t>
  </si>
  <si>
    <t>wind_offshore</t>
  </si>
  <si>
    <t>ES00 Other RES</t>
  </si>
  <si>
    <t>ES Biomasa</t>
  </si>
  <si>
    <t>PT Biomasa</t>
  </si>
  <si>
    <t xml:space="preserve">PT00 Other RES </t>
  </si>
  <si>
    <t>ES_biomass_profile</t>
  </si>
  <si>
    <t>PT_biomass_profile</t>
  </si>
  <si>
    <t xml:space="preserve">Perfil </t>
  </si>
  <si>
    <t>Perfil Off</t>
  </si>
  <si>
    <t>Perfil On</t>
  </si>
  <si>
    <t>Solar ES-PT</t>
  </si>
  <si>
    <t>FR00 Gas CCGT new</t>
  </si>
  <si>
    <t>FR00 Nuclear</t>
  </si>
  <si>
    <t>FR00 Other nonRES 1</t>
  </si>
  <si>
    <t>FR00 Wind Onshore</t>
  </si>
  <si>
    <t>FR00 Solar PV Utility</t>
  </si>
  <si>
    <t>FR00 Wind Offshore Radial</t>
  </si>
  <si>
    <t>FR00 Other RES</t>
  </si>
  <si>
    <t>FR00 Run of River</t>
  </si>
  <si>
    <t>FR00 Reservoir</t>
  </si>
  <si>
    <t>FR00 PS Open</t>
  </si>
  <si>
    <t>FR00 PS Open Pump</t>
  </si>
  <si>
    <t>FR00 PS Closed</t>
  </si>
  <si>
    <t>FR00 PS Closed Pump</t>
  </si>
  <si>
    <t>FR00 DSR Price Band 1</t>
  </si>
  <si>
    <t>FR00RETE Solar PV Rooftop</t>
  </si>
  <si>
    <t>FRh2 SMR CCS</t>
  </si>
  <si>
    <t>Ammonia_FRN-FRh2N-HIGH</t>
  </si>
  <si>
    <t>Ammonia_FRN-FRh2N-LOW</t>
  </si>
  <si>
    <t>Ammonia_FRSW-FRh2SW-HIGH</t>
  </si>
  <si>
    <t>Ammonia_FRSW-FRh2SW-LOW</t>
  </si>
  <si>
    <t>ES00 Gas CCGT present 1</t>
  </si>
  <si>
    <t>ES00 Other nonRES 1</t>
  </si>
  <si>
    <t>ES00 Wind Onshore</t>
  </si>
  <si>
    <t>ES00 Wind Offshore Radial</t>
  </si>
  <si>
    <t>ES00 Wind Offshore Hub Ready</t>
  </si>
  <si>
    <t>ES00 Run of River</t>
  </si>
  <si>
    <t>ES00 Reservoir</t>
  </si>
  <si>
    <t>ES00 PS Open</t>
  </si>
  <si>
    <t>ES00 PS Open Pump</t>
  </si>
  <si>
    <t>ES00 PS Closed</t>
  </si>
  <si>
    <t>ES00 PS Closed Pump</t>
  </si>
  <si>
    <t>ES00 DSR Price Band 1</t>
  </si>
  <si>
    <t>ES00RETE Solar PV Rooftop</t>
  </si>
  <si>
    <t>ES00_SRES_RES_Solar</t>
  </si>
  <si>
    <t>ES00_SRES_RES_Wind_Onshore</t>
  </si>
  <si>
    <t>ES00_SRES_P2G</t>
  </si>
  <si>
    <t>MA-ESh2-HIGH</t>
  </si>
  <si>
    <t>MA-ESh2-LOW</t>
  </si>
  <si>
    <t>PT00 Gas CCGT present 1</t>
  </si>
  <si>
    <t>PT00 Other nonRES 1</t>
  </si>
  <si>
    <t>PT00 Other RES</t>
  </si>
  <si>
    <t>PT00 Run of River</t>
  </si>
  <si>
    <t>PT00 Reservoir</t>
  </si>
  <si>
    <t>PT00 PS Open</t>
  </si>
  <si>
    <t>PT00 PS Open Pump</t>
  </si>
  <si>
    <t>PT00 Pondage</t>
  </si>
  <si>
    <t>PT00_SRES_RES_Solar</t>
  </si>
  <si>
    <t>PT00_SRES_RES_Wind_Offshore</t>
  </si>
  <si>
    <t>PT00_SRES_RES_Wind_Onshore</t>
  </si>
  <si>
    <t>PT00_SRES_P2G</t>
  </si>
  <si>
    <t>ESPAÑA</t>
  </si>
  <si>
    <t>PORTUGAL</t>
  </si>
  <si>
    <t>FRANCIA</t>
  </si>
  <si>
    <t>Biomasa</t>
  </si>
  <si>
    <t>Perfil Of</t>
  </si>
  <si>
    <t>Nuclear</t>
  </si>
  <si>
    <t>SRES: e-market o h2</t>
  </si>
  <si>
    <t>Wind</t>
  </si>
  <si>
    <t>Perfil Hub</t>
  </si>
  <si>
    <t>Perfil SRES to h2</t>
  </si>
  <si>
    <t>Perfil SRES emarket</t>
  </si>
  <si>
    <t>Francia??? No tiene? No aparece en generator generation y en otros.</t>
  </si>
  <si>
    <t>Exportaciones desde FR00 a EU00</t>
  </si>
  <si>
    <t>FR00-IE00</t>
  </si>
  <si>
    <t>FR00-ITN1</t>
  </si>
  <si>
    <t>FR00-LUF1</t>
  </si>
  <si>
    <t>FR00-UK00</t>
  </si>
  <si>
    <t>BE00-FR00</t>
  </si>
  <si>
    <t>CH00-FR00</t>
  </si>
  <si>
    <t>DE00-FR00</t>
  </si>
  <si>
    <t>FR00-FR00RETE</t>
  </si>
  <si>
    <t>FR00-FRh2-P2G_emarket</t>
  </si>
  <si>
    <t>FR00-FRh2SW-P2G_emarket</t>
  </si>
  <si>
    <t>Exportaciones FR00</t>
  </si>
  <si>
    <t>Esto será la demanda que pondré en el nodo EU00. Son las exportaciones del resto de europa</t>
  </si>
  <si>
    <t>Importaciones desde EU00 a FR00</t>
  </si>
  <si>
    <t>Esto será la generación que tiene que tener el nodo EU00. Son las exportaciones del resto de europa</t>
  </si>
  <si>
    <t>Importaciones FR00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</si>
</sst>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0" formatCode="0.0"/>
  </numFmts>
  <fonts count="41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indexed="9"/>
      <name val="Arial"/>
      <family val="2"/>
      <charset val="238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sz val="10"/>
      <color theme="1"/>
      <name val="Aptos"/>
      <family val="2"/>
    </font>
    <font>
      <sz val="11"/>
      <name val="Aptos"/>
      <family val="2"/>
    </font>
    <font>
      <i/>
      <sz val="11"/>
      <color theme="1"/>
      <name val="Aptos"/>
      <family val="2"/>
    </font>
    <font>
      <sz val="11"/>
      <color rgb="FF0070C0"/>
      <name val="Aptos"/>
      <family val="2"/>
    </font>
    <font>
      <sz val="11"/>
      <color rgb="FFFF0000"/>
      <name val="Aptos"/>
      <family val="2"/>
    </font>
    <font>
      <b/>
      <sz val="11"/>
      <color theme="1"/>
      <name val="Aptos"/>
      <family val="2"/>
    </font>
    <font>
      <sz val="11"/>
      <color rgb="FF000000"/>
      <name val="Aptos"/>
      <family val="2"/>
    </font>
    <font>
      <b/>
      <sz val="20"/>
      <color theme="1"/>
      <name val="Aptos"/>
      <family val="2"/>
    </font>
    <font>
      <sz val="8"/>
      <color theme="1"/>
      <name val="Aptos"/>
      <family val="2"/>
    </font>
    <font>
      <b/>
      <sz val="10"/>
      <color theme="1"/>
      <name val="Aptos"/>
      <family val="2"/>
    </font>
    <font>
      <b/>
      <sz val="25"/>
      <color theme="1"/>
      <name val="Aptos"/>
      <family val="2"/>
    </font>
    <font>
      <sz val="11"/>
      <color rgb="FFC00000"/>
      <name val="Aptos"/>
      <family val="2"/>
    </font>
  </fonts>
  <fills count="5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FFED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F5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DFFE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7">
    <xf numFmtId="0" fontId="0" fillId="0" borderId="0"/>
    <xf numFmtId="0" fontId="2" fillId="4" borderId="0">
      <alignment horizontal="left"/>
    </xf>
    <xf numFmtId="0" fontId="3" fillId="4" borderId="0">
      <alignment horizontal="left"/>
    </xf>
    <xf numFmtId="0" fontId="4" fillId="0" borderId="0"/>
    <xf numFmtId="0" fontId="5" fillId="4" borderId="2">
      <alignment horizontal="left"/>
    </xf>
    <xf numFmtId="49" fontId="6" fillId="0" borderId="2">
      <alignment horizontal="right"/>
    </xf>
    <xf numFmtId="0" fontId="5" fillId="4" borderId="2">
      <alignment horizontal="right"/>
    </xf>
    <xf numFmtId="0" fontId="2" fillId="4" borderId="0">
      <alignment horizontal="left"/>
    </xf>
    <xf numFmtId="0" fontId="5" fillId="4" borderId="2">
      <alignment horizontal="right"/>
    </xf>
    <xf numFmtId="2" fontId="6" fillId="0" borderId="2">
      <alignment horizontal="right" vertical="top" wrapText="1"/>
    </xf>
    <xf numFmtId="1" fontId="6" fillId="0" borderId="2">
      <alignment horizontal="right" vertical="top" wrapText="1"/>
    </xf>
    <xf numFmtId="1" fontId="6" fillId="0" borderId="2">
      <alignment horizontal="right" vertical="top" wrapText="1"/>
    </xf>
    <xf numFmtId="1" fontId="4" fillId="0" borderId="2">
      <alignment horizontal="right" vertical="top" wrapText="1"/>
    </xf>
    <xf numFmtId="0" fontId="7" fillId="4" borderId="2">
      <alignment horizontal="right"/>
    </xf>
    <xf numFmtId="0" fontId="8" fillId="5" borderId="0">
      <alignment horizontal="left"/>
    </xf>
    <xf numFmtId="0" fontId="4" fillId="0" borderId="0"/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15" borderId="0" applyNumberFormat="0" applyBorder="0" applyAlignment="0" applyProtection="0"/>
    <xf numFmtId="0" fontId="15" fillId="16" borderId="0" applyNumberFormat="0" applyBorder="0" applyAlignment="0" applyProtection="0"/>
    <xf numFmtId="0" fontId="16" fillId="17" borderId="0" applyNumberFormat="0" applyBorder="0" applyAlignment="0" applyProtection="0"/>
    <xf numFmtId="0" fontId="17" fillId="18" borderId="8" applyNumberFormat="0" applyAlignment="0" applyProtection="0"/>
    <xf numFmtId="0" fontId="18" fillId="19" borderId="9" applyNumberFormat="0" applyAlignment="0" applyProtection="0"/>
    <xf numFmtId="0" fontId="19" fillId="19" borderId="8" applyNumberFormat="0" applyAlignment="0" applyProtection="0"/>
    <xf numFmtId="0" fontId="20" fillId="0" borderId="10" applyNumberFormat="0" applyFill="0" applyAlignment="0" applyProtection="0"/>
    <xf numFmtId="0" fontId="21" fillId="20" borderId="11" applyNumberFormat="0" applyAlignment="0" applyProtection="0"/>
    <xf numFmtId="0" fontId="22" fillId="0" borderId="0" applyNumberFormat="0" applyFill="0" applyBorder="0" applyAlignment="0" applyProtection="0"/>
    <xf numFmtId="0" fontId="9" fillId="21" borderId="12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3" applyNumberFormat="0" applyFill="0" applyAlignment="0" applyProtection="0"/>
    <xf numFmtId="0" fontId="25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25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25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25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25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25" fillId="42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</cellStyleXfs>
  <cellXfs count="156">
    <xf numFmtId="0" fontId="0" fillId="0" borderId="0" xfId="0"/>
    <xf numFmtId="0" fontId="1" fillId="7" borderId="0" xfId="0" applyFont="1" applyFill="1"/>
    <xf numFmtId="0" fontId="0" fillId="7" borderId="0" xfId="0" applyFill="1"/>
    <xf numFmtId="0" fontId="26" fillId="7" borderId="0" xfId="0" applyFont="1" applyFill="1"/>
    <xf numFmtId="0" fontId="28" fillId="11" borderId="1" xfId="0" applyFont="1" applyFill="1" applyBorder="1"/>
    <xf numFmtId="0" fontId="28" fillId="7" borderId="0" xfId="0" applyFont="1" applyFill="1"/>
    <xf numFmtId="0" fontId="28" fillId="2" borderId="0" xfId="0" applyFont="1" applyFill="1"/>
    <xf numFmtId="0" fontId="28" fillId="7" borderId="1" xfId="0" applyFont="1" applyFill="1" applyBorder="1"/>
    <xf numFmtId="0" fontId="28" fillId="3" borderId="0" xfId="0" applyFont="1" applyFill="1"/>
    <xf numFmtId="1" fontId="28" fillId="7" borderId="0" xfId="0" applyNumberFormat="1" applyFont="1" applyFill="1"/>
    <xf numFmtId="0" fontId="28" fillId="6" borderId="0" xfId="0" applyFont="1" applyFill="1"/>
    <xf numFmtId="0" fontId="28" fillId="6" borderId="1" xfId="0" applyFont="1" applyFill="1" applyBorder="1"/>
    <xf numFmtId="0" fontId="28" fillId="8" borderId="16" xfId="0" applyFont="1" applyFill="1" applyBorder="1"/>
    <xf numFmtId="0" fontId="28" fillId="7" borderId="16" xfId="0" applyFont="1" applyFill="1" applyBorder="1"/>
    <xf numFmtId="0" fontId="28" fillId="8" borderId="0" xfId="0" applyFont="1" applyFill="1"/>
    <xf numFmtId="0" fontId="28" fillId="8" borderId="1" xfId="0" applyFont="1" applyFill="1" applyBorder="1"/>
    <xf numFmtId="0" fontId="28" fillId="9" borderId="16" xfId="0" applyFont="1" applyFill="1" applyBorder="1"/>
    <xf numFmtId="0" fontId="28" fillId="9" borderId="1" xfId="0" applyFont="1" applyFill="1" applyBorder="1"/>
    <xf numFmtId="0" fontId="29" fillId="7" borderId="0" xfId="0" applyFont="1" applyFill="1"/>
    <xf numFmtId="0" fontId="28" fillId="7" borderId="2" xfId="0" applyFont="1" applyFill="1" applyBorder="1"/>
    <xf numFmtId="0" fontId="28" fillId="7" borderId="3" xfId="0" applyFont="1" applyFill="1" applyBorder="1"/>
    <xf numFmtId="0" fontId="28" fillId="7" borderId="4" xfId="0" applyFont="1" applyFill="1" applyBorder="1"/>
    <xf numFmtId="0" fontId="30" fillId="11" borderId="0" xfId="0" applyFont="1" applyFill="1"/>
    <xf numFmtId="0" fontId="31" fillId="2" borderId="0" xfId="0" applyFont="1" applyFill="1"/>
    <xf numFmtId="0" fontId="31" fillId="3" borderId="0" xfId="0" applyFont="1" applyFill="1"/>
    <xf numFmtId="0" fontId="28" fillId="9" borderId="0" xfId="0" applyFont="1" applyFill="1"/>
    <xf numFmtId="0" fontId="28" fillId="11" borderId="0" xfId="0" applyFont="1" applyFill="1"/>
    <xf numFmtId="0" fontId="32" fillId="7" borderId="0" xfId="0" applyFont="1" applyFill="1"/>
    <xf numFmtId="0" fontId="28" fillId="7" borderId="0" xfId="0" applyFont="1" applyFill="1" applyAlignment="1">
      <alignment horizontal="right" wrapText="1"/>
    </xf>
    <xf numFmtId="0" fontId="28" fillId="12" borderId="0" xfId="0" applyFont="1" applyFill="1"/>
    <xf numFmtId="0" fontId="30" fillId="7" borderId="0" xfId="0" applyFont="1" applyFill="1" applyAlignment="1">
      <alignment horizontal="right"/>
    </xf>
    <xf numFmtId="0" fontId="28" fillId="13" borderId="0" xfId="0" applyFont="1" applyFill="1"/>
    <xf numFmtId="0" fontId="33" fillId="7" borderId="0" xfId="0" applyFont="1" applyFill="1"/>
    <xf numFmtId="0" fontId="28" fillId="14" borderId="0" xfId="0" applyFont="1" applyFill="1"/>
    <xf numFmtId="0" fontId="28" fillId="0" borderId="0" xfId="0" applyFont="1"/>
    <xf numFmtId="0" fontId="28" fillId="7" borderId="4" xfId="0" applyFont="1" applyFill="1" applyBorder="1" applyAlignment="1">
      <alignment horizontal="center" vertical="center"/>
    </xf>
    <xf numFmtId="0" fontId="28" fillId="10" borderId="4" xfId="0" applyFont="1" applyFill="1" applyBorder="1" applyAlignment="1">
      <alignment horizontal="center"/>
    </xf>
    <xf numFmtId="0" fontId="30" fillId="3" borderId="4" xfId="0" applyFont="1" applyFill="1" applyBorder="1" applyAlignment="1">
      <alignment horizontal="center"/>
    </xf>
    <xf numFmtId="0" fontId="30" fillId="8" borderId="4" xfId="0" applyFont="1" applyFill="1" applyBorder="1" applyAlignment="1">
      <alignment horizontal="center"/>
    </xf>
    <xf numFmtId="0" fontId="34" fillId="7" borderId="0" xfId="0" applyFont="1" applyFill="1"/>
    <xf numFmtId="1" fontId="28" fillId="7" borderId="3" xfId="0" applyNumberFormat="1" applyFont="1" applyFill="1" applyBorder="1" applyAlignment="1">
      <alignment horizontal="center"/>
    </xf>
    <xf numFmtId="164" fontId="28" fillId="7" borderId="3" xfId="0" applyNumberFormat="1" applyFont="1" applyFill="1" applyBorder="1" applyAlignment="1">
      <alignment horizontal="center" vertical="center"/>
    </xf>
    <xf numFmtId="164" fontId="30" fillId="7" borderId="3" xfId="0" applyNumberFormat="1" applyFont="1" applyFill="1" applyBorder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8" fillId="7" borderId="0" xfId="0" applyFont="1" applyFill="1" applyAlignment="1">
      <alignment horizontal="center"/>
    </xf>
    <xf numFmtId="0" fontId="30" fillId="7" borderId="0" xfId="0" applyFont="1" applyFill="1" applyAlignment="1">
      <alignment horizontal="center"/>
    </xf>
    <xf numFmtId="0" fontId="30" fillId="7" borderId="0" xfId="0" applyFont="1" applyFill="1"/>
    <xf numFmtId="0" fontId="30" fillId="2" borderId="0" xfId="0" applyFont="1" applyFill="1"/>
    <xf numFmtId="0" fontId="30" fillId="3" borderId="0" xfId="0" applyFont="1" applyFill="1"/>
    <xf numFmtId="2" fontId="32" fillId="7" borderId="0" xfId="0" applyNumberFormat="1" applyFont="1" applyFill="1"/>
    <xf numFmtId="2" fontId="28" fillId="7" borderId="0" xfId="0" applyNumberFormat="1" applyFont="1" applyFill="1"/>
    <xf numFmtId="0" fontId="28" fillId="2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horizontal="center"/>
    </xf>
    <xf numFmtId="0" fontId="34" fillId="7" borderId="0" xfId="0" applyFont="1" applyFill="1" applyAlignment="1">
      <alignment horizontal="center"/>
    </xf>
    <xf numFmtId="2" fontId="28" fillId="7" borderId="0" xfId="0" applyNumberFormat="1" applyFont="1" applyFill="1" applyAlignment="1">
      <alignment horizontal="center"/>
    </xf>
    <xf numFmtId="2" fontId="35" fillId="7" borderId="0" xfId="0" applyNumberFormat="1" applyFont="1" applyFill="1" applyAlignment="1">
      <alignment horizontal="center"/>
    </xf>
    <xf numFmtId="0" fontId="28" fillId="2" borderId="4" xfId="0" applyFont="1" applyFill="1" applyBorder="1" applyAlignment="1">
      <alignment horizontal="center"/>
    </xf>
    <xf numFmtId="0" fontId="28" fillId="3" borderId="4" xfId="0" applyFont="1" applyFill="1" applyBorder="1" applyAlignment="1">
      <alignment horizontal="center"/>
    </xf>
    <xf numFmtId="0" fontId="28" fillId="46" borderId="14" xfId="0" applyFont="1" applyFill="1" applyBorder="1" applyAlignment="1">
      <alignment horizontal="center"/>
    </xf>
    <xf numFmtId="0" fontId="28" fillId="8" borderId="4" xfId="0" applyFont="1" applyFill="1" applyBorder="1" applyAlignment="1">
      <alignment horizontal="center"/>
    </xf>
    <xf numFmtId="2" fontId="28" fillId="7" borderId="3" xfId="0" applyNumberFormat="1" applyFont="1" applyFill="1" applyBorder="1" applyAlignment="1">
      <alignment horizontal="center" vertical="center"/>
    </xf>
    <xf numFmtId="2" fontId="28" fillId="7" borderId="3" xfId="0" applyNumberFormat="1" applyFont="1" applyFill="1" applyBorder="1" applyAlignment="1">
      <alignment horizontal="center"/>
    </xf>
    <xf numFmtId="2" fontId="28" fillId="7" borderId="15" xfId="0" applyNumberFormat="1" applyFont="1" applyFill="1" applyBorder="1" applyAlignment="1">
      <alignment horizontal="center" vertical="center"/>
    </xf>
    <xf numFmtId="2" fontId="30" fillId="7" borderId="15" xfId="0" applyNumberFormat="1" applyFont="1" applyFill="1" applyBorder="1" applyAlignment="1">
      <alignment horizontal="center" vertical="center"/>
    </xf>
    <xf numFmtId="2" fontId="30" fillId="7" borderId="3" xfId="0" applyNumberFormat="1" applyFont="1" applyFill="1" applyBorder="1" applyAlignment="1">
      <alignment horizontal="center" vertical="center"/>
    </xf>
    <xf numFmtId="2" fontId="28" fillId="7" borderId="15" xfId="0" applyNumberFormat="1" applyFont="1" applyFill="1" applyBorder="1" applyAlignment="1">
      <alignment horizontal="center"/>
    </xf>
    <xf numFmtId="2" fontId="30" fillId="7" borderId="0" xfId="0" applyNumberFormat="1" applyFont="1" applyFill="1" applyAlignment="1">
      <alignment horizontal="center" vertical="center"/>
    </xf>
    <xf numFmtId="164" fontId="28" fillId="7" borderId="0" xfId="0" applyNumberFormat="1" applyFont="1" applyFill="1" applyAlignment="1">
      <alignment horizontal="center"/>
    </xf>
    <xf numFmtId="0" fontId="36" fillId="7" borderId="0" xfId="0" applyFont="1" applyFill="1"/>
    <xf numFmtId="0" fontId="29" fillId="7" borderId="2" xfId="0" applyFont="1" applyFill="1" applyBorder="1" applyAlignment="1">
      <alignment horizontal="center"/>
    </xf>
    <xf numFmtId="0" fontId="29" fillId="49" borderId="2" xfId="0" applyFont="1" applyFill="1" applyBorder="1" applyAlignment="1">
      <alignment horizontal="center"/>
    </xf>
    <xf numFmtId="0" fontId="29" fillId="10" borderId="2" xfId="0" applyFont="1" applyFill="1" applyBorder="1" applyAlignment="1">
      <alignment horizontal="center"/>
    </xf>
    <xf numFmtId="0" fontId="29" fillId="49" borderId="21" xfId="0" applyFont="1" applyFill="1" applyBorder="1" applyAlignment="1">
      <alignment horizontal="center"/>
    </xf>
    <xf numFmtId="0" fontId="29" fillId="48" borderId="2" xfId="0" applyFont="1" applyFill="1" applyBorder="1" applyAlignment="1">
      <alignment horizontal="center"/>
    </xf>
    <xf numFmtId="0" fontId="29" fillId="3" borderId="2" xfId="0" applyFont="1" applyFill="1" applyBorder="1" applyAlignment="1">
      <alignment horizontal="center"/>
    </xf>
    <xf numFmtId="0" fontId="29" fillId="7" borderId="0" xfId="0" applyFont="1" applyFill="1" applyAlignment="1">
      <alignment horizontal="center"/>
    </xf>
    <xf numFmtId="0" fontId="37" fillId="7" borderId="15" xfId="0" applyFont="1" applyFill="1" applyBorder="1" applyAlignment="1">
      <alignment horizontal="center"/>
    </xf>
    <xf numFmtId="0" fontId="37" fillId="7" borderId="19" xfId="0" applyFont="1" applyFill="1" applyBorder="1" applyAlignment="1">
      <alignment horizontal="center"/>
    </xf>
    <xf numFmtId="0" fontId="37" fillId="7" borderId="0" xfId="0" applyFont="1" applyFill="1" applyAlignment="1">
      <alignment horizontal="center"/>
    </xf>
    <xf numFmtId="0" fontId="37" fillId="7" borderId="3" xfId="0" applyFont="1" applyFill="1" applyBorder="1" applyAlignment="1">
      <alignment horizontal="center"/>
    </xf>
    <xf numFmtId="0" fontId="37" fillId="7" borderId="14" xfId="0" applyFont="1" applyFill="1" applyBorder="1" applyAlignment="1">
      <alignment horizontal="center"/>
    </xf>
    <xf numFmtId="0" fontId="37" fillId="7" borderId="20" xfId="0" applyFont="1" applyFill="1" applyBorder="1" applyAlignment="1">
      <alignment horizontal="center"/>
    </xf>
    <xf numFmtId="0" fontId="37" fillId="7" borderId="1" xfId="0" applyFont="1" applyFill="1" applyBorder="1" applyAlignment="1">
      <alignment horizontal="center"/>
    </xf>
    <xf numFmtId="0" fontId="37" fillId="7" borderId="4" xfId="0" applyFont="1" applyFill="1" applyBorder="1" applyAlignment="1">
      <alignment horizontal="center"/>
    </xf>
    <xf numFmtId="0" fontId="29" fillId="47" borderId="21" xfId="0" applyFont="1" applyFill="1" applyBorder="1" applyAlignment="1">
      <alignment horizontal="center"/>
    </xf>
    <xf numFmtId="0" fontId="29" fillId="47" borderId="22" xfId="0" applyFont="1" applyFill="1" applyBorder="1" applyAlignment="1">
      <alignment horizontal="center"/>
    </xf>
    <xf numFmtId="0" fontId="29" fillId="7" borderId="0" xfId="0" applyFont="1" applyFill="1" applyBorder="1"/>
    <xf numFmtId="0" fontId="29" fillId="7" borderId="19" xfId="0" applyFont="1" applyFill="1" applyBorder="1" applyAlignment="1">
      <alignment horizontal="center"/>
    </xf>
    <xf numFmtId="0" fontId="29" fillId="7" borderId="0" xfId="0" applyFont="1" applyFill="1" applyBorder="1" applyAlignment="1">
      <alignment horizontal="center"/>
    </xf>
    <xf numFmtId="0" fontId="29" fillId="7" borderId="3" xfId="0" applyFont="1" applyFill="1" applyBorder="1" applyAlignment="1">
      <alignment horizontal="center"/>
    </xf>
    <xf numFmtId="0" fontId="29" fillId="7" borderId="20" xfId="0" applyFont="1" applyFill="1" applyBorder="1" applyAlignment="1">
      <alignment horizontal="center"/>
    </xf>
    <xf numFmtId="0" fontId="29" fillId="7" borderId="1" xfId="0" applyFont="1" applyFill="1" applyBorder="1" applyAlignment="1">
      <alignment horizontal="center"/>
    </xf>
    <xf numFmtId="0" fontId="29" fillId="7" borderId="4" xfId="0" applyFont="1" applyFill="1" applyBorder="1" applyAlignment="1">
      <alignment horizontal="center"/>
    </xf>
    <xf numFmtId="0" fontId="29" fillId="7" borderId="15" xfId="0" applyFont="1" applyFill="1" applyBorder="1" applyAlignment="1">
      <alignment horizontal="center"/>
    </xf>
    <xf numFmtId="0" fontId="29" fillId="7" borderId="14" xfId="0" applyFont="1" applyFill="1" applyBorder="1" applyAlignment="1">
      <alignment horizontal="center"/>
    </xf>
    <xf numFmtId="0" fontId="28" fillId="7" borderId="2" xfId="0" applyFont="1" applyFill="1" applyBorder="1" applyAlignment="1">
      <alignment horizontal="center"/>
    </xf>
    <xf numFmtId="0" fontId="28" fillId="7" borderId="3" xfId="0" applyFont="1" applyFill="1" applyBorder="1" applyAlignment="1">
      <alignment horizontal="center"/>
    </xf>
    <xf numFmtId="0" fontId="28" fillId="7" borderId="4" xfId="0" applyFont="1" applyFill="1" applyBorder="1" applyAlignment="1">
      <alignment horizontal="center"/>
    </xf>
    <xf numFmtId="0" fontId="28" fillId="7" borderId="21" xfId="0" applyFont="1" applyFill="1" applyBorder="1" applyAlignment="1">
      <alignment horizontal="center"/>
    </xf>
    <xf numFmtId="0" fontId="28" fillId="7" borderId="15" xfId="0" applyFont="1" applyFill="1" applyBorder="1" applyAlignment="1">
      <alignment horizontal="center"/>
    </xf>
    <xf numFmtId="0" fontId="28" fillId="7" borderId="14" xfId="0" applyFont="1" applyFill="1" applyBorder="1" applyAlignment="1">
      <alignment horizontal="center"/>
    </xf>
    <xf numFmtId="0" fontId="28" fillId="3" borderId="2" xfId="0" applyFont="1" applyFill="1" applyBorder="1" applyAlignment="1">
      <alignment horizontal="center"/>
    </xf>
    <xf numFmtId="0" fontId="28" fillId="3" borderId="22" xfId="0" applyFont="1" applyFill="1" applyBorder="1" applyAlignment="1">
      <alignment horizontal="center"/>
    </xf>
    <xf numFmtId="0" fontId="39" fillId="7" borderId="1" xfId="0" applyFont="1" applyFill="1" applyBorder="1" applyAlignment="1"/>
    <xf numFmtId="0" fontId="28" fillId="7" borderId="15" xfId="0" applyFont="1" applyFill="1" applyBorder="1"/>
    <xf numFmtId="0" fontId="28" fillId="7" borderId="14" xfId="0" applyFont="1" applyFill="1" applyBorder="1"/>
    <xf numFmtId="170" fontId="28" fillId="7" borderId="15" xfId="0" applyNumberFormat="1" applyFont="1" applyFill="1" applyBorder="1"/>
    <xf numFmtId="170" fontId="28" fillId="7" borderId="19" xfId="0" applyNumberFormat="1" applyFont="1" applyFill="1" applyBorder="1"/>
    <xf numFmtId="170" fontId="28" fillId="7" borderId="14" xfId="0" applyNumberFormat="1" applyFont="1" applyFill="1" applyBorder="1"/>
    <xf numFmtId="170" fontId="28" fillId="7" borderId="20" xfId="0" applyNumberFormat="1" applyFont="1" applyFill="1" applyBorder="1"/>
    <xf numFmtId="2" fontId="29" fillId="7" borderId="15" xfId="0" applyNumberFormat="1" applyFont="1" applyFill="1" applyBorder="1"/>
    <xf numFmtId="2" fontId="29" fillId="7" borderId="14" xfId="0" applyNumberFormat="1" applyFont="1" applyFill="1" applyBorder="1"/>
    <xf numFmtId="0" fontId="29" fillId="7" borderId="21" xfId="0" applyFont="1" applyFill="1" applyBorder="1" applyAlignment="1">
      <alignment horizontal="center"/>
    </xf>
    <xf numFmtId="2" fontId="29" fillId="7" borderId="15" xfId="0" applyNumberFormat="1" applyFont="1" applyFill="1" applyBorder="1" applyAlignment="1">
      <alignment horizontal="center"/>
    </xf>
    <xf numFmtId="2" fontId="29" fillId="7" borderId="19" xfId="0" applyNumberFormat="1" applyFont="1" applyFill="1" applyBorder="1" applyAlignment="1">
      <alignment horizontal="center"/>
    </xf>
    <xf numFmtId="2" fontId="29" fillId="7" borderId="14" xfId="0" applyNumberFormat="1" applyFont="1" applyFill="1" applyBorder="1" applyAlignment="1">
      <alignment horizontal="center"/>
    </xf>
    <xf numFmtId="2" fontId="29" fillId="7" borderId="20" xfId="0" applyNumberFormat="1" applyFont="1" applyFill="1" applyBorder="1" applyAlignment="1">
      <alignment horizontal="center"/>
    </xf>
    <xf numFmtId="0" fontId="39" fillId="7" borderId="1" xfId="0" applyFont="1" applyFill="1" applyBorder="1" applyAlignment="1">
      <alignment horizontal="left"/>
    </xf>
    <xf numFmtId="0" fontId="38" fillId="13" borderId="2" xfId="0" applyFont="1" applyFill="1" applyBorder="1" applyAlignment="1">
      <alignment horizontal="center"/>
    </xf>
    <xf numFmtId="0" fontId="29" fillId="0" borderId="2" xfId="0" applyFont="1" applyBorder="1"/>
    <xf numFmtId="0" fontId="29" fillId="7" borderId="18" xfId="0" applyFont="1" applyFill="1" applyBorder="1" applyAlignment="1">
      <alignment horizontal="center"/>
    </xf>
    <xf numFmtId="0" fontId="29" fillId="7" borderId="22" xfId="0" applyFont="1" applyFill="1" applyBorder="1" applyAlignment="1">
      <alignment horizontal="center"/>
    </xf>
    <xf numFmtId="0" fontId="29" fillId="7" borderId="17" xfId="0" applyFont="1" applyFill="1" applyBorder="1" applyAlignment="1">
      <alignment horizontal="left"/>
    </xf>
    <xf numFmtId="0" fontId="29" fillId="7" borderId="19" xfId="0" applyFont="1" applyFill="1" applyBorder="1" applyAlignment="1">
      <alignment horizontal="left"/>
    </xf>
    <xf numFmtId="0" fontId="29" fillId="7" borderId="20" xfId="0" applyFont="1" applyFill="1" applyBorder="1" applyAlignment="1">
      <alignment horizontal="left"/>
    </xf>
    <xf numFmtId="0" fontId="29" fillId="7" borderId="21" xfId="0" applyFont="1" applyFill="1" applyBorder="1" applyAlignment="1">
      <alignment horizontal="left"/>
    </xf>
    <xf numFmtId="0" fontId="34" fillId="7" borderId="1" xfId="0" applyFont="1" applyFill="1" applyBorder="1" applyAlignment="1">
      <alignment horizontal="center"/>
    </xf>
    <xf numFmtId="0" fontId="28" fillId="7" borderId="0" xfId="0" applyFont="1" applyFill="1" applyBorder="1" applyAlignment="1">
      <alignment horizontal="center"/>
    </xf>
    <xf numFmtId="0" fontId="28" fillId="8" borderId="2" xfId="0" applyFont="1" applyFill="1" applyBorder="1" applyAlignment="1">
      <alignment horizontal="center"/>
    </xf>
    <xf numFmtId="0" fontId="28" fillId="8" borderId="22" xfId="0" applyFont="1" applyFill="1" applyBorder="1" applyAlignment="1">
      <alignment horizontal="center"/>
    </xf>
    <xf numFmtId="0" fontId="28" fillId="7" borderId="0" xfId="0" applyFont="1" applyFill="1" applyBorder="1"/>
    <xf numFmtId="0" fontId="38" fillId="47" borderId="2" xfId="0" applyFont="1" applyFill="1" applyBorder="1" applyAlignment="1">
      <alignment horizontal="center"/>
    </xf>
    <xf numFmtId="0" fontId="38" fillId="3" borderId="2" xfId="0" applyFont="1" applyFill="1" applyBorder="1" applyAlignment="1">
      <alignment horizontal="center"/>
    </xf>
    <xf numFmtId="0" fontId="34" fillId="47" borderId="2" xfId="0" applyFont="1" applyFill="1" applyBorder="1"/>
    <xf numFmtId="0" fontId="39" fillId="7" borderId="0" xfId="0" applyFont="1" applyFill="1" applyBorder="1" applyAlignment="1">
      <alignment horizontal="left"/>
    </xf>
    <xf numFmtId="0" fontId="28" fillId="13" borderId="2" xfId="0" applyFont="1" applyFill="1" applyBorder="1" applyAlignment="1">
      <alignment horizontal="center"/>
    </xf>
    <xf numFmtId="0" fontId="28" fillId="13" borderId="22" xfId="0" applyFont="1" applyFill="1" applyBorder="1" applyAlignment="1">
      <alignment horizontal="center"/>
    </xf>
    <xf numFmtId="0" fontId="28" fillId="7" borderId="23" xfId="0" applyFont="1" applyFill="1" applyBorder="1" applyAlignment="1">
      <alignment horizontal="center"/>
    </xf>
    <xf numFmtId="0" fontId="34" fillId="13" borderId="2" xfId="0" applyFont="1" applyFill="1" applyBorder="1"/>
    <xf numFmtId="0" fontId="34" fillId="3" borderId="2" xfId="0" applyFont="1" applyFill="1" applyBorder="1"/>
    <xf numFmtId="0" fontId="0" fillId="7" borderId="2" xfId="0" applyFill="1" applyBorder="1"/>
    <xf numFmtId="0" fontId="0" fillId="7" borderId="19" xfId="0" applyFill="1" applyBorder="1"/>
    <xf numFmtId="0" fontId="0" fillId="7" borderId="0" xfId="0" applyFill="1" applyBorder="1"/>
    <xf numFmtId="0" fontId="0" fillId="7" borderId="20" xfId="0" applyFill="1" applyBorder="1"/>
    <xf numFmtId="0" fontId="0" fillId="7" borderId="1" xfId="0" applyFill="1" applyBorder="1"/>
    <xf numFmtId="0" fontId="0" fillId="7" borderId="21" xfId="0" applyFill="1" applyBorder="1"/>
    <xf numFmtId="0" fontId="34" fillId="13" borderId="22" xfId="0" applyFont="1" applyFill="1" applyBorder="1"/>
    <xf numFmtId="0" fontId="34" fillId="3" borderId="22" xfId="0" applyFont="1" applyFill="1" applyBorder="1"/>
    <xf numFmtId="0" fontId="40" fillId="7" borderId="0" xfId="0" applyFont="1" applyFill="1"/>
    <xf numFmtId="0" fontId="28" fillId="47" borderId="2" xfId="0" applyFont="1" applyFill="1" applyBorder="1"/>
    <xf numFmtId="0" fontId="28" fillId="0" borderId="2" xfId="0" applyFont="1" applyFill="1" applyBorder="1"/>
    <xf numFmtId="0" fontId="28" fillId="47" borderId="21" xfId="0" applyFont="1" applyFill="1" applyBorder="1"/>
    <xf numFmtId="170" fontId="28" fillId="7" borderId="0" xfId="0" applyNumberFormat="1" applyFont="1" applyFill="1" applyBorder="1"/>
    <xf numFmtId="170" fontId="28" fillId="7" borderId="1" xfId="0" applyNumberFormat="1" applyFont="1" applyFill="1" applyBorder="1"/>
    <xf numFmtId="170" fontId="40" fillId="7" borderId="0" xfId="0" applyNumberFormat="1" applyFont="1" applyFill="1" applyBorder="1"/>
  </cellXfs>
  <cellStyles count="57">
    <cellStyle name="20% - Énfasis1" xfId="34" builtinId="30" customBuiltin="1"/>
    <cellStyle name="20% - Énfasis2" xfId="38" builtinId="34" customBuiltin="1"/>
    <cellStyle name="20% - Énfasis3" xfId="42" builtinId="38" customBuiltin="1"/>
    <cellStyle name="20% - Énfasis4" xfId="46" builtinId="42" customBuiltin="1"/>
    <cellStyle name="20% - Énfasis5" xfId="50" builtinId="46" customBuiltin="1"/>
    <cellStyle name="20% - Énfasis6" xfId="54" builtinId="50" customBuiltin="1"/>
    <cellStyle name="40% - Énfasis1" xfId="35" builtinId="31" customBuiltin="1"/>
    <cellStyle name="40% - Énfasis2" xfId="39" builtinId="35" customBuiltin="1"/>
    <cellStyle name="40% - Énfasis3" xfId="43" builtinId="39" customBuiltin="1"/>
    <cellStyle name="40% - Énfasis4" xfId="47" builtinId="43" customBuiltin="1"/>
    <cellStyle name="40% - Énfasis5" xfId="51" builtinId="47" customBuiltin="1"/>
    <cellStyle name="40% - Énfasis6" xfId="55" builtinId="51" customBuiltin="1"/>
    <cellStyle name="60% - Énfasis1" xfId="36" builtinId="32" customBuiltin="1"/>
    <cellStyle name="60% - Énfasis2" xfId="40" builtinId="36" customBuiltin="1"/>
    <cellStyle name="60% - Énfasis3" xfId="44" builtinId="40" customBuiltin="1"/>
    <cellStyle name="60% - Énfasis4" xfId="48" builtinId="44" customBuiltin="1"/>
    <cellStyle name="60% - Énfasis5" xfId="52" builtinId="48" customBuiltin="1"/>
    <cellStyle name="60% - Énfasis6" xfId="56" builtinId="52" customBuiltin="1"/>
    <cellStyle name="Bueno" xfId="21" builtinId="26" customBuiltin="1"/>
    <cellStyle name="Cálculo" xfId="26" builtinId="22" customBuiltin="1"/>
    <cellStyle name="Celda de comprobación" xfId="28" builtinId="23" customBuiltin="1"/>
    <cellStyle name="Celda vinculada" xfId="27" builtinId="24" customBuiltin="1"/>
    <cellStyle name="Encabezado 1" xfId="17" builtinId="16" customBuiltin="1"/>
    <cellStyle name="Encabezado 4" xfId="20" builtinId="19" customBuiltin="1"/>
    <cellStyle name="Énfasis1" xfId="33" builtinId="29" customBuiltin="1"/>
    <cellStyle name="Énfasis2" xfId="37" builtinId="33" customBuiltin="1"/>
    <cellStyle name="Énfasis3" xfId="41" builtinId="37" customBuiltin="1"/>
    <cellStyle name="Énfasis4" xfId="45" builtinId="41" customBuiltin="1"/>
    <cellStyle name="Énfasis5" xfId="49" builtinId="45" customBuiltin="1"/>
    <cellStyle name="Énfasis6" xfId="53" builtinId="49" customBuiltin="1"/>
    <cellStyle name="Entrada" xfId="24" builtinId="20" customBuiltin="1"/>
    <cellStyle name="Incorrecto" xfId="22" builtinId="27" customBuiltin="1"/>
    <cellStyle name="Neutral" xfId="23" builtinId="28" customBuiltin="1"/>
    <cellStyle name="Normal" xfId="0" builtinId="0"/>
    <cellStyle name="Normal 2" xfId="15" xr:uid="{AAD8AE07-B562-4B07-873C-96B68EC0EA0C}"/>
    <cellStyle name="Normal 2 2" xfId="3" xr:uid="{ACDAB3D8-5837-4D52-AECB-CCA284CDF9FC}"/>
    <cellStyle name="Notas" xfId="30" builtinId="10" customBuiltin="1"/>
    <cellStyle name="Salida" xfId="25" builtinId="21" customBuiltin="1"/>
    <cellStyle name="Style 165 2" xfId="13" xr:uid="{536B5519-8B8F-483F-99B9-511CFC07D52B}"/>
    <cellStyle name="Style 166 2" xfId="2" xr:uid="{A33EDA82-2F78-48FA-9A72-1FDFCC81F3D9}"/>
    <cellStyle name="Style 171 2" xfId="12" xr:uid="{C8A06B69-9E08-40B0-A7E1-9DF454EBF82D}"/>
    <cellStyle name="Style 195" xfId="6" xr:uid="{CC6A16A9-989E-4AD6-8EEF-3F4BFD88FBE8}"/>
    <cellStyle name="Style 196" xfId="7" xr:uid="{F0DD2FC0-8288-4FCA-AC31-8CDAA69E97F7}"/>
    <cellStyle name="Style 201" xfId="11" xr:uid="{79275E92-0346-4F2D-8153-0332AD881BEE}"/>
    <cellStyle name="Style 21" xfId="8" xr:uid="{DE830BDC-8454-4C4C-B4C0-1EC05E8EB85B}"/>
    <cellStyle name="Style 22" xfId="1" xr:uid="{8ACF35AA-8534-4FC4-9702-C9734E90021A}"/>
    <cellStyle name="Style 24" xfId="5" xr:uid="{CDE1CE28-778B-4E53-BF1B-9DCDDA19158A}"/>
    <cellStyle name="Style 25" xfId="14" xr:uid="{BAAE22DF-ACD9-4EEA-A344-DD0164C19F0B}"/>
    <cellStyle name="Style 27" xfId="10" xr:uid="{3A2BEA18-210C-4E31-BF68-7FBEFFFEACE8}"/>
    <cellStyle name="Style 46" xfId="9" xr:uid="{07FA9C5E-F0F2-4238-873D-98D173833986}"/>
    <cellStyle name="Style 58" xfId="4" xr:uid="{34BCBDD3-2FE0-409F-BBF2-055786D325F1}"/>
    <cellStyle name="Texto de advertencia" xfId="29" builtinId="11" customBuiltin="1"/>
    <cellStyle name="Texto explicativo" xfId="31" builtinId="53" customBuiltin="1"/>
    <cellStyle name="Título" xfId="16" builtinId="15" customBuiltin="1"/>
    <cellStyle name="Título 2" xfId="18" builtinId="17" customBuiltin="1"/>
    <cellStyle name="Título 3" xfId="19" builtinId="18" customBuiltin="1"/>
    <cellStyle name="Total" xfId="32" builtinId="25" customBuiltin="1"/>
  </cellStyles>
  <dxfs count="0"/>
  <tableStyles count="0" defaultTableStyle="TableStyleMedium2" defaultPivotStyle="PivotStyleLight16"/>
  <colors>
    <mruColors>
      <color rgb="FFE4C9FF"/>
      <color rgb="FFCC99FF"/>
      <color rgb="FFDFFED6"/>
      <color rgb="FFFF7171"/>
      <color rgb="FFCDFFE6"/>
      <color rgb="FF99FFCC"/>
      <color rgb="FFFFFFCC"/>
      <color rgb="FF93E3FF"/>
      <color rgb="FFD9F5FF"/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'Origen de Datos'!$N$3:$N$170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4.2000000000000003E-2</c:v>
                </c:pt>
                <c:pt idx="10">
                  <c:v>0.157</c:v>
                </c:pt>
                <c:pt idx="11">
                  <c:v>0.22800000000000001</c:v>
                </c:pt>
                <c:pt idx="12">
                  <c:v>0.245</c:v>
                </c:pt>
                <c:pt idx="13">
                  <c:v>0.23500000000000001</c:v>
                </c:pt>
                <c:pt idx="14">
                  <c:v>0.15</c:v>
                </c:pt>
                <c:pt idx="15">
                  <c:v>0.03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7.6999999999999999E-2</c:v>
                </c:pt>
                <c:pt idx="34">
                  <c:v>0.22</c:v>
                </c:pt>
                <c:pt idx="35">
                  <c:v>0.28399999999999997</c:v>
                </c:pt>
                <c:pt idx="36">
                  <c:v>0.26</c:v>
                </c:pt>
                <c:pt idx="37">
                  <c:v>0.18</c:v>
                </c:pt>
                <c:pt idx="38">
                  <c:v>6.7000000000000004E-2</c:v>
                </c:pt>
                <c:pt idx="39">
                  <c:v>2.6000000000000002E-2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4.8000000000000001E-2</c:v>
                </c:pt>
                <c:pt idx="58">
                  <c:v>0.16300000000000001</c:v>
                </c:pt>
                <c:pt idx="59">
                  <c:v>0.23</c:v>
                </c:pt>
                <c:pt idx="60">
                  <c:v>0.22600000000000001</c:v>
                </c:pt>
                <c:pt idx="61">
                  <c:v>0.19600000000000001</c:v>
                </c:pt>
                <c:pt idx="62">
                  <c:v>0.125</c:v>
                </c:pt>
                <c:pt idx="63">
                  <c:v>3.1000000000000003E-2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5.89999999999999E-2</c:v>
                </c:pt>
                <c:pt idx="82">
                  <c:v>0.20399999999999999</c:v>
                </c:pt>
                <c:pt idx="83">
                  <c:v>0.27700000000000002</c:v>
                </c:pt>
                <c:pt idx="84">
                  <c:v>0.28100000000000003</c:v>
                </c:pt>
                <c:pt idx="85">
                  <c:v>0.253</c:v>
                </c:pt>
                <c:pt idx="86">
                  <c:v>0.16</c:v>
                </c:pt>
                <c:pt idx="87">
                  <c:v>3.5000000000000003E-2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2.1999999999999902E-2</c:v>
                </c:pt>
                <c:pt idx="107">
                  <c:v>2.7999999999999997E-2</c:v>
                </c:pt>
                <c:pt idx="108">
                  <c:v>2.3E-2</c:v>
                </c:pt>
                <c:pt idx="109">
                  <c:v>1.2E-2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0.01</c:v>
                </c:pt>
                <c:pt idx="130">
                  <c:v>3.59999999999999E-2</c:v>
                </c:pt>
                <c:pt idx="131">
                  <c:v>6.2000000000000006E-2</c:v>
                </c:pt>
                <c:pt idx="132">
                  <c:v>6.7000000000000004E-2</c:v>
                </c:pt>
                <c:pt idx="133">
                  <c:v>5.4000000000000006E-2</c:v>
                </c:pt>
                <c:pt idx="134">
                  <c:v>3.1000000000000003E-2</c:v>
                </c:pt>
                <c:pt idx="135">
                  <c:v>0.01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4.4999999999999998E-2</c:v>
                </c:pt>
                <c:pt idx="154">
                  <c:v>0.13900000000000001</c:v>
                </c:pt>
                <c:pt idx="155">
                  <c:v>0.19399999999999998</c:v>
                </c:pt>
                <c:pt idx="156">
                  <c:v>0.189</c:v>
                </c:pt>
                <c:pt idx="157">
                  <c:v>0.159</c:v>
                </c:pt>
                <c:pt idx="158">
                  <c:v>9.9000000000000005E-2</c:v>
                </c:pt>
                <c:pt idx="159">
                  <c:v>3.4000000000000002E-2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0E-40F8-A126-749573136A0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'Origen de Datos'!$P$3:$P$170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0.13100000000000001</c:v>
                </c:pt>
                <c:pt idx="10">
                  <c:v>0.30499999999999999</c:v>
                </c:pt>
                <c:pt idx="11">
                  <c:v>0.442</c:v>
                </c:pt>
                <c:pt idx="12">
                  <c:v>0.51</c:v>
                </c:pt>
                <c:pt idx="13">
                  <c:v>0.51100000000000001</c:v>
                </c:pt>
                <c:pt idx="14">
                  <c:v>0.45100000000000001</c:v>
                </c:pt>
                <c:pt idx="15">
                  <c:v>0.34899999999999998</c:v>
                </c:pt>
                <c:pt idx="16">
                  <c:v>0.20699999999999999</c:v>
                </c:pt>
                <c:pt idx="17">
                  <c:v>5.2000000000000005E-2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0.113</c:v>
                </c:pt>
                <c:pt idx="34">
                  <c:v>0.27399999999999997</c:v>
                </c:pt>
                <c:pt idx="35">
                  <c:v>0.40600000000000003</c:v>
                </c:pt>
                <c:pt idx="36">
                  <c:v>0.49</c:v>
                </c:pt>
                <c:pt idx="37">
                  <c:v>0.51100000000000001</c:v>
                </c:pt>
                <c:pt idx="38">
                  <c:v>0.47</c:v>
                </c:pt>
                <c:pt idx="39">
                  <c:v>0.36199999999999904</c:v>
                </c:pt>
                <c:pt idx="40">
                  <c:v>0.21299999999999999</c:v>
                </c:pt>
                <c:pt idx="41">
                  <c:v>5.4000000000000006E-2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0.128</c:v>
                </c:pt>
                <c:pt idx="58">
                  <c:v>0.29099999999999898</c:v>
                </c:pt>
                <c:pt idx="59">
                  <c:v>0.41799999999999998</c:v>
                </c:pt>
                <c:pt idx="60">
                  <c:v>0.48899999999999999</c:v>
                </c:pt>
                <c:pt idx="61">
                  <c:v>0.498</c:v>
                </c:pt>
                <c:pt idx="62">
                  <c:v>0.44700000000000001</c:v>
                </c:pt>
                <c:pt idx="63">
                  <c:v>0.34299999999999997</c:v>
                </c:pt>
                <c:pt idx="64">
                  <c:v>0.2</c:v>
                </c:pt>
                <c:pt idx="65">
                  <c:v>5.2000000000000005E-2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8.199999999999999E-2</c:v>
                </c:pt>
                <c:pt idx="82">
                  <c:v>0.19399999999999998</c:v>
                </c:pt>
                <c:pt idx="83">
                  <c:v>0.28499999999999903</c:v>
                </c:pt>
                <c:pt idx="84">
                  <c:v>0.34</c:v>
                </c:pt>
                <c:pt idx="85">
                  <c:v>0.34599999999999903</c:v>
                </c:pt>
                <c:pt idx="86">
                  <c:v>0.307</c:v>
                </c:pt>
                <c:pt idx="87">
                  <c:v>0.245</c:v>
                </c:pt>
                <c:pt idx="88">
                  <c:v>0.157</c:v>
                </c:pt>
                <c:pt idx="89">
                  <c:v>5.0999999999999997E-2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7.1999999999999897E-2</c:v>
                </c:pt>
                <c:pt idx="106">
                  <c:v>0.19600000000000001</c:v>
                </c:pt>
                <c:pt idx="107">
                  <c:v>0.313</c:v>
                </c:pt>
                <c:pt idx="108">
                  <c:v>0.40600000000000003</c:v>
                </c:pt>
                <c:pt idx="109">
                  <c:v>0.44900000000000001</c:v>
                </c:pt>
                <c:pt idx="110">
                  <c:v>0.43200000000000005</c:v>
                </c:pt>
                <c:pt idx="111">
                  <c:v>0.33500000000000002</c:v>
                </c:pt>
                <c:pt idx="112">
                  <c:v>0.2</c:v>
                </c:pt>
                <c:pt idx="113">
                  <c:v>5.5999999999999994E-2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0.127</c:v>
                </c:pt>
                <c:pt idx="130">
                  <c:v>0.29699999999999999</c:v>
                </c:pt>
                <c:pt idx="131">
                  <c:v>0.43200000000000005</c:v>
                </c:pt>
                <c:pt idx="132">
                  <c:v>0.496</c:v>
                </c:pt>
                <c:pt idx="133">
                  <c:v>0.496</c:v>
                </c:pt>
                <c:pt idx="134">
                  <c:v>0.43799999999999994</c:v>
                </c:pt>
                <c:pt idx="135">
                  <c:v>0.33500000000000002</c:v>
                </c:pt>
                <c:pt idx="136">
                  <c:v>0.19800000000000001</c:v>
                </c:pt>
                <c:pt idx="137">
                  <c:v>5.5E-2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3.6999999999999901E-2</c:v>
                </c:pt>
                <c:pt idx="154">
                  <c:v>0.107</c:v>
                </c:pt>
                <c:pt idx="155">
                  <c:v>0.17899999999999999</c:v>
                </c:pt>
                <c:pt idx="156">
                  <c:v>0.24</c:v>
                </c:pt>
                <c:pt idx="157">
                  <c:v>0.27200000000000002</c:v>
                </c:pt>
                <c:pt idx="158">
                  <c:v>0.26400000000000001</c:v>
                </c:pt>
                <c:pt idx="159">
                  <c:v>0.20399999999999999</c:v>
                </c:pt>
                <c:pt idx="160">
                  <c:v>0.11899999999999901</c:v>
                </c:pt>
                <c:pt idx="161">
                  <c:v>3.2000000000000001E-2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0E-40F8-A126-749573136A0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'Origen de Datos'!#REF!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0E-40F8-A126-749573136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1141680"/>
        <c:axId val="981142160"/>
      </c:barChart>
      <c:catAx>
        <c:axId val="981141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1142160"/>
        <c:crosses val="autoZero"/>
        <c:auto val="1"/>
        <c:lblAlgn val="ctr"/>
        <c:lblOffset val="100"/>
        <c:noMultiLvlLbl val="0"/>
      </c:catAx>
      <c:valAx>
        <c:axId val="98114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114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'Origen de Datos'!$BT$2</c:f>
              <c:strCache>
                <c:ptCount val="1"/>
                <c:pt idx="0">
                  <c:v>Perfil SRES to h2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'Origen de Datos'!$BT$3:$BT$170</c:f>
              <c:numCache>
                <c:formatCode>General</c:formatCode>
                <c:ptCount val="168"/>
                <c:pt idx="0">
                  <c:v>0.32071055214723926</c:v>
                </c:pt>
                <c:pt idx="1">
                  <c:v>0.34319990797546007</c:v>
                </c:pt>
                <c:pt idx="2">
                  <c:v>0.34905549079754605</c:v>
                </c:pt>
                <c:pt idx="3">
                  <c:v>0.35781622699386501</c:v>
                </c:pt>
                <c:pt idx="4">
                  <c:v>0.37511708588957055</c:v>
                </c:pt>
                <c:pt idx="5">
                  <c:v>0.37736613496932514</c:v>
                </c:pt>
                <c:pt idx="6">
                  <c:v>0.35287785276073619</c:v>
                </c:pt>
                <c:pt idx="7">
                  <c:v>0.28596889570552148</c:v>
                </c:pt>
                <c:pt idx="8">
                  <c:v>0.22869705521472394</c:v>
                </c:pt>
                <c:pt idx="9">
                  <c:v>0.33959389570552151</c:v>
                </c:pt>
                <c:pt idx="10">
                  <c:v>0.54153374233128837</c:v>
                </c:pt>
                <c:pt idx="11">
                  <c:v>0.6704150613496932</c:v>
                </c:pt>
                <c:pt idx="12">
                  <c:v>0.74630892638036805</c:v>
                </c:pt>
                <c:pt idx="13">
                  <c:v>0.76628361963190184</c:v>
                </c:pt>
                <c:pt idx="14">
                  <c:v>0.7329300613496933</c:v>
                </c:pt>
                <c:pt idx="15">
                  <c:v>0.6604142331288344</c:v>
                </c:pt>
                <c:pt idx="16">
                  <c:v>0.50775052147239264</c:v>
                </c:pt>
                <c:pt idx="17">
                  <c:v>0.26268420245398771</c:v>
                </c:pt>
                <c:pt idx="18">
                  <c:v>0.18530950920245398</c:v>
                </c:pt>
                <c:pt idx="19">
                  <c:v>0.1806019325153374</c:v>
                </c:pt>
                <c:pt idx="20">
                  <c:v>0.18237950920245399</c:v>
                </c:pt>
                <c:pt idx="21">
                  <c:v>0.18853625766871165</c:v>
                </c:pt>
                <c:pt idx="22">
                  <c:v>0.20157573619631902</c:v>
                </c:pt>
                <c:pt idx="23">
                  <c:v>0.21343297546012269</c:v>
                </c:pt>
                <c:pt idx="24">
                  <c:v>0.22299536809815951</c:v>
                </c:pt>
                <c:pt idx="25">
                  <c:v>0.21521095092024542</c:v>
                </c:pt>
                <c:pt idx="26">
                  <c:v>0.20422300613496933</c:v>
                </c:pt>
                <c:pt idx="27">
                  <c:v>0.19126638036809815</c:v>
                </c:pt>
                <c:pt idx="28">
                  <c:v>0.18167039877300614</c:v>
                </c:pt>
                <c:pt idx="29">
                  <c:v>0.17267907975460123</c:v>
                </c:pt>
                <c:pt idx="30">
                  <c:v>0.15594812883435583</c:v>
                </c:pt>
                <c:pt idx="31">
                  <c:v>0.13434815950920245</c:v>
                </c:pt>
                <c:pt idx="32">
                  <c:v>0.13685401840490796</c:v>
                </c:pt>
                <c:pt idx="33">
                  <c:v>0.24824355828220859</c:v>
                </c:pt>
                <c:pt idx="34">
                  <c:v>0.42392481595092024</c:v>
                </c:pt>
                <c:pt idx="35">
                  <c:v>0.53691552147239263</c:v>
                </c:pt>
                <c:pt idx="36">
                  <c:v>0.61057481595092034</c:v>
                </c:pt>
                <c:pt idx="37">
                  <c:v>0.63213205521472393</c:v>
                </c:pt>
                <c:pt idx="38">
                  <c:v>0.60374739263803678</c:v>
                </c:pt>
                <c:pt idx="39">
                  <c:v>0.52096570552147237</c:v>
                </c:pt>
                <c:pt idx="40">
                  <c:v>0.36255794478527603</c:v>
                </c:pt>
                <c:pt idx="41">
                  <c:v>0.15076297546012268</c:v>
                </c:pt>
                <c:pt idx="42">
                  <c:v>0.13476990797546012</c:v>
                </c:pt>
                <c:pt idx="43">
                  <c:v>0.16117996932515335</c:v>
                </c:pt>
                <c:pt idx="44">
                  <c:v>0.15225251533742332</c:v>
                </c:pt>
                <c:pt idx="45">
                  <c:v>0.13291803680981595</c:v>
                </c:pt>
                <c:pt idx="46">
                  <c:v>0.1251830981595092</c:v>
                </c:pt>
                <c:pt idx="47">
                  <c:v>0.12055567484662576</c:v>
                </c:pt>
                <c:pt idx="48">
                  <c:v>0.12559684049079753</c:v>
                </c:pt>
                <c:pt idx="49">
                  <c:v>0.1299641717791411</c:v>
                </c:pt>
                <c:pt idx="50">
                  <c:v>0.13230935582822084</c:v>
                </c:pt>
                <c:pt idx="51">
                  <c:v>0.12724423312883437</c:v>
                </c:pt>
                <c:pt idx="52">
                  <c:v>0.12209128834355829</c:v>
                </c:pt>
                <c:pt idx="53">
                  <c:v>0.1181201226993865</c:v>
                </c:pt>
                <c:pt idx="54">
                  <c:v>0.10913441717791411</c:v>
                </c:pt>
                <c:pt idx="55">
                  <c:v>9.3854631901840499E-2</c:v>
                </c:pt>
                <c:pt idx="56">
                  <c:v>9.5860337423312889E-2</c:v>
                </c:pt>
                <c:pt idx="57">
                  <c:v>0.21446009202453989</c:v>
                </c:pt>
                <c:pt idx="58">
                  <c:v>0.3699883742331288</c:v>
                </c:pt>
                <c:pt idx="59">
                  <c:v>0.4633111963190184</c:v>
                </c:pt>
                <c:pt idx="60">
                  <c:v>0.51487411042944786</c:v>
                </c:pt>
                <c:pt idx="61">
                  <c:v>0.5221051840490798</c:v>
                </c:pt>
                <c:pt idx="62">
                  <c:v>0.48891515337423314</c:v>
                </c:pt>
                <c:pt idx="63">
                  <c:v>0.41394242331288339</c:v>
                </c:pt>
                <c:pt idx="64">
                  <c:v>0.26862742331288347</c:v>
                </c:pt>
                <c:pt idx="65">
                  <c:v>8.2692269938650309E-2</c:v>
                </c:pt>
                <c:pt idx="66">
                  <c:v>3.7729202453987733E-2</c:v>
                </c:pt>
                <c:pt idx="67">
                  <c:v>3.8505582822085889E-2</c:v>
                </c:pt>
                <c:pt idx="68">
                  <c:v>2.5367607361963192E-2</c:v>
                </c:pt>
                <c:pt idx="69">
                  <c:v>2.038340490797546E-2</c:v>
                </c:pt>
                <c:pt idx="70">
                  <c:v>2.1822852760736196E-2</c:v>
                </c:pt>
                <c:pt idx="71">
                  <c:v>2.2658067484662578E-2</c:v>
                </c:pt>
                <c:pt idx="72">
                  <c:v>2.6573588957055215E-2</c:v>
                </c:pt>
                <c:pt idx="73">
                  <c:v>3.115920245398773E-2</c:v>
                </c:pt>
                <c:pt idx="74">
                  <c:v>3.8059233128834358E-2</c:v>
                </c:pt>
                <c:pt idx="75">
                  <c:v>4.7303466257668715E-2</c:v>
                </c:pt>
                <c:pt idx="76">
                  <c:v>5.9426687116564417E-2</c:v>
                </c:pt>
                <c:pt idx="77">
                  <c:v>6.9208098159509207E-2</c:v>
                </c:pt>
                <c:pt idx="78">
                  <c:v>7.7002914110429449E-2</c:v>
                </c:pt>
                <c:pt idx="79">
                  <c:v>8.1559233128834355E-2</c:v>
                </c:pt>
                <c:pt idx="80">
                  <c:v>9.5796932515337427E-2</c:v>
                </c:pt>
                <c:pt idx="81">
                  <c:v>0.19278641104294481</c:v>
                </c:pt>
                <c:pt idx="82">
                  <c:v>0.32909684049079757</c:v>
                </c:pt>
                <c:pt idx="83">
                  <c:v>0.43928300613496934</c:v>
                </c:pt>
                <c:pt idx="84">
                  <c:v>0.52280128834355832</c:v>
                </c:pt>
                <c:pt idx="85">
                  <c:v>0.56261809815950914</c:v>
                </c:pt>
                <c:pt idx="86">
                  <c:v>0.56248355828220864</c:v>
                </c:pt>
                <c:pt idx="87">
                  <c:v>0.53294987730061349</c:v>
                </c:pt>
                <c:pt idx="88">
                  <c:v>0.44948757668711659</c:v>
                </c:pt>
                <c:pt idx="89">
                  <c:v>0.29873024539877302</c:v>
                </c:pt>
                <c:pt idx="90">
                  <c:v>0.25960263803680983</c:v>
                </c:pt>
                <c:pt idx="91">
                  <c:v>0.2969311042944785</c:v>
                </c:pt>
                <c:pt idx="92">
                  <c:v>0.32056757668711661</c:v>
                </c:pt>
                <c:pt idx="93">
                  <c:v>0.33592055214723926</c:v>
                </c:pt>
                <c:pt idx="94">
                  <c:v>0.37238871165644172</c:v>
                </c:pt>
                <c:pt idx="95">
                  <c:v>0.41261466257668711</c:v>
                </c:pt>
                <c:pt idx="96">
                  <c:v>0.42781098159509207</c:v>
                </c:pt>
                <c:pt idx="97">
                  <c:v>0.39923941717791411</c:v>
                </c:pt>
                <c:pt idx="98">
                  <c:v>0.39014006134969326</c:v>
                </c:pt>
                <c:pt idx="99">
                  <c:v>0.41658469325153374</c:v>
                </c:pt>
                <c:pt idx="100">
                  <c:v>0.48357180981595094</c:v>
                </c:pt>
                <c:pt idx="101">
                  <c:v>0.54873726993865024</c:v>
                </c:pt>
                <c:pt idx="102">
                  <c:v>0.57998404907975454</c:v>
                </c:pt>
                <c:pt idx="103">
                  <c:v>0.59865831288343552</c:v>
                </c:pt>
                <c:pt idx="104">
                  <c:v>0.63605898773006142</c:v>
                </c:pt>
                <c:pt idx="105">
                  <c:v>0.74957457055214727</c:v>
                </c:pt>
                <c:pt idx="106">
                  <c:v>0.94068760736196322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0.77844328220858894</c:v>
                </c:pt>
                <c:pt idx="114">
                  <c:v>0.62246214723926374</c:v>
                </c:pt>
                <c:pt idx="115">
                  <c:v>0.5634793865030675</c:v>
                </c:pt>
                <c:pt idx="116">
                  <c:v>0.54779058282208593</c:v>
                </c:pt>
                <c:pt idx="117">
                  <c:v>0.54815570552147241</c:v>
                </c:pt>
                <c:pt idx="118">
                  <c:v>0.54708751533742328</c:v>
                </c:pt>
                <c:pt idx="119">
                  <c:v>0.55803773006134971</c:v>
                </c:pt>
                <c:pt idx="120">
                  <c:v>0.57468417177914111</c:v>
                </c:pt>
                <c:pt idx="121">
                  <c:v>0.57566282208588959</c:v>
                </c:pt>
                <c:pt idx="122">
                  <c:v>0.56800027607361969</c:v>
                </c:pt>
                <c:pt idx="123">
                  <c:v>0.56653484662576692</c:v>
                </c:pt>
                <c:pt idx="124">
                  <c:v>0.56457748466257662</c:v>
                </c:pt>
                <c:pt idx="125">
                  <c:v>0.55815214723926376</c:v>
                </c:pt>
                <c:pt idx="126">
                  <c:v>0.55105634969325157</c:v>
                </c:pt>
                <c:pt idx="127">
                  <c:v>0.53325941717791414</c:v>
                </c:pt>
                <c:pt idx="128">
                  <c:v>0.51420082822085889</c:v>
                </c:pt>
                <c:pt idx="129">
                  <c:v>0.64673769938650305</c:v>
                </c:pt>
                <c:pt idx="130">
                  <c:v>0.86266079754601221</c:v>
                </c:pt>
                <c:pt idx="131">
                  <c:v>0.99457042944785279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0.89839223926380363</c:v>
                </c:pt>
                <c:pt idx="136">
                  <c:v>0.73518171779141106</c:v>
                </c:pt>
                <c:pt idx="137">
                  <c:v>0.46669684049079752</c:v>
                </c:pt>
                <c:pt idx="138">
                  <c:v>0.40353435582822084</c:v>
                </c:pt>
                <c:pt idx="139">
                  <c:v>0.44803226993865031</c:v>
                </c:pt>
                <c:pt idx="140">
                  <c:v>0.48215604294478526</c:v>
                </c:pt>
                <c:pt idx="141">
                  <c:v>0.503792300613497</c:v>
                </c:pt>
                <c:pt idx="142">
                  <c:v>0.53441576687116565</c:v>
                </c:pt>
                <c:pt idx="143">
                  <c:v>0.56666432515337428</c:v>
                </c:pt>
                <c:pt idx="144">
                  <c:v>0.61029187116564421</c:v>
                </c:pt>
                <c:pt idx="145">
                  <c:v>0.65747273006134976</c:v>
                </c:pt>
                <c:pt idx="146">
                  <c:v>0.70442230061349698</c:v>
                </c:pt>
                <c:pt idx="147">
                  <c:v>0.75393840490797548</c:v>
                </c:pt>
                <c:pt idx="148">
                  <c:v>0.80298883435582824</c:v>
                </c:pt>
                <c:pt idx="149">
                  <c:v>0.82635806748466256</c:v>
                </c:pt>
                <c:pt idx="150">
                  <c:v>0.8125719631901841</c:v>
                </c:pt>
                <c:pt idx="151">
                  <c:v>0.78182352760736196</c:v>
                </c:pt>
                <c:pt idx="152">
                  <c:v>0.74721300613496933</c:v>
                </c:pt>
                <c:pt idx="153">
                  <c:v>0.74525730061349693</c:v>
                </c:pt>
                <c:pt idx="154">
                  <c:v>0.81252889570552145</c:v>
                </c:pt>
                <c:pt idx="155">
                  <c:v>0.9044041104294479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0.92770647239263804</c:v>
                </c:pt>
                <c:pt idx="162">
                  <c:v>0.83559714723926382</c:v>
                </c:pt>
                <c:pt idx="163">
                  <c:v>0.81263953987730053</c:v>
                </c:pt>
                <c:pt idx="164">
                  <c:v>0.81902653374233125</c:v>
                </c:pt>
                <c:pt idx="165">
                  <c:v>0.83561932515337423</c:v>
                </c:pt>
                <c:pt idx="166">
                  <c:v>0.8550395705521473</c:v>
                </c:pt>
                <c:pt idx="167">
                  <c:v>0.87762855828220854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0-45D6-B3CD-938C019C7571}"/>
            </c:ext>
          </c:extLst>
        </c:ser>
        <c:ser>
          <c:idx val="1"/>
          <c:order val="1"/>
          <c:tx>
            <c:strRef>
              <c:f>'Origen de Datos'!$BU$2</c:f>
              <c:strCache>
                <c:ptCount val="1"/>
                <c:pt idx="0">
                  <c:v>Perfil SRES emarket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val>
            <c:numRef>
              <c:f>'Origen de Datos'!$BU$3:$BU$170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7.8644188582640689E-2</c:v>
                </c:pt>
                <c:pt idx="108">
                  <c:v>0.17664554017296988</c:v>
                </c:pt>
                <c:pt idx="109">
                  <c:v>0.22797255134780081</c:v>
                </c:pt>
                <c:pt idx="110">
                  <c:v>0.22962169681428896</c:v>
                </c:pt>
                <c:pt idx="111">
                  <c:v>0.15760114295699332</c:v>
                </c:pt>
                <c:pt idx="112">
                  <c:v>2.9488248322091133E-2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5.355752995814702E-2</c:v>
                </c:pt>
                <c:pt idx="133">
                  <c:v>5.554067823729042E-2</c:v>
                </c:pt>
                <c:pt idx="134">
                  <c:v>6.5910818196363756E-3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1.2696949026939174E-2</c:v>
                </c:pt>
                <c:pt idx="157">
                  <c:v>7.7996446285863469E-2</c:v>
                </c:pt>
                <c:pt idx="158">
                  <c:v>9.9448047983561966E-2</c:v>
                </c:pt>
                <c:pt idx="159">
                  <c:v>7.0319907957119648E-2</c:v>
                </c:pt>
                <c:pt idx="160">
                  <c:v>3.4320762701159586E-2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D0-45D6-B3CD-938C019C7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72480"/>
        <c:axId val="9777280"/>
      </c:areaChart>
      <c:catAx>
        <c:axId val="977248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777280"/>
        <c:crosses val="autoZero"/>
        <c:auto val="1"/>
        <c:lblAlgn val="ctr"/>
        <c:lblOffset val="100"/>
        <c:noMultiLvlLbl val="0"/>
      </c:catAx>
      <c:valAx>
        <c:axId val="97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772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'Origen de Datos'!$BZ$2</c:f>
              <c:strCache>
                <c:ptCount val="1"/>
                <c:pt idx="0">
                  <c:v>Perfil SRES to h2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'Origen de Datos'!$BZ$3:$BZ$170</c:f>
              <c:numCache>
                <c:formatCode>General</c:formatCode>
                <c:ptCount val="168"/>
                <c:pt idx="0">
                  <c:v>0.10459029529603799</c:v>
                </c:pt>
                <c:pt idx="1">
                  <c:v>9.6099792254043623E-2</c:v>
                </c:pt>
                <c:pt idx="2">
                  <c:v>9.047121234604541E-2</c:v>
                </c:pt>
                <c:pt idx="3">
                  <c:v>8.5199584508087248E-2</c:v>
                </c:pt>
                <c:pt idx="4">
                  <c:v>8.1436637483306137E-2</c:v>
                </c:pt>
                <c:pt idx="5">
                  <c:v>7.9330835435524563E-2</c:v>
                </c:pt>
                <c:pt idx="6">
                  <c:v>7.6747291883068711E-2</c:v>
                </c:pt>
                <c:pt idx="7">
                  <c:v>7.7074862739278827E-2</c:v>
                </c:pt>
                <c:pt idx="8">
                  <c:v>7.7029603798783194E-2</c:v>
                </c:pt>
                <c:pt idx="9">
                  <c:v>0.12732067072265915</c:v>
                </c:pt>
                <c:pt idx="10">
                  <c:v>0.26103301676806645</c:v>
                </c:pt>
                <c:pt idx="11">
                  <c:v>0.39263199287728151</c:v>
                </c:pt>
                <c:pt idx="12">
                  <c:v>0.47529907998219323</c:v>
                </c:pt>
                <c:pt idx="13">
                  <c:v>0.50673623683039026</c:v>
                </c:pt>
                <c:pt idx="14">
                  <c:v>0.48316849680961571</c:v>
                </c:pt>
                <c:pt idx="15">
                  <c:v>0.40842951476480188</c:v>
                </c:pt>
                <c:pt idx="16">
                  <c:v>0.295080204778157</c:v>
                </c:pt>
                <c:pt idx="17">
                  <c:v>0.17503182964831579</c:v>
                </c:pt>
                <c:pt idx="18">
                  <c:v>0.10359764059949547</c:v>
                </c:pt>
                <c:pt idx="19">
                  <c:v>0.10872006232378691</c:v>
                </c:pt>
                <c:pt idx="20">
                  <c:v>0.11190488202997477</c:v>
                </c:pt>
                <c:pt idx="21">
                  <c:v>0.11391571449769995</c:v>
                </c:pt>
                <c:pt idx="22">
                  <c:v>0.10984827125686304</c:v>
                </c:pt>
                <c:pt idx="23">
                  <c:v>0.1043832170945244</c:v>
                </c:pt>
                <c:pt idx="24">
                  <c:v>9.7894791512093779E-2</c:v>
                </c:pt>
                <c:pt idx="25">
                  <c:v>9.2014468021961712E-2</c:v>
                </c:pt>
                <c:pt idx="26">
                  <c:v>8.523816589998516E-2</c:v>
                </c:pt>
                <c:pt idx="27">
                  <c:v>7.9252782311915723E-2</c:v>
                </c:pt>
                <c:pt idx="28">
                  <c:v>7.4230820596527677E-2</c:v>
                </c:pt>
                <c:pt idx="29">
                  <c:v>6.8519884255824309E-2</c:v>
                </c:pt>
                <c:pt idx="30">
                  <c:v>6.6121531384478419E-2</c:v>
                </c:pt>
                <c:pt idx="31">
                  <c:v>6.803472325270811E-2</c:v>
                </c:pt>
                <c:pt idx="32">
                  <c:v>7.0894346342187275E-2</c:v>
                </c:pt>
                <c:pt idx="33">
                  <c:v>0.12066100311618935</c:v>
                </c:pt>
                <c:pt idx="34">
                  <c:v>0.24950727110847307</c:v>
                </c:pt>
                <c:pt idx="35">
                  <c:v>0.37150868081317706</c:v>
                </c:pt>
                <c:pt idx="36">
                  <c:v>0.4513544294405698</c:v>
                </c:pt>
                <c:pt idx="37">
                  <c:v>0.47903791363703813</c:v>
                </c:pt>
                <c:pt idx="38">
                  <c:v>0.45412880249295146</c:v>
                </c:pt>
                <c:pt idx="39">
                  <c:v>0.3765163970915566</c:v>
                </c:pt>
                <c:pt idx="40">
                  <c:v>0.2724170500074195</c:v>
                </c:pt>
                <c:pt idx="41">
                  <c:v>0.16273964979967356</c:v>
                </c:pt>
                <c:pt idx="42">
                  <c:v>0.10060906662709601</c:v>
                </c:pt>
                <c:pt idx="43">
                  <c:v>0.11529017658406292</c:v>
                </c:pt>
                <c:pt idx="44">
                  <c:v>0.12076606321412672</c:v>
                </c:pt>
                <c:pt idx="45">
                  <c:v>0.1217659890191423</c:v>
                </c:pt>
                <c:pt idx="46">
                  <c:v>0.12298568036800712</c:v>
                </c:pt>
                <c:pt idx="47">
                  <c:v>0.11759103724588219</c:v>
                </c:pt>
                <c:pt idx="48">
                  <c:v>0.11309326309541474</c:v>
                </c:pt>
                <c:pt idx="49">
                  <c:v>0.11207256269476183</c:v>
                </c:pt>
                <c:pt idx="50">
                  <c:v>0.1160556462383143</c:v>
                </c:pt>
                <c:pt idx="51">
                  <c:v>0.11838655586882327</c:v>
                </c:pt>
                <c:pt idx="52">
                  <c:v>0.11942172429143789</c:v>
                </c:pt>
                <c:pt idx="53">
                  <c:v>0.12108406291734679</c:v>
                </c:pt>
                <c:pt idx="54">
                  <c:v>0.11921791066923876</c:v>
                </c:pt>
                <c:pt idx="55">
                  <c:v>0.11391845971212346</c:v>
                </c:pt>
                <c:pt idx="56">
                  <c:v>0.10583039026561805</c:v>
                </c:pt>
                <c:pt idx="57">
                  <c:v>0.13823415937082653</c:v>
                </c:pt>
                <c:pt idx="58">
                  <c:v>0.25002470692981155</c:v>
                </c:pt>
                <c:pt idx="59">
                  <c:v>0.3651470544591186</c:v>
                </c:pt>
                <c:pt idx="60">
                  <c:v>0.44424714349309985</c:v>
                </c:pt>
                <c:pt idx="61">
                  <c:v>0.47622310431814807</c:v>
                </c:pt>
                <c:pt idx="62">
                  <c:v>0.45731228668941976</c:v>
                </c:pt>
                <c:pt idx="63">
                  <c:v>0.39368808428550228</c:v>
                </c:pt>
                <c:pt idx="64">
                  <c:v>0.29610201810357617</c:v>
                </c:pt>
                <c:pt idx="65">
                  <c:v>0.18607812731859324</c:v>
                </c:pt>
                <c:pt idx="66">
                  <c:v>0.11459786318444873</c:v>
                </c:pt>
                <c:pt idx="67">
                  <c:v>0.12157656922392046</c:v>
                </c:pt>
                <c:pt idx="68">
                  <c:v>0.12203717168719394</c:v>
                </c:pt>
                <c:pt idx="69">
                  <c:v>0.11404659445021516</c:v>
                </c:pt>
                <c:pt idx="70">
                  <c:v>0.10923230449621606</c:v>
                </c:pt>
                <c:pt idx="71">
                  <c:v>0.10407686600385814</c:v>
                </c:pt>
                <c:pt idx="72">
                  <c:v>0.10053004896868971</c:v>
                </c:pt>
                <c:pt idx="73">
                  <c:v>9.4340109808576947E-2</c:v>
                </c:pt>
                <c:pt idx="74">
                  <c:v>9.3466018697136069E-2</c:v>
                </c:pt>
                <c:pt idx="75">
                  <c:v>9.4142157590146908E-2</c:v>
                </c:pt>
                <c:pt idx="76">
                  <c:v>9.7128060543107297E-2</c:v>
                </c:pt>
                <c:pt idx="77">
                  <c:v>0.10142728891526934</c:v>
                </c:pt>
                <c:pt idx="78">
                  <c:v>0.10650949695800564</c:v>
                </c:pt>
                <c:pt idx="79">
                  <c:v>0.10783350645496365</c:v>
                </c:pt>
                <c:pt idx="80">
                  <c:v>0.11039642380175101</c:v>
                </c:pt>
                <c:pt idx="81">
                  <c:v>0.13459140822080426</c:v>
                </c:pt>
                <c:pt idx="82">
                  <c:v>0.21116797744472474</c:v>
                </c:pt>
                <c:pt idx="83">
                  <c:v>0.29187542662116039</c:v>
                </c:pt>
                <c:pt idx="84">
                  <c:v>0.35871345897017359</c:v>
                </c:pt>
                <c:pt idx="85">
                  <c:v>0.40373549488054605</c:v>
                </c:pt>
                <c:pt idx="86">
                  <c:v>0.41695548300934854</c:v>
                </c:pt>
                <c:pt idx="87">
                  <c:v>0.37884426472770444</c:v>
                </c:pt>
                <c:pt idx="88">
                  <c:v>0.3169425730820597</c:v>
                </c:pt>
                <c:pt idx="89">
                  <c:v>0.2780603205223327</c:v>
                </c:pt>
                <c:pt idx="90">
                  <c:v>0.27129841222733342</c:v>
                </c:pt>
                <c:pt idx="91">
                  <c:v>0.28904429440569818</c:v>
                </c:pt>
                <c:pt idx="92">
                  <c:v>0.31937468467131624</c:v>
                </c:pt>
                <c:pt idx="93">
                  <c:v>0.36329314438343968</c:v>
                </c:pt>
                <c:pt idx="94">
                  <c:v>0.3864834545184746</c:v>
                </c:pt>
                <c:pt idx="95">
                  <c:v>0.39477333432259981</c:v>
                </c:pt>
                <c:pt idx="96">
                  <c:v>0.3972325270811693</c:v>
                </c:pt>
                <c:pt idx="97">
                  <c:v>0.40193975367265172</c:v>
                </c:pt>
                <c:pt idx="98">
                  <c:v>0.40435109066627095</c:v>
                </c:pt>
                <c:pt idx="99">
                  <c:v>0.39393188900430332</c:v>
                </c:pt>
                <c:pt idx="100">
                  <c:v>0.37934730672206557</c:v>
                </c:pt>
                <c:pt idx="101">
                  <c:v>0.37455349458376613</c:v>
                </c:pt>
                <c:pt idx="102">
                  <c:v>0.37719060691497253</c:v>
                </c:pt>
                <c:pt idx="103">
                  <c:v>0.36183306128505716</c:v>
                </c:pt>
                <c:pt idx="104">
                  <c:v>0.33695296037987832</c:v>
                </c:pt>
                <c:pt idx="105">
                  <c:v>0.35224417569372307</c:v>
                </c:pt>
                <c:pt idx="106">
                  <c:v>0.44075293070188454</c:v>
                </c:pt>
                <c:pt idx="107">
                  <c:v>0.53586919424246915</c:v>
                </c:pt>
                <c:pt idx="108">
                  <c:v>0.60035301973586586</c:v>
                </c:pt>
                <c:pt idx="109">
                  <c:v>0.62770448137705881</c:v>
                </c:pt>
                <c:pt idx="110">
                  <c:v>0.60356796260572787</c:v>
                </c:pt>
                <c:pt idx="111">
                  <c:v>0.53099295147648018</c:v>
                </c:pt>
                <c:pt idx="112">
                  <c:v>0.42847774150467427</c:v>
                </c:pt>
                <c:pt idx="113">
                  <c:v>0.32054518474551119</c:v>
                </c:pt>
                <c:pt idx="114">
                  <c:v>0.24629833803234902</c:v>
                </c:pt>
                <c:pt idx="115">
                  <c:v>0.22885969728446356</c:v>
                </c:pt>
                <c:pt idx="116">
                  <c:v>0.21291007567888409</c:v>
                </c:pt>
                <c:pt idx="117">
                  <c:v>0.19269105208487908</c:v>
                </c:pt>
                <c:pt idx="118">
                  <c:v>0.16659630508977594</c:v>
                </c:pt>
                <c:pt idx="119">
                  <c:v>0.14411262798634811</c:v>
                </c:pt>
                <c:pt idx="120">
                  <c:v>0.12256722065588366</c:v>
                </c:pt>
                <c:pt idx="121">
                  <c:v>0.10278824751446804</c:v>
                </c:pt>
                <c:pt idx="122">
                  <c:v>8.9796408962754121E-2</c:v>
                </c:pt>
                <c:pt idx="123">
                  <c:v>8.183714200920017E-2</c:v>
                </c:pt>
                <c:pt idx="124">
                  <c:v>7.9417050007419498E-2</c:v>
                </c:pt>
                <c:pt idx="125">
                  <c:v>8.3844264727704412E-2</c:v>
                </c:pt>
                <c:pt idx="126">
                  <c:v>8.4606692387594593E-2</c:v>
                </c:pt>
                <c:pt idx="127">
                  <c:v>8.2918162932185777E-2</c:v>
                </c:pt>
                <c:pt idx="128">
                  <c:v>8.1065365781273185E-2</c:v>
                </c:pt>
                <c:pt idx="129">
                  <c:v>0.12222392046297671</c:v>
                </c:pt>
                <c:pt idx="130">
                  <c:v>0.23378468615521589</c:v>
                </c:pt>
                <c:pt idx="131">
                  <c:v>0.3470699658703072</c:v>
                </c:pt>
                <c:pt idx="132">
                  <c:v>0.40883046446060245</c:v>
                </c:pt>
                <c:pt idx="133">
                  <c:v>0.42678683780976406</c:v>
                </c:pt>
                <c:pt idx="134">
                  <c:v>0.41466530642528565</c:v>
                </c:pt>
                <c:pt idx="135">
                  <c:v>0.40237639115595786</c:v>
                </c:pt>
                <c:pt idx="136">
                  <c:v>0.36447848345451844</c:v>
                </c:pt>
                <c:pt idx="137">
                  <c:v>0.31795993470841372</c:v>
                </c:pt>
                <c:pt idx="138">
                  <c:v>0.30839531087698469</c:v>
                </c:pt>
                <c:pt idx="139">
                  <c:v>0.33690651431963198</c:v>
                </c:pt>
                <c:pt idx="140">
                  <c:v>0.36460609882771927</c:v>
                </c:pt>
                <c:pt idx="141">
                  <c:v>0.38848805460750857</c:v>
                </c:pt>
                <c:pt idx="142">
                  <c:v>0.41134834545184745</c:v>
                </c:pt>
                <c:pt idx="143">
                  <c:v>0.43427696987683634</c:v>
                </c:pt>
                <c:pt idx="144">
                  <c:v>0.4540189939160113</c:v>
                </c:pt>
                <c:pt idx="145">
                  <c:v>0.46781762872829796</c:v>
                </c:pt>
                <c:pt idx="146">
                  <c:v>0.48282630954147504</c:v>
                </c:pt>
                <c:pt idx="147">
                  <c:v>0.48726613740911112</c:v>
                </c:pt>
                <c:pt idx="148">
                  <c:v>0.47855557204332988</c:v>
                </c:pt>
                <c:pt idx="149">
                  <c:v>0.45816938714942873</c:v>
                </c:pt>
                <c:pt idx="150">
                  <c:v>0.46185739723994657</c:v>
                </c:pt>
                <c:pt idx="151">
                  <c:v>0.44929818964238016</c:v>
                </c:pt>
                <c:pt idx="152">
                  <c:v>0.40280011871197502</c:v>
                </c:pt>
                <c:pt idx="153">
                  <c:v>0.36293686006825937</c:v>
                </c:pt>
                <c:pt idx="154">
                  <c:v>0.34637691052084879</c:v>
                </c:pt>
                <c:pt idx="155">
                  <c:v>0.34000779047336399</c:v>
                </c:pt>
                <c:pt idx="156">
                  <c:v>0.36941400801305835</c:v>
                </c:pt>
                <c:pt idx="157">
                  <c:v>0.40885079388633327</c:v>
                </c:pt>
                <c:pt idx="158">
                  <c:v>0.43360276005342041</c:v>
                </c:pt>
                <c:pt idx="159">
                  <c:v>0.40971501706484642</c:v>
                </c:pt>
                <c:pt idx="160">
                  <c:v>0.35576316960973436</c:v>
                </c:pt>
                <c:pt idx="161">
                  <c:v>0.29381918682297076</c:v>
                </c:pt>
                <c:pt idx="162">
                  <c:v>0.23269824899836769</c:v>
                </c:pt>
                <c:pt idx="163">
                  <c:v>0.22759600830983828</c:v>
                </c:pt>
                <c:pt idx="164">
                  <c:v>0.2398972399465796</c:v>
                </c:pt>
                <c:pt idx="165">
                  <c:v>0.26521219765543852</c:v>
                </c:pt>
                <c:pt idx="166">
                  <c:v>0.3005880694465054</c:v>
                </c:pt>
                <c:pt idx="167">
                  <c:v>0.34166486125537915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4-447F-9EA2-1DEE03C612D5}"/>
            </c:ext>
          </c:extLst>
        </c:ser>
        <c:ser>
          <c:idx val="1"/>
          <c:order val="1"/>
          <c:tx>
            <c:strRef>
              <c:f>'Origen de Datos'!$CA$2</c:f>
              <c:strCache>
                <c:ptCount val="1"/>
                <c:pt idx="0">
                  <c:v>Perfil SRES emarket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val>
            <c:numRef>
              <c:f>'Origen de Datos'!$CA$3:$CA$170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A4-447F-9EA2-1DEE03C61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72480"/>
        <c:axId val="9777280"/>
      </c:areaChart>
      <c:catAx>
        <c:axId val="977248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777280"/>
        <c:crosses val="autoZero"/>
        <c:auto val="1"/>
        <c:lblAlgn val="ctr"/>
        <c:lblOffset val="100"/>
        <c:noMultiLvlLbl val="0"/>
      </c:catAx>
      <c:valAx>
        <c:axId val="97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772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'Origen de Datos'!$CB$3:$CB$170</c:f>
              <c:numCache>
                <c:formatCode>General</c:formatCode>
                <c:ptCount val="168"/>
                <c:pt idx="0">
                  <c:v>10800</c:v>
                </c:pt>
                <c:pt idx="1">
                  <c:v>10800</c:v>
                </c:pt>
                <c:pt idx="2">
                  <c:v>10800</c:v>
                </c:pt>
                <c:pt idx="3">
                  <c:v>10800</c:v>
                </c:pt>
                <c:pt idx="4">
                  <c:v>10800</c:v>
                </c:pt>
                <c:pt idx="5">
                  <c:v>10800</c:v>
                </c:pt>
                <c:pt idx="6">
                  <c:v>10800</c:v>
                </c:pt>
                <c:pt idx="7">
                  <c:v>10800</c:v>
                </c:pt>
                <c:pt idx="8">
                  <c:v>10800</c:v>
                </c:pt>
                <c:pt idx="9">
                  <c:v>10800</c:v>
                </c:pt>
                <c:pt idx="10">
                  <c:v>10800</c:v>
                </c:pt>
                <c:pt idx="11">
                  <c:v>10800</c:v>
                </c:pt>
                <c:pt idx="12">
                  <c:v>10800</c:v>
                </c:pt>
                <c:pt idx="13">
                  <c:v>10800</c:v>
                </c:pt>
                <c:pt idx="14">
                  <c:v>10800</c:v>
                </c:pt>
                <c:pt idx="15">
                  <c:v>10800</c:v>
                </c:pt>
                <c:pt idx="16">
                  <c:v>10800</c:v>
                </c:pt>
                <c:pt idx="17">
                  <c:v>10800</c:v>
                </c:pt>
                <c:pt idx="18">
                  <c:v>10800</c:v>
                </c:pt>
                <c:pt idx="19">
                  <c:v>10800</c:v>
                </c:pt>
                <c:pt idx="20">
                  <c:v>10800</c:v>
                </c:pt>
                <c:pt idx="21">
                  <c:v>10800</c:v>
                </c:pt>
                <c:pt idx="22">
                  <c:v>10800</c:v>
                </c:pt>
                <c:pt idx="23">
                  <c:v>10800</c:v>
                </c:pt>
                <c:pt idx="24">
                  <c:v>10800</c:v>
                </c:pt>
                <c:pt idx="25">
                  <c:v>10800</c:v>
                </c:pt>
                <c:pt idx="26">
                  <c:v>10800</c:v>
                </c:pt>
                <c:pt idx="27">
                  <c:v>10800</c:v>
                </c:pt>
                <c:pt idx="28">
                  <c:v>10800</c:v>
                </c:pt>
                <c:pt idx="29">
                  <c:v>10800</c:v>
                </c:pt>
                <c:pt idx="30">
                  <c:v>10800</c:v>
                </c:pt>
                <c:pt idx="31">
                  <c:v>10800</c:v>
                </c:pt>
                <c:pt idx="32">
                  <c:v>10800</c:v>
                </c:pt>
                <c:pt idx="33">
                  <c:v>10800</c:v>
                </c:pt>
                <c:pt idx="34">
                  <c:v>10800</c:v>
                </c:pt>
                <c:pt idx="35">
                  <c:v>10800</c:v>
                </c:pt>
                <c:pt idx="36">
                  <c:v>10800</c:v>
                </c:pt>
                <c:pt idx="37">
                  <c:v>10800</c:v>
                </c:pt>
                <c:pt idx="38">
                  <c:v>10800</c:v>
                </c:pt>
                <c:pt idx="39">
                  <c:v>10800</c:v>
                </c:pt>
                <c:pt idx="40">
                  <c:v>10800</c:v>
                </c:pt>
                <c:pt idx="41">
                  <c:v>10800</c:v>
                </c:pt>
                <c:pt idx="42">
                  <c:v>10800</c:v>
                </c:pt>
                <c:pt idx="43">
                  <c:v>10800</c:v>
                </c:pt>
                <c:pt idx="44">
                  <c:v>10800</c:v>
                </c:pt>
                <c:pt idx="45">
                  <c:v>10800</c:v>
                </c:pt>
                <c:pt idx="46">
                  <c:v>10800</c:v>
                </c:pt>
                <c:pt idx="47">
                  <c:v>10800</c:v>
                </c:pt>
                <c:pt idx="48">
                  <c:v>10800</c:v>
                </c:pt>
                <c:pt idx="49">
                  <c:v>10800</c:v>
                </c:pt>
                <c:pt idx="50">
                  <c:v>10800</c:v>
                </c:pt>
                <c:pt idx="51">
                  <c:v>10800</c:v>
                </c:pt>
                <c:pt idx="52">
                  <c:v>10800</c:v>
                </c:pt>
                <c:pt idx="53">
                  <c:v>10800</c:v>
                </c:pt>
                <c:pt idx="54">
                  <c:v>10800</c:v>
                </c:pt>
                <c:pt idx="55">
                  <c:v>10800</c:v>
                </c:pt>
                <c:pt idx="56">
                  <c:v>10800</c:v>
                </c:pt>
                <c:pt idx="57">
                  <c:v>10800</c:v>
                </c:pt>
                <c:pt idx="58">
                  <c:v>10800</c:v>
                </c:pt>
                <c:pt idx="59">
                  <c:v>10800</c:v>
                </c:pt>
                <c:pt idx="60">
                  <c:v>10800</c:v>
                </c:pt>
                <c:pt idx="61">
                  <c:v>10800</c:v>
                </c:pt>
                <c:pt idx="62">
                  <c:v>10800</c:v>
                </c:pt>
                <c:pt idx="63">
                  <c:v>10800</c:v>
                </c:pt>
                <c:pt idx="64">
                  <c:v>10800</c:v>
                </c:pt>
                <c:pt idx="65">
                  <c:v>10800</c:v>
                </c:pt>
                <c:pt idx="66">
                  <c:v>10599.12513045</c:v>
                </c:pt>
                <c:pt idx="67">
                  <c:v>10800</c:v>
                </c:pt>
                <c:pt idx="68">
                  <c:v>10800</c:v>
                </c:pt>
                <c:pt idx="69">
                  <c:v>10800</c:v>
                </c:pt>
                <c:pt idx="70">
                  <c:v>10800</c:v>
                </c:pt>
                <c:pt idx="71">
                  <c:v>10800</c:v>
                </c:pt>
                <c:pt idx="72">
                  <c:v>10800</c:v>
                </c:pt>
                <c:pt idx="73">
                  <c:v>10800</c:v>
                </c:pt>
                <c:pt idx="74">
                  <c:v>10800</c:v>
                </c:pt>
                <c:pt idx="75">
                  <c:v>10800</c:v>
                </c:pt>
                <c:pt idx="76">
                  <c:v>10800</c:v>
                </c:pt>
                <c:pt idx="77">
                  <c:v>10800</c:v>
                </c:pt>
                <c:pt idx="78">
                  <c:v>10800</c:v>
                </c:pt>
                <c:pt idx="79">
                  <c:v>10800</c:v>
                </c:pt>
                <c:pt idx="80">
                  <c:v>10800</c:v>
                </c:pt>
                <c:pt idx="81">
                  <c:v>10800</c:v>
                </c:pt>
                <c:pt idx="82">
                  <c:v>10800</c:v>
                </c:pt>
                <c:pt idx="83">
                  <c:v>10800</c:v>
                </c:pt>
                <c:pt idx="84">
                  <c:v>10800</c:v>
                </c:pt>
                <c:pt idx="85">
                  <c:v>10800</c:v>
                </c:pt>
                <c:pt idx="86">
                  <c:v>10800</c:v>
                </c:pt>
                <c:pt idx="87">
                  <c:v>10800</c:v>
                </c:pt>
                <c:pt idx="88">
                  <c:v>10800</c:v>
                </c:pt>
                <c:pt idx="89">
                  <c:v>10800</c:v>
                </c:pt>
                <c:pt idx="90">
                  <c:v>10800</c:v>
                </c:pt>
                <c:pt idx="91">
                  <c:v>10800</c:v>
                </c:pt>
                <c:pt idx="92">
                  <c:v>10800</c:v>
                </c:pt>
                <c:pt idx="93">
                  <c:v>10800</c:v>
                </c:pt>
                <c:pt idx="94">
                  <c:v>10800</c:v>
                </c:pt>
                <c:pt idx="95">
                  <c:v>10800</c:v>
                </c:pt>
                <c:pt idx="96">
                  <c:v>10800</c:v>
                </c:pt>
                <c:pt idx="97">
                  <c:v>10800</c:v>
                </c:pt>
                <c:pt idx="98">
                  <c:v>10800</c:v>
                </c:pt>
                <c:pt idx="99">
                  <c:v>10800</c:v>
                </c:pt>
                <c:pt idx="100">
                  <c:v>10800</c:v>
                </c:pt>
                <c:pt idx="101">
                  <c:v>10800</c:v>
                </c:pt>
                <c:pt idx="102">
                  <c:v>10800</c:v>
                </c:pt>
                <c:pt idx="103">
                  <c:v>10800</c:v>
                </c:pt>
                <c:pt idx="104">
                  <c:v>10800</c:v>
                </c:pt>
                <c:pt idx="105">
                  <c:v>10800</c:v>
                </c:pt>
                <c:pt idx="106">
                  <c:v>10800</c:v>
                </c:pt>
                <c:pt idx="107">
                  <c:v>10800</c:v>
                </c:pt>
                <c:pt idx="108">
                  <c:v>10800</c:v>
                </c:pt>
                <c:pt idx="109">
                  <c:v>10800</c:v>
                </c:pt>
                <c:pt idx="110">
                  <c:v>10800</c:v>
                </c:pt>
                <c:pt idx="111">
                  <c:v>10800</c:v>
                </c:pt>
                <c:pt idx="112">
                  <c:v>10800</c:v>
                </c:pt>
                <c:pt idx="113">
                  <c:v>10800</c:v>
                </c:pt>
                <c:pt idx="114">
                  <c:v>10800</c:v>
                </c:pt>
                <c:pt idx="115">
                  <c:v>10800</c:v>
                </c:pt>
                <c:pt idx="116">
                  <c:v>10800</c:v>
                </c:pt>
                <c:pt idx="117">
                  <c:v>10800</c:v>
                </c:pt>
                <c:pt idx="118">
                  <c:v>10800</c:v>
                </c:pt>
                <c:pt idx="119">
                  <c:v>10800</c:v>
                </c:pt>
                <c:pt idx="120">
                  <c:v>10800</c:v>
                </c:pt>
                <c:pt idx="121">
                  <c:v>10800</c:v>
                </c:pt>
                <c:pt idx="122">
                  <c:v>10800</c:v>
                </c:pt>
                <c:pt idx="123">
                  <c:v>10800</c:v>
                </c:pt>
                <c:pt idx="124">
                  <c:v>10800</c:v>
                </c:pt>
                <c:pt idx="125">
                  <c:v>10800</c:v>
                </c:pt>
                <c:pt idx="126">
                  <c:v>10800</c:v>
                </c:pt>
                <c:pt idx="127">
                  <c:v>10800</c:v>
                </c:pt>
                <c:pt idx="128">
                  <c:v>10800</c:v>
                </c:pt>
                <c:pt idx="129">
                  <c:v>10800</c:v>
                </c:pt>
                <c:pt idx="130">
                  <c:v>10800</c:v>
                </c:pt>
                <c:pt idx="131">
                  <c:v>10800</c:v>
                </c:pt>
                <c:pt idx="132">
                  <c:v>10800</c:v>
                </c:pt>
                <c:pt idx="133">
                  <c:v>10800</c:v>
                </c:pt>
                <c:pt idx="134">
                  <c:v>10800</c:v>
                </c:pt>
                <c:pt idx="135">
                  <c:v>10800</c:v>
                </c:pt>
                <c:pt idx="136">
                  <c:v>10800</c:v>
                </c:pt>
                <c:pt idx="137">
                  <c:v>10800</c:v>
                </c:pt>
                <c:pt idx="138">
                  <c:v>10800</c:v>
                </c:pt>
                <c:pt idx="139">
                  <c:v>10800</c:v>
                </c:pt>
                <c:pt idx="140">
                  <c:v>10800</c:v>
                </c:pt>
                <c:pt idx="141">
                  <c:v>10800</c:v>
                </c:pt>
                <c:pt idx="142">
                  <c:v>10800</c:v>
                </c:pt>
                <c:pt idx="143">
                  <c:v>10800</c:v>
                </c:pt>
                <c:pt idx="144">
                  <c:v>10800</c:v>
                </c:pt>
                <c:pt idx="145">
                  <c:v>10800</c:v>
                </c:pt>
                <c:pt idx="146">
                  <c:v>10800</c:v>
                </c:pt>
                <c:pt idx="147">
                  <c:v>10800</c:v>
                </c:pt>
                <c:pt idx="148">
                  <c:v>10800</c:v>
                </c:pt>
                <c:pt idx="149">
                  <c:v>10800</c:v>
                </c:pt>
                <c:pt idx="150">
                  <c:v>10800</c:v>
                </c:pt>
                <c:pt idx="151">
                  <c:v>10800</c:v>
                </c:pt>
                <c:pt idx="152">
                  <c:v>10800</c:v>
                </c:pt>
                <c:pt idx="153">
                  <c:v>10800</c:v>
                </c:pt>
                <c:pt idx="154">
                  <c:v>10800</c:v>
                </c:pt>
                <c:pt idx="155">
                  <c:v>10800</c:v>
                </c:pt>
                <c:pt idx="156">
                  <c:v>10800</c:v>
                </c:pt>
                <c:pt idx="157">
                  <c:v>10800</c:v>
                </c:pt>
                <c:pt idx="158">
                  <c:v>10800</c:v>
                </c:pt>
                <c:pt idx="159">
                  <c:v>10800</c:v>
                </c:pt>
                <c:pt idx="160">
                  <c:v>10800</c:v>
                </c:pt>
                <c:pt idx="161">
                  <c:v>10800</c:v>
                </c:pt>
                <c:pt idx="162">
                  <c:v>10800</c:v>
                </c:pt>
                <c:pt idx="163">
                  <c:v>10800</c:v>
                </c:pt>
                <c:pt idx="164">
                  <c:v>10800</c:v>
                </c:pt>
                <c:pt idx="165">
                  <c:v>10800</c:v>
                </c:pt>
                <c:pt idx="166">
                  <c:v>10800</c:v>
                </c:pt>
                <c:pt idx="167">
                  <c:v>10800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0-49F0-9EA0-A3B88BE9756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'Origen de Datos'!$CC$3:$CC$170</c:f>
              <c:numCache>
                <c:formatCode>General</c:formatCode>
                <c:ptCount val="168"/>
                <c:pt idx="0">
                  <c:v>913.97115460999999</c:v>
                </c:pt>
                <c:pt idx="1">
                  <c:v>913.97115460999999</c:v>
                </c:pt>
                <c:pt idx="2">
                  <c:v>913.97115460999999</c:v>
                </c:pt>
                <c:pt idx="3">
                  <c:v>913.97115460999999</c:v>
                </c:pt>
                <c:pt idx="4">
                  <c:v>914.61887561000003</c:v>
                </c:pt>
                <c:pt idx="5">
                  <c:v>915.91431762000002</c:v>
                </c:pt>
                <c:pt idx="6">
                  <c:v>916.56203861999995</c:v>
                </c:pt>
                <c:pt idx="7">
                  <c:v>917.20975962</c:v>
                </c:pt>
                <c:pt idx="8">
                  <c:v>917.20975962</c:v>
                </c:pt>
                <c:pt idx="9">
                  <c:v>917.20975962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502.73239437000001</c:v>
                </c:pt>
                <c:pt idx="17">
                  <c:v>917.20975962</c:v>
                </c:pt>
                <c:pt idx="18">
                  <c:v>916.56203861999995</c:v>
                </c:pt>
                <c:pt idx="19">
                  <c:v>915.91431762000002</c:v>
                </c:pt>
                <c:pt idx="20">
                  <c:v>915.26659660999997</c:v>
                </c:pt>
                <c:pt idx="21">
                  <c:v>914.61887561000003</c:v>
                </c:pt>
                <c:pt idx="22">
                  <c:v>913.97115460999999</c:v>
                </c:pt>
                <c:pt idx="23">
                  <c:v>913.97115460999999</c:v>
                </c:pt>
                <c:pt idx="24">
                  <c:v>913.9697658</c:v>
                </c:pt>
                <c:pt idx="25">
                  <c:v>913.9697658</c:v>
                </c:pt>
                <c:pt idx="26">
                  <c:v>913.9697658</c:v>
                </c:pt>
                <c:pt idx="27">
                  <c:v>913.9697658</c:v>
                </c:pt>
                <c:pt idx="28">
                  <c:v>914.61748680999995</c:v>
                </c:pt>
                <c:pt idx="29">
                  <c:v>915.91292881000004</c:v>
                </c:pt>
                <c:pt idx="30">
                  <c:v>916.56064981999998</c:v>
                </c:pt>
                <c:pt idx="31">
                  <c:v>917.20837082000003</c:v>
                </c:pt>
                <c:pt idx="32">
                  <c:v>917.20837082000003</c:v>
                </c:pt>
                <c:pt idx="33">
                  <c:v>917.20837082000003</c:v>
                </c:pt>
                <c:pt idx="34">
                  <c:v>917.20837082000003</c:v>
                </c:pt>
                <c:pt idx="35">
                  <c:v>916.56064981999998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917.20837082000003</c:v>
                </c:pt>
                <c:pt idx="41">
                  <c:v>917.20837082000003</c:v>
                </c:pt>
                <c:pt idx="42">
                  <c:v>916.56064981999998</c:v>
                </c:pt>
                <c:pt idx="43">
                  <c:v>915.91292881000004</c:v>
                </c:pt>
                <c:pt idx="44">
                  <c:v>915.26520780999999</c:v>
                </c:pt>
                <c:pt idx="45">
                  <c:v>914.61748680999995</c:v>
                </c:pt>
                <c:pt idx="46">
                  <c:v>913.9697658</c:v>
                </c:pt>
                <c:pt idx="47">
                  <c:v>913.9697658</c:v>
                </c:pt>
                <c:pt idx="48">
                  <c:v>913.96837700000003</c:v>
                </c:pt>
                <c:pt idx="49">
                  <c:v>913.96837700000003</c:v>
                </c:pt>
                <c:pt idx="50">
                  <c:v>913.96837700000003</c:v>
                </c:pt>
                <c:pt idx="51">
                  <c:v>913.96837700000003</c:v>
                </c:pt>
                <c:pt idx="52">
                  <c:v>914.61609799999997</c:v>
                </c:pt>
                <c:pt idx="53">
                  <c:v>915.91154000999995</c:v>
                </c:pt>
                <c:pt idx="54">
                  <c:v>1302.7870924900001</c:v>
                </c:pt>
                <c:pt idx="55">
                  <c:v>917.20698202000005</c:v>
                </c:pt>
                <c:pt idx="56">
                  <c:v>917.20698202000005</c:v>
                </c:pt>
                <c:pt idx="57">
                  <c:v>917.20698202000005</c:v>
                </c:pt>
                <c:pt idx="58">
                  <c:v>917.20698202000005</c:v>
                </c:pt>
                <c:pt idx="59">
                  <c:v>683.45413575999999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917.20698202000005</c:v>
                </c:pt>
                <c:pt idx="64">
                  <c:v>917.20698202000005</c:v>
                </c:pt>
                <c:pt idx="65">
                  <c:v>917.20698202000005</c:v>
                </c:pt>
                <c:pt idx="66">
                  <c:v>0</c:v>
                </c:pt>
                <c:pt idx="67">
                  <c:v>92.971655870000006</c:v>
                </c:pt>
                <c:pt idx="68">
                  <c:v>915.26381901000002</c:v>
                </c:pt>
                <c:pt idx="69">
                  <c:v>914.61609799999997</c:v>
                </c:pt>
                <c:pt idx="70">
                  <c:v>913.96837700000003</c:v>
                </c:pt>
                <c:pt idx="71">
                  <c:v>913.96837700000003</c:v>
                </c:pt>
                <c:pt idx="72">
                  <c:v>913.96698819999995</c:v>
                </c:pt>
                <c:pt idx="73">
                  <c:v>913.96698819999995</c:v>
                </c:pt>
                <c:pt idx="74">
                  <c:v>913.96698819999995</c:v>
                </c:pt>
                <c:pt idx="75">
                  <c:v>913.96698819999995</c:v>
                </c:pt>
                <c:pt idx="76">
                  <c:v>914.61470919999999</c:v>
                </c:pt>
                <c:pt idx="77">
                  <c:v>915.91015120999998</c:v>
                </c:pt>
                <c:pt idx="78">
                  <c:v>916.55787221000003</c:v>
                </c:pt>
                <c:pt idx="79">
                  <c:v>917.20559321999997</c:v>
                </c:pt>
                <c:pt idx="80">
                  <c:v>917.20559321999997</c:v>
                </c:pt>
                <c:pt idx="81">
                  <c:v>917.20559321999997</c:v>
                </c:pt>
                <c:pt idx="82">
                  <c:v>917.20559321999997</c:v>
                </c:pt>
                <c:pt idx="83">
                  <c:v>916.55787221000003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917.20559321999997</c:v>
                </c:pt>
                <c:pt idx="89">
                  <c:v>642.41686082000001</c:v>
                </c:pt>
                <c:pt idx="90">
                  <c:v>916.55787221000003</c:v>
                </c:pt>
                <c:pt idx="91">
                  <c:v>915.91015120999998</c:v>
                </c:pt>
                <c:pt idx="92">
                  <c:v>915.26243020000004</c:v>
                </c:pt>
                <c:pt idx="93">
                  <c:v>914.61470919999999</c:v>
                </c:pt>
                <c:pt idx="94">
                  <c:v>913.96698819999995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30-49F0-9EA0-A3B88BE97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636560"/>
        <c:axId val="439641840"/>
      </c:areaChart>
      <c:catAx>
        <c:axId val="439636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9641840"/>
        <c:crosses val="autoZero"/>
        <c:auto val="1"/>
        <c:lblAlgn val="ctr"/>
        <c:lblOffset val="100"/>
        <c:noMultiLvlLbl val="0"/>
      </c:catAx>
      <c:valAx>
        <c:axId val="43964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9636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171450</xdr:colOff>
      <xdr:row>137</xdr:row>
      <xdr:rowOff>106362</xdr:rowOff>
    </xdr:from>
    <xdr:to>
      <xdr:col>20</xdr:col>
      <xdr:colOff>1000125</xdr:colOff>
      <xdr:row>164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B1EA91-9906-0FA9-C5A7-0EBC04322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590176</xdr:colOff>
      <xdr:row>14</xdr:row>
      <xdr:rowOff>25399</xdr:rowOff>
    </xdr:from>
    <xdr:to>
      <xdr:col>72</xdr:col>
      <xdr:colOff>1038412</xdr:colOff>
      <xdr:row>31</xdr:row>
      <xdr:rowOff>127000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725C720-5289-3F61-3EED-08995C1AD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73</xdr:col>
      <xdr:colOff>1023470</xdr:colOff>
      <xdr:row>14</xdr:row>
      <xdr:rowOff>22412</xdr:rowOff>
    </xdr:from>
    <xdr:to>
      <xdr:col>78</xdr:col>
      <xdr:colOff>859117</xdr:colOff>
      <xdr:row>31</xdr:row>
      <xdr:rowOff>124013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371A10D-4692-4764-A4AB-35BA187FA3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78</xdr:col>
      <xdr:colOff>1314822</xdr:colOff>
      <xdr:row>14</xdr:row>
      <xdr:rowOff>40341</xdr:rowOff>
    </xdr:from>
    <xdr:to>
      <xdr:col>82</xdr:col>
      <xdr:colOff>291353</xdr:colOff>
      <xdr:row>33</xdr:row>
      <xdr:rowOff>119530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08900A3-8B42-6440-BC74-A5E41603D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796E-3B4B-47D0-890A-5369E330B7C0}">
  <sheetPr codeName="Hoja1">
    <tabColor rgb="FFC00000"/>
  </sheetPr>
  <dimension ref="A1:C13"/>
  <sheetViews>
    <sheetView workbookViewId="0">
      <selection activeCell="E8" sqref="E8"/>
    </sheetView>
  </sheetViews>
  <sheetFormatPr baseColWidth="10" defaultRowHeight="14.5" x14ac:dyDescent="0.35"/>
  <cols>
    <col min="1" max="1" width="48.54296875" style="2" bestFit="1" customWidth="1"/>
    <col min="2" max="2" width="19.90625" style="2" bestFit="1" customWidth="1"/>
    <col min="3" max="16384" width="10.90625" style="2"/>
  </cols>
  <sheetData>
    <row r="1" spans="1:3" ht="23.5" x14ac:dyDescent="0.55000000000000004">
      <c r="A1" s="1" t="s">
        <v>28</v>
      </c>
    </row>
    <row r="2" spans="1:3" x14ac:dyDescent="0.35">
      <c r="A2" s="2" t="s">
        <v>17</v>
      </c>
    </row>
    <row r="3" spans="1:3" x14ac:dyDescent="0.35">
      <c r="B3" s="2" t="s">
        <v>12</v>
      </c>
      <c r="C3" s="3" t="s">
        <v>65</v>
      </c>
    </row>
    <row r="4" spans="1:3" x14ac:dyDescent="0.35">
      <c r="B4" s="2" t="s">
        <v>92</v>
      </c>
      <c r="C4" s="3" t="s">
        <v>69</v>
      </c>
    </row>
    <row r="5" spans="1:3" x14ac:dyDescent="0.35">
      <c r="B5" s="2" t="s">
        <v>13</v>
      </c>
      <c r="C5" s="3" t="s">
        <v>66</v>
      </c>
    </row>
    <row r="6" spans="1:3" x14ac:dyDescent="0.35">
      <c r="B6" s="2" t="s">
        <v>14</v>
      </c>
      <c r="C6" s="3" t="s">
        <v>66</v>
      </c>
    </row>
    <row r="7" spans="1:3" x14ac:dyDescent="0.35">
      <c r="B7" s="2" t="s">
        <v>18</v>
      </c>
      <c r="C7" s="3"/>
    </row>
    <row r="8" spans="1:3" x14ac:dyDescent="0.35">
      <c r="B8" s="2" t="s">
        <v>19</v>
      </c>
      <c r="C8" s="3"/>
    </row>
    <row r="9" spans="1:3" x14ac:dyDescent="0.35">
      <c r="B9" s="2" t="s">
        <v>24</v>
      </c>
      <c r="C9" s="3" t="s">
        <v>69</v>
      </c>
    </row>
    <row r="10" spans="1:3" x14ac:dyDescent="0.35">
      <c r="B10" s="2" t="s">
        <v>25</v>
      </c>
      <c r="C10" s="3"/>
    </row>
    <row r="11" spans="1:3" x14ac:dyDescent="0.35">
      <c r="B11" s="2" t="s">
        <v>26</v>
      </c>
      <c r="C11" s="3"/>
    </row>
    <row r="12" spans="1:3" x14ac:dyDescent="0.35">
      <c r="B12" s="2" t="s">
        <v>27</v>
      </c>
      <c r="C12" s="3"/>
    </row>
    <row r="13" spans="1:3" x14ac:dyDescent="0.35">
      <c r="C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5FF2-D47A-42A2-B9F7-7C320B712897}">
  <sheetPr codeName="Hoja2">
    <tabColor theme="4" tint="0.79998168889431442"/>
  </sheetPr>
  <dimension ref="A1:B17"/>
  <sheetViews>
    <sheetView workbookViewId="0">
      <selection activeCell="G7" sqref="G7"/>
    </sheetView>
  </sheetViews>
  <sheetFormatPr baseColWidth="10" defaultRowHeight="14.5" x14ac:dyDescent="0.35"/>
  <cols>
    <col min="1" max="1" width="15.7265625" style="5" bestFit="1" customWidth="1"/>
    <col min="2" max="2" width="9.90625" style="5" customWidth="1"/>
    <col min="3" max="16384" width="10.90625" style="5"/>
  </cols>
  <sheetData>
    <row r="1" spans="1:2" x14ac:dyDescent="0.35">
      <c r="A1" s="4" t="s">
        <v>5</v>
      </c>
      <c r="B1" s="4" t="s">
        <v>1</v>
      </c>
    </row>
    <row r="2" spans="1:2" x14ac:dyDescent="0.35">
      <c r="A2" s="5" t="s">
        <v>7</v>
      </c>
      <c r="B2" s="5" t="s">
        <v>6</v>
      </c>
    </row>
    <row r="3" spans="1:2" x14ac:dyDescent="0.35">
      <c r="A3" s="5" t="s">
        <v>8</v>
      </c>
      <c r="B3" s="5" t="s">
        <v>6</v>
      </c>
    </row>
    <row r="4" spans="1:2" x14ac:dyDescent="0.35">
      <c r="A4" s="5" t="s">
        <v>9</v>
      </c>
      <c r="B4" s="5" t="s">
        <v>6</v>
      </c>
    </row>
    <row r="5" spans="1:2" x14ac:dyDescent="0.35">
      <c r="A5" s="5" t="s">
        <v>3</v>
      </c>
      <c r="B5" s="5" t="s">
        <v>6</v>
      </c>
    </row>
    <row r="6" spans="1:2" x14ac:dyDescent="0.35">
      <c r="A6" s="5" t="s">
        <v>158</v>
      </c>
      <c r="B6" s="5" t="s">
        <v>6</v>
      </c>
    </row>
    <row r="7" spans="1:2" x14ac:dyDescent="0.35">
      <c r="A7" s="5" t="s">
        <v>160</v>
      </c>
      <c r="B7" s="5" t="s">
        <v>6</v>
      </c>
    </row>
    <row r="8" spans="1:2" x14ac:dyDescent="0.35">
      <c r="A8" s="5" t="s">
        <v>159</v>
      </c>
      <c r="B8" s="5" t="s">
        <v>6</v>
      </c>
    </row>
    <row r="9" spans="1:2" x14ac:dyDescent="0.35">
      <c r="A9" s="5" t="s">
        <v>10</v>
      </c>
      <c r="B9" s="5" t="s">
        <v>6</v>
      </c>
    </row>
    <row r="10" spans="1:2" x14ac:dyDescent="0.35">
      <c r="A10" s="5" t="s">
        <v>11</v>
      </c>
      <c r="B10" s="5" t="s">
        <v>6</v>
      </c>
    </row>
    <row r="11" spans="1:2" x14ac:dyDescent="0.35">
      <c r="A11" s="5" t="s">
        <v>4</v>
      </c>
      <c r="B11" s="5" t="s">
        <v>6</v>
      </c>
    </row>
    <row r="12" spans="1:2" x14ac:dyDescent="0.35">
      <c r="A12" s="5" t="s">
        <v>78</v>
      </c>
      <c r="B12" s="5" t="s">
        <v>6</v>
      </c>
    </row>
    <row r="13" spans="1:2" x14ac:dyDescent="0.35">
      <c r="A13" s="5" t="s">
        <v>88</v>
      </c>
      <c r="B13" s="5" t="s">
        <v>6</v>
      </c>
    </row>
    <row r="14" spans="1:2" x14ac:dyDescent="0.35">
      <c r="A14" s="5" t="s">
        <v>130</v>
      </c>
      <c r="B14" s="5" t="s">
        <v>6</v>
      </c>
    </row>
    <row r="15" spans="1:2" x14ac:dyDescent="0.35">
      <c r="A15" s="5" t="s">
        <v>131</v>
      </c>
      <c r="B15" s="5" t="s">
        <v>6</v>
      </c>
    </row>
    <row r="16" spans="1:2" x14ac:dyDescent="0.35">
      <c r="A16" s="5" t="s">
        <v>172</v>
      </c>
      <c r="B16" s="5" t="s">
        <v>6</v>
      </c>
    </row>
    <row r="17" spans="1:2" x14ac:dyDescent="0.35">
      <c r="A17" s="5" t="s">
        <v>173</v>
      </c>
      <c r="B17" s="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3D5D-6511-4609-B162-ADBED06D7AFD}">
  <sheetPr>
    <tabColor theme="4" tint="0.79998168889431442"/>
  </sheetPr>
  <dimension ref="A1:H18"/>
  <sheetViews>
    <sheetView workbookViewId="0">
      <selection activeCell="A19" sqref="A19"/>
    </sheetView>
  </sheetViews>
  <sheetFormatPr baseColWidth="10" defaultRowHeight="14.5" x14ac:dyDescent="0.35"/>
  <cols>
    <col min="1" max="1" width="25.1796875" style="5" customWidth="1"/>
    <col min="2" max="16384" width="10.90625" style="5"/>
  </cols>
  <sheetData>
    <row r="1" spans="1:8" x14ac:dyDescent="0.35">
      <c r="A1" s="22" t="s">
        <v>5</v>
      </c>
      <c r="B1" s="22" t="s">
        <v>0</v>
      </c>
      <c r="C1" s="22" t="s">
        <v>1</v>
      </c>
      <c r="D1" s="22" t="s">
        <v>83</v>
      </c>
      <c r="E1" s="22" t="s">
        <v>84</v>
      </c>
    </row>
    <row r="2" spans="1:8" x14ac:dyDescent="0.35">
      <c r="A2" s="6" t="s">
        <v>30</v>
      </c>
      <c r="B2" s="5" t="s">
        <v>7</v>
      </c>
      <c r="C2" s="5" t="s">
        <v>6</v>
      </c>
      <c r="D2" s="5">
        <v>-3.7038000000000002</v>
      </c>
      <c r="E2" s="5">
        <v>40.416800000000002</v>
      </c>
    </row>
    <row r="3" spans="1:8" x14ac:dyDescent="0.35">
      <c r="A3" s="6" t="s">
        <v>31</v>
      </c>
      <c r="B3" s="5" t="s">
        <v>2</v>
      </c>
      <c r="C3" s="5" t="s">
        <v>6</v>
      </c>
      <c r="D3" s="5">
        <v>-3.7038000000000002</v>
      </c>
      <c r="E3" s="5">
        <v>40.416800000000002</v>
      </c>
    </row>
    <row r="4" spans="1:8" x14ac:dyDescent="0.35">
      <c r="A4" s="6" t="s">
        <v>32</v>
      </c>
      <c r="B4" s="5" t="s">
        <v>3</v>
      </c>
      <c r="C4" s="5" t="s">
        <v>6</v>
      </c>
      <c r="D4" s="5">
        <v>-3.7038000000000002</v>
      </c>
      <c r="E4" s="5">
        <v>40.416800000000002</v>
      </c>
    </row>
    <row r="5" spans="1:8" x14ac:dyDescent="0.35">
      <c r="A5" s="6" t="s">
        <v>33</v>
      </c>
      <c r="B5" s="5" t="s">
        <v>4</v>
      </c>
      <c r="C5" s="5" t="s">
        <v>6</v>
      </c>
      <c r="D5" s="5">
        <v>-3.7038000000000002</v>
      </c>
      <c r="E5" s="5">
        <v>40.416800000000002</v>
      </c>
    </row>
    <row r="6" spans="1:8" x14ac:dyDescent="0.35">
      <c r="A6" s="23" t="s">
        <v>95</v>
      </c>
      <c r="B6" s="5" t="s">
        <v>7</v>
      </c>
      <c r="C6" s="5" t="s">
        <v>6</v>
      </c>
      <c r="D6" s="5">
        <v>-3.7038000000000002</v>
      </c>
      <c r="E6" s="5">
        <v>40.416800000000002</v>
      </c>
    </row>
    <row r="7" spans="1:8" x14ac:dyDescent="0.35">
      <c r="A7" s="23" t="s">
        <v>96</v>
      </c>
      <c r="B7" s="5" t="s">
        <v>4</v>
      </c>
      <c r="C7" s="5" t="s">
        <v>6</v>
      </c>
      <c r="D7" s="5">
        <v>-3.7038000000000002</v>
      </c>
      <c r="E7" s="5">
        <v>40.416800000000002</v>
      </c>
    </row>
    <row r="8" spans="1:8" x14ac:dyDescent="0.35">
      <c r="A8" s="8" t="s">
        <v>34</v>
      </c>
      <c r="B8" s="5" t="s">
        <v>7</v>
      </c>
      <c r="C8" s="5" t="s">
        <v>6</v>
      </c>
      <c r="D8" s="5">
        <v>-9.1393000000000004</v>
      </c>
      <c r="E8" s="5">
        <v>38.722299999999997</v>
      </c>
    </row>
    <row r="9" spans="1:8" x14ac:dyDescent="0.35">
      <c r="A9" s="8" t="s">
        <v>35</v>
      </c>
      <c r="B9" s="5" t="s">
        <v>2</v>
      </c>
      <c r="C9" s="5" t="s">
        <v>6</v>
      </c>
      <c r="D9" s="5">
        <v>-9.1393000000000004</v>
      </c>
      <c r="E9" s="5">
        <v>38.722299999999997</v>
      </c>
    </row>
    <row r="10" spans="1:8" x14ac:dyDescent="0.35">
      <c r="A10" s="8" t="s">
        <v>36</v>
      </c>
      <c r="B10" s="5" t="s">
        <v>3</v>
      </c>
      <c r="C10" s="5" t="s">
        <v>6</v>
      </c>
      <c r="D10" s="5">
        <v>-9.1393000000000004</v>
      </c>
      <c r="E10" s="5">
        <v>38.722299999999997</v>
      </c>
    </row>
    <row r="11" spans="1:8" x14ac:dyDescent="0.35">
      <c r="A11" s="8" t="s">
        <v>37</v>
      </c>
      <c r="B11" s="5" t="s">
        <v>4</v>
      </c>
      <c r="C11" s="5" t="s">
        <v>6</v>
      </c>
      <c r="D11" s="5">
        <v>-9.1393000000000004</v>
      </c>
      <c r="E11" s="5">
        <v>38.722299999999997</v>
      </c>
    </row>
    <row r="12" spans="1:8" x14ac:dyDescent="0.35">
      <c r="A12" s="24" t="s">
        <v>97</v>
      </c>
      <c r="B12" s="5" t="s">
        <v>7</v>
      </c>
      <c r="C12" s="5" t="s">
        <v>6</v>
      </c>
      <c r="D12" s="5">
        <v>-9.1393000000000004</v>
      </c>
      <c r="E12" s="5">
        <v>38.722299999999997</v>
      </c>
    </row>
    <row r="13" spans="1:8" x14ac:dyDescent="0.35">
      <c r="A13" s="24" t="s">
        <v>98</v>
      </c>
      <c r="B13" s="5" t="s">
        <v>4</v>
      </c>
      <c r="C13" s="5" t="s">
        <v>6</v>
      </c>
      <c r="D13" s="5">
        <v>-9.1393000000000004</v>
      </c>
      <c r="E13" s="5">
        <v>38.722299999999997</v>
      </c>
    </row>
    <row r="14" spans="1:8" x14ac:dyDescent="0.35">
      <c r="A14" s="14" t="s">
        <v>85</v>
      </c>
      <c r="B14" s="5" t="s">
        <v>7</v>
      </c>
      <c r="C14" s="5" t="s">
        <v>6</v>
      </c>
      <c r="D14" s="5">
        <v>2.3521999999999998</v>
      </c>
      <c r="E14" s="5">
        <v>48.8566</v>
      </c>
    </row>
    <row r="15" spans="1:8" x14ac:dyDescent="0.35">
      <c r="A15" s="14" t="s">
        <v>86</v>
      </c>
      <c r="B15" s="5" t="s">
        <v>4</v>
      </c>
      <c r="C15" s="5" t="s">
        <v>6</v>
      </c>
      <c r="D15" s="5">
        <v>4.3521999999999998</v>
      </c>
      <c r="E15" s="5">
        <v>48.8566</v>
      </c>
    </row>
    <row r="16" spans="1:8" x14ac:dyDescent="0.35">
      <c r="A16" s="14" t="s">
        <v>104</v>
      </c>
      <c r="B16" s="5" t="s">
        <v>4</v>
      </c>
      <c r="C16" s="5" t="s">
        <v>6</v>
      </c>
      <c r="D16" s="5">
        <v>2.8521999999999998</v>
      </c>
      <c r="E16" s="5">
        <v>43.8566</v>
      </c>
      <c r="H16" s="5" t="s">
        <v>108</v>
      </c>
    </row>
    <row r="17" spans="1:5" x14ac:dyDescent="0.35">
      <c r="A17" s="14" t="s">
        <v>105</v>
      </c>
      <c r="B17" s="5" t="s">
        <v>4</v>
      </c>
      <c r="C17" s="5" t="s">
        <v>6</v>
      </c>
      <c r="D17" s="5">
        <v>-1.3522000000000001</v>
      </c>
      <c r="E17" s="5">
        <v>45.8566</v>
      </c>
    </row>
    <row r="18" spans="1:5" x14ac:dyDescent="0.35">
      <c r="A18" s="25" t="s">
        <v>99</v>
      </c>
      <c r="B18" s="5" t="s">
        <v>4</v>
      </c>
      <c r="C18" s="5" t="s">
        <v>6</v>
      </c>
      <c r="D18" s="5">
        <v>-6.84</v>
      </c>
      <c r="E18" s="5">
        <v>34.020000000000003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26B25-9C89-4493-B4E6-04045461670B}">
  <sheetPr>
    <tabColor theme="4" tint="0.79998168889431442"/>
  </sheetPr>
  <dimension ref="A1:F34"/>
  <sheetViews>
    <sheetView workbookViewId="0">
      <selection activeCell="H10" sqref="H10"/>
    </sheetView>
  </sheetViews>
  <sheetFormatPr baseColWidth="10" defaultRowHeight="14.5" x14ac:dyDescent="0.35"/>
  <cols>
    <col min="1" max="1" width="29.1796875" style="5" bestFit="1" customWidth="1"/>
    <col min="2" max="2" width="26.6328125" style="5" customWidth="1"/>
    <col min="3" max="3" width="10.90625" style="5"/>
    <col min="4" max="4" width="13.08984375" style="5" bestFit="1" customWidth="1"/>
    <col min="5" max="5" width="15.7265625" style="5" bestFit="1" customWidth="1"/>
    <col min="6" max="10" width="10.90625" style="5"/>
    <col min="11" max="11" width="11.7265625" style="5" customWidth="1"/>
    <col min="12" max="16384" width="10.90625" style="5"/>
  </cols>
  <sheetData>
    <row r="1" spans="1:6" x14ac:dyDescent="0.35">
      <c r="A1" s="4" t="s">
        <v>5</v>
      </c>
      <c r="B1" s="4" t="s">
        <v>15</v>
      </c>
      <c r="C1" s="4" t="s">
        <v>12</v>
      </c>
      <c r="D1" s="4" t="s">
        <v>14</v>
      </c>
      <c r="E1" s="4" t="s">
        <v>0</v>
      </c>
      <c r="F1" s="4" t="s">
        <v>1</v>
      </c>
    </row>
    <row r="2" spans="1:6" x14ac:dyDescent="0.35">
      <c r="A2" s="6" t="s">
        <v>138</v>
      </c>
      <c r="B2" s="5" t="s">
        <v>30</v>
      </c>
      <c r="C2" s="5">
        <v>83000</v>
      </c>
      <c r="D2" s="5">
        <v>0</v>
      </c>
      <c r="E2" s="5" t="s">
        <v>158</v>
      </c>
      <c r="F2" s="5" t="s">
        <v>6</v>
      </c>
    </row>
    <row r="3" spans="1:6" x14ac:dyDescent="0.35">
      <c r="A3" s="6" t="s">
        <v>139</v>
      </c>
      <c r="B3" s="5" t="s">
        <v>30</v>
      </c>
      <c r="C3" s="5">
        <v>4805</v>
      </c>
      <c r="D3" s="5">
        <v>0</v>
      </c>
      <c r="E3" s="5" t="s">
        <v>160</v>
      </c>
      <c r="F3" s="5" t="s">
        <v>6</v>
      </c>
    </row>
    <row r="4" spans="1:6" x14ac:dyDescent="0.35">
      <c r="A4" s="6" t="s">
        <v>140</v>
      </c>
      <c r="B4" s="5" t="s">
        <v>30</v>
      </c>
      <c r="C4" s="5">
        <v>30000</v>
      </c>
      <c r="D4" s="5">
        <v>0</v>
      </c>
      <c r="E4" s="5" t="s">
        <v>159</v>
      </c>
      <c r="F4" s="5" t="s">
        <v>6</v>
      </c>
    </row>
    <row r="5" spans="1:6" x14ac:dyDescent="0.35">
      <c r="A5" s="6" t="s">
        <v>46</v>
      </c>
      <c r="B5" s="5" t="s">
        <v>30</v>
      </c>
      <c r="C5" s="5">
        <v>91799.794460000019</v>
      </c>
      <c r="D5" s="5">
        <v>0</v>
      </c>
      <c r="E5" s="5" t="s">
        <v>9</v>
      </c>
      <c r="F5" s="5" t="s">
        <v>6</v>
      </c>
    </row>
    <row r="6" spans="1:6" x14ac:dyDescent="0.35">
      <c r="A6" s="6" t="s">
        <v>47</v>
      </c>
      <c r="B6" s="5" t="s">
        <v>30</v>
      </c>
      <c r="C6" s="5">
        <f>2462.66</f>
        <v>2462.66</v>
      </c>
      <c r="D6" s="5">
        <v>6</v>
      </c>
      <c r="E6" s="5" t="s">
        <v>11</v>
      </c>
      <c r="F6" s="5" t="s">
        <v>6</v>
      </c>
    </row>
    <row r="7" spans="1:6" x14ac:dyDescent="0.35">
      <c r="A7" s="6" t="s">
        <v>48</v>
      </c>
      <c r="B7" s="5" t="s">
        <v>32</v>
      </c>
      <c r="C7" s="5">
        <f>1*10^14</f>
        <v>100000000000000</v>
      </c>
      <c r="D7" s="5">
        <v>0</v>
      </c>
      <c r="E7" s="5" t="s">
        <v>3</v>
      </c>
      <c r="F7" s="5" t="s">
        <v>6</v>
      </c>
    </row>
    <row r="8" spans="1:6" x14ac:dyDescent="0.35">
      <c r="A8" s="6" t="s">
        <v>49</v>
      </c>
      <c r="B8" s="5" t="s">
        <v>30</v>
      </c>
      <c r="C8" s="5">
        <v>3117.91912</v>
      </c>
      <c r="D8" s="5">
        <v>0</v>
      </c>
      <c r="E8" s="5" t="s">
        <v>8</v>
      </c>
      <c r="F8" s="5" t="s">
        <v>6</v>
      </c>
    </row>
    <row r="9" spans="1:6" x14ac:dyDescent="0.35">
      <c r="A9" s="5" t="s">
        <v>75</v>
      </c>
      <c r="B9" s="5" t="s">
        <v>95</v>
      </c>
      <c r="C9" s="5">
        <v>32600</v>
      </c>
      <c r="D9" s="5">
        <v>0</v>
      </c>
      <c r="E9" s="5" t="s">
        <v>131</v>
      </c>
      <c r="F9" s="5" t="s">
        <v>6</v>
      </c>
    </row>
    <row r="10" spans="1:6" x14ac:dyDescent="0.35">
      <c r="A10" s="7" t="s">
        <v>74</v>
      </c>
      <c r="B10" s="7" t="s">
        <v>96</v>
      </c>
      <c r="C10" s="7">
        <f>(37999*2)-C9</f>
        <v>43398</v>
      </c>
      <c r="D10" s="7">
        <v>0</v>
      </c>
      <c r="E10" s="7" t="s">
        <v>130</v>
      </c>
      <c r="F10" s="7" t="s">
        <v>6</v>
      </c>
    </row>
    <row r="11" spans="1:6" x14ac:dyDescent="0.35">
      <c r="A11" s="8" t="s">
        <v>141</v>
      </c>
      <c r="B11" s="5" t="s">
        <v>34</v>
      </c>
      <c r="C11" s="5">
        <v>14378.2</v>
      </c>
      <c r="D11" s="5">
        <v>0</v>
      </c>
      <c r="E11" s="5" t="s">
        <v>158</v>
      </c>
      <c r="F11" s="5" t="s">
        <v>6</v>
      </c>
    </row>
    <row r="12" spans="1:6" x14ac:dyDescent="0.35">
      <c r="A12" s="8" t="s">
        <v>142</v>
      </c>
      <c r="B12" s="5" t="s">
        <v>34</v>
      </c>
      <c r="C12" s="5">
        <v>9659.9</v>
      </c>
      <c r="D12" s="5">
        <v>0</v>
      </c>
      <c r="E12" s="5" t="s">
        <v>159</v>
      </c>
      <c r="F12" s="5" t="s">
        <v>6</v>
      </c>
    </row>
    <row r="13" spans="1:6" x14ac:dyDescent="0.35">
      <c r="A13" s="8" t="s">
        <v>170</v>
      </c>
      <c r="B13" s="5" t="s">
        <v>34</v>
      </c>
      <c r="C13" s="18">
        <v>11643.6</v>
      </c>
      <c r="D13" s="5">
        <v>0</v>
      </c>
      <c r="E13" s="5" t="s">
        <v>172</v>
      </c>
      <c r="F13" s="5" t="s">
        <v>6</v>
      </c>
    </row>
    <row r="14" spans="1:6" x14ac:dyDescent="0.35">
      <c r="A14" s="8" t="s">
        <v>171</v>
      </c>
      <c r="B14" s="5" t="s">
        <v>34</v>
      </c>
      <c r="C14" s="18">
        <v>646</v>
      </c>
      <c r="D14" s="5">
        <v>0</v>
      </c>
      <c r="E14" s="5" t="s">
        <v>173</v>
      </c>
      <c r="F14" s="5" t="s">
        <v>6</v>
      </c>
    </row>
    <row r="15" spans="1:6" x14ac:dyDescent="0.35">
      <c r="A15" s="8" t="s">
        <v>50</v>
      </c>
      <c r="B15" s="5" t="s">
        <v>34</v>
      </c>
      <c r="C15" s="5">
        <v>1607</v>
      </c>
      <c r="D15" s="9">
        <v>6</v>
      </c>
      <c r="E15" s="5" t="s">
        <v>11</v>
      </c>
      <c r="F15" s="5" t="s">
        <v>6</v>
      </c>
    </row>
    <row r="16" spans="1:6" x14ac:dyDescent="0.35">
      <c r="A16" s="8" t="s">
        <v>51</v>
      </c>
      <c r="B16" s="5" t="s">
        <v>36</v>
      </c>
      <c r="C16" s="5">
        <f>1*10^14</f>
        <v>100000000000000</v>
      </c>
      <c r="D16" s="5">
        <v>0</v>
      </c>
      <c r="E16" s="5" t="s">
        <v>3</v>
      </c>
      <c r="F16" s="5" t="s">
        <v>6</v>
      </c>
    </row>
    <row r="17" spans="1:6" x14ac:dyDescent="0.35">
      <c r="A17" s="8" t="s">
        <v>52</v>
      </c>
      <c r="B17" s="5" t="s">
        <v>34</v>
      </c>
      <c r="C17" s="5">
        <v>508.3</v>
      </c>
      <c r="D17" s="5">
        <v>0</v>
      </c>
      <c r="E17" s="5" t="s">
        <v>8</v>
      </c>
      <c r="F17" s="5" t="s">
        <v>6</v>
      </c>
    </row>
    <row r="18" spans="1:6" x14ac:dyDescent="0.35">
      <c r="A18" s="5" t="s">
        <v>77</v>
      </c>
      <c r="B18" s="5" t="s">
        <v>97</v>
      </c>
      <c r="C18" s="5">
        <v>13478</v>
      </c>
      <c r="D18" s="5">
        <v>0</v>
      </c>
      <c r="E18" s="5" t="s">
        <v>131</v>
      </c>
      <c r="F18" s="5" t="s">
        <v>6</v>
      </c>
    </row>
    <row r="19" spans="1:6" x14ac:dyDescent="0.35">
      <c r="A19" s="7" t="s">
        <v>76</v>
      </c>
      <c r="B19" s="7" t="s">
        <v>98</v>
      </c>
      <c r="C19" s="7">
        <f>22506.9-C18</f>
        <v>9028.9000000000015</v>
      </c>
      <c r="D19" s="7">
        <v>0</v>
      </c>
      <c r="E19" s="7" t="s">
        <v>130</v>
      </c>
      <c r="F19" s="7" t="s">
        <v>6</v>
      </c>
    </row>
    <row r="20" spans="1:6" x14ac:dyDescent="0.35">
      <c r="A20" s="10" t="s">
        <v>79</v>
      </c>
      <c r="B20" s="5" t="s">
        <v>30</v>
      </c>
      <c r="C20" s="5">
        <v>10000000</v>
      </c>
      <c r="D20" s="5">
        <v>10000</v>
      </c>
      <c r="E20" s="5" t="s">
        <v>78</v>
      </c>
      <c r="F20" s="5" t="s">
        <v>6</v>
      </c>
    </row>
    <row r="21" spans="1:6" x14ac:dyDescent="0.35">
      <c r="A21" s="10" t="s">
        <v>80</v>
      </c>
      <c r="B21" s="5" t="s">
        <v>34</v>
      </c>
      <c r="C21" s="5">
        <v>10000000</v>
      </c>
      <c r="D21" s="5">
        <v>10000</v>
      </c>
      <c r="E21" s="5" t="s">
        <v>78</v>
      </c>
      <c r="F21" s="5" t="s">
        <v>6</v>
      </c>
    </row>
    <row r="22" spans="1:6" x14ac:dyDescent="0.35">
      <c r="A22" s="10" t="s">
        <v>94</v>
      </c>
      <c r="B22" s="5" t="s">
        <v>85</v>
      </c>
      <c r="C22" s="5">
        <v>10000000</v>
      </c>
      <c r="D22" s="5">
        <v>10000</v>
      </c>
      <c r="E22" s="5" t="s">
        <v>78</v>
      </c>
      <c r="F22" s="5" t="s">
        <v>6</v>
      </c>
    </row>
    <row r="23" spans="1:6" x14ac:dyDescent="0.35">
      <c r="A23" s="10" t="s">
        <v>81</v>
      </c>
      <c r="B23" s="5" t="s">
        <v>33</v>
      </c>
      <c r="C23" s="5">
        <v>10000000</v>
      </c>
      <c r="D23" s="5">
        <v>3000</v>
      </c>
      <c r="E23" s="5" t="s">
        <v>78</v>
      </c>
      <c r="F23" s="5" t="s">
        <v>6</v>
      </c>
    </row>
    <row r="24" spans="1:6" x14ac:dyDescent="0.35">
      <c r="A24" s="10" t="s">
        <v>82</v>
      </c>
      <c r="B24" s="5" t="s">
        <v>37</v>
      </c>
      <c r="C24" s="5">
        <v>10000000</v>
      </c>
      <c r="D24" s="5">
        <v>2500</v>
      </c>
      <c r="E24" s="5" t="s">
        <v>78</v>
      </c>
      <c r="F24" s="5" t="s">
        <v>6</v>
      </c>
    </row>
    <row r="25" spans="1:6" x14ac:dyDescent="0.35">
      <c r="A25" s="10" t="s">
        <v>93</v>
      </c>
      <c r="B25" s="5" t="s">
        <v>86</v>
      </c>
      <c r="C25" s="5">
        <v>10000000</v>
      </c>
      <c r="D25" s="5">
        <v>2500</v>
      </c>
      <c r="E25" s="5" t="s">
        <v>78</v>
      </c>
      <c r="F25" s="5" t="s">
        <v>6</v>
      </c>
    </row>
    <row r="26" spans="1:6" x14ac:dyDescent="0.35">
      <c r="A26" s="10" t="s">
        <v>106</v>
      </c>
      <c r="B26" s="5" t="s">
        <v>104</v>
      </c>
      <c r="C26" s="5">
        <v>10000000</v>
      </c>
      <c r="D26" s="5">
        <v>2500</v>
      </c>
      <c r="E26" s="5" t="s">
        <v>78</v>
      </c>
      <c r="F26" s="5" t="s">
        <v>6</v>
      </c>
    </row>
    <row r="27" spans="1:6" x14ac:dyDescent="0.35">
      <c r="A27" s="11" t="s">
        <v>107</v>
      </c>
      <c r="B27" s="7" t="s">
        <v>105</v>
      </c>
      <c r="C27" s="7">
        <v>10000000</v>
      </c>
      <c r="D27" s="7">
        <v>2500</v>
      </c>
      <c r="E27" s="7" t="s">
        <v>78</v>
      </c>
      <c r="F27" s="7" t="s">
        <v>6</v>
      </c>
    </row>
    <row r="28" spans="1:6" x14ac:dyDescent="0.35">
      <c r="A28" s="12" t="s">
        <v>120</v>
      </c>
      <c r="B28" s="13" t="s">
        <v>85</v>
      </c>
      <c r="C28" s="13">
        <v>5000</v>
      </c>
      <c r="D28" s="13">
        <v>0</v>
      </c>
      <c r="E28" s="13" t="s">
        <v>7</v>
      </c>
      <c r="F28" s="13" t="s">
        <v>6</v>
      </c>
    </row>
    <row r="29" spans="1:6" x14ac:dyDescent="0.35">
      <c r="A29" s="14" t="s">
        <v>121</v>
      </c>
      <c r="B29" s="5" t="s">
        <v>105</v>
      </c>
      <c r="C29" s="5">
        <v>1553.672292</v>
      </c>
      <c r="D29" s="5">
        <v>0</v>
      </c>
      <c r="E29" s="5" t="s">
        <v>4</v>
      </c>
      <c r="F29" s="5" t="s">
        <v>6</v>
      </c>
    </row>
    <row r="30" spans="1:6" x14ac:dyDescent="0.35">
      <c r="A30" s="15" t="s">
        <v>122</v>
      </c>
      <c r="B30" s="7" t="s">
        <v>86</v>
      </c>
      <c r="C30" s="7">
        <v>6779.6610170000004</v>
      </c>
      <c r="D30" s="7">
        <v>0</v>
      </c>
      <c r="E30" s="7" t="s">
        <v>4</v>
      </c>
      <c r="F30" s="7" t="s">
        <v>6</v>
      </c>
    </row>
    <row r="31" spans="1:6" x14ac:dyDescent="0.35">
      <c r="A31" s="16" t="s">
        <v>100</v>
      </c>
      <c r="B31" s="13" t="s">
        <v>99</v>
      </c>
      <c r="C31" s="13">
        <v>1517.8</v>
      </c>
      <c r="D31" s="13">
        <v>0</v>
      </c>
      <c r="E31" s="13" t="s">
        <v>4</v>
      </c>
      <c r="F31" s="13" t="s">
        <v>6</v>
      </c>
    </row>
    <row r="32" spans="1:6" x14ac:dyDescent="0.35">
      <c r="A32" s="17" t="s">
        <v>101</v>
      </c>
      <c r="B32" s="7" t="s">
        <v>99</v>
      </c>
      <c r="C32" s="7">
        <v>1422.3673200000001</v>
      </c>
      <c r="D32" s="7">
        <f>73.7</f>
        <v>73.7</v>
      </c>
      <c r="E32" s="7" t="s">
        <v>4</v>
      </c>
      <c r="F32" s="7" t="s">
        <v>6</v>
      </c>
    </row>
    <row r="33" spans="1:6" x14ac:dyDescent="0.35">
      <c r="A33" s="12" t="s">
        <v>114</v>
      </c>
      <c r="B33" s="13" t="s">
        <v>104</v>
      </c>
      <c r="C33" s="13">
        <v>1241</v>
      </c>
      <c r="D33" s="13">
        <v>0</v>
      </c>
      <c r="E33" s="13" t="s">
        <v>4</v>
      </c>
      <c r="F33" s="13" t="s">
        <v>6</v>
      </c>
    </row>
    <row r="34" spans="1:6" x14ac:dyDescent="0.35">
      <c r="A34" s="15" t="s">
        <v>115</v>
      </c>
      <c r="B34" s="7" t="s">
        <v>105</v>
      </c>
      <c r="C34" s="7">
        <v>331</v>
      </c>
      <c r="D34" s="7">
        <v>0</v>
      </c>
      <c r="E34" s="7" t="s">
        <v>4</v>
      </c>
      <c r="F34" s="7" t="s">
        <v>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CCA4-8C87-470D-8C51-F78090F52F72}">
  <sheetPr>
    <tabColor theme="4" tint="0.79998168889431442"/>
  </sheetPr>
  <dimension ref="A1:K26"/>
  <sheetViews>
    <sheetView zoomScaleNormal="100" workbookViewId="0">
      <selection activeCell="E4" sqref="E4"/>
    </sheetView>
  </sheetViews>
  <sheetFormatPr baseColWidth="10" defaultRowHeight="14.5" x14ac:dyDescent="0.35"/>
  <cols>
    <col min="1" max="1" width="42.26953125" style="5" customWidth="1"/>
    <col min="2" max="2" width="24.1796875" style="5" customWidth="1"/>
    <col min="3" max="3" width="25.54296875" style="5" customWidth="1"/>
    <col min="4" max="4" width="13.90625" style="5" customWidth="1"/>
    <col min="5" max="5" width="12" style="5" bestFit="1" customWidth="1"/>
    <col min="6" max="11" width="13.90625" style="5" customWidth="1"/>
    <col min="12" max="16384" width="10.90625" style="5"/>
  </cols>
  <sheetData>
    <row r="1" spans="1:11" x14ac:dyDescent="0.35">
      <c r="A1" s="26" t="s">
        <v>5</v>
      </c>
      <c r="B1" s="26" t="s">
        <v>67</v>
      </c>
      <c r="C1" s="26" t="s">
        <v>68</v>
      </c>
      <c r="D1" s="26" t="s">
        <v>12</v>
      </c>
      <c r="E1" s="26" t="s">
        <v>164</v>
      </c>
      <c r="F1" s="26" t="s">
        <v>16</v>
      </c>
      <c r="G1" s="26" t="s">
        <v>14</v>
      </c>
      <c r="H1" s="26" t="s">
        <v>18</v>
      </c>
      <c r="I1" s="26" t="s">
        <v>19</v>
      </c>
      <c r="J1" s="26" t="s">
        <v>0</v>
      </c>
      <c r="K1" s="26" t="s">
        <v>1</v>
      </c>
    </row>
    <row r="2" spans="1:11" x14ac:dyDescent="0.35">
      <c r="A2" s="6" t="s">
        <v>38</v>
      </c>
      <c r="B2" s="5" t="s">
        <v>32</v>
      </c>
      <c r="C2" s="5" t="s">
        <v>30</v>
      </c>
      <c r="D2" s="27">
        <v>6195.8</v>
      </c>
      <c r="E2" s="27"/>
      <c r="F2" s="5">
        <v>0.57999999999999996</v>
      </c>
      <c r="G2" s="28">
        <v>146.19</v>
      </c>
      <c r="J2" s="5" t="s">
        <v>3</v>
      </c>
      <c r="K2" s="5" t="s">
        <v>6</v>
      </c>
    </row>
    <row r="3" spans="1:11" x14ac:dyDescent="0.35">
      <c r="A3" s="6" t="s">
        <v>39</v>
      </c>
      <c r="B3" s="5" t="s">
        <v>31</v>
      </c>
      <c r="C3" s="5" t="s">
        <v>30</v>
      </c>
      <c r="D3" s="27">
        <f>25140.2664733333</f>
        <v>25140.2664733333</v>
      </c>
      <c r="E3" s="27"/>
      <c r="F3" s="5">
        <v>0.85</v>
      </c>
      <c r="G3" s="5">
        <v>0</v>
      </c>
      <c r="J3" s="5" t="s">
        <v>8</v>
      </c>
      <c r="K3" s="5" t="s">
        <v>6</v>
      </c>
    </row>
    <row r="4" spans="1:11" x14ac:dyDescent="0.35">
      <c r="A4" s="6" t="s">
        <v>40</v>
      </c>
      <c r="B4" s="5" t="s">
        <v>30</v>
      </c>
      <c r="C4" s="5" t="s">
        <v>31</v>
      </c>
      <c r="D4" s="27">
        <f>13320.7506329652</f>
        <v>13320.750632965201</v>
      </c>
      <c r="E4" s="27"/>
      <c r="F4" s="5">
        <v>0.75</v>
      </c>
      <c r="G4" s="5">
        <v>0</v>
      </c>
      <c r="J4" s="5" t="s">
        <v>7</v>
      </c>
      <c r="K4" s="5" t="s">
        <v>6</v>
      </c>
    </row>
    <row r="5" spans="1:11" x14ac:dyDescent="0.35">
      <c r="A5" s="6" t="s">
        <v>41</v>
      </c>
      <c r="B5" s="5" t="s">
        <v>30</v>
      </c>
      <c r="C5" s="5" t="s">
        <v>33</v>
      </c>
      <c r="D5" s="27">
        <v>15500</v>
      </c>
      <c r="E5" s="27"/>
      <c r="F5" s="5">
        <v>0.7</v>
      </c>
      <c r="G5" s="5">
        <v>0</v>
      </c>
      <c r="J5" s="5" t="s">
        <v>4</v>
      </c>
      <c r="K5" s="5" t="s">
        <v>6</v>
      </c>
    </row>
    <row r="6" spans="1:11" x14ac:dyDescent="0.35">
      <c r="A6" s="5" t="s">
        <v>74</v>
      </c>
      <c r="B6" s="5" t="s">
        <v>96</v>
      </c>
      <c r="C6" s="5" t="s">
        <v>33</v>
      </c>
      <c r="D6" s="27">
        <v>32600</v>
      </c>
      <c r="E6" s="27"/>
      <c r="F6" s="5">
        <v>0.7</v>
      </c>
      <c r="G6" s="5">
        <v>0</v>
      </c>
      <c r="J6" s="5" t="s">
        <v>4</v>
      </c>
      <c r="K6" s="5" t="s">
        <v>6</v>
      </c>
    </row>
    <row r="7" spans="1:11" x14ac:dyDescent="0.35">
      <c r="A7" s="5" t="s">
        <v>75</v>
      </c>
      <c r="B7" s="5" t="s">
        <v>95</v>
      </c>
      <c r="C7" s="5" t="s">
        <v>30</v>
      </c>
      <c r="D7" s="5">
        <v>100000</v>
      </c>
      <c r="F7" s="5">
        <v>1</v>
      </c>
      <c r="G7" s="5">
        <v>0</v>
      </c>
      <c r="J7" s="5" t="s">
        <v>7</v>
      </c>
      <c r="K7" s="5" t="s">
        <v>6</v>
      </c>
    </row>
    <row r="8" spans="1:11" x14ac:dyDescent="0.35">
      <c r="A8" s="8" t="s">
        <v>42</v>
      </c>
      <c r="B8" s="5" t="s">
        <v>36</v>
      </c>
      <c r="C8" s="5" t="s">
        <v>34</v>
      </c>
      <c r="D8" s="27">
        <v>1357</v>
      </c>
      <c r="E8" s="27"/>
      <c r="F8" s="5">
        <v>0.57999999999999996</v>
      </c>
      <c r="G8" s="28">
        <v>146.19</v>
      </c>
      <c r="J8" s="5" t="s">
        <v>3</v>
      </c>
      <c r="K8" s="5" t="s">
        <v>6</v>
      </c>
    </row>
    <row r="9" spans="1:11" x14ac:dyDescent="0.35">
      <c r="A9" s="8" t="s">
        <v>43</v>
      </c>
      <c r="B9" s="5" t="s">
        <v>35</v>
      </c>
      <c r="C9" s="5" t="s">
        <v>34</v>
      </c>
      <c r="D9" s="27">
        <v>3135</v>
      </c>
      <c r="E9" s="27"/>
      <c r="F9" s="5">
        <v>0.85</v>
      </c>
      <c r="G9" s="5">
        <v>0</v>
      </c>
      <c r="J9" s="5" t="s">
        <v>8</v>
      </c>
      <c r="K9" s="5" t="s">
        <v>6</v>
      </c>
    </row>
    <row r="10" spans="1:11" x14ac:dyDescent="0.35">
      <c r="A10" s="8" t="s">
        <v>44</v>
      </c>
      <c r="B10" s="5" t="s">
        <v>34</v>
      </c>
      <c r="C10" s="5" t="s">
        <v>35</v>
      </c>
      <c r="D10" s="27">
        <v>3837</v>
      </c>
      <c r="E10" s="27"/>
      <c r="F10" s="5">
        <v>0.75</v>
      </c>
      <c r="G10" s="5">
        <v>0</v>
      </c>
      <c r="J10" s="5" t="s">
        <v>7</v>
      </c>
      <c r="K10" s="5" t="s">
        <v>6</v>
      </c>
    </row>
    <row r="11" spans="1:11" x14ac:dyDescent="0.35">
      <c r="A11" s="8" t="s">
        <v>45</v>
      </c>
      <c r="B11" s="5" t="s">
        <v>34</v>
      </c>
      <c r="C11" s="5" t="s">
        <v>37</v>
      </c>
      <c r="D11" s="27">
        <v>0</v>
      </c>
      <c r="E11" s="27"/>
      <c r="F11" s="27">
        <v>0.7</v>
      </c>
      <c r="G11" s="5">
        <v>0</v>
      </c>
      <c r="J11" s="5" t="s">
        <v>4</v>
      </c>
      <c r="K11" s="5" t="s">
        <v>6</v>
      </c>
    </row>
    <row r="12" spans="1:11" x14ac:dyDescent="0.35">
      <c r="A12" s="5" t="s">
        <v>76</v>
      </c>
      <c r="B12" s="5" t="s">
        <v>98</v>
      </c>
      <c r="C12" s="5" t="s">
        <v>37</v>
      </c>
      <c r="D12" s="27">
        <v>13478</v>
      </c>
      <c r="E12" s="27"/>
      <c r="F12" s="27">
        <v>0.7</v>
      </c>
      <c r="G12" s="5">
        <v>0</v>
      </c>
      <c r="J12" s="5" t="s">
        <v>4</v>
      </c>
      <c r="K12" s="5" t="s">
        <v>6</v>
      </c>
    </row>
    <row r="13" spans="1:11" x14ac:dyDescent="0.35">
      <c r="A13" s="5" t="s">
        <v>77</v>
      </c>
      <c r="B13" s="5" t="s">
        <v>97</v>
      </c>
      <c r="C13" s="5" t="s">
        <v>34</v>
      </c>
      <c r="D13" s="5">
        <v>100000</v>
      </c>
      <c r="F13" s="5">
        <v>1</v>
      </c>
      <c r="G13" s="5">
        <v>0</v>
      </c>
      <c r="J13" s="5" t="s">
        <v>7</v>
      </c>
      <c r="K13" s="5" t="s">
        <v>6</v>
      </c>
    </row>
    <row r="14" spans="1:11" x14ac:dyDescent="0.35">
      <c r="A14" s="29" t="s">
        <v>70</v>
      </c>
      <c r="B14" s="5" t="s">
        <v>30</v>
      </c>
      <c r="C14" s="5" t="s">
        <v>34</v>
      </c>
      <c r="D14" s="27">
        <v>4200</v>
      </c>
      <c r="E14" s="27"/>
      <c r="F14" s="30">
        <v>1</v>
      </c>
      <c r="G14" s="5">
        <v>0.1</v>
      </c>
      <c r="J14" s="5" t="s">
        <v>7</v>
      </c>
      <c r="K14" s="5" t="s">
        <v>6</v>
      </c>
    </row>
    <row r="15" spans="1:11" x14ac:dyDescent="0.35">
      <c r="A15" s="31" t="s">
        <v>71</v>
      </c>
      <c r="B15" s="5" t="s">
        <v>33</v>
      </c>
      <c r="C15" s="5" t="s">
        <v>37</v>
      </c>
      <c r="D15" s="27">
        <v>2860.169492</v>
      </c>
      <c r="E15" s="27"/>
      <c r="F15" s="30">
        <v>1</v>
      </c>
      <c r="G15" s="5">
        <v>0.1</v>
      </c>
      <c r="J15" s="5" t="s">
        <v>4</v>
      </c>
      <c r="K15" s="5" t="s">
        <v>6</v>
      </c>
    </row>
    <row r="16" spans="1:11" x14ac:dyDescent="0.35">
      <c r="A16" s="29" t="s">
        <v>72</v>
      </c>
      <c r="B16" s="5" t="s">
        <v>34</v>
      </c>
      <c r="C16" s="5" t="s">
        <v>30</v>
      </c>
      <c r="D16" s="27">
        <v>3500</v>
      </c>
      <c r="E16" s="27"/>
      <c r="F16" s="30">
        <v>1</v>
      </c>
      <c r="G16" s="5">
        <v>0.1</v>
      </c>
      <c r="J16" s="5" t="s">
        <v>7</v>
      </c>
      <c r="K16" s="5" t="s">
        <v>6</v>
      </c>
    </row>
    <row r="17" spans="1:11" x14ac:dyDescent="0.35">
      <c r="A17" s="31" t="s">
        <v>73</v>
      </c>
      <c r="B17" s="5" t="s">
        <v>37</v>
      </c>
      <c r="C17" s="5" t="s">
        <v>33</v>
      </c>
      <c r="D17" s="27">
        <v>2860.169492</v>
      </c>
      <c r="E17" s="27"/>
      <c r="F17" s="30">
        <v>1</v>
      </c>
      <c r="G17" s="5">
        <v>0.1</v>
      </c>
      <c r="J17" s="5" t="s">
        <v>4</v>
      </c>
      <c r="K17" s="5" t="s">
        <v>6</v>
      </c>
    </row>
    <row r="18" spans="1:11" x14ac:dyDescent="0.35">
      <c r="A18" s="29" t="s">
        <v>87</v>
      </c>
      <c r="B18" s="5" t="s">
        <v>30</v>
      </c>
      <c r="C18" s="5" t="s">
        <v>85</v>
      </c>
      <c r="D18" s="27">
        <v>5001</v>
      </c>
      <c r="E18" s="27"/>
      <c r="F18" s="30">
        <v>1</v>
      </c>
      <c r="G18" s="5">
        <v>0.1</v>
      </c>
      <c r="J18" s="5" t="s">
        <v>7</v>
      </c>
      <c r="K18" s="5" t="s">
        <v>6</v>
      </c>
    </row>
    <row r="19" spans="1:11" x14ac:dyDescent="0.35">
      <c r="A19" s="29" t="s">
        <v>91</v>
      </c>
      <c r="B19" s="5" t="s">
        <v>85</v>
      </c>
      <c r="C19" s="5" t="s">
        <v>30</v>
      </c>
      <c r="D19" s="27">
        <v>5001</v>
      </c>
      <c r="E19" s="27"/>
      <c r="F19" s="30">
        <v>1</v>
      </c>
      <c r="G19" s="5">
        <v>0.1</v>
      </c>
      <c r="J19" s="5" t="s">
        <v>7</v>
      </c>
      <c r="K19" s="5" t="s">
        <v>6</v>
      </c>
    </row>
    <row r="20" spans="1:11" x14ac:dyDescent="0.35">
      <c r="A20" s="31" t="s">
        <v>110</v>
      </c>
      <c r="B20" s="5" t="s">
        <v>33</v>
      </c>
      <c r="C20" s="5" t="s">
        <v>105</v>
      </c>
      <c r="D20" s="27">
        <v>5014.1242920000004</v>
      </c>
      <c r="E20" s="27"/>
      <c r="F20" s="30">
        <v>1</v>
      </c>
      <c r="G20" s="5">
        <v>0.1</v>
      </c>
      <c r="H20" s="32"/>
      <c r="I20" s="32"/>
      <c r="J20" s="5" t="s">
        <v>4</v>
      </c>
      <c r="K20" s="5" t="s">
        <v>6</v>
      </c>
    </row>
    <row r="21" spans="1:11" x14ac:dyDescent="0.35">
      <c r="A21" s="31" t="s">
        <v>109</v>
      </c>
      <c r="B21" s="5" t="s">
        <v>33</v>
      </c>
      <c r="C21" s="5" t="s">
        <v>104</v>
      </c>
      <c r="D21" s="27">
        <v>7627.1186459999999</v>
      </c>
      <c r="E21" s="27"/>
      <c r="F21" s="30">
        <v>1</v>
      </c>
      <c r="G21" s="5">
        <v>0.1</v>
      </c>
      <c r="H21" s="32"/>
      <c r="I21" s="32"/>
      <c r="J21" s="5" t="s">
        <v>4</v>
      </c>
      <c r="K21" s="5" t="s">
        <v>6</v>
      </c>
    </row>
    <row r="22" spans="1:11" x14ac:dyDescent="0.35">
      <c r="A22" s="31" t="s">
        <v>118</v>
      </c>
      <c r="B22" s="5" t="s">
        <v>104</v>
      </c>
      <c r="C22" s="5" t="s">
        <v>33</v>
      </c>
      <c r="D22" s="27">
        <v>7627.1186459999999</v>
      </c>
      <c r="E22" s="27"/>
      <c r="F22" s="30">
        <v>1</v>
      </c>
      <c r="G22" s="5">
        <v>0.1</v>
      </c>
      <c r="H22" s="32"/>
      <c r="I22" s="32"/>
      <c r="J22" s="5" t="s">
        <v>4</v>
      </c>
      <c r="K22" s="5" t="s">
        <v>6</v>
      </c>
    </row>
    <row r="23" spans="1:11" x14ac:dyDescent="0.35">
      <c r="A23" s="31" t="s">
        <v>111</v>
      </c>
      <c r="B23" s="5" t="s">
        <v>105</v>
      </c>
      <c r="C23" s="5" t="s">
        <v>104</v>
      </c>
      <c r="D23" s="27">
        <v>1553.672292</v>
      </c>
      <c r="E23" s="27"/>
      <c r="F23" s="30">
        <v>1</v>
      </c>
      <c r="G23" s="5">
        <v>0.1</v>
      </c>
      <c r="H23" s="32"/>
      <c r="I23" s="32"/>
      <c r="J23" s="5" t="s">
        <v>4</v>
      </c>
      <c r="K23" s="5" t="s">
        <v>6</v>
      </c>
    </row>
    <row r="24" spans="1:11" x14ac:dyDescent="0.35">
      <c r="A24" s="31" t="s">
        <v>112</v>
      </c>
      <c r="B24" s="5" t="s">
        <v>104</v>
      </c>
      <c r="C24" s="5" t="s">
        <v>86</v>
      </c>
      <c r="D24" s="27">
        <v>6780.6610170000004</v>
      </c>
      <c r="E24" s="27"/>
      <c r="F24" s="30">
        <v>1</v>
      </c>
      <c r="G24" s="5">
        <v>0.1</v>
      </c>
      <c r="H24" s="32"/>
      <c r="I24" s="32"/>
      <c r="J24" s="5" t="s">
        <v>4</v>
      </c>
      <c r="K24" s="5" t="s">
        <v>6</v>
      </c>
    </row>
    <row r="25" spans="1:11" x14ac:dyDescent="0.35">
      <c r="A25" s="31" t="s">
        <v>113</v>
      </c>
      <c r="B25" s="5" t="s">
        <v>86</v>
      </c>
      <c r="C25" s="5" t="s">
        <v>104</v>
      </c>
      <c r="D25" s="27">
        <v>6780.6610170000004</v>
      </c>
      <c r="E25" s="27"/>
      <c r="F25" s="30">
        <v>1</v>
      </c>
      <c r="G25" s="5">
        <v>0.1</v>
      </c>
      <c r="H25" s="32"/>
      <c r="I25" s="32"/>
      <c r="J25" s="5" t="s">
        <v>4</v>
      </c>
      <c r="K25" s="5" t="s">
        <v>6</v>
      </c>
    </row>
    <row r="26" spans="1:11" x14ac:dyDescent="0.35">
      <c r="A26" s="33" t="s">
        <v>102</v>
      </c>
      <c r="B26" s="5" t="s">
        <v>99</v>
      </c>
      <c r="C26" s="5" t="s">
        <v>33</v>
      </c>
      <c r="D26" s="27">
        <v>3742.94</v>
      </c>
      <c r="E26" s="27">
        <v>0.4</v>
      </c>
      <c r="F26" s="30">
        <v>1</v>
      </c>
      <c r="G26" s="30">
        <v>0</v>
      </c>
      <c r="J26" s="5" t="s">
        <v>4</v>
      </c>
      <c r="K26" s="5" t="s">
        <v>6</v>
      </c>
    </row>
  </sheetData>
  <phoneticPr fontId="2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14F6-FD99-4B31-B74D-697A8BD20B09}">
  <sheetPr codeName="Hoja6">
    <tabColor theme="4" tint="0.79998168889431442"/>
  </sheetPr>
  <dimension ref="A1:D10"/>
  <sheetViews>
    <sheetView workbookViewId="0">
      <selection activeCell="F24" sqref="F24"/>
    </sheetView>
  </sheetViews>
  <sheetFormatPr baseColWidth="10" defaultRowHeight="14.5" x14ac:dyDescent="0.35"/>
  <cols>
    <col min="1" max="1" width="23.7265625" style="5" bestFit="1" customWidth="1"/>
    <col min="2" max="2" width="24.1796875" style="5" bestFit="1" customWidth="1"/>
    <col min="3" max="3" width="9.08984375" style="5" bestFit="1" customWidth="1"/>
    <col min="4" max="16384" width="10.90625" style="5"/>
  </cols>
  <sheetData>
    <row r="1" spans="1:4" x14ac:dyDescent="0.35">
      <c r="A1" s="34" t="s">
        <v>5</v>
      </c>
      <c r="B1" s="5" t="s">
        <v>15</v>
      </c>
      <c r="C1" s="5" t="s">
        <v>0</v>
      </c>
      <c r="D1" s="5" t="s">
        <v>1</v>
      </c>
    </row>
    <row r="2" spans="1:4" x14ac:dyDescent="0.35">
      <c r="A2" s="6" t="s">
        <v>58</v>
      </c>
      <c r="B2" s="5" t="s">
        <v>30</v>
      </c>
      <c r="C2" s="5" t="s">
        <v>7</v>
      </c>
      <c r="D2" s="5" t="s">
        <v>6</v>
      </c>
    </row>
    <row r="3" spans="1:4" x14ac:dyDescent="0.35">
      <c r="A3" s="6" t="s">
        <v>59</v>
      </c>
      <c r="B3" s="5" t="s">
        <v>33</v>
      </c>
      <c r="C3" s="5" t="s">
        <v>4</v>
      </c>
      <c r="D3" s="5" t="s">
        <v>6</v>
      </c>
    </row>
    <row r="4" spans="1:4" x14ac:dyDescent="0.35">
      <c r="A4" s="8" t="s">
        <v>60</v>
      </c>
      <c r="B4" s="5" t="s">
        <v>34</v>
      </c>
      <c r="C4" s="5" t="s">
        <v>7</v>
      </c>
      <c r="D4" s="5" t="s">
        <v>6</v>
      </c>
    </row>
    <row r="5" spans="1:4" x14ac:dyDescent="0.35">
      <c r="A5" s="8" t="s">
        <v>61</v>
      </c>
      <c r="B5" s="5" t="s">
        <v>37</v>
      </c>
      <c r="C5" s="5" t="s">
        <v>4</v>
      </c>
      <c r="D5" s="5" t="s">
        <v>6</v>
      </c>
    </row>
    <row r="6" spans="1:4" x14ac:dyDescent="0.35">
      <c r="A6" s="14" t="s">
        <v>89</v>
      </c>
      <c r="B6" s="5" t="s">
        <v>85</v>
      </c>
      <c r="C6" s="5" t="s">
        <v>7</v>
      </c>
      <c r="D6" s="5" t="s">
        <v>6</v>
      </c>
    </row>
    <row r="7" spans="1:4" x14ac:dyDescent="0.35">
      <c r="A7" s="14" t="s">
        <v>90</v>
      </c>
      <c r="B7" s="5" t="s">
        <v>86</v>
      </c>
      <c r="C7" s="5" t="s">
        <v>4</v>
      </c>
      <c r="D7" s="5" t="s">
        <v>6</v>
      </c>
    </row>
    <row r="8" spans="1:4" x14ac:dyDescent="0.35">
      <c r="A8" s="14" t="s">
        <v>103</v>
      </c>
      <c r="B8" s="5" t="s">
        <v>105</v>
      </c>
      <c r="C8" s="5" t="s">
        <v>4</v>
      </c>
      <c r="D8" s="5" t="s">
        <v>6</v>
      </c>
    </row>
    <row r="9" spans="1:4" x14ac:dyDescent="0.35">
      <c r="A9" s="14" t="s">
        <v>129</v>
      </c>
      <c r="B9" s="5" t="s">
        <v>104</v>
      </c>
      <c r="C9" s="5" t="s">
        <v>4</v>
      </c>
      <c r="D9" s="5" t="s">
        <v>6</v>
      </c>
    </row>
    <row r="10" spans="1:4" x14ac:dyDescent="0.35">
      <c r="A10" s="14" t="s">
        <v>128</v>
      </c>
      <c r="B10" s="5" t="s">
        <v>105</v>
      </c>
      <c r="C10" s="5" t="s">
        <v>4</v>
      </c>
      <c r="D10" s="5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3375-67E7-4B42-8C67-2DDC7E8F1780}">
  <sheetPr codeName="Hoja11">
    <tabColor theme="4" tint="0.79998168889431442"/>
  </sheetPr>
  <dimension ref="A1:D169"/>
  <sheetViews>
    <sheetView workbookViewId="0">
      <selection activeCell="L18" sqref="L18"/>
    </sheetView>
  </sheetViews>
  <sheetFormatPr baseColWidth="10" defaultRowHeight="14.5" x14ac:dyDescent="0.35"/>
  <cols>
    <col min="1" max="1" width="5.7265625" style="43" bestFit="1" customWidth="1"/>
    <col min="2" max="2" width="20.26953125" style="44" bestFit="1" customWidth="1"/>
    <col min="3" max="3" width="20.26953125" style="45" bestFit="1" customWidth="1"/>
    <col min="4" max="4" width="18.81640625" style="44" customWidth="1"/>
    <col min="5" max="16384" width="10.90625" style="5"/>
  </cols>
  <sheetData>
    <row r="1" spans="1:4" s="39" customFormat="1" x14ac:dyDescent="0.35">
      <c r="A1" s="35" t="s">
        <v>132</v>
      </c>
      <c r="B1" s="36" t="s">
        <v>63</v>
      </c>
      <c r="C1" s="37" t="s">
        <v>64</v>
      </c>
      <c r="D1" s="38" t="s">
        <v>116</v>
      </c>
    </row>
    <row r="2" spans="1:4" x14ac:dyDescent="0.35">
      <c r="A2" s="40">
        <f>0</f>
        <v>0</v>
      </c>
      <c r="B2" s="41">
        <v>0.25493919022938366</v>
      </c>
      <c r="C2" s="42">
        <v>0.72203423175290182</v>
      </c>
      <c r="D2" s="42">
        <v>0.50275862068965516</v>
      </c>
    </row>
    <row r="3" spans="1:4" x14ac:dyDescent="0.35">
      <c r="A3" s="40">
        <f>A2+1</f>
        <v>1</v>
      </c>
      <c r="B3" s="41">
        <v>0.25493919022938366</v>
      </c>
      <c r="C3" s="42">
        <v>0.72203423175290182</v>
      </c>
      <c r="D3" s="42">
        <v>0.50275862068965516</v>
      </c>
    </row>
    <row r="4" spans="1:4" x14ac:dyDescent="0.35">
      <c r="A4" s="40">
        <f t="shared" ref="A4:A67" si="0">A3+1</f>
        <v>2</v>
      </c>
      <c r="B4" s="41">
        <v>0.25493919022938366</v>
      </c>
      <c r="C4" s="42">
        <v>0.72203423175290182</v>
      </c>
      <c r="D4" s="42">
        <v>0.50275862068965516</v>
      </c>
    </row>
    <row r="5" spans="1:4" x14ac:dyDescent="0.35">
      <c r="A5" s="40">
        <f t="shared" si="0"/>
        <v>3</v>
      </c>
      <c r="B5" s="41">
        <v>0.25493919022938366</v>
      </c>
      <c r="C5" s="42">
        <v>0.72203423175290182</v>
      </c>
      <c r="D5" s="42">
        <v>0.50275862068965516</v>
      </c>
    </row>
    <row r="6" spans="1:4" x14ac:dyDescent="0.35">
      <c r="A6" s="40">
        <f t="shared" si="0"/>
        <v>4</v>
      </c>
      <c r="B6" s="41">
        <v>0.25493919022938366</v>
      </c>
      <c r="C6" s="42">
        <v>0.72203423175290182</v>
      </c>
      <c r="D6" s="42">
        <v>0.50275862068965516</v>
      </c>
    </row>
    <row r="7" spans="1:4" x14ac:dyDescent="0.35">
      <c r="A7" s="40">
        <f t="shared" si="0"/>
        <v>5</v>
      </c>
      <c r="B7" s="41">
        <v>0.25493919022938366</v>
      </c>
      <c r="C7" s="42">
        <v>0.72203423175290182</v>
      </c>
      <c r="D7" s="42">
        <v>0.50275862068965516</v>
      </c>
    </row>
    <row r="8" spans="1:4" x14ac:dyDescent="0.35">
      <c r="A8" s="40">
        <f t="shared" si="0"/>
        <v>6</v>
      </c>
      <c r="B8" s="41">
        <v>0.25493919022938366</v>
      </c>
      <c r="C8" s="42">
        <v>0.72203423175290182</v>
      </c>
      <c r="D8" s="42">
        <v>0.50275862068965516</v>
      </c>
    </row>
    <row r="9" spans="1:4" x14ac:dyDescent="0.35">
      <c r="A9" s="40">
        <f t="shared" si="0"/>
        <v>7</v>
      </c>
      <c r="B9" s="41">
        <v>0.25493919022938366</v>
      </c>
      <c r="C9" s="42">
        <v>0.72203423175290182</v>
      </c>
      <c r="D9" s="42">
        <v>0.50275862068965516</v>
      </c>
    </row>
    <row r="10" spans="1:4" x14ac:dyDescent="0.35">
      <c r="A10" s="40">
        <f t="shared" si="0"/>
        <v>8</v>
      </c>
      <c r="B10" s="41">
        <v>0.25493919022938366</v>
      </c>
      <c r="C10" s="42">
        <v>0.72203423175290182</v>
      </c>
      <c r="D10" s="42">
        <v>0.50275862068965516</v>
      </c>
    </row>
    <row r="11" spans="1:4" x14ac:dyDescent="0.35">
      <c r="A11" s="40">
        <f t="shared" si="0"/>
        <v>9</v>
      </c>
      <c r="B11" s="41">
        <v>0.25493919022938366</v>
      </c>
      <c r="C11" s="42">
        <v>0.72203423175290182</v>
      </c>
      <c r="D11" s="42">
        <v>0.50275862068965516</v>
      </c>
    </row>
    <row r="12" spans="1:4" x14ac:dyDescent="0.35">
      <c r="A12" s="40">
        <f t="shared" si="0"/>
        <v>10</v>
      </c>
      <c r="B12" s="41">
        <v>0.25493919022938366</v>
      </c>
      <c r="C12" s="42">
        <v>0.72203423175290182</v>
      </c>
      <c r="D12" s="42">
        <v>0.50275862068965516</v>
      </c>
    </row>
    <row r="13" spans="1:4" x14ac:dyDescent="0.35">
      <c r="A13" s="40">
        <f t="shared" si="0"/>
        <v>11</v>
      </c>
      <c r="B13" s="41">
        <v>0.25493919022938366</v>
      </c>
      <c r="C13" s="42">
        <v>0.72203423175290182</v>
      </c>
      <c r="D13" s="42">
        <v>0.50275862068965516</v>
      </c>
    </row>
    <row r="14" spans="1:4" x14ac:dyDescent="0.35">
      <c r="A14" s="40">
        <f t="shared" si="0"/>
        <v>12</v>
      </c>
      <c r="B14" s="41">
        <v>0.25493919022938366</v>
      </c>
      <c r="C14" s="42">
        <v>0.72203423175290182</v>
      </c>
      <c r="D14" s="42">
        <v>0.50275862068965516</v>
      </c>
    </row>
    <row r="15" spans="1:4" x14ac:dyDescent="0.35">
      <c r="A15" s="40">
        <f t="shared" si="0"/>
        <v>13</v>
      </c>
      <c r="B15" s="41">
        <v>0.25493919022938366</v>
      </c>
      <c r="C15" s="42">
        <v>0.72203423175290182</v>
      </c>
      <c r="D15" s="42">
        <v>0.50275862068965516</v>
      </c>
    </row>
    <row r="16" spans="1:4" x14ac:dyDescent="0.35">
      <c r="A16" s="40">
        <f t="shared" si="0"/>
        <v>14</v>
      </c>
      <c r="B16" s="41">
        <v>0.25493919022938366</v>
      </c>
      <c r="C16" s="42">
        <v>0.72203423175290182</v>
      </c>
      <c r="D16" s="42">
        <v>0.50275862068965516</v>
      </c>
    </row>
    <row r="17" spans="1:4" x14ac:dyDescent="0.35">
      <c r="A17" s="40">
        <f t="shared" si="0"/>
        <v>15</v>
      </c>
      <c r="B17" s="41">
        <v>0.25493919022938366</v>
      </c>
      <c r="C17" s="42">
        <v>0.72203423175290182</v>
      </c>
      <c r="D17" s="42">
        <v>0.50275862068965516</v>
      </c>
    </row>
    <row r="18" spans="1:4" x14ac:dyDescent="0.35">
      <c r="A18" s="40">
        <f t="shared" si="0"/>
        <v>16</v>
      </c>
      <c r="B18" s="41">
        <v>0.25493919022938366</v>
      </c>
      <c r="C18" s="42">
        <v>0.72203423175290182</v>
      </c>
      <c r="D18" s="42">
        <v>0.50275862068965516</v>
      </c>
    </row>
    <row r="19" spans="1:4" x14ac:dyDescent="0.35">
      <c r="A19" s="40">
        <f t="shared" si="0"/>
        <v>17</v>
      </c>
      <c r="B19" s="41">
        <v>0.25493919022938366</v>
      </c>
      <c r="C19" s="42">
        <v>0.72203423175290182</v>
      </c>
      <c r="D19" s="42">
        <v>0.50275862068965516</v>
      </c>
    </row>
    <row r="20" spans="1:4" x14ac:dyDescent="0.35">
      <c r="A20" s="40">
        <f t="shared" si="0"/>
        <v>18</v>
      </c>
      <c r="B20" s="41">
        <v>0.25493919022938366</v>
      </c>
      <c r="C20" s="42">
        <v>0.72203423175290182</v>
      </c>
      <c r="D20" s="42">
        <v>0.50275862068965516</v>
      </c>
    </row>
    <row r="21" spans="1:4" x14ac:dyDescent="0.35">
      <c r="A21" s="40">
        <f t="shared" si="0"/>
        <v>19</v>
      </c>
      <c r="B21" s="41">
        <v>0.25493919022938366</v>
      </c>
      <c r="C21" s="42">
        <v>0.72203423175290182</v>
      </c>
      <c r="D21" s="42">
        <v>0.50275862068965516</v>
      </c>
    </row>
    <row r="22" spans="1:4" x14ac:dyDescent="0.35">
      <c r="A22" s="40">
        <f t="shared" si="0"/>
        <v>20</v>
      </c>
      <c r="B22" s="41">
        <v>0.25493919022938366</v>
      </c>
      <c r="C22" s="42">
        <v>0.72203423175290182</v>
      </c>
      <c r="D22" s="42">
        <v>0.50275862068965516</v>
      </c>
    </row>
    <row r="23" spans="1:4" x14ac:dyDescent="0.35">
      <c r="A23" s="40">
        <f t="shared" si="0"/>
        <v>21</v>
      </c>
      <c r="B23" s="41">
        <v>0.25493919022938366</v>
      </c>
      <c r="C23" s="42">
        <v>0.72203423175290182</v>
      </c>
      <c r="D23" s="42">
        <v>0.50275862068965516</v>
      </c>
    </row>
    <row r="24" spans="1:4" x14ac:dyDescent="0.35">
      <c r="A24" s="40">
        <f t="shared" si="0"/>
        <v>22</v>
      </c>
      <c r="B24" s="41">
        <v>0.25493919022938366</v>
      </c>
      <c r="C24" s="42">
        <v>0.72203423175290182</v>
      </c>
      <c r="D24" s="42">
        <v>0.50275862068965516</v>
      </c>
    </row>
    <row r="25" spans="1:4" x14ac:dyDescent="0.35">
      <c r="A25" s="40">
        <f t="shared" si="0"/>
        <v>23</v>
      </c>
      <c r="B25" s="41">
        <v>0.25493919022938366</v>
      </c>
      <c r="C25" s="42">
        <v>0.72203423175290182</v>
      </c>
      <c r="D25" s="42">
        <v>0.50275862068965516</v>
      </c>
    </row>
    <row r="26" spans="1:4" x14ac:dyDescent="0.35">
      <c r="A26" s="40">
        <f t="shared" si="0"/>
        <v>24</v>
      </c>
      <c r="B26" s="41">
        <v>0.25493919022938366</v>
      </c>
      <c r="C26" s="42">
        <v>0.72203423175290182</v>
      </c>
      <c r="D26" s="42">
        <v>0.50275862068965516</v>
      </c>
    </row>
    <row r="27" spans="1:4" x14ac:dyDescent="0.35">
      <c r="A27" s="40">
        <f t="shared" si="0"/>
        <v>25</v>
      </c>
      <c r="B27" s="41">
        <v>0.25493919022938366</v>
      </c>
      <c r="C27" s="42">
        <v>0.72203423175290182</v>
      </c>
      <c r="D27" s="42">
        <v>0.50275862068965516</v>
      </c>
    </row>
    <row r="28" spans="1:4" x14ac:dyDescent="0.35">
      <c r="A28" s="40">
        <f t="shared" si="0"/>
        <v>26</v>
      </c>
      <c r="B28" s="41">
        <v>0.25493919022938366</v>
      </c>
      <c r="C28" s="42">
        <v>0.72203423175290182</v>
      </c>
      <c r="D28" s="42">
        <v>0.50275862068965516</v>
      </c>
    </row>
    <row r="29" spans="1:4" x14ac:dyDescent="0.35">
      <c r="A29" s="40">
        <f t="shared" si="0"/>
        <v>27</v>
      </c>
      <c r="B29" s="41">
        <v>0.25493919022938366</v>
      </c>
      <c r="C29" s="42">
        <v>0.72203423175290182</v>
      </c>
      <c r="D29" s="42">
        <v>0.50275862068965516</v>
      </c>
    </row>
    <row r="30" spans="1:4" x14ac:dyDescent="0.35">
      <c r="A30" s="40">
        <f t="shared" si="0"/>
        <v>28</v>
      </c>
      <c r="B30" s="41">
        <v>0.25493919022938366</v>
      </c>
      <c r="C30" s="42">
        <v>0.72203423175290182</v>
      </c>
      <c r="D30" s="42">
        <v>0.50275862068965516</v>
      </c>
    </row>
    <row r="31" spans="1:4" x14ac:dyDescent="0.35">
      <c r="A31" s="40">
        <f t="shared" si="0"/>
        <v>29</v>
      </c>
      <c r="B31" s="41">
        <v>0.25493919022938366</v>
      </c>
      <c r="C31" s="42">
        <v>0.72203423175290182</v>
      </c>
      <c r="D31" s="42">
        <v>0.50275862068965516</v>
      </c>
    </row>
    <row r="32" spans="1:4" x14ac:dyDescent="0.35">
      <c r="A32" s="40">
        <f t="shared" si="0"/>
        <v>30</v>
      </c>
      <c r="B32" s="41">
        <v>0.25493919022938366</v>
      </c>
      <c r="C32" s="42">
        <v>0.72203423175290182</v>
      </c>
      <c r="D32" s="42">
        <v>0.50275862068965516</v>
      </c>
    </row>
    <row r="33" spans="1:4" x14ac:dyDescent="0.35">
      <c r="A33" s="40">
        <f t="shared" si="0"/>
        <v>31</v>
      </c>
      <c r="B33" s="41">
        <v>0.25493919022938366</v>
      </c>
      <c r="C33" s="42">
        <v>0.72203423175290182</v>
      </c>
      <c r="D33" s="42">
        <v>0.50275862068965516</v>
      </c>
    </row>
    <row r="34" spans="1:4" x14ac:dyDescent="0.35">
      <c r="A34" s="40">
        <f t="shared" si="0"/>
        <v>32</v>
      </c>
      <c r="B34" s="41">
        <v>0.25493919022938366</v>
      </c>
      <c r="C34" s="42">
        <v>0.72203423175290182</v>
      </c>
      <c r="D34" s="42">
        <v>0.50275862068965516</v>
      </c>
    </row>
    <row r="35" spans="1:4" x14ac:dyDescent="0.35">
      <c r="A35" s="40">
        <f t="shared" si="0"/>
        <v>33</v>
      </c>
      <c r="B35" s="41">
        <v>0.25493919022938366</v>
      </c>
      <c r="C35" s="42">
        <v>0.72203423175290182</v>
      </c>
      <c r="D35" s="42">
        <v>0.50275862068965516</v>
      </c>
    </row>
    <row r="36" spans="1:4" x14ac:dyDescent="0.35">
      <c r="A36" s="40">
        <f t="shared" si="0"/>
        <v>34</v>
      </c>
      <c r="B36" s="41">
        <v>0.25493919022938366</v>
      </c>
      <c r="C36" s="42">
        <v>0.72203423175290182</v>
      </c>
      <c r="D36" s="42">
        <v>0.50275862068965516</v>
      </c>
    </row>
    <row r="37" spans="1:4" x14ac:dyDescent="0.35">
      <c r="A37" s="40">
        <f t="shared" si="0"/>
        <v>35</v>
      </c>
      <c r="B37" s="41">
        <v>0.25493919022938366</v>
      </c>
      <c r="C37" s="42">
        <v>0.72203423175290182</v>
      </c>
      <c r="D37" s="42">
        <v>0.50275862068965516</v>
      </c>
    </row>
    <row r="38" spans="1:4" x14ac:dyDescent="0.35">
      <c r="A38" s="40">
        <f t="shared" si="0"/>
        <v>36</v>
      </c>
      <c r="B38" s="41">
        <v>0.25493919022938366</v>
      </c>
      <c r="C38" s="42">
        <v>0.72203423175290182</v>
      </c>
      <c r="D38" s="42">
        <v>0.50275862068965516</v>
      </c>
    </row>
    <row r="39" spans="1:4" x14ac:dyDescent="0.35">
      <c r="A39" s="40">
        <f t="shared" si="0"/>
        <v>37</v>
      </c>
      <c r="B39" s="41">
        <v>0.25493919022938366</v>
      </c>
      <c r="C39" s="42">
        <v>0.72203423175290182</v>
      </c>
      <c r="D39" s="42">
        <v>0.50275862068965516</v>
      </c>
    </row>
    <row r="40" spans="1:4" x14ac:dyDescent="0.35">
      <c r="A40" s="40">
        <f t="shared" si="0"/>
        <v>38</v>
      </c>
      <c r="B40" s="41">
        <v>0.25493919022938366</v>
      </c>
      <c r="C40" s="42">
        <v>0.72203423175290182</v>
      </c>
      <c r="D40" s="42">
        <v>0.50275862068965516</v>
      </c>
    </row>
    <row r="41" spans="1:4" x14ac:dyDescent="0.35">
      <c r="A41" s="40">
        <f t="shared" si="0"/>
        <v>39</v>
      </c>
      <c r="B41" s="41">
        <v>0.25493919022938366</v>
      </c>
      <c r="C41" s="42">
        <v>0.72203423175290182</v>
      </c>
      <c r="D41" s="42">
        <v>0.50275862068965516</v>
      </c>
    </row>
    <row r="42" spans="1:4" x14ac:dyDescent="0.35">
      <c r="A42" s="40">
        <f t="shared" si="0"/>
        <v>40</v>
      </c>
      <c r="B42" s="41">
        <v>0.25493919022938366</v>
      </c>
      <c r="C42" s="42">
        <v>0.72203423175290182</v>
      </c>
      <c r="D42" s="42">
        <v>0.50275862068965516</v>
      </c>
    </row>
    <row r="43" spans="1:4" x14ac:dyDescent="0.35">
      <c r="A43" s="40">
        <f t="shared" si="0"/>
        <v>41</v>
      </c>
      <c r="B43" s="41">
        <v>0.25493919022938366</v>
      </c>
      <c r="C43" s="42">
        <v>0.72203423175290182</v>
      </c>
      <c r="D43" s="42">
        <v>0.50275862068965516</v>
      </c>
    </row>
    <row r="44" spans="1:4" x14ac:dyDescent="0.35">
      <c r="A44" s="40">
        <f t="shared" si="0"/>
        <v>42</v>
      </c>
      <c r="B44" s="41">
        <v>0.25493919022938366</v>
      </c>
      <c r="C44" s="42">
        <v>0.72203423175290182</v>
      </c>
      <c r="D44" s="42">
        <v>0.50275862068965516</v>
      </c>
    </row>
    <row r="45" spans="1:4" x14ac:dyDescent="0.35">
      <c r="A45" s="40">
        <f t="shared" si="0"/>
        <v>43</v>
      </c>
      <c r="B45" s="41">
        <v>0.25493919022938366</v>
      </c>
      <c r="C45" s="42">
        <v>0.72203423175290182</v>
      </c>
      <c r="D45" s="42">
        <v>0.50275862068965516</v>
      </c>
    </row>
    <row r="46" spans="1:4" x14ac:dyDescent="0.35">
      <c r="A46" s="40">
        <f t="shared" si="0"/>
        <v>44</v>
      </c>
      <c r="B46" s="41">
        <v>0.25493919022938366</v>
      </c>
      <c r="C46" s="42">
        <v>0.72203423175290182</v>
      </c>
      <c r="D46" s="42">
        <v>0.50275862068965516</v>
      </c>
    </row>
    <row r="47" spans="1:4" x14ac:dyDescent="0.35">
      <c r="A47" s="40">
        <f t="shared" si="0"/>
        <v>45</v>
      </c>
      <c r="B47" s="41">
        <v>0.25493919022938366</v>
      </c>
      <c r="C47" s="42">
        <v>0.72203423175290182</v>
      </c>
      <c r="D47" s="42">
        <v>0.50275862068965516</v>
      </c>
    </row>
    <row r="48" spans="1:4" x14ac:dyDescent="0.35">
      <c r="A48" s="40">
        <f t="shared" si="0"/>
        <v>46</v>
      </c>
      <c r="B48" s="41">
        <v>0.25493919022938366</v>
      </c>
      <c r="C48" s="42">
        <v>0.72203423175290182</v>
      </c>
      <c r="D48" s="42">
        <v>0.50275862068965516</v>
      </c>
    </row>
    <row r="49" spans="1:4" x14ac:dyDescent="0.35">
      <c r="A49" s="40">
        <f t="shared" si="0"/>
        <v>47</v>
      </c>
      <c r="B49" s="41">
        <v>0.25493919022938366</v>
      </c>
      <c r="C49" s="42">
        <v>0.72203423175290182</v>
      </c>
      <c r="D49" s="42">
        <v>0.50275862068965516</v>
      </c>
    </row>
    <row r="50" spans="1:4" x14ac:dyDescent="0.35">
      <c r="A50" s="40">
        <f t="shared" si="0"/>
        <v>48</v>
      </c>
      <c r="B50" s="41">
        <v>0.25493919022938366</v>
      </c>
      <c r="C50" s="42">
        <v>0.72203423175290182</v>
      </c>
      <c r="D50" s="42">
        <v>0.50275862068965516</v>
      </c>
    </row>
    <row r="51" spans="1:4" x14ac:dyDescent="0.35">
      <c r="A51" s="40">
        <f t="shared" si="0"/>
        <v>49</v>
      </c>
      <c r="B51" s="41">
        <v>0.25493919022938366</v>
      </c>
      <c r="C51" s="42">
        <v>0.72203423175290182</v>
      </c>
      <c r="D51" s="42">
        <v>0.50275862068965516</v>
      </c>
    </row>
    <row r="52" spans="1:4" x14ac:dyDescent="0.35">
      <c r="A52" s="40">
        <f t="shared" si="0"/>
        <v>50</v>
      </c>
      <c r="B52" s="41">
        <v>0.25493919022938366</v>
      </c>
      <c r="C52" s="42">
        <v>0.72203423175290182</v>
      </c>
      <c r="D52" s="42">
        <v>0.50275862068965516</v>
      </c>
    </row>
    <row r="53" spans="1:4" x14ac:dyDescent="0.35">
      <c r="A53" s="40">
        <f t="shared" si="0"/>
        <v>51</v>
      </c>
      <c r="B53" s="41">
        <v>0.25493919022938366</v>
      </c>
      <c r="C53" s="42">
        <v>0.72203423175290182</v>
      </c>
      <c r="D53" s="42">
        <v>0.50275862068965516</v>
      </c>
    </row>
    <row r="54" spans="1:4" x14ac:dyDescent="0.35">
      <c r="A54" s="40">
        <f t="shared" si="0"/>
        <v>52</v>
      </c>
      <c r="B54" s="41">
        <v>0.25493919022938366</v>
      </c>
      <c r="C54" s="42">
        <v>0.72203423175290182</v>
      </c>
      <c r="D54" s="42">
        <v>0.50275862068965516</v>
      </c>
    </row>
    <row r="55" spans="1:4" x14ac:dyDescent="0.35">
      <c r="A55" s="40">
        <f t="shared" si="0"/>
        <v>53</v>
      </c>
      <c r="B55" s="41">
        <v>0.25493919022938366</v>
      </c>
      <c r="C55" s="42">
        <v>0.72203423175290182</v>
      </c>
      <c r="D55" s="42">
        <v>0.50275862068965516</v>
      </c>
    </row>
    <row r="56" spans="1:4" x14ac:dyDescent="0.35">
      <c r="A56" s="40">
        <f t="shared" si="0"/>
        <v>54</v>
      </c>
      <c r="B56" s="41">
        <v>0.25493919022938366</v>
      </c>
      <c r="C56" s="42">
        <v>0.72203423175290182</v>
      </c>
      <c r="D56" s="42">
        <v>0.50275862068965516</v>
      </c>
    </row>
    <row r="57" spans="1:4" x14ac:dyDescent="0.35">
      <c r="A57" s="40">
        <f t="shared" si="0"/>
        <v>55</v>
      </c>
      <c r="B57" s="41">
        <v>0.25493919022938366</v>
      </c>
      <c r="C57" s="42">
        <v>0.72203423175290182</v>
      </c>
      <c r="D57" s="42">
        <v>0.50275862068965516</v>
      </c>
    </row>
    <row r="58" spans="1:4" x14ac:dyDescent="0.35">
      <c r="A58" s="40">
        <f t="shared" si="0"/>
        <v>56</v>
      </c>
      <c r="B58" s="41">
        <v>0.25493919022938366</v>
      </c>
      <c r="C58" s="42">
        <v>0.72203423175290182</v>
      </c>
      <c r="D58" s="42">
        <v>0.50275862068965516</v>
      </c>
    </row>
    <row r="59" spans="1:4" x14ac:dyDescent="0.35">
      <c r="A59" s="40">
        <f t="shared" si="0"/>
        <v>57</v>
      </c>
      <c r="B59" s="41">
        <v>0.25493919022938366</v>
      </c>
      <c r="C59" s="42">
        <v>0.72203423175290182</v>
      </c>
      <c r="D59" s="42">
        <v>0.50275862068965516</v>
      </c>
    </row>
    <row r="60" spans="1:4" x14ac:dyDescent="0.35">
      <c r="A60" s="40">
        <f t="shared" si="0"/>
        <v>58</v>
      </c>
      <c r="B60" s="41">
        <v>0.25493919022938366</v>
      </c>
      <c r="C60" s="42">
        <v>0.72203423175290182</v>
      </c>
      <c r="D60" s="42">
        <v>0.50275862068965516</v>
      </c>
    </row>
    <row r="61" spans="1:4" x14ac:dyDescent="0.35">
      <c r="A61" s="40">
        <f t="shared" si="0"/>
        <v>59</v>
      </c>
      <c r="B61" s="41">
        <v>0.25493919022938366</v>
      </c>
      <c r="C61" s="42">
        <v>0.72203423175290182</v>
      </c>
      <c r="D61" s="42">
        <v>0.50275862068965516</v>
      </c>
    </row>
    <row r="62" spans="1:4" x14ac:dyDescent="0.35">
      <c r="A62" s="40">
        <f t="shared" si="0"/>
        <v>60</v>
      </c>
      <c r="B62" s="41">
        <v>0.25493919022938366</v>
      </c>
      <c r="C62" s="42">
        <v>0.72203423175290182</v>
      </c>
      <c r="D62" s="42">
        <v>0.50275862068965516</v>
      </c>
    </row>
    <row r="63" spans="1:4" x14ac:dyDescent="0.35">
      <c r="A63" s="40">
        <f t="shared" si="0"/>
        <v>61</v>
      </c>
      <c r="B63" s="41">
        <v>0.25493919022938366</v>
      </c>
      <c r="C63" s="42">
        <v>0.72203423175290182</v>
      </c>
      <c r="D63" s="42">
        <v>0.50275862068965516</v>
      </c>
    </row>
    <row r="64" spans="1:4" x14ac:dyDescent="0.35">
      <c r="A64" s="40">
        <f t="shared" si="0"/>
        <v>62</v>
      </c>
      <c r="B64" s="41">
        <v>0.25493919022938366</v>
      </c>
      <c r="C64" s="42">
        <v>0.72203423175290182</v>
      </c>
      <c r="D64" s="42">
        <v>0.50275862068965516</v>
      </c>
    </row>
    <row r="65" spans="1:4" x14ac:dyDescent="0.35">
      <c r="A65" s="40">
        <f t="shared" si="0"/>
        <v>63</v>
      </c>
      <c r="B65" s="41">
        <v>0.25493919022938366</v>
      </c>
      <c r="C65" s="42">
        <v>0.72203423175290182</v>
      </c>
      <c r="D65" s="42">
        <v>0.50275862068965516</v>
      </c>
    </row>
    <row r="66" spans="1:4" x14ac:dyDescent="0.35">
      <c r="A66" s="40">
        <f t="shared" si="0"/>
        <v>64</v>
      </c>
      <c r="B66" s="41">
        <v>0.25493919022938366</v>
      </c>
      <c r="C66" s="42">
        <v>0.72203423175290182</v>
      </c>
      <c r="D66" s="42">
        <v>0.50275862068965516</v>
      </c>
    </row>
    <row r="67" spans="1:4" x14ac:dyDescent="0.35">
      <c r="A67" s="40">
        <f t="shared" si="0"/>
        <v>65</v>
      </c>
      <c r="B67" s="41">
        <v>0.25493919022938366</v>
      </c>
      <c r="C67" s="42">
        <v>0.72203423175290182</v>
      </c>
      <c r="D67" s="42">
        <v>0.50275862068965516</v>
      </c>
    </row>
    <row r="68" spans="1:4" x14ac:dyDescent="0.35">
      <c r="A68" s="40">
        <f t="shared" ref="A68:A131" si="1">A67+1</f>
        <v>66</v>
      </c>
      <c r="B68" s="41">
        <v>0.25493919022938366</v>
      </c>
      <c r="C68" s="42">
        <v>0.72203423175290182</v>
      </c>
      <c r="D68" s="42">
        <v>0.50275862068965516</v>
      </c>
    </row>
    <row r="69" spans="1:4" x14ac:dyDescent="0.35">
      <c r="A69" s="40">
        <f t="shared" si="1"/>
        <v>67</v>
      </c>
      <c r="B69" s="41">
        <v>0.25493919022938366</v>
      </c>
      <c r="C69" s="42">
        <v>0.72203423175290182</v>
      </c>
      <c r="D69" s="42">
        <v>0.50275862068965516</v>
      </c>
    </row>
    <row r="70" spans="1:4" x14ac:dyDescent="0.35">
      <c r="A70" s="40">
        <f t="shared" si="1"/>
        <v>68</v>
      </c>
      <c r="B70" s="41">
        <v>0.25493919022938366</v>
      </c>
      <c r="C70" s="42">
        <v>0.72203423175290182</v>
      </c>
      <c r="D70" s="42">
        <v>0.50275862068965516</v>
      </c>
    </row>
    <row r="71" spans="1:4" x14ac:dyDescent="0.35">
      <c r="A71" s="40">
        <f t="shared" si="1"/>
        <v>69</v>
      </c>
      <c r="B71" s="41">
        <v>0.25493919022938366</v>
      </c>
      <c r="C71" s="42">
        <v>0.72203423175290182</v>
      </c>
      <c r="D71" s="42">
        <v>0.50275862068965516</v>
      </c>
    </row>
    <row r="72" spans="1:4" x14ac:dyDescent="0.35">
      <c r="A72" s="40">
        <f t="shared" si="1"/>
        <v>70</v>
      </c>
      <c r="B72" s="41">
        <v>0.25493919022938366</v>
      </c>
      <c r="C72" s="42">
        <v>0.72203423175290182</v>
      </c>
      <c r="D72" s="42">
        <v>0.50275862068965516</v>
      </c>
    </row>
    <row r="73" spans="1:4" x14ac:dyDescent="0.35">
      <c r="A73" s="40">
        <f t="shared" si="1"/>
        <v>71</v>
      </c>
      <c r="B73" s="41">
        <v>0.25493919022938366</v>
      </c>
      <c r="C73" s="42">
        <v>0.72203423175290182</v>
      </c>
      <c r="D73" s="42">
        <v>0.50275862068965516</v>
      </c>
    </row>
    <row r="74" spans="1:4" x14ac:dyDescent="0.35">
      <c r="A74" s="40">
        <f t="shared" si="1"/>
        <v>72</v>
      </c>
      <c r="B74" s="41">
        <v>0.25493919022938366</v>
      </c>
      <c r="C74" s="42">
        <v>0.72203423175290182</v>
      </c>
      <c r="D74" s="42">
        <v>0.50275862068965516</v>
      </c>
    </row>
    <row r="75" spans="1:4" x14ac:dyDescent="0.35">
      <c r="A75" s="40">
        <f t="shared" si="1"/>
        <v>73</v>
      </c>
      <c r="B75" s="41">
        <v>0.25493919022938366</v>
      </c>
      <c r="C75" s="42">
        <v>0.72203423175290182</v>
      </c>
      <c r="D75" s="42">
        <v>0.50275862068965516</v>
      </c>
    </row>
    <row r="76" spans="1:4" x14ac:dyDescent="0.35">
      <c r="A76" s="40">
        <f t="shared" si="1"/>
        <v>74</v>
      </c>
      <c r="B76" s="41">
        <v>0.25493919022938366</v>
      </c>
      <c r="C76" s="42">
        <v>0.72203423175290182</v>
      </c>
      <c r="D76" s="42">
        <v>0.50275862068965516</v>
      </c>
    </row>
    <row r="77" spans="1:4" x14ac:dyDescent="0.35">
      <c r="A77" s="40">
        <f t="shared" si="1"/>
        <v>75</v>
      </c>
      <c r="B77" s="41">
        <v>0.25493919022938366</v>
      </c>
      <c r="C77" s="42">
        <v>0.72203423175290182</v>
      </c>
      <c r="D77" s="42">
        <v>0.50275862068965516</v>
      </c>
    </row>
    <row r="78" spans="1:4" x14ac:dyDescent="0.35">
      <c r="A78" s="40">
        <f t="shared" si="1"/>
        <v>76</v>
      </c>
      <c r="B78" s="41">
        <v>0.25493919022938366</v>
      </c>
      <c r="C78" s="42">
        <v>0.72203423175290182</v>
      </c>
      <c r="D78" s="42">
        <v>0.50275862068965516</v>
      </c>
    </row>
    <row r="79" spans="1:4" x14ac:dyDescent="0.35">
      <c r="A79" s="40">
        <f t="shared" si="1"/>
        <v>77</v>
      </c>
      <c r="B79" s="41">
        <v>0.25493919022938366</v>
      </c>
      <c r="C79" s="42">
        <v>0.72203423175290182</v>
      </c>
      <c r="D79" s="42">
        <v>0.50275862068965516</v>
      </c>
    </row>
    <row r="80" spans="1:4" x14ac:dyDescent="0.35">
      <c r="A80" s="40">
        <f t="shared" si="1"/>
        <v>78</v>
      </c>
      <c r="B80" s="41">
        <v>0.25493919022938366</v>
      </c>
      <c r="C80" s="42">
        <v>0.72203423175290182</v>
      </c>
      <c r="D80" s="42">
        <v>0.50275862068965516</v>
      </c>
    </row>
    <row r="81" spans="1:4" x14ac:dyDescent="0.35">
      <c r="A81" s="40">
        <f t="shared" si="1"/>
        <v>79</v>
      </c>
      <c r="B81" s="41">
        <v>0.25493919022938366</v>
      </c>
      <c r="C81" s="42">
        <v>0.72203423175290182</v>
      </c>
      <c r="D81" s="42">
        <v>0.50275862068965516</v>
      </c>
    </row>
    <row r="82" spans="1:4" x14ac:dyDescent="0.35">
      <c r="A82" s="40">
        <f t="shared" si="1"/>
        <v>80</v>
      </c>
      <c r="B82" s="41">
        <v>0.25493919022938366</v>
      </c>
      <c r="C82" s="42">
        <v>0.72203423175290182</v>
      </c>
      <c r="D82" s="42">
        <v>0.50275862068965516</v>
      </c>
    </row>
    <row r="83" spans="1:4" x14ac:dyDescent="0.35">
      <c r="A83" s="40">
        <f t="shared" si="1"/>
        <v>81</v>
      </c>
      <c r="B83" s="41">
        <v>0.25493919022938366</v>
      </c>
      <c r="C83" s="42">
        <v>0.72203423175290182</v>
      </c>
      <c r="D83" s="42">
        <v>0.50275862068965516</v>
      </c>
    </row>
    <row r="84" spans="1:4" x14ac:dyDescent="0.35">
      <c r="A84" s="40">
        <f t="shared" si="1"/>
        <v>82</v>
      </c>
      <c r="B84" s="41">
        <v>0.25493919022938366</v>
      </c>
      <c r="C84" s="42">
        <v>0.72203423175290182</v>
      </c>
      <c r="D84" s="42">
        <v>0.50275862068965516</v>
      </c>
    </row>
    <row r="85" spans="1:4" x14ac:dyDescent="0.35">
      <c r="A85" s="40">
        <f t="shared" si="1"/>
        <v>83</v>
      </c>
      <c r="B85" s="41">
        <v>0.25493919022938366</v>
      </c>
      <c r="C85" s="42">
        <v>0.72203423175290182</v>
      </c>
      <c r="D85" s="42">
        <v>0.50275862068965516</v>
      </c>
    </row>
    <row r="86" spans="1:4" x14ac:dyDescent="0.35">
      <c r="A86" s="40">
        <f t="shared" si="1"/>
        <v>84</v>
      </c>
      <c r="B86" s="41">
        <v>0.25493919022938366</v>
      </c>
      <c r="C86" s="42">
        <v>0.72203423175290182</v>
      </c>
      <c r="D86" s="42">
        <v>0.50275862068965516</v>
      </c>
    </row>
    <row r="87" spans="1:4" x14ac:dyDescent="0.35">
      <c r="A87" s="40">
        <f t="shared" si="1"/>
        <v>85</v>
      </c>
      <c r="B87" s="41">
        <v>0.25493919022938366</v>
      </c>
      <c r="C87" s="42">
        <v>0.72203423175290182</v>
      </c>
      <c r="D87" s="42">
        <v>0.50275862068965516</v>
      </c>
    </row>
    <row r="88" spans="1:4" x14ac:dyDescent="0.35">
      <c r="A88" s="40">
        <f t="shared" si="1"/>
        <v>86</v>
      </c>
      <c r="B88" s="41">
        <v>0.25493919022938366</v>
      </c>
      <c r="C88" s="42">
        <v>0.72203423175290182</v>
      </c>
      <c r="D88" s="42">
        <v>0.50275862068965516</v>
      </c>
    </row>
    <row r="89" spans="1:4" x14ac:dyDescent="0.35">
      <c r="A89" s="40">
        <f t="shared" si="1"/>
        <v>87</v>
      </c>
      <c r="B89" s="41">
        <v>0.25493919022938366</v>
      </c>
      <c r="C89" s="42">
        <v>0.72203423175290182</v>
      </c>
      <c r="D89" s="42">
        <v>0.50275862068965516</v>
      </c>
    </row>
    <row r="90" spans="1:4" x14ac:dyDescent="0.35">
      <c r="A90" s="40">
        <f t="shared" si="1"/>
        <v>88</v>
      </c>
      <c r="B90" s="41">
        <v>0.25493919022938366</v>
      </c>
      <c r="C90" s="42">
        <v>0.72203423175290182</v>
      </c>
      <c r="D90" s="42">
        <v>0.50275862068965516</v>
      </c>
    </row>
    <row r="91" spans="1:4" x14ac:dyDescent="0.35">
      <c r="A91" s="40">
        <f t="shared" si="1"/>
        <v>89</v>
      </c>
      <c r="B91" s="41">
        <v>0.25493919022938366</v>
      </c>
      <c r="C91" s="42">
        <v>0.72203423175290182</v>
      </c>
      <c r="D91" s="42">
        <v>0.50275862068965516</v>
      </c>
    </row>
    <row r="92" spans="1:4" x14ac:dyDescent="0.35">
      <c r="A92" s="40">
        <f t="shared" si="1"/>
        <v>90</v>
      </c>
      <c r="B92" s="41">
        <v>0.25493919022938366</v>
      </c>
      <c r="C92" s="42">
        <v>0.72203423175290182</v>
      </c>
      <c r="D92" s="42">
        <v>0.50275862068965516</v>
      </c>
    </row>
    <row r="93" spans="1:4" x14ac:dyDescent="0.35">
      <c r="A93" s="40">
        <f t="shared" si="1"/>
        <v>91</v>
      </c>
      <c r="B93" s="41">
        <v>0.25493919022938366</v>
      </c>
      <c r="C93" s="42">
        <v>0.72203423175290182</v>
      </c>
      <c r="D93" s="42">
        <v>0.50275862068965516</v>
      </c>
    </row>
    <row r="94" spans="1:4" x14ac:dyDescent="0.35">
      <c r="A94" s="40">
        <f t="shared" si="1"/>
        <v>92</v>
      </c>
      <c r="B94" s="41">
        <v>0.25493919022938366</v>
      </c>
      <c r="C94" s="42">
        <v>0.72203423175290182</v>
      </c>
      <c r="D94" s="42">
        <v>0.50275862068965516</v>
      </c>
    </row>
    <row r="95" spans="1:4" x14ac:dyDescent="0.35">
      <c r="A95" s="40">
        <f t="shared" si="1"/>
        <v>93</v>
      </c>
      <c r="B95" s="41">
        <v>0.25493919022938366</v>
      </c>
      <c r="C95" s="42">
        <v>0.72203423175290182</v>
      </c>
      <c r="D95" s="42">
        <v>0.50275862068965516</v>
      </c>
    </row>
    <row r="96" spans="1:4" x14ac:dyDescent="0.35">
      <c r="A96" s="40">
        <f t="shared" si="1"/>
        <v>94</v>
      </c>
      <c r="B96" s="41">
        <v>0.25493919022938366</v>
      </c>
      <c r="C96" s="42">
        <v>0.72203423175290182</v>
      </c>
      <c r="D96" s="42">
        <v>0.50275862068965516</v>
      </c>
    </row>
    <row r="97" spans="1:4" x14ac:dyDescent="0.35">
      <c r="A97" s="40">
        <f t="shared" si="1"/>
        <v>95</v>
      </c>
      <c r="B97" s="41">
        <v>0.25493919022938366</v>
      </c>
      <c r="C97" s="42">
        <v>0.72203423175290182</v>
      </c>
      <c r="D97" s="42">
        <v>0.50275862068965516</v>
      </c>
    </row>
    <row r="98" spans="1:4" x14ac:dyDescent="0.35">
      <c r="A98" s="40">
        <f t="shared" si="1"/>
        <v>96</v>
      </c>
      <c r="B98" s="41">
        <v>0.25493919022938366</v>
      </c>
      <c r="C98" s="42">
        <v>0.72203423175290182</v>
      </c>
      <c r="D98" s="42">
        <v>0.50275862068965516</v>
      </c>
    </row>
    <row r="99" spans="1:4" x14ac:dyDescent="0.35">
      <c r="A99" s="40">
        <f t="shared" si="1"/>
        <v>97</v>
      </c>
      <c r="B99" s="41">
        <v>0.25493919022938366</v>
      </c>
      <c r="C99" s="42">
        <v>0.72203423175290182</v>
      </c>
      <c r="D99" s="42">
        <v>0.50275862068965516</v>
      </c>
    </row>
    <row r="100" spans="1:4" x14ac:dyDescent="0.35">
      <c r="A100" s="40">
        <f t="shared" si="1"/>
        <v>98</v>
      </c>
      <c r="B100" s="41">
        <v>0.25493919022938366</v>
      </c>
      <c r="C100" s="42">
        <v>0.72203423175290182</v>
      </c>
      <c r="D100" s="42">
        <v>0.50275862068965516</v>
      </c>
    </row>
    <row r="101" spans="1:4" x14ac:dyDescent="0.35">
      <c r="A101" s="40">
        <f t="shared" si="1"/>
        <v>99</v>
      </c>
      <c r="B101" s="41">
        <v>0.25493919022938366</v>
      </c>
      <c r="C101" s="42">
        <v>0.72203423175290182</v>
      </c>
      <c r="D101" s="42">
        <v>0.50275862068965516</v>
      </c>
    </row>
    <row r="102" spans="1:4" x14ac:dyDescent="0.35">
      <c r="A102" s="40">
        <f t="shared" si="1"/>
        <v>100</v>
      </c>
      <c r="B102" s="41">
        <v>0.25493919022938366</v>
      </c>
      <c r="C102" s="42">
        <v>0.72203423175290182</v>
      </c>
      <c r="D102" s="42">
        <v>0.50275862068965516</v>
      </c>
    </row>
    <row r="103" spans="1:4" x14ac:dyDescent="0.35">
      <c r="A103" s="40">
        <f t="shared" si="1"/>
        <v>101</v>
      </c>
      <c r="B103" s="41">
        <v>0.25493919022938366</v>
      </c>
      <c r="C103" s="42">
        <v>0.72203423175290182</v>
      </c>
      <c r="D103" s="42">
        <v>0.50275862068965516</v>
      </c>
    </row>
    <row r="104" spans="1:4" x14ac:dyDescent="0.35">
      <c r="A104" s="40">
        <f t="shared" si="1"/>
        <v>102</v>
      </c>
      <c r="B104" s="41">
        <v>0.25493919022938366</v>
      </c>
      <c r="C104" s="42">
        <v>0.72203423175290182</v>
      </c>
      <c r="D104" s="42">
        <v>0.50275862068965516</v>
      </c>
    </row>
    <row r="105" spans="1:4" x14ac:dyDescent="0.35">
      <c r="A105" s="40">
        <f t="shared" si="1"/>
        <v>103</v>
      </c>
      <c r="B105" s="41">
        <v>0.25493919022938366</v>
      </c>
      <c r="C105" s="42">
        <v>0.72203423175290182</v>
      </c>
      <c r="D105" s="42">
        <v>0.50275862068965516</v>
      </c>
    </row>
    <row r="106" spans="1:4" x14ac:dyDescent="0.35">
      <c r="A106" s="40">
        <f t="shared" si="1"/>
        <v>104</v>
      </c>
      <c r="B106" s="41">
        <v>0.25493919022938366</v>
      </c>
      <c r="C106" s="42">
        <v>0.72203423175290182</v>
      </c>
      <c r="D106" s="42">
        <v>0.50275862068965516</v>
      </c>
    </row>
    <row r="107" spans="1:4" x14ac:dyDescent="0.35">
      <c r="A107" s="40">
        <f t="shared" si="1"/>
        <v>105</v>
      </c>
      <c r="B107" s="41">
        <v>0.25493919022938366</v>
      </c>
      <c r="C107" s="42">
        <v>0.72203423175290182</v>
      </c>
      <c r="D107" s="42">
        <v>0.50275862068965516</v>
      </c>
    </row>
    <row r="108" spans="1:4" x14ac:dyDescent="0.35">
      <c r="A108" s="40">
        <f t="shared" si="1"/>
        <v>106</v>
      </c>
      <c r="B108" s="41">
        <v>0.25493919022938366</v>
      </c>
      <c r="C108" s="42">
        <v>0.72203423175290182</v>
      </c>
      <c r="D108" s="42">
        <v>0.50275862068965516</v>
      </c>
    </row>
    <row r="109" spans="1:4" x14ac:dyDescent="0.35">
      <c r="A109" s="40">
        <f t="shared" si="1"/>
        <v>107</v>
      </c>
      <c r="B109" s="41">
        <v>0.25493919022938366</v>
      </c>
      <c r="C109" s="42">
        <v>0.72203423175290182</v>
      </c>
      <c r="D109" s="42">
        <v>0.50275862068965516</v>
      </c>
    </row>
    <row r="110" spans="1:4" x14ac:dyDescent="0.35">
      <c r="A110" s="40">
        <f t="shared" si="1"/>
        <v>108</v>
      </c>
      <c r="B110" s="41">
        <v>0</v>
      </c>
      <c r="C110" s="42">
        <v>0.72203423175290182</v>
      </c>
      <c r="D110" s="42">
        <v>0.50275862068965516</v>
      </c>
    </row>
    <row r="111" spans="1:4" x14ac:dyDescent="0.35">
      <c r="A111" s="40">
        <f t="shared" si="1"/>
        <v>109</v>
      </c>
      <c r="B111" s="41">
        <v>0.25493919022938366</v>
      </c>
      <c r="C111" s="42">
        <v>0.72203423175290182</v>
      </c>
      <c r="D111" s="42">
        <v>0.50275862068965516</v>
      </c>
    </row>
    <row r="112" spans="1:4" x14ac:dyDescent="0.35">
      <c r="A112" s="40">
        <f t="shared" si="1"/>
        <v>110</v>
      </c>
      <c r="B112" s="41">
        <v>0</v>
      </c>
      <c r="C112" s="42">
        <v>0.72203423175290182</v>
      </c>
      <c r="D112" s="42">
        <v>0.50275862068965516</v>
      </c>
    </row>
    <row r="113" spans="1:4" x14ac:dyDescent="0.35">
      <c r="A113" s="40">
        <f t="shared" si="1"/>
        <v>111</v>
      </c>
      <c r="B113" s="41">
        <v>0</v>
      </c>
      <c r="C113" s="42">
        <v>0.72203423175290182</v>
      </c>
      <c r="D113" s="42">
        <v>0.50275862068965516</v>
      </c>
    </row>
    <row r="114" spans="1:4" x14ac:dyDescent="0.35">
      <c r="A114" s="40">
        <f t="shared" si="1"/>
        <v>112</v>
      </c>
      <c r="B114" s="41">
        <v>0.25493919022938366</v>
      </c>
      <c r="C114" s="42">
        <v>0.72203423175290182</v>
      </c>
      <c r="D114" s="42">
        <v>0.50275862068965516</v>
      </c>
    </row>
    <row r="115" spans="1:4" x14ac:dyDescent="0.35">
      <c r="A115" s="40">
        <f t="shared" si="1"/>
        <v>113</v>
      </c>
      <c r="B115" s="41">
        <v>0.25493919022938366</v>
      </c>
      <c r="C115" s="42">
        <v>0.72203423175290182</v>
      </c>
      <c r="D115" s="42">
        <v>0.50275862068965516</v>
      </c>
    </row>
    <row r="116" spans="1:4" x14ac:dyDescent="0.35">
      <c r="A116" s="40">
        <f t="shared" si="1"/>
        <v>114</v>
      </c>
      <c r="B116" s="41">
        <v>0.25493919022938366</v>
      </c>
      <c r="C116" s="42">
        <v>0.72203423175290182</v>
      </c>
      <c r="D116" s="42">
        <v>0.50275862068965516</v>
      </c>
    </row>
    <row r="117" spans="1:4" x14ac:dyDescent="0.35">
      <c r="A117" s="40">
        <f t="shared" si="1"/>
        <v>115</v>
      </c>
      <c r="B117" s="41">
        <v>0.25493919022938366</v>
      </c>
      <c r="C117" s="42">
        <v>0.72203423175290182</v>
      </c>
      <c r="D117" s="42">
        <v>0.50275862068965516</v>
      </c>
    </row>
    <row r="118" spans="1:4" x14ac:dyDescent="0.35">
      <c r="A118" s="40">
        <f t="shared" si="1"/>
        <v>116</v>
      </c>
      <c r="B118" s="41">
        <v>0.25493919022938366</v>
      </c>
      <c r="C118" s="42">
        <v>0.72203423175290182</v>
      </c>
      <c r="D118" s="42">
        <v>0.50275862068965516</v>
      </c>
    </row>
    <row r="119" spans="1:4" x14ac:dyDescent="0.35">
      <c r="A119" s="40">
        <f t="shared" si="1"/>
        <v>117</v>
      </c>
      <c r="B119" s="41">
        <v>0.25493919022938366</v>
      </c>
      <c r="C119" s="42">
        <v>0.72203423175290182</v>
      </c>
      <c r="D119" s="42">
        <v>0.50275862068965516</v>
      </c>
    </row>
    <row r="120" spans="1:4" x14ac:dyDescent="0.35">
      <c r="A120" s="40">
        <f t="shared" si="1"/>
        <v>118</v>
      </c>
      <c r="B120" s="41">
        <v>0.25493919022938366</v>
      </c>
      <c r="C120" s="42">
        <v>0.72203423175290182</v>
      </c>
      <c r="D120" s="42">
        <v>0.50275862068965516</v>
      </c>
    </row>
    <row r="121" spans="1:4" x14ac:dyDescent="0.35">
      <c r="A121" s="40">
        <f t="shared" si="1"/>
        <v>119</v>
      </c>
      <c r="B121" s="41">
        <v>0.25493919022938366</v>
      </c>
      <c r="C121" s="42">
        <v>0.72203423175290182</v>
      </c>
      <c r="D121" s="42">
        <v>0.50275862068965516</v>
      </c>
    </row>
    <row r="122" spans="1:4" x14ac:dyDescent="0.35">
      <c r="A122" s="40">
        <f t="shared" si="1"/>
        <v>120</v>
      </c>
      <c r="B122" s="41">
        <v>0.25493919022938366</v>
      </c>
      <c r="C122" s="42">
        <v>0.72203423175290182</v>
      </c>
      <c r="D122" s="42">
        <v>0.50275862068965516</v>
      </c>
    </row>
    <row r="123" spans="1:4" x14ac:dyDescent="0.35">
      <c r="A123" s="40">
        <f t="shared" si="1"/>
        <v>121</v>
      </c>
      <c r="B123" s="41">
        <v>0.25493919022938366</v>
      </c>
      <c r="C123" s="42">
        <v>0.72203423175290182</v>
      </c>
      <c r="D123" s="42">
        <v>0.50275862068965516</v>
      </c>
    </row>
    <row r="124" spans="1:4" x14ac:dyDescent="0.35">
      <c r="A124" s="40">
        <f t="shared" si="1"/>
        <v>122</v>
      </c>
      <c r="B124" s="41">
        <v>0.25493919022938366</v>
      </c>
      <c r="C124" s="42">
        <v>0.72203423175290182</v>
      </c>
      <c r="D124" s="42">
        <v>0.50275862068965516</v>
      </c>
    </row>
    <row r="125" spans="1:4" x14ac:dyDescent="0.35">
      <c r="A125" s="40">
        <f t="shared" si="1"/>
        <v>123</v>
      </c>
      <c r="B125" s="41">
        <v>0.25493919022938366</v>
      </c>
      <c r="C125" s="42">
        <v>0.72203423175290182</v>
      </c>
      <c r="D125" s="42">
        <v>0.50275862068965516</v>
      </c>
    </row>
    <row r="126" spans="1:4" x14ac:dyDescent="0.35">
      <c r="A126" s="40">
        <f t="shared" si="1"/>
        <v>124</v>
      </c>
      <c r="B126" s="41">
        <v>0.25493919022938366</v>
      </c>
      <c r="C126" s="42">
        <v>0.72203423175290182</v>
      </c>
      <c r="D126" s="42">
        <v>0.50275862068965516</v>
      </c>
    </row>
    <row r="127" spans="1:4" x14ac:dyDescent="0.35">
      <c r="A127" s="40">
        <f t="shared" si="1"/>
        <v>125</v>
      </c>
      <c r="B127" s="41">
        <v>0.25493919022938366</v>
      </c>
      <c r="C127" s="42">
        <v>0.72203423175290182</v>
      </c>
      <c r="D127" s="42">
        <v>0.50275862068965516</v>
      </c>
    </row>
    <row r="128" spans="1:4" x14ac:dyDescent="0.35">
      <c r="A128" s="40">
        <f t="shared" si="1"/>
        <v>126</v>
      </c>
      <c r="B128" s="41">
        <v>0.25493919022938366</v>
      </c>
      <c r="C128" s="42">
        <v>0.72203423175290182</v>
      </c>
      <c r="D128" s="42">
        <v>0.50275862068965516</v>
      </c>
    </row>
    <row r="129" spans="1:4" x14ac:dyDescent="0.35">
      <c r="A129" s="40">
        <f t="shared" si="1"/>
        <v>127</v>
      </c>
      <c r="B129" s="41">
        <v>0.25493919022938366</v>
      </c>
      <c r="C129" s="42">
        <v>0.72203423175290182</v>
      </c>
      <c r="D129" s="42">
        <v>0.50275862068965516</v>
      </c>
    </row>
    <row r="130" spans="1:4" x14ac:dyDescent="0.35">
      <c r="A130" s="40">
        <f t="shared" si="1"/>
        <v>128</v>
      </c>
      <c r="B130" s="41">
        <v>0.25493919022938366</v>
      </c>
      <c r="C130" s="42">
        <v>0.72203423175290182</v>
      </c>
      <c r="D130" s="42">
        <v>0.50275862068965516</v>
      </c>
    </row>
    <row r="131" spans="1:4" x14ac:dyDescent="0.35">
      <c r="A131" s="40">
        <f t="shared" si="1"/>
        <v>129</v>
      </c>
      <c r="B131" s="41">
        <v>0.25493919022938366</v>
      </c>
      <c r="C131" s="42">
        <v>0.72203423175290182</v>
      </c>
      <c r="D131" s="42">
        <v>0.50275862068965516</v>
      </c>
    </row>
    <row r="132" spans="1:4" x14ac:dyDescent="0.35">
      <c r="A132" s="40">
        <f t="shared" ref="A132:A169" si="2">A131+1</f>
        <v>130</v>
      </c>
      <c r="B132" s="41">
        <v>0.25493919022938366</v>
      </c>
      <c r="C132" s="42">
        <v>0.72203423175290182</v>
      </c>
      <c r="D132" s="42">
        <v>0.50275862068965516</v>
      </c>
    </row>
    <row r="133" spans="1:4" x14ac:dyDescent="0.35">
      <c r="A133" s="40">
        <f t="shared" si="2"/>
        <v>131</v>
      </c>
      <c r="B133" s="41">
        <v>0.25493919022938366</v>
      </c>
      <c r="C133" s="42">
        <v>0.72203423175290182</v>
      </c>
      <c r="D133" s="42">
        <v>0.50275862068965516</v>
      </c>
    </row>
    <row r="134" spans="1:4" x14ac:dyDescent="0.35">
      <c r="A134" s="40">
        <f t="shared" si="2"/>
        <v>132</v>
      </c>
      <c r="B134" s="41">
        <v>0.25493919022938366</v>
      </c>
      <c r="C134" s="42">
        <v>0.72203423175290182</v>
      </c>
      <c r="D134" s="42">
        <v>0.50275862068965516</v>
      </c>
    </row>
    <row r="135" spans="1:4" x14ac:dyDescent="0.35">
      <c r="A135" s="40">
        <f t="shared" si="2"/>
        <v>133</v>
      </c>
      <c r="B135" s="41">
        <v>0.25493919022938366</v>
      </c>
      <c r="C135" s="42">
        <v>0.72203423175290182</v>
      </c>
      <c r="D135" s="42">
        <v>0.50275862068965516</v>
      </c>
    </row>
    <row r="136" spans="1:4" x14ac:dyDescent="0.35">
      <c r="A136" s="40">
        <f t="shared" si="2"/>
        <v>134</v>
      </c>
      <c r="B136" s="41">
        <v>0.25493919022938366</v>
      </c>
      <c r="C136" s="42">
        <v>0.72203423175290182</v>
      </c>
      <c r="D136" s="42">
        <v>0.50275862068965516</v>
      </c>
    </row>
    <row r="137" spans="1:4" x14ac:dyDescent="0.35">
      <c r="A137" s="40">
        <f t="shared" si="2"/>
        <v>135</v>
      </c>
      <c r="B137" s="41">
        <v>0.25493919022938366</v>
      </c>
      <c r="C137" s="42">
        <v>0.72203423175290182</v>
      </c>
      <c r="D137" s="42">
        <v>0.50275862068965516</v>
      </c>
    </row>
    <row r="138" spans="1:4" x14ac:dyDescent="0.35">
      <c r="A138" s="40">
        <f t="shared" si="2"/>
        <v>136</v>
      </c>
      <c r="B138" s="41">
        <v>0.25493919022938366</v>
      </c>
      <c r="C138" s="42">
        <v>0.72203423175290182</v>
      </c>
      <c r="D138" s="42">
        <v>0.50275862068965516</v>
      </c>
    </row>
    <row r="139" spans="1:4" x14ac:dyDescent="0.35">
      <c r="A139" s="40">
        <f t="shared" si="2"/>
        <v>137</v>
      </c>
      <c r="B139" s="41">
        <v>0.25493919022938366</v>
      </c>
      <c r="C139" s="42">
        <v>0.72203423175290182</v>
      </c>
      <c r="D139" s="42">
        <v>0.50275862068965516</v>
      </c>
    </row>
    <row r="140" spans="1:4" x14ac:dyDescent="0.35">
      <c r="A140" s="40">
        <f t="shared" si="2"/>
        <v>138</v>
      </c>
      <c r="B140" s="41">
        <v>0.25493919022938366</v>
      </c>
      <c r="C140" s="42">
        <v>0.72203423175290182</v>
      </c>
      <c r="D140" s="42">
        <v>0.50275862068965516</v>
      </c>
    </row>
    <row r="141" spans="1:4" x14ac:dyDescent="0.35">
      <c r="A141" s="40">
        <f t="shared" si="2"/>
        <v>139</v>
      </c>
      <c r="B141" s="41">
        <v>0.25493919022938366</v>
      </c>
      <c r="C141" s="42">
        <v>0.72203423175290182</v>
      </c>
      <c r="D141" s="42">
        <v>0.50275862068965516</v>
      </c>
    </row>
    <row r="142" spans="1:4" x14ac:dyDescent="0.35">
      <c r="A142" s="40">
        <f t="shared" si="2"/>
        <v>140</v>
      </c>
      <c r="B142" s="41">
        <v>0.25493919022938366</v>
      </c>
      <c r="C142" s="42">
        <v>0.72203423175290182</v>
      </c>
      <c r="D142" s="42">
        <v>0.50275862068965516</v>
      </c>
    </row>
    <row r="143" spans="1:4" x14ac:dyDescent="0.35">
      <c r="A143" s="40">
        <f t="shared" si="2"/>
        <v>141</v>
      </c>
      <c r="B143" s="41">
        <v>0.25493919022938366</v>
      </c>
      <c r="C143" s="42">
        <v>0.72203423175290182</v>
      </c>
      <c r="D143" s="42">
        <v>0.50275862068965516</v>
      </c>
    </row>
    <row r="144" spans="1:4" x14ac:dyDescent="0.35">
      <c r="A144" s="40">
        <f t="shared" si="2"/>
        <v>142</v>
      </c>
      <c r="B144" s="41">
        <v>0.25493919022938366</v>
      </c>
      <c r="C144" s="42">
        <v>0.72203423175290182</v>
      </c>
      <c r="D144" s="42">
        <v>0.50275862068965516</v>
      </c>
    </row>
    <row r="145" spans="1:4" x14ac:dyDescent="0.35">
      <c r="A145" s="40">
        <f t="shared" si="2"/>
        <v>143</v>
      </c>
      <c r="B145" s="41">
        <v>0.25493919022938366</v>
      </c>
      <c r="C145" s="42">
        <v>0.72203423175290182</v>
      </c>
      <c r="D145" s="42">
        <v>0.50275862068965516</v>
      </c>
    </row>
    <row r="146" spans="1:4" x14ac:dyDescent="0.35">
      <c r="A146" s="40">
        <f t="shared" si="2"/>
        <v>144</v>
      </c>
      <c r="B146" s="41">
        <v>0.25493919022938366</v>
      </c>
      <c r="C146" s="42">
        <v>0.72203423175290182</v>
      </c>
      <c r="D146" s="42">
        <v>0.50275862068965516</v>
      </c>
    </row>
    <row r="147" spans="1:4" x14ac:dyDescent="0.35">
      <c r="A147" s="40">
        <f t="shared" si="2"/>
        <v>145</v>
      </c>
      <c r="B147" s="41">
        <v>0.25493919022938366</v>
      </c>
      <c r="C147" s="42">
        <v>0.72203423175290182</v>
      </c>
      <c r="D147" s="42">
        <v>0.50275862068965516</v>
      </c>
    </row>
    <row r="148" spans="1:4" x14ac:dyDescent="0.35">
      <c r="A148" s="40">
        <f t="shared" si="2"/>
        <v>146</v>
      </c>
      <c r="B148" s="41">
        <v>0.25493919022938366</v>
      </c>
      <c r="C148" s="42">
        <v>0.72203423175290182</v>
      </c>
      <c r="D148" s="42">
        <v>0.50275862068965516</v>
      </c>
    </row>
    <row r="149" spans="1:4" x14ac:dyDescent="0.35">
      <c r="A149" s="40">
        <f t="shared" si="2"/>
        <v>147</v>
      </c>
      <c r="B149" s="41">
        <v>0.25493919022938366</v>
      </c>
      <c r="C149" s="42">
        <v>0.72203423175290182</v>
      </c>
      <c r="D149" s="42">
        <v>0.50275862068965516</v>
      </c>
    </row>
    <row r="150" spans="1:4" x14ac:dyDescent="0.35">
      <c r="A150" s="40">
        <f t="shared" si="2"/>
        <v>148</v>
      </c>
      <c r="B150" s="41">
        <v>0.25493919022938366</v>
      </c>
      <c r="C150" s="42">
        <v>0.72203423175290182</v>
      </c>
      <c r="D150" s="42">
        <v>0.50275862068965516</v>
      </c>
    </row>
    <row r="151" spans="1:4" x14ac:dyDescent="0.35">
      <c r="A151" s="40">
        <f t="shared" si="2"/>
        <v>149</v>
      </c>
      <c r="B151" s="41">
        <v>0.25493919022938366</v>
      </c>
      <c r="C151" s="42">
        <v>0.72203423175290182</v>
      </c>
      <c r="D151" s="42">
        <v>0.50275862068965516</v>
      </c>
    </row>
    <row r="152" spans="1:4" x14ac:dyDescent="0.35">
      <c r="A152" s="40">
        <f t="shared" si="2"/>
        <v>150</v>
      </c>
      <c r="B152" s="41">
        <v>0.25493919022938366</v>
      </c>
      <c r="C152" s="42">
        <v>0.72203423175290182</v>
      </c>
      <c r="D152" s="42">
        <v>0.50275862068965516</v>
      </c>
    </row>
    <row r="153" spans="1:4" x14ac:dyDescent="0.35">
      <c r="A153" s="40">
        <f t="shared" si="2"/>
        <v>151</v>
      </c>
      <c r="B153" s="41">
        <v>0.25493919022938366</v>
      </c>
      <c r="C153" s="42">
        <v>0.72203423175290182</v>
      </c>
      <c r="D153" s="42">
        <v>0.50275862068965516</v>
      </c>
    </row>
    <row r="154" spans="1:4" x14ac:dyDescent="0.35">
      <c r="A154" s="40">
        <f t="shared" si="2"/>
        <v>152</v>
      </c>
      <c r="B154" s="41">
        <v>0.25493919022938366</v>
      </c>
      <c r="C154" s="42">
        <v>0.72203423175290182</v>
      </c>
      <c r="D154" s="42">
        <v>0.50275862068965516</v>
      </c>
    </row>
    <row r="155" spans="1:4" x14ac:dyDescent="0.35">
      <c r="A155" s="40">
        <f t="shared" si="2"/>
        <v>153</v>
      </c>
      <c r="B155" s="41">
        <v>0.25493919022938366</v>
      </c>
      <c r="C155" s="42">
        <v>0.72203423175290182</v>
      </c>
      <c r="D155" s="42">
        <v>0.50275862068965516</v>
      </c>
    </row>
    <row r="156" spans="1:4" x14ac:dyDescent="0.35">
      <c r="A156" s="40">
        <f t="shared" si="2"/>
        <v>154</v>
      </c>
      <c r="B156" s="41">
        <v>0.25493919022938366</v>
      </c>
      <c r="C156" s="42">
        <v>0.72203423175290182</v>
      </c>
      <c r="D156" s="42">
        <v>0.50275862068965516</v>
      </c>
    </row>
    <row r="157" spans="1:4" x14ac:dyDescent="0.35">
      <c r="A157" s="40">
        <f t="shared" si="2"/>
        <v>155</v>
      </c>
      <c r="B157" s="41">
        <v>0.25493919022938366</v>
      </c>
      <c r="C157" s="42">
        <v>0.72203423175290182</v>
      </c>
      <c r="D157" s="42">
        <v>0.50275862068965516</v>
      </c>
    </row>
    <row r="158" spans="1:4" x14ac:dyDescent="0.35">
      <c r="A158" s="40">
        <f t="shared" si="2"/>
        <v>156</v>
      </c>
      <c r="B158" s="41">
        <v>0.25493919022938366</v>
      </c>
      <c r="C158" s="42">
        <v>0.72203423175290182</v>
      </c>
      <c r="D158" s="42">
        <v>0.50275862068965516</v>
      </c>
    </row>
    <row r="159" spans="1:4" x14ac:dyDescent="0.35">
      <c r="A159" s="40">
        <f t="shared" si="2"/>
        <v>157</v>
      </c>
      <c r="B159" s="41">
        <v>0.25493919022938366</v>
      </c>
      <c r="C159" s="42">
        <v>0.72203423175290182</v>
      </c>
      <c r="D159" s="42">
        <v>0.50275862068965516</v>
      </c>
    </row>
    <row r="160" spans="1:4" x14ac:dyDescent="0.35">
      <c r="A160" s="40">
        <f t="shared" si="2"/>
        <v>158</v>
      </c>
      <c r="B160" s="41">
        <v>0.25493919022938366</v>
      </c>
      <c r="C160" s="42">
        <v>0.72203423175290182</v>
      </c>
      <c r="D160" s="42">
        <v>0.50275862068965516</v>
      </c>
    </row>
    <row r="161" spans="1:4" x14ac:dyDescent="0.35">
      <c r="A161" s="40">
        <f t="shared" si="2"/>
        <v>159</v>
      </c>
      <c r="B161" s="41">
        <v>0</v>
      </c>
      <c r="C161" s="42">
        <v>0.72203423175290182</v>
      </c>
      <c r="D161" s="42">
        <v>0.50275862068965516</v>
      </c>
    </row>
    <row r="162" spans="1:4" x14ac:dyDescent="0.35">
      <c r="A162" s="40">
        <f t="shared" si="2"/>
        <v>160</v>
      </c>
      <c r="B162" s="41">
        <v>0</v>
      </c>
      <c r="C162" s="42">
        <v>0.72203423175290182</v>
      </c>
      <c r="D162" s="42">
        <v>0.50275862068965516</v>
      </c>
    </row>
    <row r="163" spans="1:4" x14ac:dyDescent="0.35">
      <c r="A163" s="40">
        <f t="shared" si="2"/>
        <v>161</v>
      </c>
      <c r="B163" s="41">
        <v>0.25493919022938366</v>
      </c>
      <c r="C163" s="42">
        <v>0.72203423175290182</v>
      </c>
      <c r="D163" s="42">
        <v>0.50275862068965516</v>
      </c>
    </row>
    <row r="164" spans="1:4" x14ac:dyDescent="0.35">
      <c r="A164" s="40">
        <f t="shared" si="2"/>
        <v>162</v>
      </c>
      <c r="B164" s="41">
        <v>0.25493919022938366</v>
      </c>
      <c r="C164" s="42">
        <v>0.72203423175290182</v>
      </c>
      <c r="D164" s="42">
        <v>0.50275862068965516</v>
      </c>
    </row>
    <row r="165" spans="1:4" x14ac:dyDescent="0.35">
      <c r="A165" s="40">
        <f t="shared" si="2"/>
        <v>163</v>
      </c>
      <c r="B165" s="41">
        <v>0.25493919022938366</v>
      </c>
      <c r="C165" s="42">
        <v>0.72203423175290182</v>
      </c>
      <c r="D165" s="42">
        <v>0.50275862068965516</v>
      </c>
    </row>
    <row r="166" spans="1:4" x14ac:dyDescent="0.35">
      <c r="A166" s="40">
        <f t="shared" si="2"/>
        <v>164</v>
      </c>
      <c r="B166" s="41">
        <v>0.25493919022938366</v>
      </c>
      <c r="C166" s="42">
        <v>0.72203423175290182</v>
      </c>
      <c r="D166" s="42">
        <v>0.50275862068965516</v>
      </c>
    </row>
    <row r="167" spans="1:4" x14ac:dyDescent="0.35">
      <c r="A167" s="40">
        <f t="shared" si="2"/>
        <v>165</v>
      </c>
      <c r="B167" s="41">
        <v>0.25493919022938366</v>
      </c>
      <c r="C167" s="42">
        <v>0.72203423175290182</v>
      </c>
      <c r="D167" s="42">
        <v>0.50275862068965516</v>
      </c>
    </row>
    <row r="168" spans="1:4" x14ac:dyDescent="0.35">
      <c r="A168" s="40">
        <f t="shared" si="2"/>
        <v>166</v>
      </c>
      <c r="B168" s="41">
        <v>0.25493919022938366</v>
      </c>
      <c r="C168" s="42">
        <v>0.72203423175290182</v>
      </c>
      <c r="D168" s="42">
        <v>0.50275862068965516</v>
      </c>
    </row>
    <row r="169" spans="1:4" x14ac:dyDescent="0.35">
      <c r="A169" s="40">
        <f t="shared" si="2"/>
        <v>167</v>
      </c>
      <c r="B169" s="41">
        <v>0.25493919022938366</v>
      </c>
      <c r="C169" s="42">
        <v>0.72203423175290182</v>
      </c>
      <c r="D169" s="42">
        <v>0.50275862068965516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BE57-158B-4031-9160-2231642F37D0}">
  <sheetPr codeName="Hoja8">
    <tabColor theme="4" tint="0.79998168889431442"/>
  </sheetPr>
  <dimension ref="A1:K3"/>
  <sheetViews>
    <sheetView workbookViewId="0">
      <selection activeCell="I2" sqref="I2"/>
    </sheetView>
  </sheetViews>
  <sheetFormatPr baseColWidth="10" defaultRowHeight="14.5" x14ac:dyDescent="0.35"/>
  <cols>
    <col min="1" max="1" width="17.453125" style="46" customWidth="1"/>
    <col min="2" max="2" width="12.81640625" style="46" bestFit="1" customWidth="1"/>
    <col min="3" max="3" width="12.54296875" style="46" bestFit="1" customWidth="1"/>
    <col min="4" max="6" width="10.90625" style="46"/>
    <col min="7" max="7" width="20" style="46" bestFit="1" customWidth="1"/>
    <col min="8" max="8" width="10.90625" style="46"/>
    <col min="9" max="9" width="12.6328125" style="46" customWidth="1"/>
    <col min="10" max="16384" width="10.90625" style="46"/>
  </cols>
  <sheetData>
    <row r="1" spans="1:11" x14ac:dyDescent="0.35">
      <c r="A1" s="22" t="s">
        <v>5</v>
      </c>
      <c r="B1" s="22" t="s">
        <v>15</v>
      </c>
      <c r="C1" s="22" t="s">
        <v>24</v>
      </c>
      <c r="D1" s="22" t="s">
        <v>25</v>
      </c>
      <c r="E1" s="22" t="s">
        <v>26</v>
      </c>
      <c r="F1" s="22" t="s">
        <v>27</v>
      </c>
      <c r="G1" s="22" t="s">
        <v>23</v>
      </c>
      <c r="H1" s="22" t="s">
        <v>13</v>
      </c>
      <c r="I1" s="22" t="s">
        <v>14</v>
      </c>
      <c r="J1" s="22" t="s">
        <v>0</v>
      </c>
      <c r="K1" s="22" t="s">
        <v>1</v>
      </c>
    </row>
    <row r="2" spans="1:11" x14ac:dyDescent="0.35">
      <c r="A2" s="47" t="s">
        <v>56</v>
      </c>
      <c r="B2" s="46" t="s">
        <v>31</v>
      </c>
      <c r="C2" s="27">
        <f>20414989.14</f>
        <v>20414989.140000001</v>
      </c>
      <c r="D2" s="5">
        <f>C2*F2</f>
        <v>18373490.226</v>
      </c>
      <c r="E2" s="46">
        <v>0.2</v>
      </c>
      <c r="F2" s="46">
        <v>0.9</v>
      </c>
      <c r="G2" s="46" t="s">
        <v>6</v>
      </c>
      <c r="I2" s="46">
        <v>1</v>
      </c>
      <c r="J2" s="46" t="s">
        <v>8</v>
      </c>
      <c r="K2" s="46" t="s">
        <v>6</v>
      </c>
    </row>
    <row r="3" spans="1:11" x14ac:dyDescent="0.35">
      <c r="A3" s="48" t="s">
        <v>57</v>
      </c>
      <c r="B3" s="46" t="s">
        <v>35</v>
      </c>
      <c r="C3" s="27">
        <f>3307600</f>
        <v>3307600</v>
      </c>
      <c r="D3" s="5">
        <f t="shared" ref="D3" si="0">C3*F3</f>
        <v>2976840</v>
      </c>
      <c r="E3" s="46">
        <v>0.2</v>
      </c>
      <c r="F3" s="46">
        <v>0.9</v>
      </c>
      <c r="G3" s="46" t="s">
        <v>6</v>
      </c>
      <c r="I3" s="46">
        <v>1</v>
      </c>
      <c r="J3" s="46" t="s">
        <v>8</v>
      </c>
      <c r="K3" s="46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C61A-340E-4CF3-9A90-C8ABA5ADF42E}">
  <sheetPr codeName="Hoja7">
    <tabColor theme="4" tint="0.79998168889431442"/>
  </sheetPr>
  <dimension ref="A1:K4"/>
  <sheetViews>
    <sheetView workbookViewId="0">
      <selection activeCell="F15" sqref="F15"/>
    </sheetView>
  </sheetViews>
  <sheetFormatPr baseColWidth="10" defaultRowHeight="14.5" x14ac:dyDescent="0.35"/>
  <cols>
    <col min="1" max="1" width="26.7265625" style="5" bestFit="1" customWidth="1"/>
    <col min="2" max="2" width="23.54296875" style="5" bestFit="1" customWidth="1"/>
    <col min="3" max="4" width="10.90625" style="5"/>
    <col min="5" max="5" width="14.54296875" style="5" bestFit="1" customWidth="1"/>
    <col min="6" max="6" width="17.453125" style="5" bestFit="1" customWidth="1"/>
    <col min="7" max="7" width="10.90625" style="5"/>
    <col min="8" max="8" width="20" style="5" bestFit="1" customWidth="1"/>
    <col min="9" max="9" width="12.6328125" style="5" bestFit="1" customWidth="1"/>
    <col min="10" max="16384" width="10.90625" style="5"/>
  </cols>
  <sheetData>
    <row r="1" spans="1:11" x14ac:dyDescent="0.35">
      <c r="A1" s="26" t="s">
        <v>5</v>
      </c>
      <c r="B1" s="26" t="s">
        <v>15</v>
      </c>
      <c r="C1" s="26" t="s">
        <v>12</v>
      </c>
      <c r="D1" s="26" t="s">
        <v>20</v>
      </c>
      <c r="E1" s="26" t="s">
        <v>21</v>
      </c>
      <c r="F1" s="26" t="s">
        <v>22</v>
      </c>
      <c r="G1" s="26" t="s">
        <v>13</v>
      </c>
      <c r="H1" s="26" t="s">
        <v>23</v>
      </c>
      <c r="I1" s="26" t="s">
        <v>14</v>
      </c>
      <c r="J1" s="26" t="s">
        <v>0</v>
      </c>
      <c r="K1" s="26" t="s">
        <v>1</v>
      </c>
    </row>
    <row r="2" spans="1:11" x14ac:dyDescent="0.35">
      <c r="A2" s="6" t="s">
        <v>53</v>
      </c>
      <c r="B2" s="5" t="s">
        <v>30</v>
      </c>
      <c r="C2" s="49">
        <f>57427.04</f>
        <v>57427.040000000001</v>
      </c>
      <c r="D2" s="50">
        <v>4</v>
      </c>
      <c r="E2" s="49">
        <v>0.89658206299999998</v>
      </c>
      <c r="F2" s="49">
        <v>0.89658206299999998</v>
      </c>
      <c r="G2" s="50"/>
      <c r="H2" s="5" t="s">
        <v>29</v>
      </c>
      <c r="I2" s="5">
        <v>0.1</v>
      </c>
      <c r="J2" s="5" t="s">
        <v>7</v>
      </c>
      <c r="K2" s="5" t="s">
        <v>6</v>
      </c>
    </row>
    <row r="3" spans="1:11" x14ac:dyDescent="0.35">
      <c r="A3" s="6" t="s">
        <v>54</v>
      </c>
      <c r="B3" s="5" t="s">
        <v>33</v>
      </c>
      <c r="C3" s="49">
        <v>1528</v>
      </c>
      <c r="D3" s="50">
        <v>1000</v>
      </c>
      <c r="E3" s="50">
        <v>0.99</v>
      </c>
      <c r="F3" s="50">
        <v>0.99</v>
      </c>
      <c r="G3" s="50"/>
      <c r="H3" s="5" t="s">
        <v>29</v>
      </c>
      <c r="I3" s="5">
        <v>2</v>
      </c>
      <c r="J3" s="5" t="s">
        <v>4</v>
      </c>
      <c r="K3" s="5" t="s">
        <v>6</v>
      </c>
    </row>
    <row r="4" spans="1:11" x14ac:dyDescent="0.35">
      <c r="A4" s="8" t="s">
        <v>55</v>
      </c>
      <c r="B4" s="5" t="s">
        <v>34</v>
      </c>
      <c r="C4" s="49">
        <v>12000</v>
      </c>
      <c r="D4" s="50">
        <v>4</v>
      </c>
      <c r="E4" s="49">
        <v>0.92</v>
      </c>
      <c r="F4" s="49">
        <v>0.92</v>
      </c>
      <c r="G4" s="50"/>
      <c r="H4" s="5" t="s">
        <v>29</v>
      </c>
      <c r="I4" s="5">
        <v>0.1</v>
      </c>
      <c r="J4" s="5" t="s">
        <v>7</v>
      </c>
      <c r="K4" s="5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EA64-E2C6-4544-97C3-C09FA18EEAC7}">
  <sheetPr codeName="Hoja10">
    <tabColor theme="5" tint="0.79998168889431442"/>
  </sheetPr>
  <dimension ref="A1:I169"/>
  <sheetViews>
    <sheetView zoomScale="90" workbookViewId="0">
      <selection activeCell="B4" sqref="B4"/>
    </sheetView>
  </sheetViews>
  <sheetFormatPr baseColWidth="10" defaultRowHeight="14.5" x14ac:dyDescent="0.35"/>
  <cols>
    <col min="1" max="6" width="22" style="44" customWidth="1"/>
    <col min="7" max="7" width="28.1796875" style="44" customWidth="1"/>
    <col min="8" max="8" width="22" style="44" customWidth="1"/>
    <col min="9" max="9" width="23.7265625" style="44" bestFit="1" customWidth="1"/>
    <col min="10" max="16384" width="10.90625" style="44"/>
  </cols>
  <sheetData>
    <row r="1" spans="1:9" s="54" customFormat="1" x14ac:dyDescent="0.35">
      <c r="A1" s="51" t="s">
        <v>58</v>
      </c>
      <c r="B1" s="51" t="s">
        <v>59</v>
      </c>
      <c r="C1" s="52" t="s">
        <v>60</v>
      </c>
      <c r="D1" s="52" t="s">
        <v>61</v>
      </c>
      <c r="E1" s="53" t="s">
        <v>89</v>
      </c>
      <c r="F1" s="53" t="s">
        <v>90</v>
      </c>
      <c r="G1" s="53" t="s">
        <v>103</v>
      </c>
      <c r="H1" s="53" t="s">
        <v>129</v>
      </c>
      <c r="I1" s="53" t="s">
        <v>128</v>
      </c>
    </row>
    <row r="2" spans="1:9" x14ac:dyDescent="0.35">
      <c r="A2" s="55">
        <v>31741.699000000001</v>
      </c>
      <c r="B2" s="55">
        <v>11835.472839999999</v>
      </c>
      <c r="C2" s="56">
        <v>5108.7860000000001</v>
      </c>
      <c r="D2" s="56">
        <v>1328.747032</v>
      </c>
      <c r="E2" s="56">
        <v>0</v>
      </c>
      <c r="F2" s="56">
        <v>6779.6610170000004</v>
      </c>
      <c r="G2" s="56">
        <v>0</v>
      </c>
      <c r="H2" s="56">
        <v>0</v>
      </c>
      <c r="I2" s="56">
        <v>0</v>
      </c>
    </row>
    <row r="3" spans="1:9" x14ac:dyDescent="0.35">
      <c r="A3" s="55">
        <v>30099.562999999998</v>
      </c>
      <c r="B3" s="55">
        <v>11835.472839999999</v>
      </c>
      <c r="C3" s="56">
        <v>4819.1030000000001</v>
      </c>
      <c r="D3" s="56">
        <v>1328.747032</v>
      </c>
      <c r="E3" s="56">
        <v>0</v>
      </c>
      <c r="F3" s="56">
        <v>6779.6610170000004</v>
      </c>
      <c r="G3" s="56">
        <v>0</v>
      </c>
      <c r="H3" s="56">
        <v>0</v>
      </c>
      <c r="I3" s="56">
        <v>0</v>
      </c>
    </row>
    <row r="4" spans="1:9" x14ac:dyDescent="0.35">
      <c r="A4" s="55">
        <v>28885.16</v>
      </c>
      <c r="B4" s="55">
        <v>11835.472839999999</v>
      </c>
      <c r="C4" s="56">
        <v>4387.7039999999997</v>
      </c>
      <c r="D4" s="56">
        <v>1328.747032</v>
      </c>
      <c r="E4" s="56">
        <v>0</v>
      </c>
      <c r="F4" s="56">
        <v>6779.6610170000004</v>
      </c>
      <c r="G4" s="56">
        <v>0</v>
      </c>
      <c r="H4" s="56">
        <v>0</v>
      </c>
      <c r="I4" s="56">
        <v>0</v>
      </c>
    </row>
    <row r="5" spans="1:9" x14ac:dyDescent="0.35">
      <c r="A5" s="55">
        <v>28278.066000000003</v>
      </c>
      <c r="B5" s="55">
        <v>11835.472839999999</v>
      </c>
      <c r="C5" s="56">
        <v>4234.8289999999997</v>
      </c>
      <c r="D5" s="56">
        <v>1328.747032</v>
      </c>
      <c r="E5" s="56">
        <v>0</v>
      </c>
      <c r="F5" s="56">
        <v>6779.6610170000004</v>
      </c>
      <c r="G5" s="56">
        <v>0</v>
      </c>
      <c r="H5" s="56">
        <v>0</v>
      </c>
      <c r="I5" s="56">
        <v>0</v>
      </c>
    </row>
    <row r="6" spans="1:9" x14ac:dyDescent="0.35">
      <c r="A6" s="55">
        <v>28514.219000000001</v>
      </c>
      <c r="B6" s="55">
        <v>11851.182839999999</v>
      </c>
      <c r="C6" s="56">
        <v>4222.5379999999996</v>
      </c>
      <c r="D6" s="56">
        <v>1328.747032</v>
      </c>
      <c r="E6" s="56">
        <v>0</v>
      </c>
      <c r="F6" s="56">
        <v>6779.6610170000004</v>
      </c>
      <c r="G6" s="56">
        <v>0</v>
      </c>
      <c r="H6" s="56">
        <v>0</v>
      </c>
      <c r="I6" s="56">
        <v>0</v>
      </c>
    </row>
    <row r="7" spans="1:9" x14ac:dyDescent="0.35">
      <c r="A7" s="55">
        <v>29517.690000000002</v>
      </c>
      <c r="B7" s="55">
        <v>11882.602849999999</v>
      </c>
      <c r="C7" s="56">
        <v>4353.5569999999998</v>
      </c>
      <c r="D7" s="56">
        <v>1426.7035080000001</v>
      </c>
      <c r="E7" s="56">
        <v>0</v>
      </c>
      <c r="F7" s="56">
        <v>6779.6610170000004</v>
      </c>
      <c r="G7" s="56">
        <v>0</v>
      </c>
      <c r="H7" s="56">
        <v>0</v>
      </c>
      <c r="I7" s="56">
        <v>0</v>
      </c>
    </row>
    <row r="8" spans="1:9" x14ac:dyDescent="0.35">
      <c r="A8" s="55">
        <v>31303.323</v>
      </c>
      <c r="B8" s="55">
        <v>11898.312849999998</v>
      </c>
      <c r="C8" s="56">
        <v>4546.4669999999996</v>
      </c>
      <c r="D8" s="56">
        <v>1524.659985</v>
      </c>
      <c r="E8" s="56">
        <v>0</v>
      </c>
      <c r="F8" s="56">
        <v>6779.6610170000004</v>
      </c>
      <c r="G8" s="56">
        <v>0</v>
      </c>
      <c r="H8" s="56">
        <v>0</v>
      </c>
      <c r="I8" s="56">
        <v>0</v>
      </c>
    </row>
    <row r="9" spans="1:9" x14ac:dyDescent="0.35">
      <c r="A9" s="55">
        <v>33072.214</v>
      </c>
      <c r="B9" s="55">
        <v>11914.022849999999</v>
      </c>
      <c r="C9" s="56">
        <v>4670.4759999999997</v>
      </c>
      <c r="D9" s="56">
        <v>1617.460857</v>
      </c>
      <c r="E9" s="56">
        <v>0</v>
      </c>
      <c r="F9" s="56">
        <v>6779.6610170000004</v>
      </c>
      <c r="G9" s="56">
        <v>0</v>
      </c>
      <c r="H9" s="56">
        <v>0</v>
      </c>
      <c r="I9" s="56">
        <v>0</v>
      </c>
    </row>
    <row r="10" spans="1:9" x14ac:dyDescent="0.35">
      <c r="A10" s="55">
        <v>34068.637999999999</v>
      </c>
      <c r="B10" s="55">
        <v>11914.022849999999</v>
      </c>
      <c r="C10" s="56">
        <v>4713.0320000000002</v>
      </c>
      <c r="D10" s="56">
        <v>1715.4173330000001</v>
      </c>
      <c r="E10" s="56">
        <v>0</v>
      </c>
      <c r="F10" s="56">
        <v>6779.6610170000004</v>
      </c>
      <c r="G10" s="56">
        <v>0</v>
      </c>
      <c r="H10" s="56">
        <v>0</v>
      </c>
      <c r="I10" s="56">
        <v>0</v>
      </c>
    </row>
    <row r="11" spans="1:9" x14ac:dyDescent="0.35">
      <c r="A11" s="55">
        <v>35359.433000000005</v>
      </c>
      <c r="B11" s="55">
        <v>11914.022849999999</v>
      </c>
      <c r="C11" s="56">
        <v>4911.3090000000002</v>
      </c>
      <c r="D11" s="56">
        <v>1715.4173330000001</v>
      </c>
      <c r="E11" s="56">
        <v>0</v>
      </c>
      <c r="F11" s="56">
        <v>6779.6610170000004</v>
      </c>
      <c r="G11" s="56">
        <v>0</v>
      </c>
      <c r="H11" s="56">
        <v>0</v>
      </c>
      <c r="I11" s="56">
        <v>0</v>
      </c>
    </row>
    <row r="12" spans="1:9" x14ac:dyDescent="0.35">
      <c r="A12" s="55">
        <v>35771.871999999996</v>
      </c>
      <c r="B12" s="55">
        <v>11914.022849999999</v>
      </c>
      <c r="C12" s="56">
        <v>5033.2820000000002</v>
      </c>
      <c r="D12" s="56">
        <v>1766.9733739999999</v>
      </c>
      <c r="E12" s="56">
        <v>578.16100895</v>
      </c>
      <c r="F12" s="56">
        <v>6779.6610170000004</v>
      </c>
      <c r="G12" s="56">
        <v>651.21892933000004</v>
      </c>
      <c r="H12" s="56">
        <v>0</v>
      </c>
      <c r="I12" s="56">
        <v>0</v>
      </c>
    </row>
    <row r="13" spans="1:9" x14ac:dyDescent="0.35">
      <c r="A13" s="55">
        <v>36558.857000000004</v>
      </c>
      <c r="B13" s="55">
        <v>11898.312849999998</v>
      </c>
      <c r="C13" s="56">
        <v>5241.0720000000001</v>
      </c>
      <c r="D13" s="56">
        <v>1766.9733739999999</v>
      </c>
      <c r="E13" s="56">
        <v>5000</v>
      </c>
      <c r="F13" s="56">
        <v>6779.6610170000004</v>
      </c>
      <c r="G13" s="56">
        <v>948.49916551000001</v>
      </c>
      <c r="H13" s="56">
        <v>818</v>
      </c>
      <c r="I13" s="56">
        <v>0</v>
      </c>
    </row>
    <row r="14" spans="1:9" x14ac:dyDescent="0.35">
      <c r="A14" s="55">
        <v>37443.359000000004</v>
      </c>
      <c r="B14" s="55">
        <v>11882.602849999999</v>
      </c>
      <c r="C14" s="56">
        <v>5572.7849999999999</v>
      </c>
      <c r="D14" s="56">
        <v>1715.4173330000001</v>
      </c>
      <c r="E14" s="56">
        <v>5000</v>
      </c>
      <c r="F14" s="56">
        <v>6779.6610170000004</v>
      </c>
      <c r="G14" s="56">
        <v>261.55916551000001</v>
      </c>
      <c r="H14" s="56">
        <v>818</v>
      </c>
      <c r="I14" s="56">
        <v>330</v>
      </c>
    </row>
    <row r="15" spans="1:9" x14ac:dyDescent="0.35">
      <c r="A15" s="55">
        <v>37784.136999999995</v>
      </c>
      <c r="B15" s="55">
        <v>11882.602849999999</v>
      </c>
      <c r="C15" s="56">
        <v>5282.482</v>
      </c>
      <c r="D15" s="56">
        <v>1741.195354</v>
      </c>
      <c r="E15" s="56">
        <v>5000</v>
      </c>
      <c r="F15" s="56">
        <v>6779.6610170000004</v>
      </c>
      <c r="G15" s="56">
        <v>261.55916551000001</v>
      </c>
      <c r="H15" s="56">
        <v>818</v>
      </c>
      <c r="I15" s="56">
        <v>77.210303929999995</v>
      </c>
    </row>
    <row r="16" spans="1:9" x14ac:dyDescent="0.35">
      <c r="A16" s="55">
        <v>37011.836000000003</v>
      </c>
      <c r="B16" s="55">
        <v>11898.312849999998</v>
      </c>
      <c r="C16" s="56">
        <v>5002.3549999999996</v>
      </c>
      <c r="D16" s="56">
        <v>1715.4173330000001</v>
      </c>
      <c r="E16" s="56">
        <v>5000</v>
      </c>
      <c r="F16" s="56">
        <v>6779.6610170000004</v>
      </c>
      <c r="G16" s="56">
        <v>948.49916551000001</v>
      </c>
      <c r="H16" s="56">
        <v>818</v>
      </c>
      <c r="I16" s="56">
        <v>0</v>
      </c>
    </row>
    <row r="17" spans="1:9" x14ac:dyDescent="0.35">
      <c r="A17" s="55">
        <v>36719.424999999996</v>
      </c>
      <c r="B17" s="55">
        <v>11914.022849999999</v>
      </c>
      <c r="C17" s="56">
        <v>5027.03</v>
      </c>
      <c r="D17" s="56">
        <v>1715.4173330000001</v>
      </c>
      <c r="E17" s="56">
        <v>5000</v>
      </c>
      <c r="F17" s="56">
        <v>6779.6610170000004</v>
      </c>
      <c r="G17" s="56">
        <v>981.21892933000004</v>
      </c>
      <c r="H17" s="56">
        <v>0</v>
      </c>
      <c r="I17" s="56">
        <v>0</v>
      </c>
    </row>
    <row r="18" spans="1:9" x14ac:dyDescent="0.35">
      <c r="A18" s="55">
        <v>37509.415000000001</v>
      </c>
      <c r="B18" s="55">
        <v>11914.022849999999</v>
      </c>
      <c r="C18" s="56">
        <v>5250.4759999999997</v>
      </c>
      <c r="D18" s="56">
        <v>1715.4173330000001</v>
      </c>
      <c r="E18" s="56">
        <v>0</v>
      </c>
      <c r="F18" s="56">
        <v>6779.6610170000004</v>
      </c>
      <c r="G18" s="56">
        <v>294.27892932999998</v>
      </c>
      <c r="H18" s="56">
        <v>0</v>
      </c>
      <c r="I18" s="56">
        <v>0</v>
      </c>
    </row>
    <row r="19" spans="1:9" x14ac:dyDescent="0.35">
      <c r="A19" s="55">
        <v>40018.881000000001</v>
      </c>
      <c r="B19" s="55">
        <v>10571.61585</v>
      </c>
      <c r="C19" s="56">
        <v>5897.9110000000001</v>
      </c>
      <c r="D19" s="56">
        <v>1715.4173330000001</v>
      </c>
      <c r="E19" s="56">
        <v>0</v>
      </c>
      <c r="F19" s="56">
        <v>5734.7610169999998</v>
      </c>
      <c r="G19" s="56">
        <v>0</v>
      </c>
      <c r="H19" s="56">
        <v>0</v>
      </c>
      <c r="I19" s="56">
        <v>0</v>
      </c>
    </row>
    <row r="20" spans="1:9" x14ac:dyDescent="0.35">
      <c r="A20" s="55">
        <v>41819.241000000002</v>
      </c>
      <c r="B20" s="55">
        <v>10555.905849999999</v>
      </c>
      <c r="C20" s="56">
        <v>6663.3337199999996</v>
      </c>
      <c r="D20" s="56">
        <v>1715.4173330000001</v>
      </c>
      <c r="E20" s="56">
        <v>0</v>
      </c>
      <c r="F20" s="56">
        <v>4690.3208989100003</v>
      </c>
      <c r="G20" s="56">
        <v>0</v>
      </c>
      <c r="H20" s="56">
        <v>0</v>
      </c>
      <c r="I20" s="56">
        <v>0</v>
      </c>
    </row>
    <row r="21" spans="1:9" x14ac:dyDescent="0.35">
      <c r="A21" s="55">
        <v>42276.455999999998</v>
      </c>
      <c r="B21" s="55">
        <v>10540.19585</v>
      </c>
      <c r="C21" s="56">
        <v>6779.2653191499994</v>
      </c>
      <c r="D21" s="56">
        <v>1560.7492130000001</v>
      </c>
      <c r="E21" s="56">
        <v>0</v>
      </c>
      <c r="F21" s="56">
        <v>3645.8807808299998</v>
      </c>
      <c r="G21" s="56">
        <v>0</v>
      </c>
      <c r="H21" s="56">
        <v>0</v>
      </c>
      <c r="I21" s="56">
        <v>0</v>
      </c>
    </row>
    <row r="22" spans="1:9" x14ac:dyDescent="0.35">
      <c r="A22" s="55">
        <v>41687.913999999997</v>
      </c>
      <c r="B22" s="55">
        <v>10524.485839999999</v>
      </c>
      <c r="C22" s="56">
        <v>6523.1627233999998</v>
      </c>
      <c r="D22" s="56">
        <v>1457.6371320000001</v>
      </c>
      <c r="E22" s="56">
        <v>0</v>
      </c>
      <c r="F22" s="56">
        <v>2601.4406627399999</v>
      </c>
      <c r="G22" s="56">
        <v>0</v>
      </c>
      <c r="H22" s="56">
        <v>0</v>
      </c>
      <c r="I22" s="56">
        <v>0</v>
      </c>
    </row>
    <row r="23" spans="1:9" x14ac:dyDescent="0.35">
      <c r="A23" s="55">
        <v>40136.485999999997</v>
      </c>
      <c r="B23" s="55">
        <v>10508.77584</v>
      </c>
      <c r="C23" s="56">
        <v>6077.3177872300002</v>
      </c>
      <c r="D23" s="56">
        <v>1380.3030719999999</v>
      </c>
      <c r="E23" s="56">
        <v>0</v>
      </c>
      <c r="F23" s="56">
        <v>1557.0005446499999</v>
      </c>
      <c r="G23" s="56">
        <v>0</v>
      </c>
      <c r="H23" s="56">
        <v>0</v>
      </c>
      <c r="I23" s="56">
        <v>0</v>
      </c>
    </row>
    <row r="24" spans="1:9" x14ac:dyDescent="0.35">
      <c r="A24" s="55">
        <v>37779.918000000005</v>
      </c>
      <c r="B24" s="55">
        <v>10493.065839999999</v>
      </c>
      <c r="C24" s="56">
        <v>6448.6117446799999</v>
      </c>
      <c r="D24" s="56">
        <v>1328.747032</v>
      </c>
      <c r="E24" s="56">
        <v>0</v>
      </c>
      <c r="F24" s="56">
        <v>2412.11279491</v>
      </c>
      <c r="G24" s="56">
        <v>0</v>
      </c>
      <c r="H24" s="56">
        <v>0</v>
      </c>
      <c r="I24" s="56">
        <v>0</v>
      </c>
    </row>
    <row r="25" spans="1:9" x14ac:dyDescent="0.35">
      <c r="A25" s="55">
        <v>35192.712</v>
      </c>
      <c r="B25" s="55">
        <v>10493.065839999999</v>
      </c>
      <c r="C25" s="56">
        <v>6118.0184000000008</v>
      </c>
      <c r="D25" s="56">
        <v>1328.747032</v>
      </c>
      <c r="E25" s="56">
        <v>0</v>
      </c>
      <c r="F25" s="56">
        <v>3457.0127949100001</v>
      </c>
      <c r="G25" s="56">
        <v>0</v>
      </c>
      <c r="H25" s="56">
        <v>0</v>
      </c>
      <c r="I25" s="56">
        <v>0</v>
      </c>
    </row>
    <row r="26" spans="1:9" x14ac:dyDescent="0.35">
      <c r="A26" s="55">
        <v>33864.518000000004</v>
      </c>
      <c r="B26" s="55">
        <v>10493.065839999999</v>
      </c>
      <c r="C26" s="56">
        <v>5660.5590000000002</v>
      </c>
      <c r="D26" s="56">
        <v>1293.3053709999999</v>
      </c>
      <c r="E26" s="56">
        <v>0</v>
      </c>
      <c r="F26" s="56">
        <v>4501.9137809599997</v>
      </c>
      <c r="G26" s="56">
        <v>0</v>
      </c>
      <c r="H26" s="56">
        <v>0</v>
      </c>
      <c r="I26" s="56">
        <v>0</v>
      </c>
    </row>
    <row r="27" spans="1:9" x14ac:dyDescent="0.35">
      <c r="A27" s="55">
        <v>32008.525000000001</v>
      </c>
      <c r="B27" s="55">
        <v>10493.065839999999</v>
      </c>
      <c r="C27" s="56">
        <v>5292.4740000000002</v>
      </c>
      <c r="D27" s="56">
        <v>1293.3053709999999</v>
      </c>
      <c r="E27" s="56">
        <v>0</v>
      </c>
      <c r="F27" s="56">
        <v>5546.8137809600003</v>
      </c>
      <c r="G27" s="56">
        <v>0</v>
      </c>
      <c r="H27" s="56">
        <v>0</v>
      </c>
      <c r="I27" s="56">
        <v>0</v>
      </c>
    </row>
    <row r="28" spans="1:9" x14ac:dyDescent="0.35">
      <c r="A28" s="55">
        <v>30957.318000000003</v>
      </c>
      <c r="B28" s="55">
        <v>10493.065839999999</v>
      </c>
      <c r="C28" s="56">
        <v>4865.9650000000001</v>
      </c>
      <c r="D28" s="56">
        <v>1293.3053709999999</v>
      </c>
      <c r="E28" s="56">
        <v>0</v>
      </c>
      <c r="F28" s="56">
        <v>5747.0736735</v>
      </c>
      <c r="G28" s="56">
        <v>0</v>
      </c>
      <c r="H28" s="56">
        <v>0</v>
      </c>
      <c r="I28" s="56">
        <v>0</v>
      </c>
    </row>
    <row r="29" spans="1:9" x14ac:dyDescent="0.35">
      <c r="A29" s="55">
        <v>30600.280999999999</v>
      </c>
      <c r="B29" s="55">
        <v>10493.065839999999</v>
      </c>
      <c r="C29" s="56">
        <v>4748.2039999999997</v>
      </c>
      <c r="D29" s="56">
        <v>1293.3053709999999</v>
      </c>
      <c r="E29" s="56">
        <v>0</v>
      </c>
      <c r="F29" s="56">
        <v>4702.1736735000004</v>
      </c>
      <c r="G29" s="56">
        <v>0</v>
      </c>
      <c r="H29" s="56">
        <v>0</v>
      </c>
      <c r="I29" s="56">
        <v>0</v>
      </c>
    </row>
    <row r="30" spans="1:9" x14ac:dyDescent="0.35">
      <c r="A30" s="55">
        <v>31411.432999999997</v>
      </c>
      <c r="B30" s="55">
        <v>10508.77584</v>
      </c>
      <c r="C30" s="56">
        <v>4916.92293617</v>
      </c>
      <c r="D30" s="56">
        <v>1293.3053709999999</v>
      </c>
      <c r="E30" s="56">
        <v>0</v>
      </c>
      <c r="F30" s="56">
        <v>3656.8137915900002</v>
      </c>
      <c r="G30" s="56">
        <v>0</v>
      </c>
      <c r="H30" s="56">
        <v>0</v>
      </c>
      <c r="I30" s="56">
        <v>0</v>
      </c>
    </row>
    <row r="31" spans="1:9" x14ac:dyDescent="0.35">
      <c r="A31" s="55">
        <v>33624.99</v>
      </c>
      <c r="B31" s="55">
        <v>10540.19585</v>
      </c>
      <c r="C31" s="56">
        <v>4987.0127400000001</v>
      </c>
      <c r="D31" s="56">
        <v>1391.261847</v>
      </c>
      <c r="E31" s="56">
        <v>0</v>
      </c>
      <c r="F31" s="56">
        <v>2610.9940277599999</v>
      </c>
      <c r="G31" s="56">
        <v>0</v>
      </c>
      <c r="H31" s="56">
        <v>0</v>
      </c>
      <c r="I31" s="56">
        <v>0</v>
      </c>
    </row>
    <row r="32" spans="1:9" x14ac:dyDescent="0.35">
      <c r="A32" s="55">
        <v>36794.512000000002</v>
      </c>
      <c r="B32" s="55">
        <v>10555.905849999999</v>
      </c>
      <c r="C32" s="56">
        <v>5322.4690799999998</v>
      </c>
      <c r="D32" s="56">
        <v>1489.2183239999999</v>
      </c>
      <c r="E32" s="56">
        <v>0</v>
      </c>
      <c r="F32" s="56">
        <v>2600.5208989100001</v>
      </c>
      <c r="G32" s="56">
        <v>0</v>
      </c>
      <c r="H32" s="56">
        <v>0</v>
      </c>
      <c r="I32" s="56">
        <v>0</v>
      </c>
    </row>
    <row r="33" spans="1:9" x14ac:dyDescent="0.35">
      <c r="A33" s="55">
        <v>39619.316999999995</v>
      </c>
      <c r="B33" s="55">
        <v>10571.61585</v>
      </c>
      <c r="C33" s="56">
        <v>5858.7920800000002</v>
      </c>
      <c r="D33" s="56">
        <v>1582.019196</v>
      </c>
      <c r="E33" s="56">
        <v>0</v>
      </c>
      <c r="F33" s="56">
        <v>3644.9610170000001</v>
      </c>
      <c r="G33" s="56">
        <v>0</v>
      </c>
      <c r="H33" s="56">
        <v>0</v>
      </c>
      <c r="I33" s="56">
        <v>0</v>
      </c>
    </row>
    <row r="34" spans="1:9" x14ac:dyDescent="0.35">
      <c r="A34" s="55">
        <v>41470.403000000006</v>
      </c>
      <c r="B34" s="55">
        <v>10571.61585</v>
      </c>
      <c r="C34" s="56">
        <v>6357.06808</v>
      </c>
      <c r="D34" s="56">
        <v>1679.9756729999999</v>
      </c>
      <c r="E34" s="56">
        <v>0</v>
      </c>
      <c r="F34" s="56">
        <v>4689.8610170000002</v>
      </c>
      <c r="G34" s="56">
        <v>0</v>
      </c>
      <c r="H34" s="56">
        <v>0</v>
      </c>
      <c r="I34" s="56">
        <v>0</v>
      </c>
    </row>
    <row r="35" spans="1:9" x14ac:dyDescent="0.35">
      <c r="A35" s="55">
        <v>42656.406999999999</v>
      </c>
      <c r="B35" s="55">
        <v>10571.61585</v>
      </c>
      <c r="C35" s="56">
        <v>6491.9089999999997</v>
      </c>
      <c r="D35" s="56">
        <v>1679.9756729999999</v>
      </c>
      <c r="E35" s="56">
        <v>0</v>
      </c>
      <c r="F35" s="56">
        <v>5734.7610169999998</v>
      </c>
      <c r="G35" s="56">
        <v>0</v>
      </c>
      <c r="H35" s="56">
        <v>0</v>
      </c>
      <c r="I35" s="56">
        <v>0</v>
      </c>
    </row>
    <row r="36" spans="1:9" x14ac:dyDescent="0.35">
      <c r="A36" s="55">
        <v>42575.571000000004</v>
      </c>
      <c r="B36" s="55">
        <v>11914.022849999999</v>
      </c>
      <c r="C36" s="56">
        <v>6381.1840000000002</v>
      </c>
      <c r="D36" s="56">
        <v>1731.5317130000001</v>
      </c>
      <c r="E36" s="56">
        <v>0</v>
      </c>
      <c r="F36" s="56">
        <v>6779.6610170000004</v>
      </c>
      <c r="G36" s="56">
        <v>0</v>
      </c>
      <c r="H36" s="56">
        <v>0</v>
      </c>
      <c r="I36" s="56">
        <v>0</v>
      </c>
    </row>
    <row r="37" spans="1:9" x14ac:dyDescent="0.35">
      <c r="A37" s="55">
        <v>42837.446000000004</v>
      </c>
      <c r="B37" s="55">
        <v>11898.312849999998</v>
      </c>
      <c r="C37" s="56">
        <v>6459.91</v>
      </c>
      <c r="D37" s="56">
        <v>1731.5317130000001</v>
      </c>
      <c r="E37" s="56">
        <v>0</v>
      </c>
      <c r="F37" s="56">
        <v>6779.6610170000004</v>
      </c>
      <c r="G37" s="56">
        <v>0</v>
      </c>
      <c r="H37" s="56">
        <v>0</v>
      </c>
      <c r="I37" s="56">
        <v>0</v>
      </c>
    </row>
    <row r="38" spans="1:9" x14ac:dyDescent="0.35">
      <c r="A38" s="55">
        <v>43054.642</v>
      </c>
      <c r="B38" s="55">
        <v>11882.602849999999</v>
      </c>
      <c r="C38" s="56">
        <v>6512.3739999999998</v>
      </c>
      <c r="D38" s="56">
        <v>1679.9756729999999</v>
      </c>
      <c r="E38" s="56">
        <v>0</v>
      </c>
      <c r="F38" s="56">
        <v>6779.6610170000004</v>
      </c>
      <c r="G38" s="56">
        <v>0</v>
      </c>
      <c r="H38" s="56">
        <v>0</v>
      </c>
      <c r="I38" s="56">
        <v>0</v>
      </c>
    </row>
    <row r="39" spans="1:9" x14ac:dyDescent="0.35">
      <c r="A39" s="55">
        <v>42919.839</v>
      </c>
      <c r="B39" s="55">
        <v>11882.602849999999</v>
      </c>
      <c r="C39" s="56">
        <v>6237.08</v>
      </c>
      <c r="D39" s="56">
        <v>1705.7536930000001</v>
      </c>
      <c r="E39" s="56">
        <v>0</v>
      </c>
      <c r="F39" s="56">
        <v>6779.6610170000004</v>
      </c>
      <c r="G39" s="56">
        <v>588.96592054999996</v>
      </c>
      <c r="H39" s="56">
        <v>0</v>
      </c>
      <c r="I39" s="56">
        <v>0</v>
      </c>
    </row>
    <row r="40" spans="1:9" x14ac:dyDescent="0.35">
      <c r="A40" s="55">
        <v>42174.104999999996</v>
      </c>
      <c r="B40" s="55">
        <v>11898.312849999998</v>
      </c>
      <c r="C40" s="56">
        <v>6179.3860000000004</v>
      </c>
      <c r="D40" s="56">
        <v>1679.9756729999999</v>
      </c>
      <c r="E40" s="56">
        <v>0</v>
      </c>
      <c r="F40" s="56">
        <v>6779.6610170000004</v>
      </c>
      <c r="G40" s="56">
        <v>650.75806136999995</v>
      </c>
      <c r="H40" s="56">
        <v>0</v>
      </c>
      <c r="I40" s="56">
        <v>0</v>
      </c>
    </row>
    <row r="41" spans="1:9" x14ac:dyDescent="0.35">
      <c r="A41" s="55">
        <v>42199.495000000003</v>
      </c>
      <c r="B41" s="55">
        <v>11914.022849999999</v>
      </c>
      <c r="C41" s="56">
        <v>6194.5559999999996</v>
      </c>
      <c r="D41" s="56">
        <v>1679.9756729999999</v>
      </c>
      <c r="E41" s="56">
        <v>0</v>
      </c>
      <c r="F41" s="56">
        <v>5990.2735120899997</v>
      </c>
      <c r="G41" s="56">
        <v>651.21794327999999</v>
      </c>
      <c r="H41" s="56">
        <v>0</v>
      </c>
      <c r="I41" s="56">
        <v>0</v>
      </c>
    </row>
    <row r="42" spans="1:9" x14ac:dyDescent="0.35">
      <c r="A42" s="55">
        <v>42908.385000000002</v>
      </c>
      <c r="B42" s="55">
        <v>11914.022849999999</v>
      </c>
      <c r="C42" s="56">
        <v>6425.3190000000004</v>
      </c>
      <c r="D42" s="56">
        <v>1679.9756729999999</v>
      </c>
      <c r="E42" s="56">
        <v>0</v>
      </c>
      <c r="F42" s="56">
        <v>4945.3735120900001</v>
      </c>
      <c r="G42" s="56">
        <v>0</v>
      </c>
      <c r="H42" s="56">
        <v>0</v>
      </c>
      <c r="I42" s="56">
        <v>0</v>
      </c>
    </row>
    <row r="43" spans="1:9" x14ac:dyDescent="0.35">
      <c r="A43" s="55">
        <v>45100.183999999994</v>
      </c>
      <c r="B43" s="55">
        <v>10571.61585</v>
      </c>
      <c r="C43" s="56">
        <v>6957.1009999999997</v>
      </c>
      <c r="D43" s="56">
        <v>1679.9756729999999</v>
      </c>
      <c r="E43" s="56">
        <v>0</v>
      </c>
      <c r="F43" s="56">
        <v>3900.47351209</v>
      </c>
      <c r="G43" s="56">
        <v>0</v>
      </c>
      <c r="H43" s="56">
        <v>0</v>
      </c>
      <c r="I43" s="56">
        <v>0</v>
      </c>
    </row>
    <row r="44" spans="1:9" x14ac:dyDescent="0.35">
      <c r="A44" s="55">
        <v>46450.087</v>
      </c>
      <c r="B44" s="55">
        <v>10555.905849999999</v>
      </c>
      <c r="C44" s="56">
        <v>7690.8571276599996</v>
      </c>
      <c r="D44" s="56">
        <v>1679.9756729999999</v>
      </c>
      <c r="E44" s="56">
        <v>0</v>
      </c>
      <c r="F44" s="56">
        <v>2856.033394</v>
      </c>
      <c r="G44" s="56">
        <v>0</v>
      </c>
      <c r="H44" s="56">
        <v>0</v>
      </c>
      <c r="I44" s="56">
        <v>0</v>
      </c>
    </row>
    <row r="45" spans="1:9" x14ac:dyDescent="0.35">
      <c r="A45" s="55">
        <v>46119.771000000001</v>
      </c>
      <c r="B45" s="55">
        <v>10540.19585</v>
      </c>
      <c r="C45" s="56">
        <v>7753.7723191500008</v>
      </c>
      <c r="D45" s="56">
        <v>1525.307552</v>
      </c>
      <c r="E45" s="56">
        <v>0</v>
      </c>
      <c r="F45" s="56">
        <v>1811.5932759100001</v>
      </c>
      <c r="G45" s="56">
        <v>0</v>
      </c>
      <c r="H45" s="56">
        <v>0</v>
      </c>
      <c r="I45" s="56">
        <v>0</v>
      </c>
    </row>
    <row r="46" spans="1:9" x14ac:dyDescent="0.35">
      <c r="A46" s="55">
        <v>44509.570999999996</v>
      </c>
      <c r="B46" s="55">
        <v>10524.485839999999</v>
      </c>
      <c r="C46" s="56">
        <v>7411.6607233999994</v>
      </c>
      <c r="D46" s="56">
        <v>1422.195471</v>
      </c>
      <c r="E46" s="56">
        <v>0</v>
      </c>
      <c r="F46" s="56">
        <v>767.15315782000005</v>
      </c>
      <c r="G46" s="56">
        <v>0</v>
      </c>
      <c r="H46" s="56">
        <v>0</v>
      </c>
      <c r="I46" s="56">
        <v>0</v>
      </c>
    </row>
    <row r="47" spans="1:9" x14ac:dyDescent="0.35">
      <c r="A47" s="55">
        <v>41916.962999999996</v>
      </c>
      <c r="B47" s="55">
        <v>10508.77584</v>
      </c>
      <c r="C47" s="56">
        <v>6906.3997872300006</v>
      </c>
      <c r="D47" s="56">
        <v>1344.8614110000001</v>
      </c>
      <c r="E47" s="56">
        <v>0</v>
      </c>
      <c r="F47" s="56">
        <v>422.70993096000001</v>
      </c>
      <c r="G47" s="56">
        <v>0</v>
      </c>
      <c r="H47" s="56">
        <v>0</v>
      </c>
      <c r="I47" s="56">
        <v>0</v>
      </c>
    </row>
    <row r="48" spans="1:9" x14ac:dyDescent="0.35">
      <c r="A48" s="55">
        <v>39305.498999999996</v>
      </c>
      <c r="B48" s="55">
        <v>10493.065839999999</v>
      </c>
      <c r="C48" s="56">
        <v>7179.3247446799996</v>
      </c>
      <c r="D48" s="56">
        <v>1293.3053709999999</v>
      </c>
      <c r="E48" s="56">
        <v>0</v>
      </c>
      <c r="F48" s="56">
        <v>323.07465397999999</v>
      </c>
      <c r="G48" s="56">
        <v>0</v>
      </c>
      <c r="H48" s="56">
        <v>0</v>
      </c>
      <c r="I48" s="56">
        <v>0</v>
      </c>
    </row>
    <row r="49" spans="1:9" x14ac:dyDescent="0.35">
      <c r="A49" s="55">
        <v>36822.039000000004</v>
      </c>
      <c r="B49" s="55">
        <v>10493.065839999999</v>
      </c>
      <c r="C49" s="56">
        <v>6744.73897872</v>
      </c>
      <c r="D49" s="56">
        <v>1293.3053709999999</v>
      </c>
      <c r="E49" s="56">
        <v>0</v>
      </c>
      <c r="F49" s="56">
        <v>164.34492398</v>
      </c>
      <c r="G49" s="56">
        <v>0</v>
      </c>
      <c r="H49" s="56">
        <v>0</v>
      </c>
      <c r="I49" s="56">
        <v>0</v>
      </c>
    </row>
    <row r="50" spans="1:9" x14ac:dyDescent="0.35">
      <c r="A50" s="55">
        <v>34041.472999999998</v>
      </c>
      <c r="B50" s="55">
        <v>10493.065839999999</v>
      </c>
      <c r="C50" s="56">
        <v>5937.9502340399995</v>
      </c>
      <c r="D50" s="56">
        <v>1174.815008</v>
      </c>
      <c r="E50" s="56">
        <v>0</v>
      </c>
      <c r="F50" s="56">
        <v>174.87043702</v>
      </c>
      <c r="G50" s="56">
        <v>0</v>
      </c>
      <c r="H50" s="56">
        <v>0</v>
      </c>
      <c r="I50" s="56">
        <v>0</v>
      </c>
    </row>
    <row r="51" spans="1:9" x14ac:dyDescent="0.35">
      <c r="A51" s="55">
        <v>32186.687000000002</v>
      </c>
      <c r="B51" s="55">
        <v>10493.065839999999</v>
      </c>
      <c r="C51" s="56">
        <v>5424.3986645499999</v>
      </c>
      <c r="D51" s="56">
        <v>1174.815008</v>
      </c>
      <c r="E51" s="56">
        <v>0</v>
      </c>
      <c r="F51" s="56">
        <v>266.18921702</v>
      </c>
      <c r="G51" s="56">
        <v>0</v>
      </c>
      <c r="H51" s="56">
        <v>0</v>
      </c>
      <c r="I51" s="56">
        <v>0</v>
      </c>
    </row>
    <row r="52" spans="1:9" x14ac:dyDescent="0.35">
      <c r="A52" s="55">
        <v>31139.749</v>
      </c>
      <c r="B52" s="55">
        <v>10493.065839999999</v>
      </c>
      <c r="C52" s="56">
        <v>5070.7197021300008</v>
      </c>
      <c r="D52" s="56">
        <v>1174.815008</v>
      </c>
      <c r="E52" s="56">
        <v>0</v>
      </c>
      <c r="F52" s="56">
        <v>358.58648701999999</v>
      </c>
      <c r="G52" s="56">
        <v>0</v>
      </c>
      <c r="H52" s="56">
        <v>0</v>
      </c>
      <c r="I52" s="56">
        <v>0</v>
      </c>
    </row>
    <row r="53" spans="1:9" x14ac:dyDescent="0.35">
      <c r="A53" s="55">
        <v>30786.334999999999</v>
      </c>
      <c r="B53" s="55">
        <v>10493.065839999999</v>
      </c>
      <c r="C53" s="56">
        <v>4933.6143191499996</v>
      </c>
      <c r="D53" s="56">
        <v>1174.815008</v>
      </c>
      <c r="E53" s="56">
        <v>0</v>
      </c>
      <c r="F53" s="56">
        <v>263.65451702000001</v>
      </c>
      <c r="G53" s="56">
        <v>0</v>
      </c>
      <c r="H53" s="56">
        <v>0</v>
      </c>
      <c r="I53" s="56">
        <v>0</v>
      </c>
    </row>
    <row r="54" spans="1:9" x14ac:dyDescent="0.35">
      <c r="A54" s="55">
        <v>31563.398999999998</v>
      </c>
      <c r="B54" s="55">
        <v>10508.77584</v>
      </c>
      <c r="C54" s="56">
        <v>4938.7969361699998</v>
      </c>
      <c r="D54" s="56">
        <v>1174.815008</v>
      </c>
      <c r="E54" s="56">
        <v>0</v>
      </c>
      <c r="F54" s="56">
        <v>138.12049425999999</v>
      </c>
      <c r="G54" s="56">
        <v>0</v>
      </c>
      <c r="H54" s="56">
        <v>0</v>
      </c>
      <c r="I54" s="56">
        <v>0</v>
      </c>
    </row>
    <row r="55" spans="1:9" x14ac:dyDescent="0.35">
      <c r="A55" s="55">
        <v>33761.370999999999</v>
      </c>
      <c r="B55" s="55">
        <v>10540.19585</v>
      </c>
      <c r="C55" s="56">
        <v>5010.1087400000006</v>
      </c>
      <c r="D55" s="56">
        <v>1272.7714840000001</v>
      </c>
      <c r="E55" s="56">
        <v>0</v>
      </c>
      <c r="F55" s="56">
        <v>0</v>
      </c>
      <c r="G55" s="56">
        <v>0</v>
      </c>
      <c r="H55" s="56">
        <v>0</v>
      </c>
      <c r="I55" s="56">
        <v>0</v>
      </c>
    </row>
    <row r="56" spans="1:9" x14ac:dyDescent="0.35">
      <c r="A56" s="55">
        <v>36898.642</v>
      </c>
      <c r="B56" s="55">
        <v>10555.905849999999</v>
      </c>
      <c r="C56" s="56">
        <v>5351.7030799999993</v>
      </c>
      <c r="D56" s="56">
        <v>1370.7279610000001</v>
      </c>
      <c r="E56" s="56">
        <v>0</v>
      </c>
      <c r="F56" s="56">
        <v>517.83283323000001</v>
      </c>
      <c r="G56" s="56">
        <v>0</v>
      </c>
      <c r="H56" s="56">
        <v>0</v>
      </c>
      <c r="I56" s="56">
        <v>0</v>
      </c>
    </row>
    <row r="57" spans="1:9" x14ac:dyDescent="0.35">
      <c r="A57" s="55">
        <v>39710.42</v>
      </c>
      <c r="B57" s="55">
        <v>10571.61585</v>
      </c>
      <c r="C57" s="56">
        <v>5890.0850799999998</v>
      </c>
      <c r="D57" s="56">
        <v>1463.5288330000001</v>
      </c>
      <c r="E57" s="56">
        <v>0</v>
      </c>
      <c r="F57" s="56">
        <v>1562.2729513199999</v>
      </c>
      <c r="G57" s="56">
        <v>0</v>
      </c>
      <c r="H57" s="56">
        <v>0</v>
      </c>
      <c r="I57" s="56">
        <v>0</v>
      </c>
    </row>
    <row r="58" spans="1:9" x14ac:dyDescent="0.35">
      <c r="A58" s="55">
        <v>41635.459000000003</v>
      </c>
      <c r="B58" s="55">
        <v>10571.61585</v>
      </c>
      <c r="C58" s="56">
        <v>6392.25108</v>
      </c>
      <c r="D58" s="56">
        <v>1561.48531</v>
      </c>
      <c r="E58" s="56">
        <v>0</v>
      </c>
      <c r="F58" s="56">
        <v>2607.1729513199998</v>
      </c>
      <c r="G58" s="56">
        <v>0</v>
      </c>
      <c r="H58" s="56">
        <v>0</v>
      </c>
      <c r="I58" s="56">
        <v>0</v>
      </c>
    </row>
    <row r="59" spans="1:9" x14ac:dyDescent="0.35">
      <c r="A59" s="55">
        <v>43017.055999999997</v>
      </c>
      <c r="B59" s="55">
        <v>10571.61585</v>
      </c>
      <c r="C59" s="56">
        <v>6535.6229999999996</v>
      </c>
      <c r="D59" s="56">
        <v>1561.48531</v>
      </c>
      <c r="E59" s="56">
        <v>0</v>
      </c>
      <c r="F59" s="56">
        <v>3652.0729513199999</v>
      </c>
      <c r="G59" s="56">
        <v>0</v>
      </c>
      <c r="H59" s="56">
        <v>0</v>
      </c>
      <c r="I59" s="56">
        <v>0</v>
      </c>
    </row>
    <row r="60" spans="1:9" x14ac:dyDescent="0.35">
      <c r="A60" s="55">
        <v>42980.409</v>
      </c>
      <c r="B60" s="55">
        <v>11914.022849999999</v>
      </c>
      <c r="C60" s="56">
        <v>6439.6170000000002</v>
      </c>
      <c r="D60" s="56">
        <v>1613.04135</v>
      </c>
      <c r="E60" s="56">
        <v>0</v>
      </c>
      <c r="F60" s="56">
        <v>4696.97295132</v>
      </c>
      <c r="G60" s="56">
        <v>0</v>
      </c>
      <c r="H60" s="56">
        <v>0</v>
      </c>
      <c r="I60" s="56">
        <v>0</v>
      </c>
    </row>
    <row r="61" spans="1:9" x14ac:dyDescent="0.35">
      <c r="A61" s="55">
        <v>42961.798999999999</v>
      </c>
      <c r="B61" s="55">
        <v>11898.312849999998</v>
      </c>
      <c r="C61" s="56">
        <v>6528.7719999999999</v>
      </c>
      <c r="D61" s="56">
        <v>1613.04135</v>
      </c>
      <c r="E61" s="56">
        <v>0</v>
      </c>
      <c r="F61" s="56">
        <v>5742.3328332299998</v>
      </c>
      <c r="G61" s="56">
        <v>165.50463893</v>
      </c>
      <c r="H61" s="56">
        <v>0</v>
      </c>
      <c r="I61" s="56">
        <v>0</v>
      </c>
    </row>
    <row r="62" spans="1:9" x14ac:dyDescent="0.35">
      <c r="A62" s="55">
        <v>43064.267999999996</v>
      </c>
      <c r="B62" s="55">
        <v>11882.602849999999</v>
      </c>
      <c r="C62" s="56">
        <v>6583.1930000000002</v>
      </c>
      <c r="D62" s="56">
        <v>1561.48531</v>
      </c>
      <c r="E62" s="56">
        <v>0</v>
      </c>
      <c r="F62" s="56">
        <v>6779.6610170000004</v>
      </c>
      <c r="G62" s="56">
        <v>650.29719340999998</v>
      </c>
      <c r="H62" s="56">
        <v>0</v>
      </c>
      <c r="I62" s="56">
        <v>0</v>
      </c>
    </row>
    <row r="63" spans="1:9" x14ac:dyDescent="0.35">
      <c r="A63" s="55">
        <v>42777.860999999997</v>
      </c>
      <c r="B63" s="55">
        <v>11882.602849999999</v>
      </c>
      <c r="C63" s="56">
        <v>6305.54</v>
      </c>
      <c r="D63" s="56">
        <v>1587.26333</v>
      </c>
      <c r="E63" s="56">
        <v>0</v>
      </c>
      <c r="F63" s="56">
        <v>6779.6610170000004</v>
      </c>
      <c r="G63" s="56">
        <v>650.29719340999998</v>
      </c>
      <c r="H63" s="56">
        <v>0</v>
      </c>
      <c r="I63" s="56">
        <v>0</v>
      </c>
    </row>
    <row r="64" spans="1:9" x14ac:dyDescent="0.35">
      <c r="A64" s="55">
        <v>42145.585999999996</v>
      </c>
      <c r="B64" s="55">
        <v>11898.312849999998</v>
      </c>
      <c r="C64" s="56">
        <v>6245.7089999999998</v>
      </c>
      <c r="D64" s="56">
        <v>1561.48531</v>
      </c>
      <c r="E64" s="56">
        <v>0</v>
      </c>
      <c r="F64" s="56">
        <v>6093.3312093699997</v>
      </c>
      <c r="G64" s="56">
        <v>650.75707532000001</v>
      </c>
      <c r="H64" s="56">
        <v>0</v>
      </c>
      <c r="I64" s="56">
        <v>0</v>
      </c>
    </row>
    <row r="65" spans="1:9" x14ac:dyDescent="0.35">
      <c r="A65" s="55">
        <v>42152.854000000007</v>
      </c>
      <c r="B65" s="55">
        <v>11914.022849999999</v>
      </c>
      <c r="C65" s="56">
        <v>6248.9279999999999</v>
      </c>
      <c r="D65" s="56">
        <v>1561.48531</v>
      </c>
      <c r="E65" s="56">
        <v>0</v>
      </c>
      <c r="F65" s="56">
        <v>5047.9713274599999</v>
      </c>
      <c r="G65" s="56">
        <v>0</v>
      </c>
      <c r="H65" s="56">
        <v>0</v>
      </c>
      <c r="I65" s="56">
        <v>0</v>
      </c>
    </row>
    <row r="66" spans="1:9" x14ac:dyDescent="0.35">
      <c r="A66" s="55">
        <v>42840.685999999994</v>
      </c>
      <c r="B66" s="55">
        <v>10571.61585</v>
      </c>
      <c r="C66" s="56">
        <v>6466.9210000000003</v>
      </c>
      <c r="D66" s="56">
        <v>1561.48531</v>
      </c>
      <c r="E66" s="56">
        <v>0</v>
      </c>
      <c r="F66" s="56">
        <v>4003.0713274599998</v>
      </c>
      <c r="G66" s="56">
        <v>0</v>
      </c>
      <c r="H66" s="56">
        <v>0</v>
      </c>
      <c r="I66" s="56">
        <v>0</v>
      </c>
    </row>
    <row r="67" spans="1:9" x14ac:dyDescent="0.35">
      <c r="A67" s="55">
        <v>44969.057000000001</v>
      </c>
      <c r="B67" s="55">
        <v>10571.61585</v>
      </c>
      <c r="C67" s="56">
        <v>6989.848</v>
      </c>
      <c r="D67" s="56">
        <v>1561.48531</v>
      </c>
      <c r="E67" s="56">
        <v>0</v>
      </c>
      <c r="F67" s="56">
        <v>2958.1713274600002</v>
      </c>
      <c r="G67" s="56">
        <v>0</v>
      </c>
      <c r="H67" s="56">
        <v>0</v>
      </c>
      <c r="I67" s="56">
        <v>0</v>
      </c>
    </row>
    <row r="68" spans="1:9" x14ac:dyDescent="0.35">
      <c r="A68" s="55">
        <v>46147.664999999994</v>
      </c>
      <c r="B68" s="55">
        <v>10555.905849999999</v>
      </c>
      <c r="C68" s="56">
        <v>7702.2851276599995</v>
      </c>
      <c r="D68" s="56">
        <v>1561.48531</v>
      </c>
      <c r="E68" s="56">
        <v>0</v>
      </c>
      <c r="F68" s="56">
        <v>1262.97413405</v>
      </c>
      <c r="G68" s="56">
        <v>0</v>
      </c>
      <c r="H68" s="56">
        <v>0</v>
      </c>
      <c r="I68" s="56">
        <v>0</v>
      </c>
    </row>
    <row r="69" spans="1:9" x14ac:dyDescent="0.35">
      <c r="A69" s="55">
        <v>45745.038999999997</v>
      </c>
      <c r="B69" s="55">
        <v>10540.19585</v>
      </c>
      <c r="C69" s="56">
        <v>7752.3703191500008</v>
      </c>
      <c r="D69" s="56">
        <v>1406.8171890000001</v>
      </c>
      <c r="E69" s="56">
        <v>0</v>
      </c>
      <c r="F69" s="56">
        <v>285.00377354</v>
      </c>
      <c r="G69" s="56">
        <v>0</v>
      </c>
      <c r="H69" s="56">
        <v>0</v>
      </c>
      <c r="I69" s="56">
        <v>0</v>
      </c>
    </row>
    <row r="70" spans="1:9" x14ac:dyDescent="0.35">
      <c r="A70" s="55">
        <v>44156.023999999998</v>
      </c>
      <c r="B70" s="55">
        <v>10524.485839999999</v>
      </c>
      <c r="C70" s="56">
        <v>7406.4287233999994</v>
      </c>
      <c r="D70" s="56">
        <v>1303.705109</v>
      </c>
      <c r="E70" s="56">
        <v>0</v>
      </c>
      <c r="F70" s="56">
        <v>0</v>
      </c>
      <c r="G70" s="56">
        <v>0</v>
      </c>
      <c r="H70" s="56">
        <v>0</v>
      </c>
      <c r="I70" s="56">
        <v>0</v>
      </c>
    </row>
    <row r="71" spans="1:9" x14ac:dyDescent="0.35">
      <c r="A71" s="55">
        <v>41586.962</v>
      </c>
      <c r="B71" s="55">
        <v>10508.77584</v>
      </c>
      <c r="C71" s="56">
        <v>6901.7147872300002</v>
      </c>
      <c r="D71" s="56">
        <v>1226.371048</v>
      </c>
      <c r="E71" s="56">
        <v>0</v>
      </c>
      <c r="F71" s="56">
        <v>0</v>
      </c>
      <c r="G71" s="56">
        <v>0</v>
      </c>
      <c r="H71" s="56">
        <v>0</v>
      </c>
      <c r="I71" s="56">
        <v>0</v>
      </c>
    </row>
    <row r="72" spans="1:9" x14ac:dyDescent="0.35">
      <c r="A72" s="55">
        <v>38994.726999999999</v>
      </c>
      <c r="B72" s="55">
        <v>10493.065839999999</v>
      </c>
      <c r="C72" s="56">
        <v>7179.7607446799993</v>
      </c>
      <c r="D72" s="56">
        <v>1174.815008</v>
      </c>
      <c r="E72" s="56">
        <v>0</v>
      </c>
      <c r="F72" s="56">
        <v>0</v>
      </c>
      <c r="G72" s="56">
        <v>0</v>
      </c>
      <c r="H72" s="56">
        <v>0</v>
      </c>
      <c r="I72" s="56">
        <v>0</v>
      </c>
    </row>
    <row r="73" spans="1:9" x14ac:dyDescent="0.35">
      <c r="A73" s="55">
        <v>36572.055999999997</v>
      </c>
      <c r="B73" s="55">
        <v>10493.065839999999</v>
      </c>
      <c r="C73" s="56">
        <v>6740.6619787200007</v>
      </c>
      <c r="D73" s="56">
        <v>1174.815008</v>
      </c>
      <c r="E73" s="56">
        <v>0</v>
      </c>
      <c r="F73" s="56">
        <v>0</v>
      </c>
      <c r="G73" s="56">
        <v>0</v>
      </c>
      <c r="H73" s="56">
        <v>0</v>
      </c>
      <c r="I73" s="56">
        <v>0</v>
      </c>
    </row>
    <row r="74" spans="1:9" x14ac:dyDescent="0.35">
      <c r="A74" s="55">
        <v>33950.953999999998</v>
      </c>
      <c r="B74" s="55">
        <v>10493.065839999999</v>
      </c>
      <c r="C74" s="56">
        <v>5935.5832340399993</v>
      </c>
      <c r="D74" s="56">
        <v>1178.6316489999999</v>
      </c>
      <c r="E74" s="56">
        <v>0</v>
      </c>
      <c r="F74" s="56">
        <v>0</v>
      </c>
      <c r="G74" s="56">
        <v>0</v>
      </c>
      <c r="H74" s="56">
        <v>0</v>
      </c>
      <c r="I74" s="56">
        <v>0</v>
      </c>
    </row>
    <row r="75" spans="1:9" x14ac:dyDescent="0.35">
      <c r="A75" s="55">
        <v>32148.978000000003</v>
      </c>
      <c r="B75" s="55">
        <v>10493.065839999999</v>
      </c>
      <c r="C75" s="56">
        <v>5549.8117872299999</v>
      </c>
      <c r="D75" s="56">
        <v>1178.6316489999999</v>
      </c>
      <c r="E75" s="56">
        <v>0</v>
      </c>
      <c r="F75" s="56">
        <v>0</v>
      </c>
      <c r="G75" s="56">
        <v>0</v>
      </c>
      <c r="H75" s="56">
        <v>0</v>
      </c>
      <c r="I75" s="56">
        <v>0</v>
      </c>
    </row>
    <row r="76" spans="1:9" x14ac:dyDescent="0.35">
      <c r="A76" s="55">
        <v>31138.452000000001</v>
      </c>
      <c r="B76" s="55">
        <v>10493.065839999999</v>
      </c>
      <c r="C76" s="56">
        <v>5064.1977021300008</v>
      </c>
      <c r="D76" s="56">
        <v>1178.6316489999999</v>
      </c>
      <c r="E76" s="56">
        <v>0</v>
      </c>
      <c r="F76" s="56">
        <v>0</v>
      </c>
      <c r="G76" s="56">
        <v>0</v>
      </c>
      <c r="H76" s="56">
        <v>0</v>
      </c>
      <c r="I76" s="56">
        <v>0</v>
      </c>
    </row>
    <row r="77" spans="1:9" x14ac:dyDescent="0.35">
      <c r="A77" s="55">
        <v>30792.75</v>
      </c>
      <c r="B77" s="55">
        <v>10493.065839999999</v>
      </c>
      <c r="C77" s="56">
        <v>4928.15231915</v>
      </c>
      <c r="D77" s="56">
        <v>1178.6316489999999</v>
      </c>
      <c r="E77" s="56">
        <v>0</v>
      </c>
      <c r="F77" s="56">
        <v>0</v>
      </c>
      <c r="G77" s="56">
        <v>0</v>
      </c>
      <c r="H77" s="56">
        <v>0</v>
      </c>
      <c r="I77" s="56">
        <v>0</v>
      </c>
    </row>
    <row r="78" spans="1:9" x14ac:dyDescent="0.35">
      <c r="A78" s="55">
        <v>31541.613999999998</v>
      </c>
      <c r="B78" s="55">
        <v>10508.77584</v>
      </c>
      <c r="C78" s="56">
        <v>4931.54793617</v>
      </c>
      <c r="D78" s="56">
        <v>1178.6316489999999</v>
      </c>
      <c r="E78" s="56">
        <v>0</v>
      </c>
      <c r="F78" s="56">
        <v>0</v>
      </c>
      <c r="G78" s="56">
        <v>0</v>
      </c>
      <c r="H78" s="56">
        <v>0</v>
      </c>
      <c r="I78" s="56">
        <v>0</v>
      </c>
    </row>
    <row r="79" spans="1:9" x14ac:dyDescent="0.35">
      <c r="A79" s="55">
        <v>33680.780999999995</v>
      </c>
      <c r="B79" s="55">
        <v>10540.19585</v>
      </c>
      <c r="C79" s="56">
        <v>5063.0123191500006</v>
      </c>
      <c r="D79" s="56">
        <v>1276.5881260000001</v>
      </c>
      <c r="E79" s="56">
        <v>0</v>
      </c>
      <c r="F79" s="56">
        <v>0</v>
      </c>
      <c r="G79" s="56">
        <v>0</v>
      </c>
      <c r="H79" s="56">
        <v>0</v>
      </c>
      <c r="I79" s="56">
        <v>0</v>
      </c>
    </row>
    <row r="80" spans="1:9" x14ac:dyDescent="0.35">
      <c r="A80" s="55">
        <v>36758.305</v>
      </c>
      <c r="B80" s="55">
        <v>10555.905849999999</v>
      </c>
      <c r="C80" s="56">
        <v>5324.9650799999999</v>
      </c>
      <c r="D80" s="56">
        <v>1374.5446019999999</v>
      </c>
      <c r="E80" s="56">
        <v>0</v>
      </c>
      <c r="F80" s="56">
        <v>762.68383259999996</v>
      </c>
      <c r="G80" s="56">
        <v>0</v>
      </c>
      <c r="H80" s="56">
        <v>0</v>
      </c>
      <c r="I80" s="56">
        <v>0</v>
      </c>
    </row>
    <row r="81" spans="1:9" x14ac:dyDescent="0.35">
      <c r="A81" s="55">
        <v>39558.201000000001</v>
      </c>
      <c r="B81" s="55">
        <v>10571.61585</v>
      </c>
      <c r="C81" s="56">
        <v>5852.1070799999998</v>
      </c>
      <c r="D81" s="56">
        <v>1467.345474</v>
      </c>
      <c r="E81" s="56">
        <v>0</v>
      </c>
      <c r="F81" s="56">
        <v>1807.12395068</v>
      </c>
      <c r="G81" s="56">
        <v>0</v>
      </c>
      <c r="H81" s="56">
        <v>0</v>
      </c>
      <c r="I81" s="56">
        <v>0</v>
      </c>
    </row>
    <row r="82" spans="1:9" x14ac:dyDescent="0.35">
      <c r="A82" s="55">
        <v>41586.856999999996</v>
      </c>
      <c r="B82" s="55">
        <v>10571.61585</v>
      </c>
      <c r="C82" s="56">
        <v>6340.3400799999999</v>
      </c>
      <c r="D82" s="56">
        <v>1565.3019509999999</v>
      </c>
      <c r="E82" s="56">
        <v>0</v>
      </c>
      <c r="F82" s="56">
        <v>2852.0239506799999</v>
      </c>
      <c r="G82" s="56">
        <v>0</v>
      </c>
      <c r="H82" s="56">
        <v>0</v>
      </c>
      <c r="I82" s="56">
        <v>0</v>
      </c>
    </row>
    <row r="83" spans="1:9" x14ac:dyDescent="0.35">
      <c r="A83" s="55">
        <v>43111.647999999994</v>
      </c>
      <c r="B83" s="55">
        <v>10571.61585</v>
      </c>
      <c r="C83" s="56">
        <v>6477.848</v>
      </c>
      <c r="D83" s="56">
        <v>1565.3019509999999</v>
      </c>
      <c r="E83" s="56">
        <v>0</v>
      </c>
      <c r="F83" s="56">
        <v>3896.92395068</v>
      </c>
      <c r="G83" s="56">
        <v>0</v>
      </c>
      <c r="H83" s="56">
        <v>0</v>
      </c>
      <c r="I83" s="56">
        <v>0</v>
      </c>
    </row>
    <row r="84" spans="1:9" x14ac:dyDescent="0.35">
      <c r="A84" s="55">
        <v>42899.063000000002</v>
      </c>
      <c r="B84" s="55">
        <v>11914.022849999999</v>
      </c>
      <c r="C84" s="56">
        <v>6399.0910000000003</v>
      </c>
      <c r="D84" s="56">
        <v>1616.8579910000001</v>
      </c>
      <c r="E84" s="56">
        <v>0</v>
      </c>
      <c r="F84" s="56">
        <v>4941.8239506800001</v>
      </c>
      <c r="G84" s="56">
        <v>0</v>
      </c>
      <c r="H84" s="56">
        <v>0</v>
      </c>
      <c r="I84" s="56">
        <v>0</v>
      </c>
    </row>
    <row r="85" spans="1:9" x14ac:dyDescent="0.35">
      <c r="A85" s="55">
        <v>43329.032999999996</v>
      </c>
      <c r="B85" s="55">
        <v>11898.312849999998</v>
      </c>
      <c r="C85" s="56">
        <v>6517.8050000000003</v>
      </c>
      <c r="D85" s="56">
        <v>1616.8579910000001</v>
      </c>
      <c r="E85" s="56">
        <v>0</v>
      </c>
      <c r="F85" s="56">
        <v>5987.1838325999997</v>
      </c>
      <c r="G85" s="56">
        <v>0</v>
      </c>
      <c r="H85" s="56">
        <v>0</v>
      </c>
      <c r="I85" s="56">
        <v>0</v>
      </c>
    </row>
    <row r="86" spans="1:9" x14ac:dyDescent="0.35">
      <c r="A86" s="55">
        <v>43728.13</v>
      </c>
      <c r="B86" s="55">
        <v>11882.602849999999</v>
      </c>
      <c r="C86" s="56">
        <v>6604.152</v>
      </c>
      <c r="D86" s="56">
        <v>1565.3019509999999</v>
      </c>
      <c r="E86" s="56">
        <v>0</v>
      </c>
      <c r="F86" s="56">
        <v>6779.6610170000004</v>
      </c>
      <c r="G86" s="56">
        <v>650.29620736000004</v>
      </c>
      <c r="H86" s="56">
        <v>0</v>
      </c>
      <c r="I86" s="56">
        <v>0</v>
      </c>
    </row>
    <row r="87" spans="1:9" x14ac:dyDescent="0.35">
      <c r="A87" s="55">
        <v>43650.438000000002</v>
      </c>
      <c r="B87" s="55">
        <v>11882.602849999999</v>
      </c>
      <c r="C87" s="56">
        <v>6357.2460000000001</v>
      </c>
      <c r="D87" s="56">
        <v>1591.0799709999999</v>
      </c>
      <c r="E87" s="56">
        <v>0</v>
      </c>
      <c r="F87" s="56">
        <v>6779.6610170000004</v>
      </c>
      <c r="G87" s="56">
        <v>592.51350984999999</v>
      </c>
      <c r="H87" s="56">
        <v>0</v>
      </c>
      <c r="I87" s="56">
        <v>0</v>
      </c>
    </row>
    <row r="88" spans="1:9" x14ac:dyDescent="0.35">
      <c r="A88" s="55">
        <v>42943.040000000001</v>
      </c>
      <c r="B88" s="55">
        <v>11898.312849999998</v>
      </c>
      <c r="C88" s="56">
        <v>6317.0320000000002</v>
      </c>
      <c r="D88" s="56">
        <v>1565.3019509999999</v>
      </c>
      <c r="E88" s="56">
        <v>0</v>
      </c>
      <c r="F88" s="56">
        <v>6779.6610170000004</v>
      </c>
      <c r="G88" s="56">
        <v>0</v>
      </c>
      <c r="H88" s="56">
        <v>0</v>
      </c>
      <c r="I88" s="56">
        <v>0</v>
      </c>
    </row>
    <row r="89" spans="1:9" x14ac:dyDescent="0.35">
      <c r="A89" s="55">
        <v>42826.260999999999</v>
      </c>
      <c r="B89" s="55">
        <v>11914.022849999999</v>
      </c>
      <c r="C89" s="56">
        <v>6344.6639999999998</v>
      </c>
      <c r="D89" s="56">
        <v>1565.3019509999999</v>
      </c>
      <c r="E89" s="56">
        <v>0</v>
      </c>
      <c r="F89" s="56">
        <v>6779.6610170000004</v>
      </c>
      <c r="G89" s="56">
        <v>0</v>
      </c>
      <c r="H89" s="56">
        <v>0</v>
      </c>
      <c r="I89" s="56">
        <v>0</v>
      </c>
    </row>
    <row r="90" spans="1:9" x14ac:dyDescent="0.35">
      <c r="A90" s="55">
        <v>43600.136000000006</v>
      </c>
      <c r="B90" s="55">
        <v>11914.022849999999</v>
      </c>
      <c r="C90" s="56">
        <v>6566.5119999999997</v>
      </c>
      <c r="D90" s="56">
        <v>1565.3019509999999</v>
      </c>
      <c r="E90" s="56">
        <v>0</v>
      </c>
      <c r="F90" s="56">
        <v>6779.6610170000004</v>
      </c>
      <c r="G90" s="56">
        <v>0</v>
      </c>
      <c r="H90" s="56">
        <v>0</v>
      </c>
      <c r="I90" s="56">
        <v>0</v>
      </c>
    </row>
    <row r="91" spans="1:9" x14ac:dyDescent="0.35">
      <c r="A91" s="55">
        <v>45774.112000000001</v>
      </c>
      <c r="B91" s="55">
        <v>11914.022849999999</v>
      </c>
      <c r="C91" s="56">
        <v>7042.9809999999998</v>
      </c>
      <c r="D91" s="56">
        <v>1565.3019509999999</v>
      </c>
      <c r="E91" s="56">
        <v>0</v>
      </c>
      <c r="F91" s="56">
        <v>6779.6610170000004</v>
      </c>
      <c r="G91" s="56">
        <v>0</v>
      </c>
      <c r="H91" s="56">
        <v>0</v>
      </c>
      <c r="I91" s="56">
        <v>0</v>
      </c>
    </row>
    <row r="92" spans="1:9" x14ac:dyDescent="0.35">
      <c r="A92" s="55">
        <v>46985.129000000001</v>
      </c>
      <c r="B92" s="55">
        <v>11898.312849999998</v>
      </c>
      <c r="C92" s="56">
        <v>7434.8710000000001</v>
      </c>
      <c r="D92" s="56">
        <v>1565.3019509999999</v>
      </c>
      <c r="E92" s="56">
        <v>0</v>
      </c>
      <c r="F92" s="56">
        <v>6779.6610170000004</v>
      </c>
      <c r="G92" s="56">
        <v>0</v>
      </c>
      <c r="H92" s="56">
        <v>0</v>
      </c>
      <c r="I92" s="56">
        <v>0</v>
      </c>
    </row>
    <row r="93" spans="1:9" x14ac:dyDescent="0.35">
      <c r="A93" s="55">
        <v>46543.966999999997</v>
      </c>
      <c r="B93" s="55">
        <v>11882.602849999999</v>
      </c>
      <c r="C93" s="56">
        <v>7515.1890000000003</v>
      </c>
      <c r="D93" s="56">
        <v>1410.63383</v>
      </c>
      <c r="E93" s="56">
        <v>0</v>
      </c>
      <c r="F93" s="56">
        <v>6779.6610170000004</v>
      </c>
      <c r="G93" s="56">
        <v>0</v>
      </c>
      <c r="H93" s="56">
        <v>0</v>
      </c>
      <c r="I93" s="56">
        <v>0</v>
      </c>
    </row>
    <row r="94" spans="1:9" x14ac:dyDescent="0.35">
      <c r="A94" s="55">
        <v>44908.347000000002</v>
      </c>
      <c r="B94" s="55">
        <v>11866.892839999999</v>
      </c>
      <c r="C94" s="56">
        <v>7256.3289999999997</v>
      </c>
      <c r="D94" s="56">
        <v>1307.5217500000001</v>
      </c>
      <c r="E94" s="56">
        <v>0</v>
      </c>
      <c r="F94" s="56">
        <v>6779.6610170000004</v>
      </c>
      <c r="G94" s="56">
        <v>0</v>
      </c>
      <c r="H94" s="56">
        <v>0</v>
      </c>
      <c r="I94" s="56">
        <v>0</v>
      </c>
    </row>
    <row r="95" spans="1:9" x14ac:dyDescent="0.35">
      <c r="A95" s="55">
        <v>42329.292999999998</v>
      </c>
      <c r="B95" s="55">
        <v>11851.182839999999</v>
      </c>
      <c r="C95" s="56">
        <v>6822.1850000000004</v>
      </c>
      <c r="D95" s="56">
        <v>1230.1876890000001</v>
      </c>
      <c r="E95" s="56">
        <v>0</v>
      </c>
      <c r="F95" s="56">
        <v>6779.6610170000004</v>
      </c>
      <c r="G95" s="56">
        <v>0</v>
      </c>
      <c r="H95" s="56">
        <v>0</v>
      </c>
      <c r="I95" s="56">
        <v>0</v>
      </c>
    </row>
    <row r="96" spans="1:9" x14ac:dyDescent="0.35">
      <c r="A96" s="55">
        <v>39693.309000000001</v>
      </c>
      <c r="B96" s="55">
        <v>11835.472839999999</v>
      </c>
      <c r="C96" s="56">
        <v>6940.8670000000002</v>
      </c>
      <c r="D96" s="56">
        <v>1178.6316489999999</v>
      </c>
      <c r="E96" s="56">
        <v>0</v>
      </c>
      <c r="F96" s="56">
        <v>6779.6610170000004</v>
      </c>
      <c r="G96" s="56">
        <v>0</v>
      </c>
      <c r="H96" s="56">
        <v>0</v>
      </c>
      <c r="I96" s="56">
        <v>0</v>
      </c>
    </row>
    <row r="97" spans="1:9" x14ac:dyDescent="0.35">
      <c r="A97" s="55">
        <v>37196.329000000005</v>
      </c>
      <c r="B97" s="55">
        <v>11835.472839999999</v>
      </c>
      <c r="C97" s="56">
        <v>6443.0649999999996</v>
      </c>
      <c r="D97" s="56">
        <v>1178.6316489999999</v>
      </c>
      <c r="E97" s="56">
        <v>0</v>
      </c>
      <c r="F97" s="56">
        <v>6779.6610170000004</v>
      </c>
      <c r="G97" s="56">
        <v>0</v>
      </c>
      <c r="H97" s="56">
        <v>0</v>
      </c>
      <c r="I97" s="56">
        <v>0</v>
      </c>
    </row>
    <row r="98" spans="1:9" x14ac:dyDescent="0.35">
      <c r="A98" s="55">
        <v>34480.929000000004</v>
      </c>
      <c r="B98" s="55">
        <v>11835.472839999999</v>
      </c>
      <c r="C98" s="56">
        <v>5694.0230000000001</v>
      </c>
      <c r="D98" s="56">
        <v>1258.8719140000001</v>
      </c>
      <c r="E98" s="56">
        <v>0</v>
      </c>
      <c r="F98" s="56">
        <v>6779.6610170000004</v>
      </c>
      <c r="G98" s="56">
        <v>0</v>
      </c>
      <c r="H98" s="56">
        <v>0</v>
      </c>
      <c r="I98" s="56">
        <v>0</v>
      </c>
    </row>
    <row r="99" spans="1:9" x14ac:dyDescent="0.35">
      <c r="A99" s="55">
        <v>32526.065999999999</v>
      </c>
      <c r="B99" s="55">
        <v>11835.472839999999</v>
      </c>
      <c r="C99" s="56">
        <v>5318.067</v>
      </c>
      <c r="D99" s="56">
        <v>1258.8719140000001</v>
      </c>
      <c r="E99" s="56">
        <v>353.90529597</v>
      </c>
      <c r="F99" s="56">
        <v>6779.6610170000004</v>
      </c>
      <c r="G99" s="56">
        <v>0</v>
      </c>
      <c r="H99" s="56">
        <v>0</v>
      </c>
      <c r="I99" s="56">
        <v>0</v>
      </c>
    </row>
    <row r="100" spans="1:9" x14ac:dyDescent="0.35">
      <c r="A100" s="55">
        <v>31404.126</v>
      </c>
      <c r="B100" s="55">
        <v>11835.472839999999</v>
      </c>
      <c r="C100" s="56">
        <v>4886.8729999999996</v>
      </c>
      <c r="D100" s="56">
        <v>1258.8719140000001</v>
      </c>
      <c r="E100" s="56">
        <v>2858.6637063200001</v>
      </c>
      <c r="F100" s="56">
        <v>6779.6610170000004</v>
      </c>
      <c r="G100" s="56">
        <v>0</v>
      </c>
      <c r="H100" s="56">
        <v>0</v>
      </c>
      <c r="I100" s="56">
        <v>0</v>
      </c>
    </row>
    <row r="101" spans="1:9" x14ac:dyDescent="0.35">
      <c r="A101" s="55">
        <v>31010.085999999999</v>
      </c>
      <c r="B101" s="55">
        <v>11835.472839999999</v>
      </c>
      <c r="C101" s="56">
        <v>4764.5219999999999</v>
      </c>
      <c r="D101" s="56">
        <v>1258.8719140000001</v>
      </c>
      <c r="E101" s="56">
        <v>0</v>
      </c>
      <c r="F101" s="56">
        <v>6779.6610170000004</v>
      </c>
      <c r="G101" s="56">
        <v>0</v>
      </c>
      <c r="H101" s="56">
        <v>0</v>
      </c>
      <c r="I101" s="56">
        <v>0</v>
      </c>
    </row>
    <row r="102" spans="1:9" x14ac:dyDescent="0.35">
      <c r="A102" s="55">
        <v>31779.829999999998</v>
      </c>
      <c r="B102" s="55">
        <v>11851.182839999999</v>
      </c>
      <c r="C102" s="56">
        <v>4767.6689999999999</v>
      </c>
      <c r="D102" s="56">
        <v>1258.8719140000001</v>
      </c>
      <c r="E102" s="56">
        <v>0</v>
      </c>
      <c r="F102" s="56">
        <v>6779.6610170000004</v>
      </c>
      <c r="G102" s="56">
        <v>0</v>
      </c>
      <c r="H102" s="56">
        <v>0</v>
      </c>
      <c r="I102" s="56">
        <v>0</v>
      </c>
    </row>
    <row r="103" spans="1:9" x14ac:dyDescent="0.35">
      <c r="A103" s="55">
        <v>33941.966999999997</v>
      </c>
      <c r="B103" s="55">
        <v>11882.602849999999</v>
      </c>
      <c r="C103" s="56">
        <v>4904.3209999999999</v>
      </c>
      <c r="D103" s="56">
        <v>1356.828391</v>
      </c>
      <c r="E103" s="56">
        <v>1329.8327752099999</v>
      </c>
      <c r="F103" s="56">
        <v>6779.6610170000004</v>
      </c>
      <c r="G103" s="56">
        <v>0</v>
      </c>
      <c r="H103" s="56">
        <v>0</v>
      </c>
      <c r="I103" s="56">
        <v>0</v>
      </c>
    </row>
    <row r="104" spans="1:9" x14ac:dyDescent="0.35">
      <c r="A104" s="55">
        <v>37031.663</v>
      </c>
      <c r="B104" s="55">
        <v>11898.312849999998</v>
      </c>
      <c r="C104" s="56">
        <v>5261.7860000000001</v>
      </c>
      <c r="D104" s="56">
        <v>1454.7848670000001</v>
      </c>
      <c r="E104" s="56">
        <v>3030.0808235099998</v>
      </c>
      <c r="F104" s="56">
        <v>6779.6610170000004</v>
      </c>
      <c r="G104" s="56">
        <v>0</v>
      </c>
      <c r="H104" s="56">
        <v>0</v>
      </c>
      <c r="I104" s="56">
        <v>0</v>
      </c>
    </row>
    <row r="105" spans="1:9" x14ac:dyDescent="0.35">
      <c r="A105" s="55">
        <v>39814.494999999995</v>
      </c>
      <c r="B105" s="55">
        <v>11914.022849999999</v>
      </c>
      <c r="C105" s="56">
        <v>5787.902</v>
      </c>
      <c r="D105" s="56">
        <v>1547.58574</v>
      </c>
      <c r="E105" s="56">
        <v>197.61554663999999</v>
      </c>
      <c r="F105" s="56">
        <v>6779.6610170000004</v>
      </c>
      <c r="G105" s="56">
        <v>0</v>
      </c>
      <c r="H105" s="56">
        <v>0</v>
      </c>
      <c r="I105" s="56">
        <v>0</v>
      </c>
    </row>
    <row r="106" spans="1:9" x14ac:dyDescent="0.35">
      <c r="A106" s="55">
        <v>41641.185999999994</v>
      </c>
      <c r="B106" s="55">
        <v>11914.022849999999</v>
      </c>
      <c r="C106" s="56">
        <v>6273.2460000000001</v>
      </c>
      <c r="D106" s="56">
        <v>1645.5422160000001</v>
      </c>
      <c r="E106" s="56">
        <v>843.23938495000004</v>
      </c>
      <c r="F106" s="56">
        <v>6779.6610170000004</v>
      </c>
      <c r="G106" s="56">
        <v>0</v>
      </c>
      <c r="H106" s="56">
        <v>103.1</v>
      </c>
      <c r="I106" s="56">
        <v>0</v>
      </c>
    </row>
    <row r="107" spans="1:9" x14ac:dyDescent="0.35">
      <c r="A107" s="55">
        <v>42953.364999999998</v>
      </c>
      <c r="B107" s="55">
        <v>11914.022849999999</v>
      </c>
      <c r="C107" s="56">
        <v>6495.6360000000004</v>
      </c>
      <c r="D107" s="56">
        <v>1645.5422160000001</v>
      </c>
      <c r="E107" s="56">
        <v>5000</v>
      </c>
      <c r="F107" s="56">
        <v>6779.6610170000004</v>
      </c>
      <c r="G107" s="56">
        <v>0</v>
      </c>
      <c r="H107" s="56">
        <v>818</v>
      </c>
      <c r="I107" s="56">
        <v>330</v>
      </c>
    </row>
    <row r="108" spans="1:9" x14ac:dyDescent="0.35">
      <c r="A108" s="55">
        <v>42971.335000000006</v>
      </c>
      <c r="B108" s="55">
        <v>11914.022849999999</v>
      </c>
      <c r="C108" s="56">
        <v>6423.1790000000001</v>
      </c>
      <c r="D108" s="56">
        <v>1697.0982570000001</v>
      </c>
      <c r="E108" s="56">
        <v>5000</v>
      </c>
      <c r="F108" s="56">
        <v>6779.6610170000004</v>
      </c>
      <c r="G108" s="56">
        <v>0</v>
      </c>
      <c r="H108" s="56">
        <v>818</v>
      </c>
      <c r="I108" s="56">
        <v>330</v>
      </c>
    </row>
    <row r="109" spans="1:9" x14ac:dyDescent="0.35">
      <c r="A109" s="55">
        <v>43535.763999999996</v>
      </c>
      <c r="B109" s="55">
        <v>11898.312849999998</v>
      </c>
      <c r="C109" s="56">
        <v>6554.3549999999996</v>
      </c>
      <c r="D109" s="56">
        <v>1697.0982570000001</v>
      </c>
      <c r="E109" s="56">
        <v>5000</v>
      </c>
      <c r="F109" s="56">
        <v>6779.6610170000004</v>
      </c>
      <c r="G109" s="56">
        <v>0</v>
      </c>
      <c r="H109" s="56">
        <v>818</v>
      </c>
      <c r="I109" s="56">
        <v>330</v>
      </c>
    </row>
    <row r="110" spans="1:9" x14ac:dyDescent="0.35">
      <c r="A110" s="55">
        <v>44056.064999999995</v>
      </c>
      <c r="B110" s="55">
        <v>11882.602849999999</v>
      </c>
      <c r="C110" s="56">
        <v>6677.2020000000002</v>
      </c>
      <c r="D110" s="56">
        <v>1645.5422160000001</v>
      </c>
      <c r="E110" s="56">
        <v>5000</v>
      </c>
      <c r="F110" s="56">
        <v>6779.6610170000004</v>
      </c>
      <c r="G110" s="56">
        <v>0</v>
      </c>
      <c r="H110" s="56">
        <v>818</v>
      </c>
      <c r="I110" s="56">
        <v>330</v>
      </c>
    </row>
    <row r="111" spans="1:9" x14ac:dyDescent="0.35">
      <c r="A111" s="55">
        <v>44045.721999999994</v>
      </c>
      <c r="B111" s="55">
        <v>11882.602849999999</v>
      </c>
      <c r="C111" s="56">
        <v>6452.0839999999998</v>
      </c>
      <c r="D111" s="56">
        <v>1671.320236</v>
      </c>
      <c r="E111" s="56">
        <v>5000</v>
      </c>
      <c r="F111" s="56">
        <v>6779.6610170000004</v>
      </c>
      <c r="G111" s="56">
        <v>0</v>
      </c>
      <c r="H111" s="56">
        <v>818</v>
      </c>
      <c r="I111" s="56">
        <v>330</v>
      </c>
    </row>
    <row r="112" spans="1:9" x14ac:dyDescent="0.35">
      <c r="A112" s="55">
        <v>43237.392</v>
      </c>
      <c r="B112" s="55">
        <v>11898.312849999998</v>
      </c>
      <c r="C112" s="56">
        <v>6412.6229999999996</v>
      </c>
      <c r="D112" s="56">
        <v>1645.5422160000001</v>
      </c>
      <c r="E112" s="56">
        <v>5000</v>
      </c>
      <c r="F112" s="56">
        <v>6779.6610170000004</v>
      </c>
      <c r="G112" s="56">
        <v>0</v>
      </c>
      <c r="H112" s="56">
        <v>818</v>
      </c>
      <c r="I112" s="56">
        <v>330</v>
      </c>
    </row>
    <row r="113" spans="1:9" x14ac:dyDescent="0.35">
      <c r="A113" s="55">
        <v>43095.958999999995</v>
      </c>
      <c r="B113" s="55">
        <v>11914.022849999999</v>
      </c>
      <c r="C113" s="56">
        <v>6413.6030000000001</v>
      </c>
      <c r="D113" s="56">
        <v>1645.5422160000001</v>
      </c>
      <c r="E113" s="56">
        <v>5000</v>
      </c>
      <c r="F113" s="56">
        <v>6779.6610170000004</v>
      </c>
      <c r="G113" s="56">
        <v>0</v>
      </c>
      <c r="H113" s="56">
        <v>818</v>
      </c>
      <c r="I113" s="56">
        <v>330</v>
      </c>
    </row>
    <row r="114" spans="1:9" x14ac:dyDescent="0.35">
      <c r="A114" s="55">
        <v>43820.275999999998</v>
      </c>
      <c r="B114" s="55">
        <v>11914.022849999999</v>
      </c>
      <c r="C114" s="56">
        <v>6608.0029999999997</v>
      </c>
      <c r="D114" s="56">
        <v>1645.5422160000001</v>
      </c>
      <c r="E114" s="56">
        <v>5000</v>
      </c>
      <c r="F114" s="56">
        <v>6779.6610170000004</v>
      </c>
      <c r="G114" s="56">
        <v>0</v>
      </c>
      <c r="H114" s="56">
        <v>818</v>
      </c>
      <c r="I114" s="56">
        <v>330</v>
      </c>
    </row>
    <row r="115" spans="1:9" x14ac:dyDescent="0.35">
      <c r="A115" s="55">
        <v>46060.450000000004</v>
      </c>
      <c r="B115" s="55">
        <v>11914.022849999999</v>
      </c>
      <c r="C115" s="56">
        <v>7061.5820000000003</v>
      </c>
      <c r="D115" s="56">
        <v>1645.5422160000001</v>
      </c>
      <c r="E115" s="56">
        <v>5000</v>
      </c>
      <c r="F115" s="56">
        <v>6779.6610170000004</v>
      </c>
      <c r="G115" s="56">
        <v>0</v>
      </c>
      <c r="H115" s="56">
        <v>818</v>
      </c>
      <c r="I115" s="56">
        <v>0</v>
      </c>
    </row>
    <row r="116" spans="1:9" x14ac:dyDescent="0.35">
      <c r="A116" s="55">
        <v>47164.550999999999</v>
      </c>
      <c r="B116" s="55">
        <v>11898.312849999998</v>
      </c>
      <c r="C116" s="56">
        <v>7459.0020000000004</v>
      </c>
      <c r="D116" s="56">
        <v>1645.5422160000001</v>
      </c>
      <c r="E116" s="56">
        <v>5000</v>
      </c>
      <c r="F116" s="56">
        <v>6779.6610170000004</v>
      </c>
      <c r="G116" s="56">
        <v>0</v>
      </c>
      <c r="H116" s="56">
        <v>167.00042579999999</v>
      </c>
      <c r="I116" s="56">
        <v>0</v>
      </c>
    </row>
    <row r="117" spans="1:9" x14ac:dyDescent="0.35">
      <c r="A117" s="55">
        <v>46362.289000000004</v>
      </c>
      <c r="B117" s="55">
        <v>11882.602849999999</v>
      </c>
      <c r="C117" s="56">
        <v>7511.308</v>
      </c>
      <c r="D117" s="56">
        <v>1490.874096</v>
      </c>
      <c r="E117" s="56">
        <v>5000</v>
      </c>
      <c r="F117" s="56">
        <v>6779.6610170000004</v>
      </c>
      <c r="G117" s="56">
        <v>0</v>
      </c>
      <c r="H117" s="56">
        <v>0</v>
      </c>
      <c r="I117" s="56">
        <v>0</v>
      </c>
    </row>
    <row r="118" spans="1:9" x14ac:dyDescent="0.35">
      <c r="A118" s="55">
        <v>44574.281000000003</v>
      </c>
      <c r="B118" s="55">
        <v>11866.892839999999</v>
      </c>
      <c r="C118" s="56">
        <v>7234.3190000000004</v>
      </c>
      <c r="D118" s="56">
        <v>1387.762015</v>
      </c>
      <c r="E118" s="56">
        <v>2797.6247696400001</v>
      </c>
      <c r="F118" s="56">
        <v>6779.6610170000004</v>
      </c>
      <c r="G118" s="56">
        <v>0</v>
      </c>
      <c r="H118" s="56">
        <v>0</v>
      </c>
      <c r="I118" s="56">
        <v>0</v>
      </c>
    </row>
    <row r="119" spans="1:9" x14ac:dyDescent="0.35">
      <c r="A119" s="55">
        <v>42176.116999999998</v>
      </c>
      <c r="B119" s="55">
        <v>11851.182839999999</v>
      </c>
      <c r="C119" s="56">
        <v>6791.7879999999996</v>
      </c>
      <c r="D119" s="56">
        <v>1310.4279550000001</v>
      </c>
      <c r="E119" s="56">
        <v>0</v>
      </c>
      <c r="F119" s="56">
        <v>6779.6610170000004</v>
      </c>
      <c r="G119" s="56">
        <v>0</v>
      </c>
      <c r="H119" s="56">
        <v>0</v>
      </c>
      <c r="I119" s="56">
        <v>0</v>
      </c>
    </row>
    <row r="120" spans="1:9" x14ac:dyDescent="0.35">
      <c r="A120" s="55">
        <v>39847.638999999996</v>
      </c>
      <c r="B120" s="55">
        <v>11835.472839999999</v>
      </c>
      <c r="C120" s="56">
        <v>6938.5410000000002</v>
      </c>
      <c r="D120" s="56">
        <v>1258.8719140000001</v>
      </c>
      <c r="E120" s="56">
        <v>29.88274315</v>
      </c>
      <c r="F120" s="56">
        <v>6779.6610170000004</v>
      </c>
      <c r="G120" s="56">
        <v>0</v>
      </c>
      <c r="H120" s="56">
        <v>0</v>
      </c>
      <c r="I120" s="56">
        <v>0</v>
      </c>
    </row>
    <row r="121" spans="1:9" x14ac:dyDescent="0.35">
      <c r="A121" s="55">
        <v>37475.285000000003</v>
      </c>
      <c r="B121" s="55">
        <v>11835.472839999999</v>
      </c>
      <c r="C121" s="56">
        <v>6454.8519999999999</v>
      </c>
      <c r="D121" s="56">
        <v>1258.8719140000001</v>
      </c>
      <c r="E121" s="56">
        <v>2244.1603927199999</v>
      </c>
      <c r="F121" s="56">
        <v>6779.6610170000004</v>
      </c>
      <c r="G121" s="56">
        <v>0</v>
      </c>
      <c r="H121" s="56">
        <v>0</v>
      </c>
      <c r="I121" s="56">
        <v>0</v>
      </c>
    </row>
    <row r="122" spans="1:9" x14ac:dyDescent="0.35">
      <c r="A122" s="55">
        <v>34403.582999999999</v>
      </c>
      <c r="B122" s="55">
        <v>11832.805579999998</v>
      </c>
      <c r="C122" s="56">
        <v>5643.5910000000003</v>
      </c>
      <c r="D122" s="56">
        <v>1660.1195</v>
      </c>
      <c r="E122" s="56">
        <v>5000</v>
      </c>
      <c r="F122" s="56">
        <v>6779.6610170000004</v>
      </c>
      <c r="G122" s="56">
        <v>0</v>
      </c>
      <c r="H122" s="56">
        <v>0</v>
      </c>
      <c r="I122" s="56">
        <v>330</v>
      </c>
    </row>
    <row r="123" spans="1:9" x14ac:dyDescent="0.35">
      <c r="A123" s="55">
        <v>32286.286</v>
      </c>
      <c r="B123" s="55">
        <v>11832.805579999998</v>
      </c>
      <c r="C123" s="56">
        <v>5246</v>
      </c>
      <c r="D123" s="56">
        <v>1660.1195</v>
      </c>
      <c r="E123" s="56">
        <v>5000</v>
      </c>
      <c r="F123" s="56">
        <v>6779.6610170000004</v>
      </c>
      <c r="G123" s="56">
        <v>0</v>
      </c>
      <c r="H123" s="56">
        <v>818</v>
      </c>
      <c r="I123" s="56">
        <v>292.82237085000003</v>
      </c>
    </row>
    <row r="124" spans="1:9" x14ac:dyDescent="0.35">
      <c r="A124" s="55">
        <v>30708.298999999999</v>
      </c>
      <c r="B124" s="55">
        <v>11832.805579999998</v>
      </c>
      <c r="C124" s="56">
        <v>4773.5889999999999</v>
      </c>
      <c r="D124" s="56">
        <v>1660.1195</v>
      </c>
      <c r="E124" s="56">
        <v>5000</v>
      </c>
      <c r="F124" s="56">
        <v>6779.6610170000004</v>
      </c>
      <c r="G124" s="56">
        <v>0</v>
      </c>
      <c r="H124" s="56">
        <v>818</v>
      </c>
      <c r="I124" s="56">
        <v>0</v>
      </c>
    </row>
    <row r="125" spans="1:9" x14ac:dyDescent="0.35">
      <c r="A125" s="55">
        <v>29613.284</v>
      </c>
      <c r="B125" s="55">
        <v>11832.805579999998</v>
      </c>
      <c r="C125" s="56">
        <v>4611.43</v>
      </c>
      <c r="D125" s="56">
        <v>1660.1195</v>
      </c>
      <c r="E125" s="56">
        <v>5000</v>
      </c>
      <c r="F125" s="56">
        <v>6779.6610170000004</v>
      </c>
      <c r="G125" s="56">
        <v>0</v>
      </c>
      <c r="H125" s="56">
        <v>818</v>
      </c>
      <c r="I125" s="56">
        <v>330</v>
      </c>
    </row>
    <row r="126" spans="1:9" x14ac:dyDescent="0.35">
      <c r="A126" s="55">
        <v>28629.774000000001</v>
      </c>
      <c r="B126" s="55">
        <v>11864.49785</v>
      </c>
      <c r="C126" s="56">
        <v>4572.915</v>
      </c>
      <c r="D126" s="56">
        <v>1660.1195</v>
      </c>
      <c r="E126" s="56">
        <v>5000</v>
      </c>
      <c r="F126" s="56">
        <v>6779.6610170000004</v>
      </c>
      <c r="G126" s="56">
        <v>0</v>
      </c>
      <c r="H126" s="56">
        <v>818</v>
      </c>
      <c r="I126" s="56">
        <v>330</v>
      </c>
    </row>
    <row r="127" spans="1:9" x14ac:dyDescent="0.35">
      <c r="A127" s="55">
        <v>27657.187000000002</v>
      </c>
      <c r="B127" s="55">
        <v>11896.19011</v>
      </c>
      <c r="C127" s="56">
        <v>4625.1139999999996</v>
      </c>
      <c r="D127" s="56">
        <v>1660.1195</v>
      </c>
      <c r="E127" s="56">
        <v>5000</v>
      </c>
      <c r="F127" s="56">
        <v>6779.6610170000004</v>
      </c>
      <c r="G127" s="56">
        <v>0</v>
      </c>
      <c r="H127" s="56">
        <v>0</v>
      </c>
      <c r="I127" s="56">
        <v>330</v>
      </c>
    </row>
    <row r="128" spans="1:9" x14ac:dyDescent="0.35">
      <c r="A128" s="55">
        <v>27583.936999999998</v>
      </c>
      <c r="B128" s="55">
        <v>11912.036249999999</v>
      </c>
      <c r="C128" s="56">
        <v>4739.2560000000003</v>
      </c>
      <c r="D128" s="56">
        <v>1660.1195</v>
      </c>
      <c r="E128" s="56">
        <v>5000</v>
      </c>
      <c r="F128" s="56">
        <v>6779.6610170000004</v>
      </c>
      <c r="G128" s="56">
        <v>0</v>
      </c>
      <c r="H128" s="56">
        <v>818</v>
      </c>
      <c r="I128" s="56">
        <v>330</v>
      </c>
    </row>
    <row r="129" spans="1:9" x14ac:dyDescent="0.35">
      <c r="A129" s="55">
        <v>28764.89</v>
      </c>
      <c r="B129" s="55">
        <v>11896.19011</v>
      </c>
      <c r="C129" s="56">
        <v>4803.72</v>
      </c>
      <c r="D129" s="56">
        <v>1660.1195</v>
      </c>
      <c r="E129" s="56">
        <v>5000</v>
      </c>
      <c r="F129" s="56">
        <v>6779.6610170000004</v>
      </c>
      <c r="G129" s="56">
        <v>0</v>
      </c>
      <c r="H129" s="56">
        <v>818</v>
      </c>
      <c r="I129" s="56">
        <v>0</v>
      </c>
    </row>
    <row r="130" spans="1:9" x14ac:dyDescent="0.35">
      <c r="A130" s="55">
        <v>30670.206000000002</v>
      </c>
      <c r="B130" s="55">
        <v>11896.19011</v>
      </c>
      <c r="C130" s="56">
        <v>4894.0069999999996</v>
      </c>
      <c r="D130" s="56">
        <v>1660.1195</v>
      </c>
      <c r="E130" s="56">
        <v>5000</v>
      </c>
      <c r="F130" s="56">
        <v>6779.6610170000004</v>
      </c>
      <c r="G130" s="56">
        <v>0</v>
      </c>
      <c r="H130" s="56">
        <v>818</v>
      </c>
      <c r="I130" s="56">
        <v>0</v>
      </c>
    </row>
    <row r="131" spans="1:9" x14ac:dyDescent="0.35">
      <c r="A131" s="55">
        <v>33008.887999999999</v>
      </c>
      <c r="B131" s="55">
        <v>11896.19011</v>
      </c>
      <c r="C131" s="56">
        <v>5145.4859999999999</v>
      </c>
      <c r="D131" s="56">
        <v>1660.1195</v>
      </c>
      <c r="E131" s="56">
        <v>5000</v>
      </c>
      <c r="F131" s="56">
        <v>6779.6610170000004</v>
      </c>
      <c r="G131" s="56">
        <v>0</v>
      </c>
      <c r="H131" s="56">
        <v>818</v>
      </c>
      <c r="I131" s="56">
        <v>330</v>
      </c>
    </row>
    <row r="132" spans="1:9" x14ac:dyDescent="0.35">
      <c r="A132" s="55">
        <v>33449.326000000001</v>
      </c>
      <c r="B132" s="55">
        <v>11896.19011</v>
      </c>
      <c r="C132" s="56">
        <v>5222.2489999999998</v>
      </c>
      <c r="D132" s="56">
        <v>1843.839338</v>
      </c>
      <c r="E132" s="56">
        <v>5000</v>
      </c>
      <c r="F132" s="56">
        <v>6779.6610170000004</v>
      </c>
      <c r="G132" s="56">
        <v>0</v>
      </c>
      <c r="H132" s="56">
        <v>818</v>
      </c>
      <c r="I132" s="56">
        <v>330</v>
      </c>
    </row>
    <row r="133" spans="1:9" x14ac:dyDescent="0.35">
      <c r="A133" s="55">
        <v>34221.460999999996</v>
      </c>
      <c r="B133" s="55">
        <v>11912.036249999999</v>
      </c>
      <c r="C133" s="56">
        <v>5428.2359999999999</v>
      </c>
      <c r="D133" s="56">
        <v>1843.839338</v>
      </c>
      <c r="E133" s="56">
        <v>5000</v>
      </c>
      <c r="F133" s="56">
        <v>6779.6610170000004</v>
      </c>
      <c r="G133" s="56">
        <v>0</v>
      </c>
      <c r="H133" s="56">
        <v>818</v>
      </c>
      <c r="I133" s="56">
        <v>330</v>
      </c>
    </row>
    <row r="134" spans="1:9" x14ac:dyDescent="0.35">
      <c r="A134" s="55">
        <v>35155.864999999998</v>
      </c>
      <c r="B134" s="55">
        <v>11896.19011</v>
      </c>
      <c r="C134" s="56">
        <v>5772.0529999999999</v>
      </c>
      <c r="D134" s="56">
        <v>1843.839338</v>
      </c>
      <c r="E134" s="56">
        <v>5000</v>
      </c>
      <c r="F134" s="56">
        <v>6779.6610170000004</v>
      </c>
      <c r="G134" s="56">
        <v>0</v>
      </c>
      <c r="H134" s="56">
        <v>818</v>
      </c>
      <c r="I134" s="56">
        <v>330</v>
      </c>
    </row>
    <row r="135" spans="1:9" x14ac:dyDescent="0.35">
      <c r="A135" s="55">
        <v>35486.675999999999</v>
      </c>
      <c r="B135" s="55">
        <v>11896.19011</v>
      </c>
      <c r="C135" s="56">
        <v>5541.1480000000001</v>
      </c>
      <c r="D135" s="56">
        <v>1843.839338</v>
      </c>
      <c r="E135" s="56">
        <v>5000</v>
      </c>
      <c r="F135" s="56">
        <v>6779.6610170000004</v>
      </c>
      <c r="G135" s="56">
        <v>0</v>
      </c>
      <c r="H135" s="56">
        <v>818</v>
      </c>
      <c r="I135" s="56">
        <v>330</v>
      </c>
    </row>
    <row r="136" spans="1:9" x14ac:dyDescent="0.35">
      <c r="A136" s="55">
        <v>34433.777999999998</v>
      </c>
      <c r="B136" s="55">
        <v>11912.036249999999</v>
      </c>
      <c r="C136" s="56">
        <v>5346.7479999999996</v>
      </c>
      <c r="D136" s="56">
        <v>1843.839338</v>
      </c>
      <c r="E136" s="56">
        <v>5000</v>
      </c>
      <c r="F136" s="56">
        <v>6779.6610170000004</v>
      </c>
      <c r="G136" s="56">
        <v>0</v>
      </c>
      <c r="H136" s="56">
        <v>818</v>
      </c>
      <c r="I136" s="56">
        <v>330</v>
      </c>
    </row>
    <row r="137" spans="1:9" x14ac:dyDescent="0.35">
      <c r="A137" s="55">
        <v>33882.572999999997</v>
      </c>
      <c r="B137" s="55">
        <v>11896.19011</v>
      </c>
      <c r="C137" s="56">
        <v>5363.0209999999997</v>
      </c>
      <c r="D137" s="56">
        <v>1660.1195</v>
      </c>
      <c r="E137" s="56">
        <v>5000</v>
      </c>
      <c r="F137" s="56">
        <v>6779.6610170000004</v>
      </c>
      <c r="G137" s="56">
        <v>0</v>
      </c>
      <c r="H137" s="56">
        <v>818</v>
      </c>
      <c r="I137" s="56">
        <v>330</v>
      </c>
    </row>
    <row r="138" spans="1:9" x14ac:dyDescent="0.35">
      <c r="A138" s="55">
        <v>34240.737000000001</v>
      </c>
      <c r="B138" s="55">
        <v>11896.19011</v>
      </c>
      <c r="C138" s="56">
        <v>5578.4830000000002</v>
      </c>
      <c r="D138" s="56">
        <v>1660.1195</v>
      </c>
      <c r="E138" s="56">
        <v>5000</v>
      </c>
      <c r="F138" s="56">
        <v>6779.6610170000004</v>
      </c>
      <c r="G138" s="56">
        <v>0</v>
      </c>
      <c r="H138" s="56">
        <v>818</v>
      </c>
      <c r="I138" s="56">
        <v>330</v>
      </c>
    </row>
    <row r="139" spans="1:9" x14ac:dyDescent="0.35">
      <c r="A139" s="55">
        <v>36876.286</v>
      </c>
      <c r="B139" s="55">
        <v>11896.19011</v>
      </c>
      <c r="C139" s="56">
        <v>6202.8130000000001</v>
      </c>
      <c r="D139" s="56">
        <v>1660.1195</v>
      </c>
      <c r="E139" s="56">
        <v>5000</v>
      </c>
      <c r="F139" s="56">
        <v>6779.6610170000004</v>
      </c>
      <c r="G139" s="56">
        <v>0</v>
      </c>
      <c r="H139" s="56">
        <v>0</v>
      </c>
      <c r="I139" s="56">
        <v>104.02773392</v>
      </c>
    </row>
    <row r="140" spans="1:9" x14ac:dyDescent="0.35">
      <c r="A140" s="55">
        <v>38816.682000000001</v>
      </c>
      <c r="B140" s="55">
        <v>11912.036249999999</v>
      </c>
      <c r="C140" s="56">
        <v>6750.8119999999999</v>
      </c>
      <c r="D140" s="56">
        <v>1660.1195</v>
      </c>
      <c r="E140" s="56">
        <v>5000</v>
      </c>
      <c r="F140" s="56">
        <v>6779.6610170000004</v>
      </c>
      <c r="G140" s="56">
        <v>0</v>
      </c>
      <c r="H140" s="56">
        <v>818</v>
      </c>
      <c r="I140" s="56">
        <v>330</v>
      </c>
    </row>
    <row r="141" spans="1:9" x14ac:dyDescent="0.35">
      <c r="A141" s="55">
        <v>39459.180999999997</v>
      </c>
      <c r="B141" s="55">
        <v>11896.19011</v>
      </c>
      <c r="C141" s="56">
        <v>6825.0439999999999</v>
      </c>
      <c r="D141" s="56">
        <v>1660.1195</v>
      </c>
      <c r="E141" s="56">
        <v>5000</v>
      </c>
      <c r="F141" s="56">
        <v>6779.6610170000004</v>
      </c>
      <c r="G141" s="56">
        <v>0</v>
      </c>
      <c r="H141" s="56">
        <v>818</v>
      </c>
      <c r="I141" s="56">
        <v>0</v>
      </c>
    </row>
    <row r="142" spans="1:9" x14ac:dyDescent="0.35">
      <c r="A142" s="55">
        <v>39457.144</v>
      </c>
      <c r="B142" s="55">
        <v>11880.34398</v>
      </c>
      <c r="C142" s="56">
        <v>6558.56</v>
      </c>
      <c r="D142" s="56">
        <v>1660.1195</v>
      </c>
      <c r="E142" s="56">
        <v>5000</v>
      </c>
      <c r="F142" s="56">
        <v>6779.6610170000004</v>
      </c>
      <c r="G142" s="56">
        <v>0</v>
      </c>
      <c r="H142" s="56">
        <v>818</v>
      </c>
      <c r="I142" s="56">
        <v>330</v>
      </c>
    </row>
    <row r="143" spans="1:9" x14ac:dyDescent="0.35">
      <c r="A143" s="55">
        <v>38604.329999999994</v>
      </c>
      <c r="B143" s="55">
        <v>11864.49785</v>
      </c>
      <c r="C143" s="56">
        <v>6112.9520000000002</v>
      </c>
      <c r="D143" s="56">
        <v>1660.1195</v>
      </c>
      <c r="E143" s="56">
        <v>5000</v>
      </c>
      <c r="F143" s="56">
        <v>6779.6610170000004</v>
      </c>
      <c r="G143" s="56">
        <v>0</v>
      </c>
      <c r="H143" s="56">
        <v>818</v>
      </c>
      <c r="I143" s="56">
        <v>0</v>
      </c>
    </row>
    <row r="144" spans="1:9" x14ac:dyDescent="0.35">
      <c r="A144" s="55">
        <v>36813.754999999997</v>
      </c>
      <c r="B144" s="55">
        <v>11832.805579999998</v>
      </c>
      <c r="C144" s="56">
        <v>6325.7550000000001</v>
      </c>
      <c r="D144" s="56">
        <v>1660.1195</v>
      </c>
      <c r="E144" s="56">
        <v>5000</v>
      </c>
      <c r="F144" s="56">
        <v>6779.6610170000004</v>
      </c>
      <c r="G144" s="56">
        <v>0</v>
      </c>
      <c r="H144" s="56">
        <v>0</v>
      </c>
      <c r="I144" s="56">
        <v>330</v>
      </c>
    </row>
    <row r="145" spans="1:9" x14ac:dyDescent="0.35">
      <c r="A145" s="55">
        <v>34282.080000000002</v>
      </c>
      <c r="B145" s="55">
        <v>11832.805579999998</v>
      </c>
      <c r="C145" s="56">
        <v>5965.1719999999996</v>
      </c>
      <c r="D145" s="56">
        <v>1660.1195</v>
      </c>
      <c r="E145" s="56">
        <v>5000</v>
      </c>
      <c r="F145" s="56">
        <v>6779.6610170000004</v>
      </c>
      <c r="G145" s="56">
        <v>0</v>
      </c>
      <c r="H145" s="56">
        <v>818</v>
      </c>
      <c r="I145" s="56">
        <v>0</v>
      </c>
    </row>
    <row r="146" spans="1:9" x14ac:dyDescent="0.35">
      <c r="A146" s="55">
        <v>32633.776000000002</v>
      </c>
      <c r="B146" s="55">
        <v>11832.805579999998</v>
      </c>
      <c r="C146" s="56">
        <v>5339.4930000000004</v>
      </c>
      <c r="D146" s="56">
        <v>1687.8581449999999</v>
      </c>
      <c r="E146" s="56">
        <v>5000</v>
      </c>
      <c r="F146" s="56">
        <v>6779.6610170000004</v>
      </c>
      <c r="G146" s="56">
        <v>0</v>
      </c>
      <c r="H146" s="56">
        <v>818</v>
      </c>
      <c r="I146" s="56">
        <v>330</v>
      </c>
    </row>
    <row r="147" spans="1:9" x14ac:dyDescent="0.35">
      <c r="A147" s="55">
        <v>30727.125999999997</v>
      </c>
      <c r="B147" s="55">
        <v>11832.805579999998</v>
      </c>
      <c r="C147" s="56">
        <v>4957.9459999999999</v>
      </c>
      <c r="D147" s="56">
        <v>1687.8581449999999</v>
      </c>
      <c r="E147" s="56">
        <v>5000</v>
      </c>
      <c r="F147" s="56">
        <v>6779.6610170000004</v>
      </c>
      <c r="G147" s="56">
        <v>0</v>
      </c>
      <c r="H147" s="56">
        <v>818</v>
      </c>
      <c r="I147" s="56">
        <v>330</v>
      </c>
    </row>
    <row r="148" spans="1:9" x14ac:dyDescent="0.35">
      <c r="A148" s="55">
        <v>29460.581999999999</v>
      </c>
      <c r="B148" s="55">
        <v>11832.805579999998</v>
      </c>
      <c r="C148" s="56">
        <v>4496.732</v>
      </c>
      <c r="D148" s="56">
        <v>1687.8581449999999</v>
      </c>
      <c r="E148" s="56">
        <v>5000</v>
      </c>
      <c r="F148" s="56">
        <v>6779.6610170000004</v>
      </c>
      <c r="G148" s="56">
        <v>0</v>
      </c>
      <c r="H148" s="56">
        <v>818</v>
      </c>
      <c r="I148" s="56">
        <v>330</v>
      </c>
    </row>
    <row r="149" spans="1:9" x14ac:dyDescent="0.35">
      <c r="A149" s="55">
        <v>28758.135999999999</v>
      </c>
      <c r="B149" s="55">
        <v>11832.805579999998</v>
      </c>
      <c r="C149" s="56">
        <v>4343.1559999999999</v>
      </c>
      <c r="D149" s="56">
        <v>1687.8581449999999</v>
      </c>
      <c r="E149" s="56">
        <v>5000</v>
      </c>
      <c r="F149" s="56">
        <v>6779.6610170000004</v>
      </c>
      <c r="G149" s="56">
        <v>0</v>
      </c>
      <c r="H149" s="56">
        <v>818</v>
      </c>
      <c r="I149" s="56">
        <v>330</v>
      </c>
    </row>
    <row r="150" spans="1:9" x14ac:dyDescent="0.35">
      <c r="A150" s="55">
        <v>28585.671000000002</v>
      </c>
      <c r="B150" s="55">
        <v>11864.49785</v>
      </c>
      <c r="C150" s="56">
        <v>4305.777</v>
      </c>
      <c r="D150" s="56">
        <v>1687.8581449999999</v>
      </c>
      <c r="E150" s="56">
        <v>5000</v>
      </c>
      <c r="F150" s="56">
        <v>6779.6610170000004</v>
      </c>
      <c r="G150" s="56">
        <v>0</v>
      </c>
      <c r="H150" s="56">
        <v>818</v>
      </c>
      <c r="I150" s="56">
        <v>330</v>
      </c>
    </row>
    <row r="151" spans="1:9" x14ac:dyDescent="0.35">
      <c r="A151" s="55">
        <v>28783.722000000002</v>
      </c>
      <c r="B151" s="55">
        <v>11896.19011</v>
      </c>
      <c r="C151" s="56">
        <v>4336.7520000000004</v>
      </c>
      <c r="D151" s="56">
        <v>1687.8581449999999</v>
      </c>
      <c r="E151" s="56">
        <v>5000</v>
      </c>
      <c r="F151" s="56">
        <v>6779.6610170000004</v>
      </c>
      <c r="G151" s="56">
        <v>0</v>
      </c>
      <c r="H151" s="56">
        <v>818</v>
      </c>
      <c r="I151" s="56">
        <v>330</v>
      </c>
    </row>
    <row r="152" spans="1:9" x14ac:dyDescent="0.35">
      <c r="A152" s="55">
        <v>29674.134999999998</v>
      </c>
      <c r="B152" s="55">
        <v>11912.036249999999</v>
      </c>
      <c r="C152" s="56">
        <v>4388.3490000000002</v>
      </c>
      <c r="D152" s="56">
        <v>1687.8581449999999</v>
      </c>
      <c r="E152" s="56">
        <v>5000</v>
      </c>
      <c r="F152" s="56">
        <v>6779.6610170000004</v>
      </c>
      <c r="G152" s="56">
        <v>0</v>
      </c>
      <c r="H152" s="56">
        <v>818</v>
      </c>
      <c r="I152" s="56">
        <v>330</v>
      </c>
    </row>
    <row r="153" spans="1:9" x14ac:dyDescent="0.35">
      <c r="A153" s="55">
        <v>31319.714</v>
      </c>
      <c r="B153" s="55">
        <v>11896.19011</v>
      </c>
      <c r="C153" s="56">
        <v>4334.1949999999997</v>
      </c>
      <c r="D153" s="56">
        <v>1687.8581449999999</v>
      </c>
      <c r="E153" s="56">
        <v>5000</v>
      </c>
      <c r="F153" s="56">
        <v>6779.6610170000004</v>
      </c>
      <c r="G153" s="56">
        <v>0</v>
      </c>
      <c r="H153" s="56">
        <v>818</v>
      </c>
      <c r="I153" s="56">
        <v>330</v>
      </c>
    </row>
    <row r="154" spans="1:9" x14ac:dyDescent="0.35">
      <c r="A154" s="55">
        <v>33635.925999999999</v>
      </c>
      <c r="B154" s="55">
        <v>11896.19011</v>
      </c>
      <c r="C154" s="56">
        <v>4342.3630000000003</v>
      </c>
      <c r="D154" s="56">
        <v>1687.8581449999999</v>
      </c>
      <c r="E154" s="56">
        <v>5000</v>
      </c>
      <c r="F154" s="56">
        <v>6779.6610170000004</v>
      </c>
      <c r="G154" s="56">
        <v>0</v>
      </c>
      <c r="H154" s="56">
        <v>818</v>
      </c>
      <c r="I154" s="56">
        <v>330</v>
      </c>
    </row>
    <row r="155" spans="1:9" x14ac:dyDescent="0.35">
      <c r="A155" s="55">
        <v>36023.576000000001</v>
      </c>
      <c r="B155" s="55">
        <v>11896.19011</v>
      </c>
      <c r="C155" s="56">
        <v>4640.1970000000001</v>
      </c>
      <c r="D155" s="56">
        <v>1687.8581449999999</v>
      </c>
      <c r="E155" s="56">
        <v>5000</v>
      </c>
      <c r="F155" s="56">
        <v>6779.6610170000004</v>
      </c>
      <c r="G155" s="56">
        <v>0</v>
      </c>
      <c r="H155" s="56">
        <v>818</v>
      </c>
      <c r="I155" s="56">
        <v>330</v>
      </c>
    </row>
    <row r="156" spans="1:9" x14ac:dyDescent="0.35">
      <c r="A156" s="55">
        <v>36804.972999999998</v>
      </c>
      <c r="B156" s="55">
        <v>11896.19011</v>
      </c>
      <c r="C156" s="56">
        <v>4886.9849999999997</v>
      </c>
      <c r="D156" s="56">
        <v>1871.5779829999999</v>
      </c>
      <c r="E156" s="56">
        <v>5000</v>
      </c>
      <c r="F156" s="56">
        <v>6779.6610170000004</v>
      </c>
      <c r="G156" s="56">
        <v>0</v>
      </c>
      <c r="H156" s="56">
        <v>818</v>
      </c>
      <c r="I156" s="56">
        <v>330</v>
      </c>
    </row>
    <row r="157" spans="1:9" x14ac:dyDescent="0.35">
      <c r="A157" s="55">
        <v>37638.228000000003</v>
      </c>
      <c r="B157" s="55">
        <v>11912.036249999999</v>
      </c>
      <c r="C157" s="56">
        <v>5229.9260000000004</v>
      </c>
      <c r="D157" s="56">
        <v>1871.5779829999999</v>
      </c>
      <c r="E157" s="56">
        <v>5000</v>
      </c>
      <c r="F157" s="56">
        <v>6779.6610170000004</v>
      </c>
      <c r="G157" s="56">
        <v>0</v>
      </c>
      <c r="H157" s="56">
        <v>818</v>
      </c>
      <c r="I157" s="56">
        <v>330</v>
      </c>
    </row>
    <row r="158" spans="1:9" x14ac:dyDescent="0.35">
      <c r="A158" s="55">
        <v>38535.195</v>
      </c>
      <c r="B158" s="55">
        <v>11896.19011</v>
      </c>
      <c r="C158" s="56">
        <v>5596.19</v>
      </c>
      <c r="D158" s="56">
        <v>1871.5779829999999</v>
      </c>
      <c r="E158" s="56">
        <v>5000</v>
      </c>
      <c r="F158" s="56">
        <v>6779.6610170000004</v>
      </c>
      <c r="G158" s="56">
        <v>0</v>
      </c>
      <c r="H158" s="56">
        <v>818</v>
      </c>
      <c r="I158" s="56">
        <v>330</v>
      </c>
    </row>
    <row r="159" spans="1:9" x14ac:dyDescent="0.35">
      <c r="A159" s="55">
        <v>38968.957000000002</v>
      </c>
      <c r="B159" s="55">
        <v>11896.19011</v>
      </c>
      <c r="C159" s="56">
        <v>5280.6869999999999</v>
      </c>
      <c r="D159" s="56">
        <v>1871.5779829999999</v>
      </c>
      <c r="E159" s="56">
        <v>5000</v>
      </c>
      <c r="F159" s="56">
        <v>6779.6610170000004</v>
      </c>
      <c r="G159" s="56">
        <v>0</v>
      </c>
      <c r="H159" s="56">
        <v>818</v>
      </c>
      <c r="I159" s="56">
        <v>330</v>
      </c>
    </row>
    <row r="160" spans="1:9" x14ac:dyDescent="0.35">
      <c r="A160" s="55">
        <v>38089.428</v>
      </c>
      <c r="B160" s="55">
        <v>11912.036249999999</v>
      </c>
      <c r="C160" s="56">
        <v>4999.6120000000001</v>
      </c>
      <c r="D160" s="56">
        <v>1871.5779829999999</v>
      </c>
      <c r="E160" s="56">
        <v>5000</v>
      </c>
      <c r="F160" s="56">
        <v>6779.6610170000004</v>
      </c>
      <c r="G160" s="56">
        <v>0</v>
      </c>
      <c r="H160" s="56">
        <v>818</v>
      </c>
      <c r="I160" s="56">
        <v>330</v>
      </c>
    </row>
    <row r="161" spans="1:9" x14ac:dyDescent="0.35">
      <c r="A161" s="55">
        <v>37514.300000000003</v>
      </c>
      <c r="B161" s="55">
        <v>11896.19011</v>
      </c>
      <c r="C161" s="56">
        <v>5002.7030000000004</v>
      </c>
      <c r="D161" s="56">
        <v>1687.8581449999999</v>
      </c>
      <c r="E161" s="56">
        <v>5000</v>
      </c>
      <c r="F161" s="56">
        <v>6779.6610170000004</v>
      </c>
      <c r="G161" s="56">
        <v>0</v>
      </c>
      <c r="H161" s="56">
        <v>818</v>
      </c>
      <c r="I161" s="56">
        <v>330</v>
      </c>
    </row>
    <row r="162" spans="1:9" x14ac:dyDescent="0.35">
      <c r="A162" s="55">
        <v>37580.498999999996</v>
      </c>
      <c r="B162" s="55">
        <v>11896.19011</v>
      </c>
      <c r="C162" s="56">
        <v>5228.2780000000002</v>
      </c>
      <c r="D162" s="56">
        <v>1687.8581449999999</v>
      </c>
      <c r="E162" s="56">
        <v>5000</v>
      </c>
      <c r="F162" s="56">
        <v>6779.6610170000004</v>
      </c>
      <c r="G162" s="56">
        <v>0</v>
      </c>
      <c r="H162" s="56">
        <v>818</v>
      </c>
      <c r="I162" s="56">
        <v>330</v>
      </c>
    </row>
    <row r="163" spans="1:9" x14ac:dyDescent="0.35">
      <c r="A163" s="55">
        <v>39518.828999999998</v>
      </c>
      <c r="B163" s="55">
        <v>11896.19011</v>
      </c>
      <c r="C163" s="56">
        <v>5872.1220000000003</v>
      </c>
      <c r="D163" s="56">
        <v>1687.8581449999999</v>
      </c>
      <c r="E163" s="56">
        <v>5000</v>
      </c>
      <c r="F163" s="56">
        <v>6779.6610170000004</v>
      </c>
      <c r="G163" s="56">
        <v>0</v>
      </c>
      <c r="H163" s="56">
        <v>818</v>
      </c>
      <c r="I163" s="56">
        <v>330</v>
      </c>
    </row>
    <row r="164" spans="1:9" x14ac:dyDescent="0.35">
      <c r="A164" s="55">
        <v>40568.229999999996</v>
      </c>
      <c r="B164" s="55">
        <v>11912.036249999999</v>
      </c>
      <c r="C164" s="56">
        <v>6451.0309999999999</v>
      </c>
      <c r="D164" s="56">
        <v>1687.8581449999999</v>
      </c>
      <c r="E164" s="56">
        <v>5000</v>
      </c>
      <c r="F164" s="56">
        <v>6779.6610170000004</v>
      </c>
      <c r="G164" s="56">
        <v>0</v>
      </c>
      <c r="H164" s="56">
        <v>818</v>
      </c>
      <c r="I164" s="56">
        <v>330</v>
      </c>
    </row>
    <row r="165" spans="1:9" x14ac:dyDescent="0.35">
      <c r="A165" s="55">
        <v>40863.873</v>
      </c>
      <c r="B165" s="55">
        <v>11896.19011</v>
      </c>
      <c r="C165" s="56">
        <v>6593.3879999999999</v>
      </c>
      <c r="D165" s="56">
        <v>1687.8581449999999</v>
      </c>
      <c r="E165" s="56">
        <v>5000</v>
      </c>
      <c r="F165" s="56">
        <v>6779.6610170000004</v>
      </c>
      <c r="G165" s="56">
        <v>0</v>
      </c>
      <c r="H165" s="56">
        <v>818</v>
      </c>
      <c r="I165" s="56">
        <v>330</v>
      </c>
    </row>
    <row r="166" spans="1:9" x14ac:dyDescent="0.35">
      <c r="A166" s="55">
        <v>40529.981</v>
      </c>
      <c r="B166" s="55">
        <v>11880.34398</v>
      </c>
      <c r="C166" s="56">
        <v>6426.7089999999998</v>
      </c>
      <c r="D166" s="56">
        <v>1687.8581449999999</v>
      </c>
      <c r="E166" s="56">
        <v>5000</v>
      </c>
      <c r="F166" s="56">
        <v>6779.6610170000004</v>
      </c>
      <c r="G166" s="56">
        <v>0</v>
      </c>
      <c r="H166" s="56">
        <v>818</v>
      </c>
      <c r="I166" s="56">
        <v>330</v>
      </c>
    </row>
    <row r="167" spans="1:9" x14ac:dyDescent="0.35">
      <c r="A167" s="55">
        <v>39225.506000000001</v>
      </c>
      <c r="B167" s="55">
        <v>11864.49785</v>
      </c>
      <c r="C167" s="56">
        <v>6037.9189999999999</v>
      </c>
      <c r="D167" s="56">
        <v>1687.8581449999999</v>
      </c>
      <c r="E167" s="56">
        <v>5000</v>
      </c>
      <c r="F167" s="56">
        <v>6779.6610170000004</v>
      </c>
      <c r="G167" s="56">
        <v>0</v>
      </c>
      <c r="H167" s="56">
        <v>818</v>
      </c>
      <c r="I167" s="56">
        <v>330</v>
      </c>
    </row>
    <row r="168" spans="1:9" x14ac:dyDescent="0.35">
      <c r="A168" s="55">
        <v>37244.282999999996</v>
      </c>
      <c r="B168" s="55">
        <v>11832.805579999998</v>
      </c>
      <c r="C168" s="56">
        <v>6241.08</v>
      </c>
      <c r="D168" s="56">
        <v>1687.8581449999999</v>
      </c>
      <c r="E168" s="56">
        <v>5000</v>
      </c>
      <c r="F168" s="56">
        <v>6779.6610170000004</v>
      </c>
      <c r="G168" s="56">
        <v>0</v>
      </c>
      <c r="H168" s="56">
        <v>818</v>
      </c>
      <c r="I168" s="56">
        <v>330</v>
      </c>
    </row>
    <row r="169" spans="1:9" x14ac:dyDescent="0.35">
      <c r="A169" s="55">
        <v>34857.546000000002</v>
      </c>
      <c r="B169" s="55">
        <v>11832.805579999998</v>
      </c>
      <c r="C169" s="56">
        <v>5886.9840000000004</v>
      </c>
      <c r="D169" s="56">
        <v>1687.8581449999999</v>
      </c>
      <c r="E169" s="56">
        <v>5000</v>
      </c>
      <c r="F169" s="56">
        <v>6779.6610170000004</v>
      </c>
      <c r="G169" s="56">
        <v>0</v>
      </c>
      <c r="H169" s="56">
        <v>818</v>
      </c>
      <c r="I169" s="56">
        <v>330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89FD-31AB-4C42-9A94-70915BA60CAC}">
  <sheetPr codeName="Hoja12">
    <tabColor theme="5" tint="0.79998168889431442"/>
  </sheetPr>
  <dimension ref="A1:U338"/>
  <sheetViews>
    <sheetView topLeftCell="H1" zoomScale="88" zoomScaleNormal="85" workbookViewId="0">
      <selection activeCell="M1" sqref="M1"/>
    </sheetView>
  </sheetViews>
  <sheetFormatPr baseColWidth="10" defaultRowHeight="14.5" x14ac:dyDescent="0.35"/>
  <cols>
    <col min="1" max="2" width="20.26953125" style="44" customWidth="1"/>
    <col min="3" max="3" width="22.81640625" style="44" bestFit="1" customWidth="1"/>
    <col min="4" max="5" width="20.36328125" style="44" bestFit="1" customWidth="1"/>
    <col min="6" max="6" width="21.26953125" style="44" bestFit="1" customWidth="1"/>
    <col min="7" max="7" width="20.36328125" style="44" bestFit="1" customWidth="1"/>
    <col min="8" max="8" width="23" style="44" bestFit="1" customWidth="1"/>
    <col min="9" max="10" width="20.36328125" style="44" bestFit="1" customWidth="1"/>
    <col min="11" max="11" width="20.453125" style="44" customWidth="1"/>
    <col min="12" max="13" width="21.1796875" style="44" bestFit="1" customWidth="1"/>
    <col min="14" max="15" width="27.1796875" style="44" customWidth="1"/>
    <col min="16" max="16" width="21.26953125" style="44" customWidth="1"/>
    <col min="17" max="17" width="19.453125" style="44" customWidth="1"/>
    <col min="18" max="20" width="21.7265625" style="44" bestFit="1" customWidth="1"/>
    <col min="21" max="21" width="13.6328125" style="44" bestFit="1" customWidth="1"/>
    <col min="22" max="16384" width="10.90625" style="44"/>
  </cols>
  <sheetData>
    <row r="1" spans="1:21" s="54" customFormat="1" x14ac:dyDescent="0.35">
      <c r="A1" s="57" t="s">
        <v>137</v>
      </c>
      <c r="B1" s="57" t="s">
        <v>135</v>
      </c>
      <c r="C1" s="57" t="s">
        <v>136</v>
      </c>
      <c r="D1" s="57" t="s">
        <v>62</v>
      </c>
      <c r="E1" s="57" t="s">
        <v>178</v>
      </c>
      <c r="F1" s="57" t="s">
        <v>127</v>
      </c>
      <c r="G1" s="57" t="s">
        <v>126</v>
      </c>
      <c r="H1" s="58" t="s">
        <v>157</v>
      </c>
      <c r="I1" s="58" t="s">
        <v>143</v>
      </c>
      <c r="J1" s="58" t="s">
        <v>168</v>
      </c>
      <c r="K1" s="58" t="s">
        <v>169</v>
      </c>
      <c r="L1" s="58" t="s">
        <v>179</v>
      </c>
      <c r="M1" s="58" t="s">
        <v>124</v>
      </c>
      <c r="N1" s="52" t="s">
        <v>125</v>
      </c>
      <c r="O1" s="59" t="s">
        <v>134</v>
      </c>
      <c r="P1" s="59" t="s">
        <v>133</v>
      </c>
      <c r="Q1" s="60" t="s">
        <v>117</v>
      </c>
      <c r="R1" s="60" t="s">
        <v>123</v>
      </c>
      <c r="S1" s="60" t="s">
        <v>119</v>
      </c>
      <c r="T1" s="60" t="s">
        <v>129</v>
      </c>
      <c r="U1" s="60" t="s">
        <v>128</v>
      </c>
    </row>
    <row r="2" spans="1:21" s="55" customFormat="1" x14ac:dyDescent="0.35">
      <c r="A2" s="61">
        <v>0</v>
      </c>
      <c r="B2" s="61">
        <v>0</v>
      </c>
      <c r="C2" s="61">
        <v>0</v>
      </c>
      <c r="D2" s="61">
        <v>0.27513821599999999</v>
      </c>
      <c r="E2" s="61">
        <v>0.2690001867898939</v>
      </c>
      <c r="F2" s="61">
        <v>0.32070481809153373</v>
      </c>
      <c r="G2" s="62">
        <v>0</v>
      </c>
      <c r="H2" s="61">
        <v>0</v>
      </c>
      <c r="I2" s="61">
        <v>0</v>
      </c>
      <c r="J2" s="61">
        <v>0.11900000000000001</v>
      </c>
      <c r="K2" s="61">
        <v>0.13200000000000001</v>
      </c>
      <c r="L2" s="61">
        <v>0.53761169881767268</v>
      </c>
      <c r="M2" s="61">
        <v>0.10459032585279714</v>
      </c>
      <c r="N2" s="55">
        <v>0</v>
      </c>
      <c r="O2" s="63">
        <v>0.77362125528354786</v>
      </c>
      <c r="P2" s="63">
        <f>1</f>
        <v>1</v>
      </c>
      <c r="Q2" s="64">
        <v>1</v>
      </c>
      <c r="R2" s="65">
        <v>0</v>
      </c>
      <c r="S2" s="65">
        <v>1</v>
      </c>
      <c r="T2" s="65">
        <v>1240</v>
      </c>
      <c r="U2" s="65">
        <v>330</v>
      </c>
    </row>
    <row r="3" spans="1:21" s="55" customFormat="1" x14ac:dyDescent="0.35">
      <c r="A3" s="61">
        <v>0</v>
      </c>
      <c r="B3" s="61">
        <v>0</v>
      </c>
      <c r="C3" s="61">
        <v>0</v>
      </c>
      <c r="D3" s="61">
        <v>0.29443187700000001</v>
      </c>
      <c r="E3" s="61">
        <v>0.26699991066570294</v>
      </c>
      <c r="F3" s="61">
        <v>0.34319376975837423</v>
      </c>
      <c r="G3" s="62">
        <v>0</v>
      </c>
      <c r="H3" s="61">
        <v>0</v>
      </c>
      <c r="I3" s="61">
        <v>0</v>
      </c>
      <c r="J3" s="61">
        <v>0.125</v>
      </c>
      <c r="K3" s="61">
        <v>0.11799999999999999</v>
      </c>
      <c r="L3" s="61">
        <v>0.53382202862476658</v>
      </c>
      <c r="M3" s="61">
        <v>9.6099798406588527E-2</v>
      </c>
      <c r="N3" s="55">
        <v>0</v>
      </c>
      <c r="O3" s="63">
        <v>0.77362125528354786</v>
      </c>
      <c r="P3" s="63">
        <f>1</f>
        <v>1</v>
      </c>
      <c r="Q3" s="64">
        <v>1</v>
      </c>
      <c r="R3" s="65">
        <v>0</v>
      </c>
      <c r="S3" s="65">
        <v>1</v>
      </c>
      <c r="T3" s="65">
        <v>1240</v>
      </c>
      <c r="U3" s="65">
        <v>330</v>
      </c>
    </row>
    <row r="4" spans="1:21" s="55" customFormat="1" x14ac:dyDescent="0.35">
      <c r="A4" s="61">
        <v>0</v>
      </c>
      <c r="B4" s="61">
        <v>0</v>
      </c>
      <c r="C4" s="61">
        <v>0</v>
      </c>
      <c r="D4" s="61">
        <v>0.29945537999999999</v>
      </c>
      <c r="E4" s="61">
        <v>0.26500004060649868</v>
      </c>
      <c r="F4" s="61">
        <v>0.34904923265705523</v>
      </c>
      <c r="G4" s="62">
        <v>0</v>
      </c>
      <c r="H4" s="61">
        <v>0</v>
      </c>
      <c r="I4" s="61">
        <v>0</v>
      </c>
      <c r="J4" s="61">
        <v>0.13699999999999998</v>
      </c>
      <c r="K4" s="61">
        <v>0.11</v>
      </c>
      <c r="L4" s="61">
        <v>0.53300435594275042</v>
      </c>
      <c r="M4" s="61">
        <v>9.0471182387891369E-2</v>
      </c>
      <c r="N4" s="55">
        <v>0</v>
      </c>
      <c r="O4" s="63">
        <v>0.77362125528354786</v>
      </c>
      <c r="P4" s="63">
        <f>1</f>
        <v>1</v>
      </c>
      <c r="Q4" s="64">
        <v>1</v>
      </c>
      <c r="R4" s="65">
        <v>0</v>
      </c>
      <c r="S4" s="65">
        <v>1</v>
      </c>
      <c r="T4" s="65">
        <v>1240</v>
      </c>
      <c r="U4" s="65">
        <v>330</v>
      </c>
    </row>
    <row r="5" spans="1:21" s="55" customFormat="1" x14ac:dyDescent="0.35">
      <c r="A5" s="61">
        <v>0</v>
      </c>
      <c r="B5" s="61">
        <v>0</v>
      </c>
      <c r="C5" s="61">
        <v>0</v>
      </c>
      <c r="D5" s="61">
        <v>0.30697123399999998</v>
      </c>
      <c r="E5" s="61">
        <v>0.2749997969675067</v>
      </c>
      <c r="F5" s="61">
        <v>0.3578098135204294</v>
      </c>
      <c r="G5" s="62">
        <v>0</v>
      </c>
      <c r="H5" s="61">
        <v>0</v>
      </c>
      <c r="I5" s="61">
        <v>0</v>
      </c>
      <c r="J5" s="61">
        <v>0.153</v>
      </c>
      <c r="K5" s="61">
        <v>0.105</v>
      </c>
      <c r="L5" s="61">
        <v>0.53906596141879282</v>
      </c>
      <c r="M5" s="61">
        <v>8.519956391452739E-2</v>
      </c>
      <c r="N5" s="55">
        <v>0</v>
      </c>
      <c r="O5" s="63">
        <v>0.77362125528354786</v>
      </c>
      <c r="P5" s="63">
        <f>1</f>
        <v>1</v>
      </c>
      <c r="Q5" s="64">
        <v>1</v>
      </c>
      <c r="R5" s="65">
        <v>0</v>
      </c>
      <c r="S5" s="65">
        <v>1</v>
      </c>
      <c r="T5" s="65">
        <v>1240</v>
      </c>
      <c r="U5" s="65">
        <v>330</v>
      </c>
    </row>
    <row r="6" spans="1:21" s="55" customFormat="1" x14ac:dyDescent="0.35">
      <c r="A6" s="61">
        <v>0</v>
      </c>
      <c r="B6" s="61">
        <v>0</v>
      </c>
      <c r="C6" s="61">
        <v>0</v>
      </c>
      <c r="D6" s="61">
        <v>0.32181367900000002</v>
      </c>
      <c r="E6" s="61">
        <v>0.27899994315090187</v>
      </c>
      <c r="F6" s="61">
        <v>0.37511036773990797</v>
      </c>
      <c r="G6" s="62">
        <v>0</v>
      </c>
      <c r="H6" s="61">
        <v>0</v>
      </c>
      <c r="I6" s="61">
        <v>0</v>
      </c>
      <c r="J6" s="61">
        <v>0.16699999999999998</v>
      </c>
      <c r="K6" s="61">
        <v>0.10099999999999999</v>
      </c>
      <c r="L6" s="61">
        <v>0.54218046048537649</v>
      </c>
      <c r="M6" s="61">
        <v>8.1436625942127916E-2</v>
      </c>
      <c r="N6" s="55">
        <v>0</v>
      </c>
      <c r="O6" s="63">
        <v>0.77362125528354786</v>
      </c>
      <c r="P6" s="63">
        <f>1</f>
        <v>1</v>
      </c>
      <c r="Q6" s="64">
        <v>1</v>
      </c>
      <c r="R6" s="65">
        <v>0</v>
      </c>
      <c r="S6" s="65">
        <v>1</v>
      </c>
      <c r="T6" s="65">
        <v>1240</v>
      </c>
      <c r="U6" s="65">
        <v>330</v>
      </c>
    </row>
    <row r="7" spans="1:21" s="55" customFormat="1" x14ac:dyDescent="0.35">
      <c r="A7" s="61">
        <v>0</v>
      </c>
      <c r="B7" s="61">
        <v>0</v>
      </c>
      <c r="C7" s="61">
        <v>0</v>
      </c>
      <c r="D7" s="61">
        <v>0.323743155</v>
      </c>
      <c r="E7" s="61">
        <v>0.2909999756361008</v>
      </c>
      <c r="F7" s="61">
        <v>0.37735939100751537</v>
      </c>
      <c r="G7" s="62">
        <v>0</v>
      </c>
      <c r="H7" s="61">
        <v>0</v>
      </c>
      <c r="I7" s="61">
        <v>0</v>
      </c>
      <c r="J7" s="61">
        <v>0.17800000000000002</v>
      </c>
      <c r="K7" s="61">
        <v>9.7000000000000003E-2</v>
      </c>
      <c r="L7" s="61">
        <v>0.55440074673304296</v>
      </c>
      <c r="M7" s="61">
        <v>7.9330834267695508E-2</v>
      </c>
      <c r="N7" s="55">
        <v>0</v>
      </c>
      <c r="O7" s="63">
        <v>0.77362125528354786</v>
      </c>
      <c r="P7" s="63">
        <f>1</f>
        <v>1</v>
      </c>
      <c r="Q7" s="64">
        <v>1</v>
      </c>
      <c r="R7" s="65">
        <v>0</v>
      </c>
      <c r="S7" s="65">
        <v>1</v>
      </c>
      <c r="T7" s="65">
        <v>1240</v>
      </c>
      <c r="U7" s="65">
        <v>330</v>
      </c>
    </row>
    <row r="8" spans="1:21" s="55" customFormat="1" x14ac:dyDescent="0.35">
      <c r="A8" s="61">
        <v>0</v>
      </c>
      <c r="B8" s="61">
        <v>0</v>
      </c>
      <c r="C8" s="61">
        <v>0</v>
      </c>
      <c r="D8" s="61">
        <v>0.30273460200000002</v>
      </c>
      <c r="E8" s="61">
        <v>0.32799980508880644</v>
      </c>
      <c r="F8" s="61">
        <v>0.35287153807969324</v>
      </c>
      <c r="G8" s="62">
        <v>0</v>
      </c>
      <c r="H8" s="61">
        <v>0</v>
      </c>
      <c r="I8" s="61">
        <v>0</v>
      </c>
      <c r="J8" s="61">
        <v>0.183</v>
      </c>
      <c r="K8" s="61">
        <v>9.1999999999999998E-2</v>
      </c>
      <c r="L8" s="61">
        <v>0.56481269446172988</v>
      </c>
      <c r="M8" s="61">
        <v>7.6747302668941975E-2</v>
      </c>
      <c r="N8" s="55">
        <v>0</v>
      </c>
      <c r="O8" s="63">
        <v>0.77362125528354786</v>
      </c>
      <c r="P8" s="63">
        <f>1</f>
        <v>1</v>
      </c>
      <c r="Q8" s="64">
        <v>1</v>
      </c>
      <c r="R8" s="65">
        <v>0</v>
      </c>
      <c r="S8" s="65">
        <v>1</v>
      </c>
      <c r="T8" s="65">
        <v>1240</v>
      </c>
      <c r="U8" s="65">
        <v>330</v>
      </c>
    </row>
    <row r="9" spans="1:21" s="55" customFormat="1" x14ac:dyDescent="0.35">
      <c r="A9" s="61">
        <v>0</v>
      </c>
      <c r="B9" s="61">
        <v>0</v>
      </c>
      <c r="C9" s="61">
        <v>0</v>
      </c>
      <c r="D9" s="61">
        <v>0.24533328800000001</v>
      </c>
      <c r="E9" s="61">
        <v>0.35799988630180374</v>
      </c>
      <c r="F9" s="61">
        <v>0.28596379173963193</v>
      </c>
      <c r="G9" s="62">
        <v>0</v>
      </c>
      <c r="H9" s="61">
        <v>0</v>
      </c>
      <c r="I9" s="61">
        <v>0</v>
      </c>
      <c r="J9" s="61">
        <v>0.183</v>
      </c>
      <c r="K9" s="61">
        <v>9.0999999999999998E-2</v>
      </c>
      <c r="L9" s="61">
        <v>0.56885127566894833</v>
      </c>
      <c r="M9" s="61">
        <v>7.707484609585992E-2</v>
      </c>
      <c r="N9" s="55">
        <v>0</v>
      </c>
      <c r="O9" s="63">
        <v>0.77362125528354786</v>
      </c>
      <c r="P9" s="63">
        <f>1</f>
        <v>1</v>
      </c>
      <c r="Q9" s="64">
        <v>1</v>
      </c>
      <c r="R9" s="65">
        <v>0</v>
      </c>
      <c r="S9" s="65">
        <v>1</v>
      </c>
      <c r="T9" s="65">
        <v>1240</v>
      </c>
      <c r="U9" s="65">
        <v>330</v>
      </c>
    </row>
    <row r="10" spans="1:21" s="55" customFormat="1" x14ac:dyDescent="0.35">
      <c r="A10" s="61">
        <v>0</v>
      </c>
      <c r="B10" s="61">
        <v>0</v>
      </c>
      <c r="C10" s="61">
        <v>0</v>
      </c>
      <c r="D10" s="61">
        <v>0.19145563500000001</v>
      </c>
      <c r="E10" s="61">
        <v>0.37100005684909815</v>
      </c>
      <c r="F10" s="61">
        <v>0.2342226597032209</v>
      </c>
      <c r="G10" s="62">
        <v>0</v>
      </c>
      <c r="H10" s="61">
        <v>0</v>
      </c>
      <c r="I10" s="61">
        <v>0</v>
      </c>
      <c r="J10" s="61">
        <v>0.17199999999999999</v>
      </c>
      <c r="K10" s="61">
        <v>8.8999999999999996E-2</v>
      </c>
      <c r="L10" s="61">
        <v>0.5673571873055383</v>
      </c>
      <c r="M10" s="61">
        <v>7.7038908653806207E-2</v>
      </c>
      <c r="N10" s="55">
        <v>0</v>
      </c>
      <c r="O10" s="63">
        <v>0.77362125528354786</v>
      </c>
      <c r="P10" s="63">
        <f>1</f>
        <v>1</v>
      </c>
      <c r="Q10" s="64">
        <v>1</v>
      </c>
      <c r="R10" s="65">
        <v>0</v>
      </c>
      <c r="S10" s="65">
        <v>1</v>
      </c>
      <c r="T10" s="65">
        <v>1240</v>
      </c>
      <c r="U10" s="65">
        <v>330</v>
      </c>
    </row>
    <row r="11" spans="1:21" s="55" customFormat="1" x14ac:dyDescent="0.35">
      <c r="A11" s="61">
        <v>0.122</v>
      </c>
      <c r="B11" s="61">
        <v>7.0999999999999994E-2</v>
      </c>
      <c r="C11" s="61">
        <v>0.13100000000000001</v>
      </c>
      <c r="D11" s="61">
        <v>0.16467230399999999</v>
      </c>
      <c r="E11" s="61">
        <v>0.39099997563610084</v>
      </c>
      <c r="F11" s="61">
        <v>0.48723140723128838</v>
      </c>
      <c r="G11" s="62">
        <v>0</v>
      </c>
      <c r="H11" s="61">
        <v>7.3999999999999996E-2</v>
      </c>
      <c r="I11" s="61">
        <v>3.7999999999999999E-2</v>
      </c>
      <c r="J11" s="61">
        <v>0.13400000000000001</v>
      </c>
      <c r="K11" s="61">
        <v>8.8999999999999996E-2</v>
      </c>
      <c r="L11" s="61">
        <v>0.56726260112009952</v>
      </c>
      <c r="M11" s="61">
        <v>0.17921139968660038</v>
      </c>
      <c r="N11" s="55">
        <v>0</v>
      </c>
      <c r="O11" s="63">
        <v>0.77362125528354786</v>
      </c>
      <c r="P11" s="63">
        <f>1</f>
        <v>1</v>
      </c>
      <c r="Q11" s="64">
        <v>1</v>
      </c>
      <c r="R11" s="65">
        <v>0</v>
      </c>
      <c r="S11" s="65">
        <v>1</v>
      </c>
      <c r="T11" s="65">
        <v>1240</v>
      </c>
      <c r="U11" s="65">
        <v>330</v>
      </c>
    </row>
    <row r="12" spans="1:21" s="55" customFormat="1" x14ac:dyDescent="0.35">
      <c r="A12" s="61">
        <v>0.313</v>
      </c>
      <c r="B12" s="61">
        <v>0.188</v>
      </c>
      <c r="C12" s="61">
        <v>0.30499999999999999</v>
      </c>
      <c r="D12" s="61">
        <v>0.15553496</v>
      </c>
      <c r="E12" s="61">
        <v>0.39899986193790454</v>
      </c>
      <c r="F12" s="61">
        <v>0.90175446132622705</v>
      </c>
      <c r="G12" s="62">
        <v>0</v>
      </c>
      <c r="H12" s="61">
        <v>0.26499999999999996</v>
      </c>
      <c r="I12" s="61">
        <v>0.14199999999999999</v>
      </c>
      <c r="J12" s="61">
        <v>7.1999999999999995E-2</v>
      </c>
      <c r="K12" s="61">
        <v>8.4999999999999992E-2</v>
      </c>
      <c r="L12" s="61">
        <v>0.57141879278158059</v>
      </c>
      <c r="M12" s="61">
        <v>0.45094925511292477</v>
      </c>
      <c r="N12" s="55">
        <v>0</v>
      </c>
      <c r="O12" s="63">
        <v>0</v>
      </c>
      <c r="P12" s="63">
        <f>1</f>
        <v>1</v>
      </c>
      <c r="Q12" s="64">
        <v>0</v>
      </c>
      <c r="R12" s="65">
        <v>0</v>
      </c>
      <c r="S12" s="65">
        <v>1</v>
      </c>
      <c r="T12" s="65">
        <v>195.1</v>
      </c>
      <c r="U12" s="65">
        <v>330</v>
      </c>
    </row>
    <row r="13" spans="1:21" s="55" customFormat="1" x14ac:dyDescent="0.35">
      <c r="A13" s="61">
        <v>0.379</v>
      </c>
      <c r="B13" s="61">
        <v>0.31</v>
      </c>
      <c r="C13" s="61">
        <v>0.442</v>
      </c>
      <c r="D13" s="61">
        <v>0.16481443000000001</v>
      </c>
      <c r="E13" s="61">
        <v>0.40499987818050404</v>
      </c>
      <c r="F13" s="61">
        <v>1</v>
      </c>
      <c r="G13" s="62">
        <v>0.11169860020390342</v>
      </c>
      <c r="H13" s="61">
        <v>0.44199999999999995</v>
      </c>
      <c r="I13" s="61">
        <v>0.251</v>
      </c>
      <c r="J13" s="61">
        <v>3.7999999999999999E-2</v>
      </c>
      <c r="K13" s="61">
        <v>8.2000000000000003E-2</v>
      </c>
      <c r="L13" s="61">
        <v>0.56903049159925323</v>
      </c>
      <c r="M13" s="61">
        <v>0.71574828134411639</v>
      </c>
      <c r="N13" s="55">
        <v>0</v>
      </c>
      <c r="O13" s="63">
        <v>0</v>
      </c>
      <c r="P13" s="63">
        <f>1</f>
        <v>1</v>
      </c>
      <c r="Q13" s="64">
        <v>0</v>
      </c>
      <c r="R13" s="65">
        <v>0</v>
      </c>
      <c r="S13" s="65">
        <v>0.97923636659023339</v>
      </c>
      <c r="T13" s="65">
        <v>0</v>
      </c>
      <c r="U13" s="65">
        <v>0</v>
      </c>
    </row>
    <row r="14" spans="1:21" s="55" customFormat="1" x14ac:dyDescent="0.35">
      <c r="A14" s="61">
        <v>0.39100000000000001</v>
      </c>
      <c r="B14" s="61">
        <v>0.38900000000000001</v>
      </c>
      <c r="C14" s="61">
        <v>0.51</v>
      </c>
      <c r="D14" s="61">
        <v>0.189962678</v>
      </c>
      <c r="E14" s="61">
        <v>0.40400014618339519</v>
      </c>
      <c r="F14" s="61">
        <v>1</v>
      </c>
      <c r="G14" s="62">
        <v>0.20369786457629394</v>
      </c>
      <c r="H14" s="61">
        <v>0.54799999999999993</v>
      </c>
      <c r="I14" s="61">
        <v>0.32300000000000001</v>
      </c>
      <c r="J14" s="61">
        <v>3.6999999999999998E-2</v>
      </c>
      <c r="K14" s="61">
        <v>7.8E-2</v>
      </c>
      <c r="L14" s="61">
        <v>0.5700429371499689</v>
      </c>
      <c r="M14" s="61">
        <v>0.88176991006855621</v>
      </c>
      <c r="N14" s="55">
        <v>0</v>
      </c>
      <c r="O14" s="63">
        <v>0</v>
      </c>
      <c r="P14" s="63">
        <f>1</f>
        <v>1</v>
      </c>
      <c r="Q14" s="64">
        <v>0</v>
      </c>
      <c r="R14" s="65">
        <v>0</v>
      </c>
      <c r="S14" s="65">
        <v>0.32499278940606868</v>
      </c>
      <c r="T14" s="65">
        <v>0</v>
      </c>
      <c r="U14" s="65">
        <v>0</v>
      </c>
    </row>
    <row r="15" spans="1:21" s="55" customFormat="1" x14ac:dyDescent="0.35">
      <c r="A15" s="61">
        <v>0.38900000000000001</v>
      </c>
      <c r="B15" s="61">
        <v>0.39899999999999997</v>
      </c>
      <c r="C15" s="61">
        <v>0.51100000000000001</v>
      </c>
      <c r="D15" s="61">
        <v>0.20713524</v>
      </c>
      <c r="E15" s="61">
        <v>0.40600001624259952</v>
      </c>
      <c r="F15" s="61">
        <v>1</v>
      </c>
      <c r="G15" s="62">
        <v>0.21867058520662241</v>
      </c>
      <c r="H15" s="61">
        <v>0.58100000000000007</v>
      </c>
      <c r="I15" s="61">
        <v>0.34800000000000003</v>
      </c>
      <c r="J15" s="61">
        <v>4.2999999999999997E-2</v>
      </c>
      <c r="K15" s="61">
        <v>0.08</v>
      </c>
      <c r="L15" s="61">
        <v>0.5675121344119477</v>
      </c>
      <c r="M15" s="61">
        <v>0.94061033319335208</v>
      </c>
      <c r="N15" s="55">
        <v>0</v>
      </c>
      <c r="O15" s="63">
        <v>0</v>
      </c>
      <c r="P15" s="63">
        <f>1</f>
        <v>1</v>
      </c>
      <c r="Q15" s="64">
        <v>0</v>
      </c>
      <c r="R15" s="65">
        <v>0</v>
      </c>
      <c r="S15" s="65">
        <v>0.48769743270288041</v>
      </c>
      <c r="T15" s="65">
        <v>0</v>
      </c>
      <c r="U15" s="65">
        <v>0</v>
      </c>
    </row>
    <row r="16" spans="1:21" s="55" customFormat="1" x14ac:dyDescent="0.35">
      <c r="A16" s="61">
        <v>0.378</v>
      </c>
      <c r="B16" s="61">
        <v>0.34799999999999998</v>
      </c>
      <c r="C16" s="61">
        <v>0.45100000000000001</v>
      </c>
      <c r="D16" s="61">
        <v>0.21409618999999999</v>
      </c>
      <c r="E16" s="61">
        <v>0.40799988630180378</v>
      </c>
      <c r="F16" s="61">
        <v>1</v>
      </c>
      <c r="G16" s="62">
        <v>0.16246703377805433</v>
      </c>
      <c r="H16" s="61">
        <v>0.54200000000000004</v>
      </c>
      <c r="I16" s="61">
        <v>0.32300000000000001</v>
      </c>
      <c r="J16" s="61">
        <v>4.9999999999999996E-2</v>
      </c>
      <c r="K16" s="61">
        <v>8.7999999999999995E-2</v>
      </c>
      <c r="L16" s="61">
        <v>0.56426135656502807</v>
      </c>
      <c r="M16" s="61">
        <v>0.88691653607597576</v>
      </c>
      <c r="N16" s="55">
        <v>0</v>
      </c>
      <c r="O16" s="63">
        <v>0</v>
      </c>
      <c r="P16" s="63">
        <f>1</f>
        <v>1</v>
      </c>
      <c r="Q16" s="64">
        <v>0</v>
      </c>
      <c r="R16" s="65">
        <v>0</v>
      </c>
      <c r="S16" s="65">
        <v>0.97923636659023339</v>
      </c>
      <c r="T16" s="65">
        <v>0</v>
      </c>
      <c r="U16" s="65">
        <v>0</v>
      </c>
    </row>
    <row r="17" spans="1:21" s="55" customFormat="1" x14ac:dyDescent="0.35">
      <c r="A17" s="61">
        <v>0.35499999999999998</v>
      </c>
      <c r="B17" s="61">
        <v>0.253</v>
      </c>
      <c r="C17" s="61">
        <v>0.34899999999999998</v>
      </c>
      <c r="D17" s="61">
        <v>0.214720357</v>
      </c>
      <c r="E17" s="61">
        <v>0.40700015430469494</v>
      </c>
      <c r="F17" s="61">
        <v>1</v>
      </c>
      <c r="G17" s="62">
        <v>5.2976599774851314E-2</v>
      </c>
      <c r="H17" s="61">
        <v>0.44099999999999995</v>
      </c>
      <c r="I17" s="61">
        <v>0.251</v>
      </c>
      <c r="J17" s="61">
        <v>5.7000000000000002E-2</v>
      </c>
      <c r="K17" s="61">
        <v>0.10099999999999999</v>
      </c>
      <c r="L17" s="61">
        <v>0.5602644679527069</v>
      </c>
      <c r="M17" s="61">
        <v>0.73182482926695336</v>
      </c>
      <c r="N17" s="55">
        <v>0</v>
      </c>
      <c r="O17" s="63">
        <v>0</v>
      </c>
      <c r="P17" s="63">
        <f>1</f>
        <v>1</v>
      </c>
      <c r="Q17" s="64">
        <v>0</v>
      </c>
      <c r="R17" s="65">
        <v>0</v>
      </c>
      <c r="S17" s="65">
        <v>1</v>
      </c>
      <c r="T17" s="65">
        <v>195.1</v>
      </c>
      <c r="U17" s="65">
        <v>0</v>
      </c>
    </row>
    <row r="18" spans="1:21" s="55" customFormat="1" x14ac:dyDescent="0.35">
      <c r="A18" s="61">
        <v>0.252</v>
      </c>
      <c r="B18" s="61">
        <v>0.128</v>
      </c>
      <c r="C18" s="61">
        <v>0.20699999999999999</v>
      </c>
      <c r="D18" s="61">
        <v>0.20648649199999999</v>
      </c>
      <c r="E18" s="61">
        <v>0.41000016242599469</v>
      </c>
      <c r="F18" s="61">
        <v>0.77479944331727002</v>
      </c>
      <c r="G18" s="62">
        <v>0</v>
      </c>
      <c r="H18" s="61">
        <v>0.29399999999999998</v>
      </c>
      <c r="I18" s="61">
        <v>0.152</v>
      </c>
      <c r="J18" s="61">
        <v>5.7999999999999996E-2</v>
      </c>
      <c r="K18" s="61">
        <v>0.111</v>
      </c>
      <c r="L18" s="61">
        <v>0.55359240821406352</v>
      </c>
      <c r="M18" s="61">
        <v>0.50303042582015134</v>
      </c>
      <c r="N18" s="55">
        <v>0</v>
      </c>
      <c r="O18" s="63">
        <v>0</v>
      </c>
      <c r="P18" s="63">
        <f>1</f>
        <v>1</v>
      </c>
      <c r="Q18" s="64">
        <v>0</v>
      </c>
      <c r="R18" s="65">
        <v>0</v>
      </c>
      <c r="S18" s="65">
        <v>1</v>
      </c>
      <c r="T18" s="65">
        <v>1240</v>
      </c>
      <c r="U18" s="65">
        <v>330</v>
      </c>
    </row>
    <row r="19" spans="1:21" s="55" customFormat="1" x14ac:dyDescent="0.35">
      <c r="A19" s="61">
        <v>5.5E-2</v>
      </c>
      <c r="B19" s="61">
        <v>1.3000000000000001E-2</v>
      </c>
      <c r="C19" s="61">
        <v>5.2000000000000005E-2</v>
      </c>
      <c r="D19" s="61">
        <v>0.17191646599999999</v>
      </c>
      <c r="E19" s="61">
        <v>0.42599993502960221</v>
      </c>
      <c r="F19" s="61">
        <v>0.32497085625386501</v>
      </c>
      <c r="G19" s="62">
        <v>0</v>
      </c>
      <c r="H19" s="61">
        <v>0.12099999999999998</v>
      </c>
      <c r="I19" s="61">
        <v>5.2999999999999999E-2</v>
      </c>
      <c r="J19" s="61">
        <v>6.9000000000000006E-2</v>
      </c>
      <c r="K19" s="61">
        <v>0.125</v>
      </c>
      <c r="L19" s="61">
        <v>0.54495395146235215</v>
      </c>
      <c r="M19" s="61">
        <v>0.25609828499925802</v>
      </c>
      <c r="N19" s="55">
        <v>0</v>
      </c>
      <c r="O19" s="63">
        <v>0.77362125528354786</v>
      </c>
      <c r="P19" s="63">
        <f>1</f>
        <v>1</v>
      </c>
      <c r="Q19" s="64">
        <v>1</v>
      </c>
      <c r="R19" s="65">
        <v>0</v>
      </c>
      <c r="S19" s="65">
        <v>1</v>
      </c>
      <c r="T19" s="65">
        <v>1240</v>
      </c>
      <c r="U19" s="65">
        <v>330</v>
      </c>
    </row>
    <row r="20" spans="1:21" s="55" customFormat="1" x14ac:dyDescent="0.35">
      <c r="A20" s="61">
        <v>0</v>
      </c>
      <c r="B20" s="61">
        <v>0</v>
      </c>
      <c r="C20" s="61">
        <v>0</v>
      </c>
      <c r="D20" s="61">
        <v>0.158973279</v>
      </c>
      <c r="E20" s="61">
        <v>0.42400006497039783</v>
      </c>
      <c r="F20" s="61">
        <v>0.18531099265309814</v>
      </c>
      <c r="G20" s="62">
        <v>0</v>
      </c>
      <c r="H20" s="61">
        <v>0</v>
      </c>
      <c r="I20" s="61">
        <v>0</v>
      </c>
      <c r="J20" s="61">
        <v>9.5999999999999988E-2</v>
      </c>
      <c r="K20" s="61">
        <v>0.13999999999999999</v>
      </c>
      <c r="L20" s="61">
        <v>0.54184256378344742</v>
      </c>
      <c r="M20" s="61">
        <v>0.10460849959667608</v>
      </c>
      <c r="N20" s="55">
        <v>0</v>
      </c>
      <c r="O20" s="63">
        <v>0.77362125528354786</v>
      </c>
      <c r="P20" s="63">
        <f>1</f>
        <v>1</v>
      </c>
      <c r="Q20" s="64">
        <v>1</v>
      </c>
      <c r="R20" s="65">
        <v>0</v>
      </c>
      <c r="S20" s="65">
        <v>1</v>
      </c>
      <c r="T20" s="65">
        <v>1240</v>
      </c>
      <c r="U20" s="65">
        <v>330</v>
      </c>
    </row>
    <row r="21" spans="1:21" s="55" customFormat="1" x14ac:dyDescent="0.35">
      <c r="A21" s="61">
        <v>0</v>
      </c>
      <c r="B21" s="61">
        <v>0</v>
      </c>
      <c r="C21" s="61">
        <v>0</v>
      </c>
      <c r="D21" s="61">
        <v>0.15493874299999999</v>
      </c>
      <c r="E21" s="61">
        <v>0.42400006497039783</v>
      </c>
      <c r="F21" s="61">
        <v>0.18059869003855825</v>
      </c>
      <c r="G21" s="62">
        <v>0</v>
      </c>
      <c r="H21" s="61">
        <v>0</v>
      </c>
      <c r="I21" s="61">
        <v>0</v>
      </c>
      <c r="J21" s="61">
        <v>0.11299999999999999</v>
      </c>
      <c r="K21" s="61">
        <v>0.14900000000000002</v>
      </c>
      <c r="L21" s="61">
        <v>0.54204044803982576</v>
      </c>
      <c r="M21" s="61">
        <v>0.10872006536904585</v>
      </c>
      <c r="N21" s="55">
        <v>0</v>
      </c>
      <c r="O21" s="63">
        <v>0.77362125528354786</v>
      </c>
      <c r="P21" s="63">
        <f>1</f>
        <v>1</v>
      </c>
      <c r="Q21" s="64">
        <v>1</v>
      </c>
      <c r="R21" s="65">
        <v>0</v>
      </c>
      <c r="S21" s="65">
        <v>1</v>
      </c>
      <c r="T21" s="65">
        <v>1240</v>
      </c>
      <c r="U21" s="65">
        <v>330</v>
      </c>
    </row>
    <row r="22" spans="1:21" s="55" customFormat="1" x14ac:dyDescent="0.35">
      <c r="A22" s="61">
        <v>0</v>
      </c>
      <c r="B22" s="61">
        <v>0</v>
      </c>
      <c r="C22" s="61">
        <v>0</v>
      </c>
      <c r="D22" s="61">
        <v>0.15646373499999999</v>
      </c>
      <c r="E22" s="61">
        <v>0.42599993502960221</v>
      </c>
      <c r="F22" s="61">
        <v>0.1823762412964724</v>
      </c>
      <c r="G22" s="62">
        <v>0</v>
      </c>
      <c r="H22" s="61">
        <v>0</v>
      </c>
      <c r="I22" s="61">
        <v>0</v>
      </c>
      <c r="J22" s="61">
        <v>0.114</v>
      </c>
      <c r="K22" s="61">
        <v>0.153</v>
      </c>
      <c r="L22" s="61">
        <v>0.54269943995021785</v>
      </c>
      <c r="M22" s="61">
        <v>0.11190486128357323</v>
      </c>
      <c r="N22" s="55">
        <v>0</v>
      </c>
      <c r="O22" s="63">
        <v>0.77362125528354786</v>
      </c>
      <c r="P22" s="63">
        <f>1</f>
        <v>1</v>
      </c>
      <c r="Q22" s="64">
        <v>1</v>
      </c>
      <c r="R22" s="65">
        <v>0</v>
      </c>
      <c r="S22" s="65">
        <v>1</v>
      </c>
      <c r="T22" s="65">
        <v>1240</v>
      </c>
      <c r="U22" s="65">
        <v>330</v>
      </c>
    </row>
    <row r="23" spans="1:21" s="55" customFormat="1" x14ac:dyDescent="0.35">
      <c r="A23" s="61">
        <v>0</v>
      </c>
      <c r="B23" s="61">
        <v>0</v>
      </c>
      <c r="C23" s="61">
        <v>0</v>
      </c>
      <c r="D23" s="61">
        <v>0.161745637</v>
      </c>
      <c r="E23" s="61">
        <v>0.40799988630180378</v>
      </c>
      <c r="F23" s="61">
        <v>0.18853289755714725</v>
      </c>
      <c r="G23" s="62">
        <v>0</v>
      </c>
      <c r="H23" s="61">
        <v>0</v>
      </c>
      <c r="I23" s="61">
        <v>0</v>
      </c>
      <c r="J23" s="61">
        <v>0.114</v>
      </c>
      <c r="K23" s="61">
        <v>0.154</v>
      </c>
      <c r="L23" s="61">
        <v>0.5432227753578095</v>
      </c>
      <c r="M23" s="61">
        <v>0.11391570460454074</v>
      </c>
      <c r="N23" s="55">
        <v>0</v>
      </c>
      <c r="O23" s="63">
        <v>0.77362125528354786</v>
      </c>
      <c r="P23" s="63">
        <f>1</f>
        <v>1</v>
      </c>
      <c r="Q23" s="64">
        <v>1</v>
      </c>
      <c r="R23" s="65">
        <v>0</v>
      </c>
      <c r="S23" s="65">
        <v>1</v>
      </c>
      <c r="T23" s="65">
        <v>1240</v>
      </c>
      <c r="U23" s="65">
        <v>330</v>
      </c>
    </row>
    <row r="24" spans="1:21" s="55" customFormat="1" x14ac:dyDescent="0.35">
      <c r="A24" s="61">
        <v>0</v>
      </c>
      <c r="B24" s="61">
        <v>0</v>
      </c>
      <c r="C24" s="61">
        <v>0</v>
      </c>
      <c r="D24" s="61">
        <v>0.172932218</v>
      </c>
      <c r="E24" s="61">
        <v>0.41099989442310353</v>
      </c>
      <c r="F24" s="61">
        <v>0.20157212735527608</v>
      </c>
      <c r="G24" s="62">
        <v>0</v>
      </c>
      <c r="H24" s="61">
        <v>0</v>
      </c>
      <c r="I24" s="61">
        <v>0</v>
      </c>
      <c r="J24" s="61">
        <v>0.12799999999999997</v>
      </c>
      <c r="K24" s="61">
        <v>0.14699999999999999</v>
      </c>
      <c r="L24" s="61">
        <v>0.54796764156813937</v>
      </c>
      <c r="M24" s="61">
        <v>0.10984830653628136</v>
      </c>
      <c r="N24" s="55">
        <v>0</v>
      </c>
      <c r="O24" s="63">
        <v>0.77362125528354786</v>
      </c>
      <c r="P24" s="63">
        <f>1</f>
        <v>1</v>
      </c>
      <c r="Q24" s="64">
        <v>1</v>
      </c>
      <c r="R24" s="65">
        <v>0</v>
      </c>
      <c r="S24" s="65">
        <v>1</v>
      </c>
      <c r="T24" s="65">
        <v>1240</v>
      </c>
      <c r="U24" s="65">
        <v>330</v>
      </c>
    </row>
    <row r="25" spans="1:21" s="55" customFormat="1" x14ac:dyDescent="0.35">
      <c r="A25" s="61">
        <v>0</v>
      </c>
      <c r="B25" s="61">
        <v>0</v>
      </c>
      <c r="C25" s="61">
        <v>0</v>
      </c>
      <c r="D25" s="61">
        <v>0.18310457299999999</v>
      </c>
      <c r="E25" s="61">
        <v>0.40799988630180378</v>
      </c>
      <c r="F25" s="61">
        <v>0.21342916163886502</v>
      </c>
      <c r="G25" s="62">
        <v>0</v>
      </c>
      <c r="H25" s="61">
        <v>0</v>
      </c>
      <c r="I25" s="61">
        <v>0</v>
      </c>
      <c r="J25" s="61">
        <v>0.156</v>
      </c>
      <c r="K25" s="61">
        <v>0.13699999999999998</v>
      </c>
      <c r="L25" s="61">
        <v>0.55428064716863723</v>
      </c>
      <c r="M25" s="61">
        <v>0.1043831912693278</v>
      </c>
      <c r="N25" s="55">
        <v>0</v>
      </c>
      <c r="O25" s="63">
        <v>0.77362125528354786</v>
      </c>
      <c r="P25" s="63">
        <f>1</f>
        <v>1</v>
      </c>
      <c r="Q25" s="64">
        <v>1</v>
      </c>
      <c r="R25" s="65">
        <v>0</v>
      </c>
      <c r="S25" s="65">
        <v>1</v>
      </c>
      <c r="T25" s="65">
        <v>1240</v>
      </c>
      <c r="U25" s="65">
        <v>330</v>
      </c>
    </row>
    <row r="26" spans="1:21" s="55" customFormat="1" x14ac:dyDescent="0.35">
      <c r="A26" s="61">
        <v>0</v>
      </c>
      <c r="B26" s="61">
        <v>0</v>
      </c>
      <c r="C26" s="61">
        <v>0</v>
      </c>
      <c r="D26" s="61">
        <v>0.191308168</v>
      </c>
      <c r="E26" s="61">
        <v>0.39099997563610084</v>
      </c>
      <c r="F26" s="61">
        <v>0.22299138269423313</v>
      </c>
      <c r="G26" s="62">
        <v>0</v>
      </c>
      <c r="H26" s="61">
        <v>0</v>
      </c>
      <c r="I26" s="61">
        <v>0</v>
      </c>
      <c r="J26" s="61">
        <v>0.17699999999999999</v>
      </c>
      <c r="K26" s="61">
        <v>0.125</v>
      </c>
      <c r="L26" s="61">
        <v>0.55494523957685127</v>
      </c>
      <c r="M26" s="61">
        <v>9.7894825739723995E-2</v>
      </c>
      <c r="N26" s="55">
        <v>0</v>
      </c>
      <c r="O26" s="63">
        <v>0.83886932004309223</v>
      </c>
      <c r="P26" s="63">
        <f>1</f>
        <v>1</v>
      </c>
      <c r="Q26" s="64">
        <v>1</v>
      </c>
      <c r="R26" s="65">
        <v>0</v>
      </c>
      <c r="S26" s="65">
        <v>1</v>
      </c>
      <c r="T26" s="65">
        <v>1240</v>
      </c>
      <c r="U26" s="65">
        <v>330</v>
      </c>
    </row>
    <row r="27" spans="1:21" s="55" customFormat="1" x14ac:dyDescent="0.35">
      <c r="A27" s="61">
        <v>0</v>
      </c>
      <c r="B27" s="61">
        <v>0</v>
      </c>
      <c r="C27" s="61">
        <v>0</v>
      </c>
      <c r="D27" s="61">
        <v>0.18462990100000001</v>
      </c>
      <c r="E27" s="61">
        <v>0.38699982945270561</v>
      </c>
      <c r="F27" s="61">
        <v>0.21520710454291414</v>
      </c>
      <c r="G27" s="62">
        <v>0</v>
      </c>
      <c r="H27" s="61">
        <v>0</v>
      </c>
      <c r="I27" s="61">
        <v>0</v>
      </c>
      <c r="J27" s="61">
        <v>0.183</v>
      </c>
      <c r="K27" s="61">
        <v>0.113</v>
      </c>
      <c r="L27" s="61">
        <v>0.55443061605476041</v>
      </c>
      <c r="M27" s="61">
        <v>9.2014504440124642E-2</v>
      </c>
      <c r="N27" s="55">
        <v>0</v>
      </c>
      <c r="O27" s="63">
        <v>0.83886932004309223</v>
      </c>
      <c r="P27" s="63">
        <f>1</f>
        <v>1</v>
      </c>
      <c r="Q27" s="64">
        <v>1</v>
      </c>
      <c r="R27" s="65">
        <v>0</v>
      </c>
      <c r="S27" s="65">
        <v>1</v>
      </c>
      <c r="T27" s="65">
        <v>1240</v>
      </c>
      <c r="U27" s="65">
        <v>330</v>
      </c>
    </row>
    <row r="28" spans="1:21" s="55" customFormat="1" x14ac:dyDescent="0.35">
      <c r="A28" s="61">
        <v>0</v>
      </c>
      <c r="B28" s="61">
        <v>0</v>
      </c>
      <c r="C28" s="61">
        <v>0</v>
      </c>
      <c r="D28" s="61">
        <v>0.175203316</v>
      </c>
      <c r="E28" s="61">
        <v>0.38699982945270561</v>
      </c>
      <c r="F28" s="61">
        <v>0.20421934983693249</v>
      </c>
      <c r="G28" s="62">
        <v>0</v>
      </c>
      <c r="H28" s="61">
        <v>0</v>
      </c>
      <c r="I28" s="61">
        <v>0</v>
      </c>
      <c r="J28" s="61">
        <v>0.183</v>
      </c>
      <c r="K28" s="61">
        <v>0.10099999999999999</v>
      </c>
      <c r="L28" s="61">
        <v>0.55368077162414431</v>
      </c>
      <c r="M28" s="61">
        <v>8.5238154529455407E-2</v>
      </c>
      <c r="N28" s="55">
        <v>0</v>
      </c>
      <c r="O28" s="63">
        <v>0.83886932004309223</v>
      </c>
      <c r="P28" s="63">
        <f>1</f>
        <v>1</v>
      </c>
      <c r="Q28" s="64">
        <v>1</v>
      </c>
      <c r="R28" s="65">
        <v>0</v>
      </c>
      <c r="S28" s="65">
        <v>1</v>
      </c>
      <c r="T28" s="65">
        <v>1240</v>
      </c>
      <c r="U28" s="65">
        <v>330</v>
      </c>
    </row>
    <row r="29" spans="1:21" s="55" customFormat="1" x14ac:dyDescent="0.35">
      <c r="A29" s="61">
        <v>0</v>
      </c>
      <c r="B29" s="61">
        <v>0</v>
      </c>
      <c r="C29" s="61">
        <v>0</v>
      </c>
      <c r="D29" s="61">
        <v>0.164087805</v>
      </c>
      <c r="E29" s="61">
        <v>0.38699982945270561</v>
      </c>
      <c r="F29" s="61">
        <v>0.1912629601900307</v>
      </c>
      <c r="G29" s="62">
        <v>0</v>
      </c>
      <c r="H29" s="61">
        <v>0</v>
      </c>
      <c r="I29" s="61">
        <v>0</v>
      </c>
      <c r="J29" s="61">
        <v>0.18</v>
      </c>
      <c r="K29" s="61">
        <v>9.1999999999999998E-2</v>
      </c>
      <c r="L29" s="61">
        <v>0.54962476664592408</v>
      </c>
      <c r="M29" s="61">
        <v>7.9252758474551127E-2</v>
      </c>
      <c r="N29" s="55">
        <v>0</v>
      </c>
      <c r="O29" s="63">
        <v>0.83886932004309223</v>
      </c>
      <c r="P29" s="63">
        <f>1</f>
        <v>1</v>
      </c>
      <c r="Q29" s="64">
        <v>1</v>
      </c>
      <c r="R29" s="65">
        <v>0</v>
      </c>
      <c r="S29" s="65">
        <v>1</v>
      </c>
      <c r="T29" s="65">
        <v>1240</v>
      </c>
      <c r="U29" s="65">
        <v>330</v>
      </c>
    </row>
    <row r="30" spans="1:21" s="55" customFormat="1" x14ac:dyDescent="0.35">
      <c r="A30" s="61">
        <v>0</v>
      </c>
      <c r="B30" s="61">
        <v>0</v>
      </c>
      <c r="C30" s="61">
        <v>0</v>
      </c>
      <c r="D30" s="61">
        <v>0.15585540000000001</v>
      </c>
      <c r="E30" s="61">
        <v>0.38699982945270561</v>
      </c>
      <c r="F30" s="61">
        <v>0.18166715780981596</v>
      </c>
      <c r="G30" s="62">
        <v>0</v>
      </c>
      <c r="H30" s="61">
        <v>0</v>
      </c>
      <c r="I30" s="61">
        <v>0</v>
      </c>
      <c r="J30" s="61">
        <v>0.183</v>
      </c>
      <c r="K30" s="61">
        <v>8.4000000000000005E-2</v>
      </c>
      <c r="L30" s="61">
        <v>0.54362725575606718</v>
      </c>
      <c r="M30" s="61">
        <v>7.4230829166048368E-2</v>
      </c>
      <c r="N30" s="55">
        <v>0</v>
      </c>
      <c r="O30" s="63">
        <v>0.83886932004309223</v>
      </c>
      <c r="P30" s="63">
        <f>1</f>
        <v>1</v>
      </c>
      <c r="Q30" s="64">
        <v>1</v>
      </c>
      <c r="R30" s="65">
        <v>0</v>
      </c>
      <c r="S30" s="65">
        <v>1</v>
      </c>
      <c r="T30" s="65">
        <v>1240</v>
      </c>
      <c r="U30" s="65">
        <v>330</v>
      </c>
    </row>
    <row r="31" spans="1:21" s="55" customFormat="1" x14ac:dyDescent="0.35">
      <c r="A31" s="61">
        <v>0</v>
      </c>
      <c r="B31" s="61">
        <v>0</v>
      </c>
      <c r="C31" s="61">
        <v>0</v>
      </c>
      <c r="D31" s="61">
        <v>0.148141731</v>
      </c>
      <c r="E31" s="61">
        <v>0.38699982945270561</v>
      </c>
      <c r="F31" s="61">
        <v>0.17267600111254602</v>
      </c>
      <c r="G31" s="62">
        <v>0</v>
      </c>
      <c r="H31" s="61">
        <v>0</v>
      </c>
      <c r="I31" s="61">
        <v>0</v>
      </c>
      <c r="J31" s="61">
        <v>0.18499999999999997</v>
      </c>
      <c r="K31" s="61">
        <v>7.8E-2</v>
      </c>
      <c r="L31" s="61">
        <v>0.54071499688861235</v>
      </c>
      <c r="M31" s="61">
        <v>6.8519858705149136E-2</v>
      </c>
      <c r="N31" s="55">
        <v>0</v>
      </c>
      <c r="O31" s="63">
        <v>0.83886932004309223</v>
      </c>
      <c r="P31" s="63">
        <f>1</f>
        <v>1</v>
      </c>
      <c r="Q31" s="64">
        <v>1</v>
      </c>
      <c r="R31" s="65">
        <v>0</v>
      </c>
      <c r="S31" s="65">
        <v>1</v>
      </c>
      <c r="T31" s="65">
        <v>1240</v>
      </c>
      <c r="U31" s="65">
        <v>330</v>
      </c>
    </row>
    <row r="32" spans="1:21" s="55" customFormat="1" x14ac:dyDescent="0.35">
      <c r="A32" s="61">
        <v>0</v>
      </c>
      <c r="B32" s="61">
        <v>0</v>
      </c>
      <c r="C32" s="61">
        <v>0</v>
      </c>
      <c r="D32" s="61">
        <v>0.133788193</v>
      </c>
      <c r="E32" s="61">
        <v>0.39099997563610084</v>
      </c>
      <c r="F32" s="61">
        <v>0.15594532349101228</v>
      </c>
      <c r="G32" s="62">
        <v>0</v>
      </c>
      <c r="H32" s="61">
        <v>0</v>
      </c>
      <c r="I32" s="61">
        <v>0</v>
      </c>
      <c r="J32" s="61">
        <v>0.182</v>
      </c>
      <c r="K32" s="61">
        <v>7.5999999999999998E-2</v>
      </c>
      <c r="L32" s="61">
        <v>0.55184380833851898</v>
      </c>
      <c r="M32" s="61">
        <v>6.6121519590443684E-2</v>
      </c>
      <c r="N32" s="55">
        <v>0</v>
      </c>
      <c r="O32" s="63">
        <v>0.83886932004309223</v>
      </c>
      <c r="P32" s="63">
        <f>1</f>
        <v>1</v>
      </c>
      <c r="Q32" s="64">
        <v>1</v>
      </c>
      <c r="R32" s="65">
        <v>0</v>
      </c>
      <c r="S32" s="65">
        <v>1</v>
      </c>
      <c r="T32" s="65">
        <v>1240</v>
      </c>
      <c r="U32" s="65">
        <v>330</v>
      </c>
    </row>
    <row r="33" spans="1:21" s="55" customFormat="1" x14ac:dyDescent="0.35">
      <c r="A33" s="61">
        <v>0</v>
      </c>
      <c r="B33" s="61">
        <v>0</v>
      </c>
      <c r="C33" s="61">
        <v>0</v>
      </c>
      <c r="D33" s="61">
        <v>0.115257552</v>
      </c>
      <c r="E33" s="61">
        <v>0.42100005684909814</v>
      </c>
      <c r="F33" s="61">
        <v>0.13434575823460124</v>
      </c>
      <c r="G33" s="62">
        <v>0</v>
      </c>
      <c r="H33" s="61">
        <v>0</v>
      </c>
      <c r="I33" s="61">
        <v>0</v>
      </c>
      <c r="J33" s="61">
        <v>0.16499999999999998</v>
      </c>
      <c r="K33" s="61">
        <v>7.9000000000000001E-2</v>
      </c>
      <c r="L33" s="61">
        <v>0.59684131922837591</v>
      </c>
      <c r="M33" s="61">
        <v>6.8034689642973739E-2</v>
      </c>
      <c r="N33" s="55">
        <v>0</v>
      </c>
      <c r="O33" s="63">
        <v>0.83886932004309223</v>
      </c>
      <c r="P33" s="63">
        <f>1</f>
        <v>1</v>
      </c>
      <c r="Q33" s="64">
        <v>1</v>
      </c>
      <c r="R33" s="65">
        <v>0</v>
      </c>
      <c r="S33" s="65">
        <v>1</v>
      </c>
      <c r="T33" s="65">
        <v>1240</v>
      </c>
      <c r="U33" s="65">
        <v>330</v>
      </c>
    </row>
    <row r="34" spans="1:21" s="55" customFormat="1" x14ac:dyDescent="0.35">
      <c r="A34" s="61">
        <v>0</v>
      </c>
      <c r="B34" s="61">
        <v>0</v>
      </c>
      <c r="C34" s="61">
        <v>0</v>
      </c>
      <c r="D34" s="61">
        <v>0.113440635</v>
      </c>
      <c r="E34" s="61">
        <v>0.44099997563610077</v>
      </c>
      <c r="F34" s="61">
        <v>0.14147520637947852</v>
      </c>
      <c r="G34" s="62">
        <v>0</v>
      </c>
      <c r="H34" s="61">
        <v>0</v>
      </c>
      <c r="I34" s="61">
        <v>0</v>
      </c>
      <c r="J34" s="61">
        <v>0.13600000000000001</v>
      </c>
      <c r="K34" s="61">
        <v>8.1000000000000003E-2</v>
      </c>
      <c r="L34" s="61">
        <v>0.60673304293714991</v>
      </c>
      <c r="M34" s="61">
        <v>7.0901234568630359E-2</v>
      </c>
      <c r="N34" s="55">
        <v>0</v>
      </c>
      <c r="O34" s="63">
        <v>0.83886932004309223</v>
      </c>
      <c r="P34" s="63">
        <f>1</f>
        <v>1</v>
      </c>
      <c r="Q34" s="64">
        <v>1</v>
      </c>
      <c r="R34" s="65">
        <v>0</v>
      </c>
      <c r="S34" s="65">
        <v>1</v>
      </c>
      <c r="T34" s="65">
        <v>1240</v>
      </c>
      <c r="U34" s="65">
        <v>330</v>
      </c>
    </row>
    <row r="35" spans="1:21" s="55" customFormat="1" x14ac:dyDescent="0.35">
      <c r="A35" s="61">
        <v>0.107</v>
      </c>
      <c r="B35" s="61">
        <v>6.6000000000000003E-2</v>
      </c>
      <c r="C35" s="61">
        <v>0.113</v>
      </c>
      <c r="D35" s="61">
        <v>0.103052199</v>
      </c>
      <c r="E35" s="61">
        <v>0.4390001055768965</v>
      </c>
      <c r="F35" s="61">
        <v>0.37635916874088954</v>
      </c>
      <c r="G35" s="62">
        <v>0</v>
      </c>
      <c r="H35" s="61">
        <v>6.699999999999999E-2</v>
      </c>
      <c r="I35" s="61">
        <v>3.6999999999999998E-2</v>
      </c>
      <c r="J35" s="61">
        <v>0.108</v>
      </c>
      <c r="K35" s="61">
        <v>8.1000000000000003E-2</v>
      </c>
      <c r="L35" s="61">
        <v>0.61458369632856247</v>
      </c>
      <c r="M35" s="61">
        <v>0.16883210920967504</v>
      </c>
      <c r="N35" s="55">
        <v>0</v>
      </c>
      <c r="O35" s="63">
        <v>0.83886932004309223</v>
      </c>
      <c r="P35" s="63">
        <f>1</f>
        <v>1</v>
      </c>
      <c r="Q35" s="64">
        <v>1</v>
      </c>
      <c r="R35" s="65">
        <v>0</v>
      </c>
      <c r="S35" s="65">
        <v>1</v>
      </c>
      <c r="T35" s="65">
        <v>1240</v>
      </c>
      <c r="U35" s="65">
        <v>330</v>
      </c>
    </row>
    <row r="36" spans="1:21" s="55" customFormat="1" x14ac:dyDescent="0.35">
      <c r="A36" s="61">
        <v>0.28100000000000003</v>
      </c>
      <c r="B36" s="61">
        <v>0.17</v>
      </c>
      <c r="C36" s="61">
        <v>0.27399999999999997</v>
      </c>
      <c r="D36" s="61">
        <v>8.6513140000000002E-2</v>
      </c>
      <c r="E36" s="61">
        <v>0.42700007309169763</v>
      </c>
      <c r="F36" s="61">
        <v>0.74699356899644176</v>
      </c>
      <c r="G36" s="62">
        <v>0</v>
      </c>
      <c r="H36" s="61">
        <v>0.24399999999999999</v>
      </c>
      <c r="I36" s="61">
        <v>0.14100000000000001</v>
      </c>
      <c r="J36" s="61">
        <v>6.7000000000000004E-2</v>
      </c>
      <c r="K36" s="61">
        <v>7.8E-2</v>
      </c>
      <c r="L36" s="61">
        <v>0.61537585563161168</v>
      </c>
      <c r="M36" s="61">
        <v>0.4294760421261315</v>
      </c>
      <c r="N36" s="55">
        <v>0</v>
      </c>
      <c r="O36" s="63">
        <v>0.78977169096992472</v>
      </c>
      <c r="P36" s="63">
        <f>1</f>
        <v>1</v>
      </c>
      <c r="Q36" s="64">
        <v>1</v>
      </c>
      <c r="R36" s="65">
        <v>0</v>
      </c>
      <c r="S36" s="65">
        <v>1</v>
      </c>
      <c r="T36" s="65">
        <v>1240</v>
      </c>
      <c r="U36" s="65">
        <v>330</v>
      </c>
    </row>
    <row r="37" spans="1:21" s="55" customFormat="1" x14ac:dyDescent="0.35">
      <c r="A37" s="61">
        <v>0.35199999999999998</v>
      </c>
      <c r="B37" s="61">
        <v>0.28299999999999903</v>
      </c>
      <c r="C37" s="61">
        <v>0.40600000000000003</v>
      </c>
      <c r="D37" s="61">
        <v>8.1672468999999998E-2</v>
      </c>
      <c r="E37" s="61">
        <v>0.42499979696750673</v>
      </c>
      <c r="F37" s="61">
        <v>0.97861329486843562</v>
      </c>
      <c r="G37" s="62">
        <v>0</v>
      </c>
      <c r="H37" s="61">
        <v>0.41299999999999998</v>
      </c>
      <c r="I37" s="61">
        <v>0.25</v>
      </c>
      <c r="J37" s="61">
        <v>4.1000000000000002E-2</v>
      </c>
      <c r="K37" s="61">
        <v>7.1999999999999995E-2</v>
      </c>
      <c r="L37" s="61">
        <v>0.61282576228998131</v>
      </c>
      <c r="M37" s="61">
        <v>0.68106644409675032</v>
      </c>
      <c r="N37" s="55">
        <v>0</v>
      </c>
      <c r="O37" s="63">
        <v>0</v>
      </c>
      <c r="P37" s="63">
        <f>1</f>
        <v>1</v>
      </c>
      <c r="Q37" s="64">
        <v>0</v>
      </c>
      <c r="R37" s="65">
        <v>0</v>
      </c>
      <c r="S37" s="65">
        <v>1</v>
      </c>
      <c r="T37" s="65">
        <v>194.64011808999999</v>
      </c>
      <c r="U37" s="65">
        <v>330</v>
      </c>
    </row>
    <row r="38" spans="1:21" s="55" customFormat="1" x14ac:dyDescent="0.35">
      <c r="A38" s="61">
        <v>0.38300000000000001</v>
      </c>
      <c r="B38" s="61">
        <v>0.36899999999999999</v>
      </c>
      <c r="C38" s="61">
        <v>0.49</v>
      </c>
      <c r="D38" s="61">
        <v>8.7381510999999995E-2</v>
      </c>
      <c r="E38" s="61">
        <v>0.4150000406064987</v>
      </c>
      <c r="F38" s="61">
        <v>1</v>
      </c>
      <c r="G38" s="62">
        <v>8.9597589216807119E-2</v>
      </c>
      <c r="H38" s="61">
        <v>0.52699999999999991</v>
      </c>
      <c r="I38" s="61">
        <v>0.33100000000000002</v>
      </c>
      <c r="J38" s="61">
        <v>3.3000000000000002E-2</v>
      </c>
      <c r="K38" s="61">
        <v>6.2E-2</v>
      </c>
      <c r="L38" s="61">
        <v>0.61471437461107659</v>
      </c>
      <c r="M38" s="61">
        <v>0.85178789699154178</v>
      </c>
      <c r="N38" s="55">
        <v>0</v>
      </c>
      <c r="O38" s="63">
        <v>0</v>
      </c>
      <c r="P38" s="63">
        <f>1</f>
        <v>1</v>
      </c>
      <c r="Q38" s="64">
        <v>0</v>
      </c>
      <c r="R38" s="65">
        <v>0</v>
      </c>
      <c r="S38" s="65">
        <v>0.45244581614125873</v>
      </c>
      <c r="T38" s="65">
        <v>0</v>
      </c>
      <c r="U38" s="65">
        <v>129.57841562999999</v>
      </c>
    </row>
    <row r="39" spans="1:21" s="55" customFormat="1" x14ac:dyDescent="0.35">
      <c r="A39" s="61">
        <v>0.39400000000000002</v>
      </c>
      <c r="B39" s="61">
        <v>0.4</v>
      </c>
      <c r="C39" s="61">
        <v>0.51100000000000001</v>
      </c>
      <c r="D39" s="61">
        <v>8.9404032999999994E-2</v>
      </c>
      <c r="E39" s="61">
        <v>0.41800004872779845</v>
      </c>
      <c r="F39" s="61">
        <v>1</v>
      </c>
      <c r="G39" s="62">
        <v>0.12021310980632743</v>
      </c>
      <c r="H39" s="61">
        <v>0.57200000000000006</v>
      </c>
      <c r="I39" s="61">
        <v>0.36399999999999999</v>
      </c>
      <c r="J39" s="61">
        <v>2.4999999999999998E-2</v>
      </c>
      <c r="K39" s="61">
        <v>5.3999999999999999E-2</v>
      </c>
      <c r="L39" s="61">
        <v>0.61426571250777851</v>
      </c>
      <c r="M39" s="61">
        <v>0.91594941120730078</v>
      </c>
      <c r="N39" s="55">
        <v>0</v>
      </c>
      <c r="O39" s="63">
        <v>0</v>
      </c>
      <c r="P39" s="63">
        <f>1</f>
        <v>1</v>
      </c>
      <c r="Q39" s="64">
        <v>0.204938505864</v>
      </c>
      <c r="R39" s="65">
        <v>0</v>
      </c>
      <c r="S39" s="65">
        <v>0.96052432728201087</v>
      </c>
      <c r="T39" s="65">
        <v>0</v>
      </c>
      <c r="U39" s="65">
        <v>330</v>
      </c>
    </row>
    <row r="40" spans="1:21" s="55" customFormat="1" x14ac:dyDescent="0.35">
      <c r="A40" s="61">
        <v>0.39800000000000002</v>
      </c>
      <c r="B40" s="61">
        <v>0.36299999999999999</v>
      </c>
      <c r="C40" s="61">
        <v>0.47</v>
      </c>
      <c r="D40" s="61">
        <v>8.3889897000000005E-2</v>
      </c>
      <c r="E40" s="61">
        <v>0.43000008121299732</v>
      </c>
      <c r="F40" s="61">
        <v>1</v>
      </c>
      <c r="G40" s="62">
        <v>8.2397632420319056E-2</v>
      </c>
      <c r="H40" s="61">
        <v>0.54399999999999993</v>
      </c>
      <c r="I40" s="61">
        <v>0.34299999999999997</v>
      </c>
      <c r="J40" s="61">
        <v>2.1000000000000001E-2</v>
      </c>
      <c r="K40" s="61">
        <v>4.9999999999999996E-2</v>
      </c>
      <c r="L40" s="61">
        <v>0.60625326695706283</v>
      </c>
      <c r="M40" s="61">
        <v>0.86852362447751885</v>
      </c>
      <c r="N40" s="55">
        <v>0</v>
      </c>
      <c r="O40" s="63">
        <v>0</v>
      </c>
      <c r="P40" s="63">
        <f>1</f>
        <v>1</v>
      </c>
      <c r="Q40" s="64">
        <v>0.40402203442199996</v>
      </c>
      <c r="R40" s="65">
        <v>0</v>
      </c>
      <c r="S40" s="65">
        <v>1</v>
      </c>
      <c r="T40" s="65">
        <v>984.02762299999995</v>
      </c>
      <c r="U40" s="65">
        <v>330</v>
      </c>
    </row>
    <row r="41" spans="1:21" s="55" customFormat="1" x14ac:dyDescent="0.35">
      <c r="A41" s="61">
        <v>0.375</v>
      </c>
      <c r="B41" s="61">
        <v>0.26500000000000001</v>
      </c>
      <c r="C41" s="61">
        <v>0.36199999999999904</v>
      </c>
      <c r="D41" s="61">
        <v>7.8523670000000004E-2</v>
      </c>
      <c r="E41" s="61">
        <v>0.42599993502960221</v>
      </c>
      <c r="F41" s="61">
        <v>0.9503845149898773</v>
      </c>
      <c r="G41" s="62">
        <v>0</v>
      </c>
      <c r="H41" s="61">
        <v>0.44700000000000001</v>
      </c>
      <c r="I41" s="61">
        <v>0.26999999999999996</v>
      </c>
      <c r="J41" s="61">
        <v>2.3E-2</v>
      </c>
      <c r="K41" s="61">
        <v>5.0999999999999997E-2</v>
      </c>
      <c r="L41" s="61">
        <v>0.60138270068450528</v>
      </c>
      <c r="M41" s="61">
        <v>0.71125098950140964</v>
      </c>
      <c r="N41" s="55">
        <v>0</v>
      </c>
      <c r="O41" s="63">
        <v>0</v>
      </c>
      <c r="P41" s="63">
        <f>1</f>
        <v>1</v>
      </c>
      <c r="Q41" s="64">
        <v>0.73645597202000002</v>
      </c>
      <c r="R41" s="65">
        <v>0</v>
      </c>
      <c r="S41" s="65">
        <v>1</v>
      </c>
      <c r="T41" s="65">
        <v>1240</v>
      </c>
      <c r="U41" s="65">
        <v>330</v>
      </c>
    </row>
    <row r="42" spans="1:21" s="55" customFormat="1" x14ac:dyDescent="0.35">
      <c r="A42" s="61">
        <v>0.26400000000000001</v>
      </c>
      <c r="B42" s="61">
        <v>0.13300000000000001</v>
      </c>
      <c r="C42" s="61">
        <v>0.21299999999999999</v>
      </c>
      <c r="D42" s="61">
        <v>7.2706811999999996E-2</v>
      </c>
      <c r="E42" s="61">
        <v>0.42499979696750673</v>
      </c>
      <c r="F42" s="61">
        <v>0.64035485154865035</v>
      </c>
      <c r="G42" s="62">
        <v>0</v>
      </c>
      <c r="H42" s="61">
        <v>0.30099999999999999</v>
      </c>
      <c r="I42" s="61">
        <v>0.16600000000000001</v>
      </c>
      <c r="J42" s="61">
        <v>3.3000000000000002E-2</v>
      </c>
      <c r="K42" s="61">
        <v>6.0999999999999999E-2</v>
      </c>
      <c r="L42" s="61">
        <v>0.60076913503422524</v>
      </c>
      <c r="M42" s="61">
        <v>0.49063856106603354</v>
      </c>
      <c r="N42" s="55">
        <v>0</v>
      </c>
      <c r="O42" s="63">
        <v>0.83886932004309223</v>
      </c>
      <c r="P42" s="63">
        <f>1</f>
        <v>1</v>
      </c>
      <c r="Q42" s="64">
        <v>1</v>
      </c>
      <c r="R42" s="65">
        <v>0</v>
      </c>
      <c r="S42" s="65">
        <v>1</v>
      </c>
      <c r="T42" s="65">
        <v>1240</v>
      </c>
      <c r="U42" s="65">
        <v>330</v>
      </c>
    </row>
    <row r="43" spans="1:21" s="55" customFormat="1" x14ac:dyDescent="0.35">
      <c r="A43" s="61">
        <v>5.8000000000000003E-2</v>
      </c>
      <c r="B43" s="61">
        <v>1.3000000000000001E-2</v>
      </c>
      <c r="C43" s="61">
        <v>5.4000000000000006E-2</v>
      </c>
      <c r="D43" s="61">
        <v>7.3486639000000006E-2</v>
      </c>
      <c r="E43" s="61">
        <v>0.43000008121299732</v>
      </c>
      <c r="F43" s="61">
        <v>0.21586356291141107</v>
      </c>
      <c r="G43" s="62">
        <v>0</v>
      </c>
      <c r="H43" s="61">
        <v>0.126</v>
      </c>
      <c r="I43" s="61">
        <v>6.0000000000000005E-2</v>
      </c>
      <c r="J43" s="61">
        <v>5.8999999999999997E-2</v>
      </c>
      <c r="K43" s="61">
        <v>8.1000000000000003E-2</v>
      </c>
      <c r="L43" s="61">
        <v>0.60318232731798382</v>
      </c>
      <c r="M43" s="61">
        <v>0.24945497940080133</v>
      </c>
      <c r="N43" s="55">
        <v>0</v>
      </c>
      <c r="O43" s="63">
        <v>0.83886932004309223</v>
      </c>
      <c r="P43" s="63">
        <f>1</f>
        <v>1</v>
      </c>
      <c r="Q43" s="64">
        <v>1</v>
      </c>
      <c r="R43" s="65">
        <v>0</v>
      </c>
      <c r="S43" s="65">
        <v>1</v>
      </c>
      <c r="T43" s="65">
        <v>1240</v>
      </c>
      <c r="U43" s="65">
        <v>330</v>
      </c>
    </row>
    <row r="44" spans="1:21" s="55" customFormat="1" x14ac:dyDescent="0.35">
      <c r="A44" s="61">
        <v>0</v>
      </c>
      <c r="B44" s="61">
        <v>0</v>
      </c>
      <c r="C44" s="61">
        <v>0</v>
      </c>
      <c r="D44" s="61">
        <v>0.115611123</v>
      </c>
      <c r="E44" s="61">
        <v>0.43600009745559681</v>
      </c>
      <c r="F44" s="61">
        <v>0.13477711798702452</v>
      </c>
      <c r="G44" s="62">
        <v>0</v>
      </c>
      <c r="H44" s="61">
        <v>0</v>
      </c>
      <c r="I44" s="61">
        <v>0</v>
      </c>
      <c r="J44" s="61">
        <v>0.159</v>
      </c>
      <c r="K44" s="61">
        <v>0.106</v>
      </c>
      <c r="L44" s="61">
        <v>0.60607342874922221</v>
      </c>
      <c r="M44" s="61">
        <v>0.1020421906389672</v>
      </c>
      <c r="N44" s="55">
        <v>0</v>
      </c>
      <c r="O44" s="63">
        <v>0.83886932004309223</v>
      </c>
      <c r="P44" s="63">
        <f>1</f>
        <v>1</v>
      </c>
      <c r="Q44" s="64">
        <v>1</v>
      </c>
      <c r="R44" s="65">
        <v>0</v>
      </c>
      <c r="S44" s="65">
        <v>1</v>
      </c>
      <c r="T44" s="65">
        <v>1240</v>
      </c>
      <c r="U44" s="65">
        <v>330</v>
      </c>
    </row>
    <row r="45" spans="1:21" s="55" customFormat="1" x14ac:dyDescent="0.35">
      <c r="A45" s="61">
        <v>0</v>
      </c>
      <c r="B45" s="61">
        <v>0</v>
      </c>
      <c r="C45" s="61">
        <v>0</v>
      </c>
      <c r="D45" s="61">
        <v>0.13827661499999999</v>
      </c>
      <c r="E45" s="61">
        <v>0.44299984569530515</v>
      </c>
      <c r="F45" s="61">
        <v>0.16117708875414108</v>
      </c>
      <c r="G45" s="62">
        <v>0</v>
      </c>
      <c r="H45" s="61">
        <v>0</v>
      </c>
      <c r="I45" s="61">
        <v>0</v>
      </c>
      <c r="J45" s="61">
        <v>0.22199999999999998</v>
      </c>
      <c r="K45" s="61">
        <v>0.124</v>
      </c>
      <c r="L45" s="61">
        <v>0.61117672682016178</v>
      </c>
      <c r="M45" s="61">
        <v>0.11529016369639412</v>
      </c>
      <c r="N45" s="55">
        <v>0</v>
      </c>
      <c r="O45" s="63">
        <v>0.83886932004309223</v>
      </c>
      <c r="P45" s="63">
        <f>1</f>
        <v>1</v>
      </c>
      <c r="Q45" s="64">
        <v>1</v>
      </c>
      <c r="R45" s="65">
        <v>0</v>
      </c>
      <c r="S45" s="65">
        <v>1</v>
      </c>
      <c r="T45" s="65">
        <v>1240</v>
      </c>
      <c r="U45" s="65">
        <v>330</v>
      </c>
    </row>
    <row r="46" spans="1:21" s="55" customFormat="1" x14ac:dyDescent="0.35">
      <c r="A46" s="61">
        <v>0</v>
      </c>
      <c r="B46" s="61">
        <v>0</v>
      </c>
      <c r="C46" s="61">
        <v>0</v>
      </c>
      <c r="D46" s="61">
        <v>0.13061771899999999</v>
      </c>
      <c r="E46" s="61">
        <v>0.45199987005920433</v>
      </c>
      <c r="F46" s="61">
        <v>0.15224977620493865</v>
      </c>
      <c r="G46" s="62">
        <v>0</v>
      </c>
      <c r="H46" s="61">
        <v>0</v>
      </c>
      <c r="I46" s="61">
        <v>0</v>
      </c>
      <c r="J46" s="61">
        <v>0.223</v>
      </c>
      <c r="K46" s="61">
        <v>0.13100000000000001</v>
      </c>
      <c r="L46" s="61">
        <v>0.61380460485376476</v>
      </c>
      <c r="M46" s="61">
        <v>0.12076607667369046</v>
      </c>
      <c r="N46" s="55">
        <v>0</v>
      </c>
      <c r="O46" s="63">
        <v>0.83886932004309223</v>
      </c>
      <c r="P46" s="63">
        <f>1</f>
        <v>1</v>
      </c>
      <c r="Q46" s="64">
        <v>1</v>
      </c>
      <c r="R46" s="65">
        <v>0</v>
      </c>
      <c r="S46" s="65">
        <v>1</v>
      </c>
      <c r="T46" s="65">
        <v>1240</v>
      </c>
      <c r="U46" s="65">
        <v>330</v>
      </c>
    </row>
    <row r="47" spans="1:21" s="55" customFormat="1" x14ac:dyDescent="0.35">
      <c r="A47" s="61">
        <v>0</v>
      </c>
      <c r="B47" s="61">
        <v>0</v>
      </c>
      <c r="C47" s="61">
        <v>0</v>
      </c>
      <c r="D47" s="61">
        <v>0.11403063400000001</v>
      </c>
      <c r="E47" s="61">
        <v>0.44999999999999996</v>
      </c>
      <c r="F47" s="61">
        <v>0.1329156460541718</v>
      </c>
      <c r="G47" s="62">
        <v>0</v>
      </c>
      <c r="H47" s="61">
        <v>0</v>
      </c>
      <c r="I47" s="61">
        <v>0</v>
      </c>
      <c r="J47" s="61">
        <v>0.20699999999999999</v>
      </c>
      <c r="K47" s="61">
        <v>0.13</v>
      </c>
      <c r="L47" s="61">
        <v>0.61083322962041076</v>
      </c>
      <c r="M47" s="61">
        <v>0.12176602135598753</v>
      </c>
      <c r="N47" s="55">
        <v>0</v>
      </c>
      <c r="O47" s="63">
        <v>0.83886932004309223</v>
      </c>
      <c r="P47" s="63">
        <f>1</f>
        <v>1</v>
      </c>
      <c r="Q47" s="64">
        <v>1</v>
      </c>
      <c r="R47" s="65">
        <v>0</v>
      </c>
      <c r="S47" s="65">
        <v>1</v>
      </c>
      <c r="T47" s="65">
        <v>1240</v>
      </c>
      <c r="U47" s="65">
        <v>330</v>
      </c>
    </row>
    <row r="48" spans="1:21" s="55" customFormat="1" x14ac:dyDescent="0.35">
      <c r="A48" s="61">
        <v>0</v>
      </c>
      <c r="B48" s="61">
        <v>0</v>
      </c>
      <c r="C48" s="61">
        <v>0</v>
      </c>
      <c r="D48" s="61">
        <v>0.107394823</v>
      </c>
      <c r="E48" s="61">
        <v>0.44599985381660484</v>
      </c>
      <c r="F48" s="61">
        <v>0.12518085518947852</v>
      </c>
      <c r="G48" s="62">
        <v>0</v>
      </c>
      <c r="H48" s="61">
        <v>0</v>
      </c>
      <c r="I48" s="61">
        <v>0</v>
      </c>
      <c r="J48" s="61">
        <v>0.20299999999999999</v>
      </c>
      <c r="K48" s="61">
        <v>0.127</v>
      </c>
      <c r="L48" s="61">
        <v>0.61162227753578091</v>
      </c>
      <c r="M48" s="61">
        <v>0.12298570986674581</v>
      </c>
      <c r="N48" s="55">
        <v>0</v>
      </c>
      <c r="O48" s="63">
        <v>0.83886932004309223</v>
      </c>
      <c r="P48" s="63">
        <f>1</f>
        <v>1</v>
      </c>
      <c r="Q48" s="64">
        <v>1</v>
      </c>
      <c r="R48" s="65">
        <v>0</v>
      </c>
      <c r="S48" s="65">
        <v>1</v>
      </c>
      <c r="T48" s="65">
        <v>1240</v>
      </c>
      <c r="U48" s="65">
        <v>330</v>
      </c>
    </row>
    <row r="49" spans="1:21" s="55" customFormat="1" x14ac:dyDescent="0.35">
      <c r="A49" s="61">
        <v>0</v>
      </c>
      <c r="B49" s="61">
        <v>0</v>
      </c>
      <c r="C49" s="61">
        <v>0</v>
      </c>
      <c r="D49" s="61">
        <v>0.103424957</v>
      </c>
      <c r="E49" s="61">
        <v>0.44599985381660484</v>
      </c>
      <c r="F49" s="61">
        <v>0.12055352579886504</v>
      </c>
      <c r="G49" s="62">
        <v>0</v>
      </c>
      <c r="H49" s="61">
        <v>0</v>
      </c>
      <c r="I49" s="61">
        <v>0</v>
      </c>
      <c r="J49" s="61">
        <v>0.21499999999999997</v>
      </c>
      <c r="K49" s="61">
        <v>0.11600000000000001</v>
      </c>
      <c r="L49" s="61">
        <v>0.60667019290603608</v>
      </c>
      <c r="M49" s="61">
        <v>0.11759107197358661</v>
      </c>
      <c r="N49" s="55">
        <v>0</v>
      </c>
      <c r="O49" s="63">
        <v>0.83886932004309223</v>
      </c>
      <c r="P49" s="63">
        <f>1</f>
        <v>1</v>
      </c>
      <c r="Q49" s="64">
        <v>1</v>
      </c>
      <c r="R49" s="65">
        <v>0</v>
      </c>
      <c r="S49" s="65">
        <v>1</v>
      </c>
      <c r="T49" s="65">
        <v>1240</v>
      </c>
      <c r="U49" s="65">
        <v>330</v>
      </c>
    </row>
    <row r="50" spans="1:21" s="55" customFormat="1" x14ac:dyDescent="0.35">
      <c r="A50" s="61">
        <v>0</v>
      </c>
      <c r="B50" s="61">
        <v>0</v>
      </c>
      <c r="C50" s="61">
        <v>0</v>
      </c>
      <c r="D50" s="61">
        <v>0.107749769</v>
      </c>
      <c r="E50" s="61">
        <v>0.43399982133140597</v>
      </c>
      <c r="F50" s="61">
        <v>0.12559458503776072</v>
      </c>
      <c r="G50" s="62">
        <v>0</v>
      </c>
      <c r="H50" s="61">
        <v>0</v>
      </c>
      <c r="I50" s="61">
        <v>0</v>
      </c>
      <c r="J50" s="61">
        <v>0.23500000000000001</v>
      </c>
      <c r="K50" s="61">
        <v>0.11</v>
      </c>
      <c r="L50" s="61">
        <v>0.55700684505289355</v>
      </c>
      <c r="M50" s="61">
        <v>0.11309323699094821</v>
      </c>
      <c r="N50" s="55">
        <v>0</v>
      </c>
      <c r="O50" s="63">
        <v>0.83005541447393671</v>
      </c>
      <c r="P50" s="63">
        <f>1</f>
        <v>1</v>
      </c>
      <c r="Q50" s="64">
        <v>1</v>
      </c>
      <c r="R50" s="65">
        <v>0</v>
      </c>
      <c r="S50" s="65">
        <v>1</v>
      </c>
      <c r="T50" s="65">
        <v>1240</v>
      </c>
      <c r="U50" s="65">
        <v>330</v>
      </c>
    </row>
    <row r="51" spans="1:21" s="55" customFormat="1" x14ac:dyDescent="0.35">
      <c r="A51" s="61">
        <v>0</v>
      </c>
      <c r="B51" s="61">
        <v>0</v>
      </c>
      <c r="C51" s="61">
        <v>0</v>
      </c>
      <c r="D51" s="61">
        <v>0.111496518</v>
      </c>
      <c r="E51" s="61">
        <v>0.43000008121299732</v>
      </c>
      <c r="F51" s="61">
        <v>0.12996184624177914</v>
      </c>
      <c r="G51" s="62">
        <v>0</v>
      </c>
      <c r="H51" s="61">
        <v>0</v>
      </c>
      <c r="I51" s="61">
        <v>0</v>
      </c>
      <c r="J51" s="61">
        <v>0.247</v>
      </c>
      <c r="K51" s="61">
        <v>0.106</v>
      </c>
      <c r="L51" s="61">
        <v>0.55283696328562537</v>
      </c>
      <c r="M51" s="61">
        <v>0.11207257960083099</v>
      </c>
      <c r="N51" s="55">
        <v>0</v>
      </c>
      <c r="O51" s="63">
        <v>0.83005541447393671</v>
      </c>
      <c r="P51" s="63">
        <f>1</f>
        <v>1</v>
      </c>
      <c r="Q51" s="64">
        <v>1</v>
      </c>
      <c r="R51" s="65">
        <v>0</v>
      </c>
      <c r="S51" s="65">
        <v>1</v>
      </c>
      <c r="T51" s="65">
        <v>1240</v>
      </c>
      <c r="U51" s="65">
        <v>330</v>
      </c>
    </row>
    <row r="52" spans="1:21" s="55" customFormat="1" x14ac:dyDescent="0.35">
      <c r="A52" s="61">
        <v>0</v>
      </c>
      <c r="B52" s="61">
        <v>0</v>
      </c>
      <c r="C52" s="61">
        <v>0</v>
      </c>
      <c r="D52" s="61">
        <v>0.11350845499999999</v>
      </c>
      <c r="E52" s="61">
        <v>0.42200019491119356</v>
      </c>
      <c r="F52" s="61">
        <v>0.13230698716395706</v>
      </c>
      <c r="G52" s="62">
        <v>0</v>
      </c>
      <c r="H52" s="61">
        <v>0</v>
      </c>
      <c r="I52" s="61">
        <v>0</v>
      </c>
      <c r="J52" s="61">
        <v>0.255</v>
      </c>
      <c r="K52" s="61">
        <v>0.11</v>
      </c>
      <c r="L52" s="61">
        <v>0.55230180460485379</v>
      </c>
      <c r="M52" s="61">
        <v>0.11605561479566702</v>
      </c>
      <c r="N52" s="55">
        <v>0</v>
      </c>
      <c r="O52" s="63">
        <v>0.83005541447393671</v>
      </c>
      <c r="P52" s="63">
        <f>1</f>
        <v>1</v>
      </c>
      <c r="Q52" s="64">
        <v>1</v>
      </c>
      <c r="R52" s="65">
        <v>0</v>
      </c>
      <c r="S52" s="65">
        <v>1</v>
      </c>
      <c r="T52" s="65">
        <v>1240</v>
      </c>
      <c r="U52" s="65">
        <v>330</v>
      </c>
    </row>
    <row r="53" spans="1:21" s="55" customFormat="1" x14ac:dyDescent="0.35">
      <c r="A53" s="61">
        <v>0</v>
      </c>
      <c r="B53" s="61">
        <v>0</v>
      </c>
      <c r="C53" s="61">
        <v>0</v>
      </c>
      <c r="D53" s="61">
        <v>0.10916308</v>
      </c>
      <c r="E53" s="61">
        <v>0.41699991066570302</v>
      </c>
      <c r="F53" s="61">
        <v>0.12724195941472391</v>
      </c>
      <c r="G53" s="62">
        <v>0</v>
      </c>
      <c r="H53" s="61">
        <v>0</v>
      </c>
      <c r="I53" s="61">
        <v>0</v>
      </c>
      <c r="J53" s="61">
        <v>0.254</v>
      </c>
      <c r="K53" s="61">
        <v>0.111</v>
      </c>
      <c r="L53" s="61">
        <v>0.54694337274424387</v>
      </c>
      <c r="M53" s="61">
        <v>0.1183865675577979</v>
      </c>
      <c r="N53" s="55">
        <v>0</v>
      </c>
      <c r="O53" s="63">
        <v>0.83005541447393671</v>
      </c>
      <c r="P53" s="63">
        <f>1</f>
        <v>1</v>
      </c>
      <c r="Q53" s="64">
        <v>1</v>
      </c>
      <c r="R53" s="65">
        <v>0</v>
      </c>
      <c r="S53" s="65">
        <v>1</v>
      </c>
      <c r="T53" s="65">
        <v>1240</v>
      </c>
      <c r="U53" s="65">
        <v>330</v>
      </c>
    </row>
    <row r="54" spans="1:21" s="55" customFormat="1" x14ac:dyDescent="0.35">
      <c r="A54" s="61">
        <v>0</v>
      </c>
      <c r="B54" s="61">
        <v>0</v>
      </c>
      <c r="C54" s="61">
        <v>0</v>
      </c>
      <c r="D54" s="61">
        <v>0.104742366</v>
      </c>
      <c r="E54" s="61">
        <v>0.4150000406064987</v>
      </c>
      <c r="F54" s="61">
        <v>0.1220891155102454</v>
      </c>
      <c r="G54" s="62">
        <v>0</v>
      </c>
      <c r="H54" s="61">
        <v>0</v>
      </c>
      <c r="I54" s="61">
        <v>0</v>
      </c>
      <c r="J54" s="61">
        <v>0.25</v>
      </c>
      <c r="K54" s="61">
        <v>0.112</v>
      </c>
      <c r="L54" s="61">
        <v>0.53815805849408838</v>
      </c>
      <c r="M54" s="61">
        <v>0.11942170257367561</v>
      </c>
      <c r="N54" s="55">
        <v>0</v>
      </c>
      <c r="O54" s="63">
        <v>0.83005541447393671</v>
      </c>
      <c r="P54" s="63">
        <f>1</f>
        <v>1</v>
      </c>
      <c r="Q54" s="64">
        <v>1</v>
      </c>
      <c r="R54" s="65">
        <v>0</v>
      </c>
      <c r="S54" s="65">
        <v>1</v>
      </c>
      <c r="T54" s="65">
        <v>1240</v>
      </c>
      <c r="U54" s="65">
        <v>330</v>
      </c>
    </row>
    <row r="55" spans="1:21" s="55" customFormat="1" x14ac:dyDescent="0.35">
      <c r="A55" s="61">
        <v>0</v>
      </c>
      <c r="B55" s="61">
        <v>0</v>
      </c>
      <c r="C55" s="61">
        <v>0</v>
      </c>
      <c r="D55" s="61">
        <v>0.10133547399999999</v>
      </c>
      <c r="E55" s="61">
        <v>0.41600017866859418</v>
      </c>
      <c r="F55" s="61">
        <v>0.11811799621245397</v>
      </c>
      <c r="G55" s="62">
        <v>0</v>
      </c>
      <c r="H55" s="61">
        <v>0</v>
      </c>
      <c r="I55" s="61">
        <v>0</v>
      </c>
      <c r="J55" s="61">
        <v>0.26100000000000001</v>
      </c>
      <c r="K55" s="61">
        <v>0.11</v>
      </c>
      <c r="L55" s="61">
        <v>0.53500124455507159</v>
      </c>
      <c r="M55" s="61">
        <v>0.12108407562635407</v>
      </c>
      <c r="N55" s="55">
        <v>0</v>
      </c>
      <c r="O55" s="63">
        <v>0.83005541447393671</v>
      </c>
      <c r="P55" s="63">
        <f>1</f>
        <v>1</v>
      </c>
      <c r="Q55" s="64">
        <v>1</v>
      </c>
      <c r="R55" s="65">
        <v>1.0057257668049571E-2</v>
      </c>
      <c r="S55" s="65">
        <v>1</v>
      </c>
      <c r="T55" s="65">
        <v>1240</v>
      </c>
      <c r="U55" s="65">
        <v>330</v>
      </c>
    </row>
    <row r="56" spans="1:21" s="55" customFormat="1" x14ac:dyDescent="0.35">
      <c r="A56" s="61">
        <v>0</v>
      </c>
      <c r="B56" s="61">
        <v>0</v>
      </c>
      <c r="C56" s="61">
        <v>0</v>
      </c>
      <c r="D56" s="61">
        <v>9.3626618999999994E-2</v>
      </c>
      <c r="E56" s="61">
        <v>0.41900018678989387</v>
      </c>
      <c r="F56" s="61">
        <v>0.10913245077855828</v>
      </c>
      <c r="G56" s="62">
        <v>0</v>
      </c>
      <c r="H56" s="61">
        <v>0</v>
      </c>
      <c r="I56" s="61">
        <v>0</v>
      </c>
      <c r="J56" s="61">
        <v>0.26100000000000001</v>
      </c>
      <c r="K56" s="61">
        <v>0.104</v>
      </c>
      <c r="L56" s="61">
        <v>0.53214250155569387</v>
      </c>
      <c r="M56" s="61">
        <v>0.11921791243092446</v>
      </c>
      <c r="N56" s="55">
        <v>0</v>
      </c>
      <c r="O56" s="63">
        <v>0.83005541447393671</v>
      </c>
      <c r="P56" s="63">
        <f>1</f>
        <v>1</v>
      </c>
      <c r="Q56" s="64">
        <v>1</v>
      </c>
      <c r="R56" s="65">
        <v>0</v>
      </c>
      <c r="S56" s="65">
        <v>1</v>
      </c>
      <c r="T56" s="65">
        <v>1240</v>
      </c>
      <c r="U56" s="65">
        <v>55.778239650000003</v>
      </c>
    </row>
    <row r="57" spans="1:21" s="55" customFormat="1" x14ac:dyDescent="0.35">
      <c r="A57" s="61">
        <v>0</v>
      </c>
      <c r="B57" s="61">
        <v>0</v>
      </c>
      <c r="C57" s="61">
        <v>0</v>
      </c>
      <c r="D57" s="61">
        <v>8.0518063000000001E-2</v>
      </c>
      <c r="E57" s="61">
        <v>0.42200019491119356</v>
      </c>
      <c r="F57" s="61">
        <v>9.3852940979662569E-2</v>
      </c>
      <c r="G57" s="62">
        <v>0</v>
      </c>
      <c r="H57" s="61">
        <v>0</v>
      </c>
      <c r="I57" s="61">
        <v>0</v>
      </c>
      <c r="J57" s="61">
        <v>0.24299999999999999</v>
      </c>
      <c r="K57" s="61">
        <v>9.5000000000000001E-2</v>
      </c>
      <c r="L57" s="61">
        <v>0.57415308027380207</v>
      </c>
      <c r="M57" s="61">
        <v>0.11391848176910521</v>
      </c>
      <c r="N57" s="55">
        <v>0</v>
      </c>
      <c r="O57" s="63">
        <v>0.83005541447393671</v>
      </c>
      <c r="P57" s="63">
        <f>1</f>
        <v>1</v>
      </c>
      <c r="Q57" s="64">
        <v>1</v>
      </c>
      <c r="R57" s="65">
        <v>0</v>
      </c>
      <c r="S57" s="65">
        <v>1</v>
      </c>
      <c r="T57" s="65">
        <v>1240</v>
      </c>
      <c r="U57" s="65">
        <v>330</v>
      </c>
    </row>
    <row r="58" spans="1:21" s="55" customFormat="1" x14ac:dyDescent="0.35">
      <c r="A58" s="61">
        <v>0</v>
      </c>
      <c r="B58" s="61">
        <v>0</v>
      </c>
      <c r="C58" s="61">
        <v>0</v>
      </c>
      <c r="D58" s="61">
        <v>7.7173868000000007E-2</v>
      </c>
      <c r="E58" s="61">
        <v>0.43199995127220159</v>
      </c>
      <c r="F58" s="61">
        <v>0.10176235240233131</v>
      </c>
      <c r="G58" s="62">
        <v>0</v>
      </c>
      <c r="H58" s="61">
        <v>0</v>
      </c>
      <c r="I58" s="61">
        <v>0</v>
      </c>
      <c r="J58" s="61">
        <v>0.19199999999999998</v>
      </c>
      <c r="K58" s="61">
        <v>8.5999999999999993E-2</v>
      </c>
      <c r="L58" s="61">
        <v>0.58168388301182328</v>
      </c>
      <c r="M58" s="61">
        <v>0.10583036785991987</v>
      </c>
      <c r="N58" s="55">
        <v>0</v>
      </c>
      <c r="O58" s="63">
        <v>0.83005541447393671</v>
      </c>
      <c r="P58" s="63">
        <f>1</f>
        <v>1</v>
      </c>
      <c r="Q58" s="64">
        <v>1</v>
      </c>
      <c r="R58" s="65">
        <v>0</v>
      </c>
      <c r="S58" s="65">
        <v>1</v>
      </c>
      <c r="T58" s="65">
        <v>1240</v>
      </c>
      <c r="U58" s="65">
        <v>330</v>
      </c>
    </row>
    <row r="59" spans="1:21" s="55" customFormat="1" x14ac:dyDescent="0.35">
      <c r="A59" s="61">
        <v>0.113</v>
      </c>
      <c r="B59" s="61">
        <v>6.5000000000000002E-2</v>
      </c>
      <c r="C59" s="61">
        <v>0.128</v>
      </c>
      <c r="D59" s="61">
        <v>6.3607421999999997E-2</v>
      </c>
      <c r="E59" s="61">
        <v>0.44299984569530515</v>
      </c>
      <c r="F59" s="61">
        <v>0.35477086214524534</v>
      </c>
      <c r="G59" s="62">
        <v>0</v>
      </c>
      <c r="H59" s="61">
        <v>5.3999999999999999E-2</v>
      </c>
      <c r="I59" s="61">
        <v>3.5000000000000003E-2</v>
      </c>
      <c r="J59" s="61">
        <v>0.12999999999999998</v>
      </c>
      <c r="K59" s="61">
        <v>7.5999999999999998E-2</v>
      </c>
      <c r="L59" s="61">
        <v>0.58828375855631609</v>
      </c>
      <c r="M59" s="61">
        <v>0.17988008701172278</v>
      </c>
      <c r="N59" s="55">
        <v>0</v>
      </c>
      <c r="O59" s="63">
        <v>0.83005541447393671</v>
      </c>
      <c r="P59" s="63">
        <f>1</f>
        <v>1</v>
      </c>
      <c r="Q59" s="64">
        <v>1</v>
      </c>
      <c r="R59" s="65">
        <v>0</v>
      </c>
      <c r="S59" s="65">
        <v>1</v>
      </c>
      <c r="T59" s="65">
        <v>1240</v>
      </c>
      <c r="U59" s="65">
        <v>330</v>
      </c>
    </row>
    <row r="60" spans="1:21" s="55" customFormat="1" x14ac:dyDescent="0.35">
      <c r="A60" s="61">
        <v>0.28000000000000003</v>
      </c>
      <c r="B60" s="61">
        <v>0.16800000000000001</v>
      </c>
      <c r="C60" s="61">
        <v>0.29099999999999898</v>
      </c>
      <c r="D60" s="61">
        <v>3.2033387000000003E-2</v>
      </c>
      <c r="E60" s="61">
        <v>0.445000121819496</v>
      </c>
      <c r="F60" s="61">
        <v>0.70262498429021469</v>
      </c>
      <c r="G60" s="62">
        <v>0</v>
      </c>
      <c r="H60" s="61">
        <v>0.21099999999999999</v>
      </c>
      <c r="I60" s="61">
        <v>0.13900000000000001</v>
      </c>
      <c r="J60" s="61">
        <v>6.4999999999999988E-2</v>
      </c>
      <c r="K60" s="61">
        <v>6.3E-2</v>
      </c>
      <c r="L60" s="61">
        <v>0.59056378344741756</v>
      </c>
      <c r="M60" s="61">
        <v>0.41367958513310582</v>
      </c>
      <c r="N60" s="55">
        <v>0</v>
      </c>
      <c r="O60" s="63">
        <v>0.83005541447393671</v>
      </c>
      <c r="P60" s="63">
        <f>1</f>
        <v>1</v>
      </c>
      <c r="Q60" s="64">
        <v>1</v>
      </c>
      <c r="R60" s="65">
        <v>0</v>
      </c>
      <c r="S60" s="65">
        <v>1</v>
      </c>
      <c r="T60" s="65">
        <v>1240</v>
      </c>
      <c r="U60" s="65">
        <v>330</v>
      </c>
    </row>
    <row r="61" spans="1:21" s="55" customFormat="1" x14ac:dyDescent="0.35">
      <c r="A61" s="61">
        <v>0.34599999999999997</v>
      </c>
      <c r="B61" s="61">
        <v>0.27399999999999997</v>
      </c>
      <c r="C61" s="61">
        <v>0.41799999999999998</v>
      </c>
      <c r="D61" s="61">
        <v>1.5442123E-2</v>
      </c>
      <c r="E61" s="61">
        <v>0.42799980508880647</v>
      </c>
      <c r="F61" s="61">
        <v>0.90860627082665635</v>
      </c>
      <c r="G61" s="62">
        <v>0</v>
      </c>
      <c r="H61" s="61">
        <v>0.36699999999999999</v>
      </c>
      <c r="I61" s="61">
        <v>0.25</v>
      </c>
      <c r="J61" s="61">
        <v>0.03</v>
      </c>
      <c r="K61" s="61">
        <v>5.3999999999999999E-2</v>
      </c>
      <c r="L61" s="61">
        <v>0.58891599253266957</v>
      </c>
      <c r="M61" s="61">
        <v>0.65317095511292478</v>
      </c>
      <c r="N61" s="55">
        <v>0</v>
      </c>
      <c r="O61" s="63">
        <v>0</v>
      </c>
      <c r="P61" s="63">
        <f>1</f>
        <v>1</v>
      </c>
      <c r="Q61" s="64">
        <v>1</v>
      </c>
      <c r="R61" s="65">
        <v>0</v>
      </c>
      <c r="S61" s="65">
        <v>1</v>
      </c>
      <c r="T61" s="65">
        <v>1240</v>
      </c>
      <c r="U61" s="65">
        <v>330</v>
      </c>
    </row>
    <row r="62" spans="1:21" s="55" customFormat="1" x14ac:dyDescent="0.35">
      <c r="A62" s="61">
        <v>0.371</v>
      </c>
      <c r="B62" s="61">
        <v>0.34299999999999997</v>
      </c>
      <c r="C62" s="61">
        <v>0.48899999999999999</v>
      </c>
      <c r="D62" s="61">
        <v>1.1414298999999999E-2</v>
      </c>
      <c r="E62" s="61">
        <v>0.42499979696750673</v>
      </c>
      <c r="F62" s="61">
        <v>1</v>
      </c>
      <c r="G62" s="62">
        <v>1.2338342533734271E-2</v>
      </c>
      <c r="H62" s="61">
        <v>0.47399999999999998</v>
      </c>
      <c r="I62" s="61">
        <v>0.32900000000000001</v>
      </c>
      <c r="J62" s="61">
        <v>1.9E-2</v>
      </c>
      <c r="K62" s="61">
        <v>4.5999999999999999E-2</v>
      </c>
      <c r="L62" s="61">
        <v>0.58766023646546361</v>
      </c>
      <c r="M62" s="61">
        <v>0.81956640960973448</v>
      </c>
      <c r="N62" s="55">
        <v>0</v>
      </c>
      <c r="O62" s="63">
        <v>0</v>
      </c>
      <c r="P62" s="63">
        <f>1</f>
        <v>1</v>
      </c>
      <c r="Q62" s="64">
        <v>1</v>
      </c>
      <c r="R62" s="65">
        <v>0</v>
      </c>
      <c r="S62" s="65">
        <v>1</v>
      </c>
      <c r="T62" s="65">
        <v>1231.96830185</v>
      </c>
      <c r="U62" s="65">
        <v>330</v>
      </c>
    </row>
    <row r="63" spans="1:21" s="55" customFormat="1" x14ac:dyDescent="0.35">
      <c r="A63" s="61">
        <v>0.378</v>
      </c>
      <c r="B63" s="61">
        <v>0.35299999999999998</v>
      </c>
      <c r="C63" s="61">
        <v>0.498</v>
      </c>
      <c r="D63" s="61">
        <v>1.0335405000000001E-2</v>
      </c>
      <c r="E63" s="61">
        <v>0.42700007309169763</v>
      </c>
      <c r="F63" s="61">
        <v>1</v>
      </c>
      <c r="G63" s="62">
        <v>2.414658825950524E-2</v>
      </c>
      <c r="H63" s="61">
        <v>0.5179999999999999</v>
      </c>
      <c r="I63" s="61">
        <v>0.36099999999999999</v>
      </c>
      <c r="J63" s="61">
        <v>1.3000000000000001E-2</v>
      </c>
      <c r="K63" s="61">
        <v>4.4999999999999998E-2</v>
      </c>
      <c r="L63" s="61">
        <v>0.58805538270068447</v>
      </c>
      <c r="M63" s="61">
        <v>0.88616368332156104</v>
      </c>
      <c r="N63" s="55">
        <v>0</v>
      </c>
      <c r="O63" s="63">
        <v>0</v>
      </c>
      <c r="P63" s="63">
        <f>1</f>
        <v>1</v>
      </c>
      <c r="Q63" s="64">
        <v>1</v>
      </c>
      <c r="R63" s="65">
        <v>0</v>
      </c>
      <c r="S63" s="65">
        <v>1</v>
      </c>
      <c r="T63" s="65">
        <v>880.96992571999999</v>
      </c>
      <c r="U63" s="65">
        <v>330</v>
      </c>
    </row>
    <row r="64" spans="1:21" s="55" customFormat="1" x14ac:dyDescent="0.35">
      <c r="A64" s="61">
        <v>0.372</v>
      </c>
      <c r="B64" s="61">
        <v>0.30399999999999999</v>
      </c>
      <c r="C64" s="61">
        <v>0.44700000000000001</v>
      </c>
      <c r="D64" s="61">
        <v>1.0208371000000001E-2</v>
      </c>
      <c r="E64" s="61">
        <v>0.42499979696750673</v>
      </c>
      <c r="F64" s="61">
        <v>0.96591377146785284</v>
      </c>
      <c r="G64" s="62">
        <v>0</v>
      </c>
      <c r="H64" s="61">
        <v>0.49199999999999999</v>
      </c>
      <c r="I64" s="61">
        <v>0.33800000000000002</v>
      </c>
      <c r="J64" s="61">
        <v>1.1999999999999999E-2</v>
      </c>
      <c r="K64" s="61">
        <v>5.1999999999999998E-2</v>
      </c>
      <c r="L64" s="61">
        <v>0.58320970752955814</v>
      </c>
      <c r="M64" s="61">
        <v>0.8449269973645942</v>
      </c>
      <c r="N64" s="55">
        <v>0</v>
      </c>
      <c r="O64" s="63">
        <v>0</v>
      </c>
      <c r="P64" s="63">
        <f>1</f>
        <v>1</v>
      </c>
      <c r="Q64" s="64">
        <v>1</v>
      </c>
      <c r="R64" s="65">
        <v>0</v>
      </c>
      <c r="S64" s="65">
        <v>1</v>
      </c>
      <c r="T64" s="65">
        <v>1240</v>
      </c>
      <c r="U64" s="65">
        <v>330</v>
      </c>
    </row>
    <row r="65" spans="1:21" s="55" customFormat="1" x14ac:dyDescent="0.35">
      <c r="A65" s="61">
        <v>0.34499999999999997</v>
      </c>
      <c r="B65" s="61">
        <v>0.21099999999999899</v>
      </c>
      <c r="C65" s="61">
        <v>0.34299999999999997</v>
      </c>
      <c r="D65" s="61">
        <v>1.1060390999999999E-2</v>
      </c>
      <c r="E65" s="61">
        <v>0.43000008121299732</v>
      </c>
      <c r="F65" s="61">
        <v>0.81497789694331291</v>
      </c>
      <c r="G65" s="62">
        <v>0</v>
      </c>
      <c r="H65" s="61">
        <v>0.40600000000000003</v>
      </c>
      <c r="I65" s="61">
        <v>0.26800000000000002</v>
      </c>
      <c r="J65" s="61">
        <v>1.7000000000000001E-2</v>
      </c>
      <c r="K65" s="61">
        <v>7.0999999999999994E-2</v>
      </c>
      <c r="L65" s="61">
        <v>0.58527566894835092</v>
      </c>
      <c r="M65" s="61">
        <v>0.7082887352200623</v>
      </c>
      <c r="N65" s="55">
        <v>0</v>
      </c>
      <c r="O65" s="63">
        <v>0</v>
      </c>
      <c r="P65" s="63">
        <f>1</f>
        <v>1</v>
      </c>
      <c r="Q65" s="64">
        <v>1</v>
      </c>
      <c r="R65" s="65">
        <v>0</v>
      </c>
      <c r="S65" s="65">
        <v>1</v>
      </c>
      <c r="T65" s="65">
        <v>1240</v>
      </c>
      <c r="U65" s="65">
        <v>330</v>
      </c>
    </row>
    <row r="66" spans="1:21" s="55" customFormat="1" x14ac:dyDescent="0.35">
      <c r="A66" s="61">
        <v>0.24099999999999999</v>
      </c>
      <c r="B66" s="61">
        <v>0.1</v>
      </c>
      <c r="C66" s="61">
        <v>0.2</v>
      </c>
      <c r="D66" s="61">
        <v>9.8989430000000003E-3</v>
      </c>
      <c r="E66" s="61">
        <v>0.43499995939350139</v>
      </c>
      <c r="F66" s="61">
        <v>0.52570687506042957</v>
      </c>
      <c r="G66" s="62">
        <v>0</v>
      </c>
      <c r="H66" s="61">
        <v>0.27899999999999997</v>
      </c>
      <c r="I66" s="61">
        <v>0.16500000000000001</v>
      </c>
      <c r="J66" s="61">
        <v>2.3999999999999997E-2</v>
      </c>
      <c r="K66" s="61">
        <v>0.09</v>
      </c>
      <c r="L66" s="61">
        <v>0.59435407591785938</v>
      </c>
      <c r="M66" s="61">
        <v>0.50347388227155365</v>
      </c>
      <c r="N66" s="55">
        <v>0</v>
      </c>
      <c r="O66" s="63">
        <v>0.83005541447393671</v>
      </c>
      <c r="P66" s="63">
        <f>1</f>
        <v>1</v>
      </c>
      <c r="Q66" s="64">
        <v>1</v>
      </c>
      <c r="R66" s="65">
        <v>0</v>
      </c>
      <c r="S66" s="65">
        <v>1</v>
      </c>
      <c r="T66" s="65">
        <v>1240</v>
      </c>
      <c r="U66" s="65">
        <v>330</v>
      </c>
    </row>
    <row r="67" spans="1:21" s="55" customFormat="1" x14ac:dyDescent="0.35">
      <c r="A67" s="61">
        <v>5.5E-2</v>
      </c>
      <c r="B67" s="61">
        <v>0</v>
      </c>
      <c r="C67" s="61">
        <v>5.2000000000000005E-2</v>
      </c>
      <c r="D67" s="61">
        <v>1.7780221999999998E-2</v>
      </c>
      <c r="E67" s="61">
        <v>0.43999983757400535</v>
      </c>
      <c r="F67" s="61">
        <v>0.14465671228533741</v>
      </c>
      <c r="G67" s="62">
        <v>0</v>
      </c>
      <c r="H67" s="61">
        <v>0.123</v>
      </c>
      <c r="I67" s="61">
        <v>6.0000000000000005E-2</v>
      </c>
      <c r="J67" s="61">
        <v>3.9E-2</v>
      </c>
      <c r="K67" s="61">
        <v>0.107</v>
      </c>
      <c r="L67" s="61">
        <v>0.59948911014312389</v>
      </c>
      <c r="M67" s="61">
        <v>0.27169370674907256</v>
      </c>
      <c r="N67" s="55">
        <v>0</v>
      </c>
      <c r="O67" s="63">
        <v>0.83005541447393671</v>
      </c>
      <c r="P67" s="63">
        <f>1</f>
        <v>1</v>
      </c>
      <c r="Q67" s="64">
        <v>1</v>
      </c>
      <c r="R67" s="65">
        <v>0</v>
      </c>
      <c r="S67" s="65">
        <v>1</v>
      </c>
      <c r="T67" s="65">
        <v>1240</v>
      </c>
      <c r="U67" s="65">
        <v>330</v>
      </c>
    </row>
    <row r="68" spans="1:21" s="55" customFormat="1" x14ac:dyDescent="0.35">
      <c r="A68" s="61">
        <v>0</v>
      </c>
      <c r="B68" s="61">
        <v>0</v>
      </c>
      <c r="C68" s="61">
        <v>0</v>
      </c>
      <c r="D68" s="61">
        <v>3.2348742999999999E-2</v>
      </c>
      <c r="E68" s="61">
        <v>0.4669999106657029</v>
      </c>
      <c r="F68" s="61">
        <v>3.7750891007883439E-2</v>
      </c>
      <c r="G68" s="62">
        <v>0</v>
      </c>
      <c r="H68" s="61">
        <v>0</v>
      </c>
      <c r="I68" s="61">
        <v>0</v>
      </c>
      <c r="J68" s="61">
        <v>6.9000000000000006E-2</v>
      </c>
      <c r="K68" s="61">
        <v>0.123</v>
      </c>
      <c r="L68" s="61">
        <v>0.60423459863098938</v>
      </c>
      <c r="M68" s="61">
        <v>0.11658670972251074</v>
      </c>
      <c r="N68" s="55">
        <v>0</v>
      </c>
      <c r="O68" s="63">
        <v>0.83005541447393671</v>
      </c>
      <c r="P68" s="63">
        <f>1</f>
        <v>1</v>
      </c>
      <c r="Q68" s="64">
        <v>1</v>
      </c>
      <c r="R68" s="65">
        <v>0</v>
      </c>
      <c r="S68" s="65">
        <v>0.58114907585672515</v>
      </c>
      <c r="T68" s="65">
        <v>1240</v>
      </c>
      <c r="U68" s="65">
        <v>330</v>
      </c>
    </row>
    <row r="69" spans="1:21" s="55" customFormat="1" x14ac:dyDescent="0.35">
      <c r="A69" s="61">
        <v>0</v>
      </c>
      <c r="B69" s="61">
        <v>0</v>
      </c>
      <c r="C69" s="61">
        <v>0</v>
      </c>
      <c r="D69" s="61">
        <v>3.3034015999999999E-2</v>
      </c>
      <c r="E69" s="61">
        <v>0.47299992690830239</v>
      </c>
      <c r="F69" s="61">
        <v>3.8504894907484662E-2</v>
      </c>
      <c r="G69" s="62">
        <v>0</v>
      </c>
      <c r="H69" s="61">
        <v>0</v>
      </c>
      <c r="I69" s="61">
        <v>0</v>
      </c>
      <c r="J69" s="61">
        <v>8.4999999999999992E-2</v>
      </c>
      <c r="K69" s="61">
        <v>0.13200000000000001</v>
      </c>
      <c r="L69" s="61">
        <v>0.60335718730553833</v>
      </c>
      <c r="M69" s="61">
        <v>0.12157653370411041</v>
      </c>
      <c r="N69" s="55">
        <v>0</v>
      </c>
      <c r="O69" s="63">
        <v>0.83005541447393671</v>
      </c>
      <c r="P69" s="63">
        <f>1</f>
        <v>1</v>
      </c>
      <c r="Q69" s="64">
        <v>1</v>
      </c>
      <c r="R69" s="65">
        <v>0</v>
      </c>
      <c r="S69" s="65">
        <v>0.62393142958875658</v>
      </c>
      <c r="T69" s="65">
        <v>1240</v>
      </c>
      <c r="U69" s="65">
        <v>330</v>
      </c>
    </row>
    <row r="70" spans="1:21" s="55" customFormat="1" x14ac:dyDescent="0.35">
      <c r="A70" s="61">
        <v>0</v>
      </c>
      <c r="B70" s="61">
        <v>0</v>
      </c>
      <c r="C70" s="61">
        <v>0</v>
      </c>
      <c r="D70" s="61">
        <v>2.1762911999999999E-2</v>
      </c>
      <c r="E70" s="61">
        <v>0.46200003248519894</v>
      </c>
      <c r="F70" s="61">
        <v>2.53671439597546E-2</v>
      </c>
      <c r="G70" s="62">
        <v>0</v>
      </c>
      <c r="H70" s="61">
        <v>0</v>
      </c>
      <c r="I70" s="61">
        <v>0</v>
      </c>
      <c r="J70" s="61">
        <v>7.3999999999999996E-2</v>
      </c>
      <c r="K70" s="61">
        <v>0.13300000000000001</v>
      </c>
      <c r="L70" s="61">
        <v>0.60276042314872436</v>
      </c>
      <c r="M70" s="61">
        <v>0.12203718194301827</v>
      </c>
      <c r="N70" s="55">
        <v>0</v>
      </c>
      <c r="O70" s="63">
        <v>0.83005541447393671</v>
      </c>
      <c r="P70" s="63">
        <f>1</f>
        <v>1</v>
      </c>
      <c r="Q70" s="64">
        <v>1</v>
      </c>
      <c r="R70" s="65">
        <v>2.5834481454281241E-2</v>
      </c>
      <c r="S70" s="65">
        <v>1</v>
      </c>
      <c r="T70" s="65">
        <v>1240</v>
      </c>
      <c r="U70" s="65">
        <v>330</v>
      </c>
    </row>
    <row r="71" spans="1:21" s="55" customFormat="1" x14ac:dyDescent="0.35">
      <c r="A71" s="61">
        <v>0</v>
      </c>
      <c r="B71" s="61">
        <v>0</v>
      </c>
      <c r="C71" s="61">
        <v>0</v>
      </c>
      <c r="D71" s="61">
        <v>1.7486972E-2</v>
      </c>
      <c r="E71" s="61">
        <v>0.46399990254440321</v>
      </c>
      <c r="F71" s="61">
        <v>2.0383050583680982E-2</v>
      </c>
      <c r="G71" s="62">
        <v>0</v>
      </c>
      <c r="H71" s="61">
        <v>0</v>
      </c>
      <c r="I71" s="61">
        <v>0</v>
      </c>
      <c r="J71" s="61">
        <v>6.3E-2</v>
      </c>
      <c r="K71" s="61">
        <v>0.125</v>
      </c>
      <c r="L71" s="61">
        <v>0.59546546359676411</v>
      </c>
      <c r="M71" s="61">
        <v>0.11404656153494583</v>
      </c>
      <c r="N71" s="55">
        <v>0</v>
      </c>
      <c r="O71" s="63">
        <v>0.83005541447393671</v>
      </c>
      <c r="P71" s="63">
        <f>1</f>
        <v>1</v>
      </c>
      <c r="Q71" s="64">
        <v>1</v>
      </c>
      <c r="R71" s="65">
        <v>0.1798893988699258</v>
      </c>
      <c r="S71" s="65">
        <v>1</v>
      </c>
      <c r="T71" s="65">
        <v>1240</v>
      </c>
      <c r="U71" s="65">
        <v>330</v>
      </c>
    </row>
    <row r="72" spans="1:21" s="55" customFormat="1" x14ac:dyDescent="0.35">
      <c r="A72" s="61">
        <v>0</v>
      </c>
      <c r="B72" s="61">
        <v>0</v>
      </c>
      <c r="C72" s="61">
        <v>0</v>
      </c>
      <c r="D72" s="61">
        <v>1.8721867E-2</v>
      </c>
      <c r="E72" s="61">
        <v>0.43999983757400535</v>
      </c>
      <c r="F72" s="61">
        <v>2.182246086297546E-2</v>
      </c>
      <c r="G72" s="62">
        <v>0</v>
      </c>
      <c r="H72" s="61">
        <v>0</v>
      </c>
      <c r="I72" s="61">
        <v>0</v>
      </c>
      <c r="J72" s="61">
        <v>5.6000000000000001E-2</v>
      </c>
      <c r="K72" s="61">
        <v>0.12</v>
      </c>
      <c r="L72" s="61">
        <v>0.5918811449906658</v>
      </c>
      <c r="M72" s="61">
        <v>0.10923232726309541</v>
      </c>
      <c r="N72" s="55">
        <v>0</v>
      </c>
      <c r="O72" s="63">
        <v>0.83005541447393671</v>
      </c>
      <c r="P72" s="63">
        <f>1</f>
        <v>1</v>
      </c>
      <c r="Q72" s="64">
        <v>1</v>
      </c>
      <c r="R72" s="65">
        <v>0.33394431628704541</v>
      </c>
      <c r="S72" s="65">
        <v>1</v>
      </c>
      <c r="T72" s="65">
        <v>1240</v>
      </c>
      <c r="U72" s="65">
        <v>330</v>
      </c>
    </row>
    <row r="73" spans="1:21" s="55" customFormat="1" x14ac:dyDescent="0.35">
      <c r="A73" s="61">
        <v>0</v>
      </c>
      <c r="B73" s="61">
        <v>0</v>
      </c>
      <c r="C73" s="61">
        <v>0</v>
      </c>
      <c r="D73" s="61">
        <v>1.9438409E-2</v>
      </c>
      <c r="E73" s="61">
        <v>0.43199995127220159</v>
      </c>
      <c r="F73" s="61">
        <v>2.2657671889294476E-2</v>
      </c>
      <c r="G73" s="62">
        <v>0</v>
      </c>
      <c r="H73" s="61">
        <v>0</v>
      </c>
      <c r="I73" s="61">
        <v>0</v>
      </c>
      <c r="J73" s="61">
        <v>5.1000000000000004E-2</v>
      </c>
      <c r="K73" s="61">
        <v>0.109</v>
      </c>
      <c r="L73" s="61">
        <v>0.58858182949595517</v>
      </c>
      <c r="M73" s="61">
        <v>0.10407688121472028</v>
      </c>
      <c r="N73" s="55">
        <v>0</v>
      </c>
      <c r="O73" s="63">
        <v>1.0491679074103448</v>
      </c>
      <c r="P73" s="63">
        <f>1</f>
        <v>1</v>
      </c>
      <c r="Q73" s="64">
        <v>1</v>
      </c>
      <c r="R73" s="65">
        <v>0.29240005938043201</v>
      </c>
      <c r="S73" s="65">
        <v>1</v>
      </c>
      <c r="T73" s="65">
        <v>1240</v>
      </c>
      <c r="U73" s="65">
        <v>330</v>
      </c>
    </row>
    <row r="74" spans="1:21" s="55" customFormat="1" x14ac:dyDescent="0.35">
      <c r="A74" s="61">
        <v>0</v>
      </c>
      <c r="B74" s="61">
        <v>0</v>
      </c>
      <c r="C74" s="61">
        <v>0</v>
      </c>
      <c r="D74" s="61">
        <v>2.2797543E-2</v>
      </c>
      <c r="E74" s="61">
        <v>0.40799988630180378</v>
      </c>
      <c r="F74" s="61">
        <v>2.6573123817699388E-2</v>
      </c>
      <c r="G74" s="62">
        <v>0</v>
      </c>
      <c r="H74" s="61">
        <v>0</v>
      </c>
      <c r="I74" s="61">
        <v>0</v>
      </c>
      <c r="J74" s="61">
        <v>4.8999999999999995E-2</v>
      </c>
      <c r="K74" s="61">
        <v>0.10199999999999999</v>
      </c>
      <c r="L74" s="61">
        <v>0.53292159303049158</v>
      </c>
      <c r="M74" s="61">
        <v>0.10053002823475292</v>
      </c>
      <c r="N74" s="55">
        <v>0</v>
      </c>
      <c r="O74" s="63">
        <v>1.0491679074103448</v>
      </c>
      <c r="P74" s="63">
        <f>1</f>
        <v>1</v>
      </c>
      <c r="Q74" s="64">
        <v>1</v>
      </c>
      <c r="R74" s="65">
        <v>0.27429636860559276</v>
      </c>
      <c r="S74" s="65">
        <v>1</v>
      </c>
      <c r="T74" s="65">
        <v>1240</v>
      </c>
      <c r="U74" s="65">
        <v>330</v>
      </c>
    </row>
    <row r="75" spans="1:21" s="55" customFormat="1" x14ac:dyDescent="0.35">
      <c r="A75" s="61">
        <v>0</v>
      </c>
      <c r="B75" s="61">
        <v>0</v>
      </c>
      <c r="C75" s="61">
        <v>0</v>
      </c>
      <c r="D75" s="61">
        <v>2.6731528000000001E-2</v>
      </c>
      <c r="E75" s="61">
        <v>0.39899986193790454</v>
      </c>
      <c r="F75" s="61">
        <v>3.1158629830429448E-2</v>
      </c>
      <c r="G75" s="62">
        <v>0</v>
      </c>
      <c r="H75" s="61">
        <v>0</v>
      </c>
      <c r="I75" s="61">
        <v>0</v>
      </c>
      <c r="J75" s="61">
        <v>4.7999999999999994E-2</v>
      </c>
      <c r="K75" s="61">
        <v>9.5000000000000001E-2</v>
      </c>
      <c r="L75" s="61">
        <v>0.52842688238954572</v>
      </c>
      <c r="M75" s="61">
        <v>9.4340097543255674E-2</v>
      </c>
      <c r="N75" s="55">
        <v>0</v>
      </c>
      <c r="O75" s="63">
        <v>1.0491679074103448</v>
      </c>
      <c r="P75" s="63">
        <f>1</f>
        <v>1</v>
      </c>
      <c r="Q75" s="64">
        <v>1</v>
      </c>
      <c r="R75" s="65">
        <v>0.26737792093064466</v>
      </c>
      <c r="S75" s="65">
        <v>1</v>
      </c>
      <c r="T75" s="65">
        <v>1240</v>
      </c>
      <c r="U75" s="65">
        <v>330</v>
      </c>
    </row>
    <row r="76" spans="1:21" s="55" customFormat="1" x14ac:dyDescent="0.35">
      <c r="A76" s="61">
        <v>0</v>
      </c>
      <c r="B76" s="61">
        <v>0</v>
      </c>
      <c r="C76" s="61">
        <v>0</v>
      </c>
      <c r="D76" s="61">
        <v>3.2651092999999999E-2</v>
      </c>
      <c r="E76" s="61">
        <v>0.39800012994079575</v>
      </c>
      <c r="F76" s="61">
        <v>3.8058554690398767E-2</v>
      </c>
      <c r="G76" s="62">
        <v>0</v>
      </c>
      <c r="H76" s="61">
        <v>0</v>
      </c>
      <c r="I76" s="61">
        <v>0</v>
      </c>
      <c r="J76" s="61">
        <v>4.6999999999999993E-2</v>
      </c>
      <c r="K76" s="61">
        <v>9.2999999999999999E-2</v>
      </c>
      <c r="L76" s="61">
        <v>0.52615930304915992</v>
      </c>
      <c r="M76" s="61">
        <v>9.3465996021071376E-2</v>
      </c>
      <c r="N76" s="55">
        <v>0</v>
      </c>
      <c r="O76" s="63">
        <v>1.0491679074103448</v>
      </c>
      <c r="P76" s="63">
        <f>1</f>
        <v>1</v>
      </c>
      <c r="Q76" s="64">
        <v>1</v>
      </c>
      <c r="R76" s="65">
        <v>0.24505473993081206</v>
      </c>
      <c r="S76" s="65">
        <v>1</v>
      </c>
      <c r="T76" s="65">
        <v>1240</v>
      </c>
      <c r="U76" s="65">
        <v>330</v>
      </c>
    </row>
    <row r="77" spans="1:21" s="55" customFormat="1" x14ac:dyDescent="0.35">
      <c r="A77" s="61">
        <v>0</v>
      </c>
      <c r="B77" s="61">
        <v>0</v>
      </c>
      <c r="C77" s="61">
        <v>0</v>
      </c>
      <c r="D77" s="61">
        <v>4.0581737999999999E-2</v>
      </c>
      <c r="E77" s="61">
        <v>0.3959998538166048</v>
      </c>
      <c r="F77" s="61">
        <v>4.7302621541779138E-2</v>
      </c>
      <c r="G77" s="62">
        <v>0</v>
      </c>
      <c r="H77" s="61">
        <v>0</v>
      </c>
      <c r="I77" s="61">
        <v>0</v>
      </c>
      <c r="J77" s="61">
        <v>4.2999999999999997E-2</v>
      </c>
      <c r="K77" s="61">
        <v>9.2999999999999999E-2</v>
      </c>
      <c r="L77" s="61">
        <v>0.52646919726197883</v>
      </c>
      <c r="M77" s="61">
        <v>9.4142161868526489E-2</v>
      </c>
      <c r="N77" s="55">
        <v>0</v>
      </c>
      <c r="O77" s="63">
        <v>1.0491679074103448</v>
      </c>
      <c r="P77" s="63">
        <f>1</f>
        <v>1</v>
      </c>
      <c r="Q77" s="64">
        <v>1</v>
      </c>
      <c r="R77" s="65">
        <v>0.21254024555605594</v>
      </c>
      <c r="S77" s="65">
        <v>1</v>
      </c>
      <c r="T77" s="65">
        <v>1240</v>
      </c>
      <c r="U77" s="65">
        <v>330</v>
      </c>
    </row>
    <row r="78" spans="1:21" s="55" customFormat="1" x14ac:dyDescent="0.35">
      <c r="A78" s="61">
        <v>0</v>
      </c>
      <c r="B78" s="61">
        <v>0</v>
      </c>
      <c r="C78" s="61">
        <v>0</v>
      </c>
      <c r="D78" s="61">
        <v>5.0982284000000003E-2</v>
      </c>
      <c r="E78" s="61">
        <v>0.40199987005920429</v>
      </c>
      <c r="F78" s="61">
        <v>5.9425638334846632E-2</v>
      </c>
      <c r="G78" s="62">
        <v>0</v>
      </c>
      <c r="H78" s="61">
        <v>0</v>
      </c>
      <c r="I78" s="61">
        <v>0</v>
      </c>
      <c r="J78" s="61">
        <v>3.9E-2</v>
      </c>
      <c r="K78" s="61">
        <v>9.9000000000000005E-2</v>
      </c>
      <c r="L78" s="61">
        <v>0.52788923459863102</v>
      </c>
      <c r="M78" s="61">
        <v>9.712807023208192E-2</v>
      </c>
      <c r="N78" s="55">
        <v>0</v>
      </c>
      <c r="O78" s="63">
        <v>1.0491679074103448</v>
      </c>
      <c r="P78" s="63">
        <f>1</f>
        <v>1</v>
      </c>
      <c r="Q78" s="64">
        <v>1</v>
      </c>
      <c r="R78" s="65">
        <v>0.16932165003848007</v>
      </c>
      <c r="S78" s="65">
        <v>1</v>
      </c>
      <c r="T78" s="65">
        <v>1240</v>
      </c>
      <c r="U78" s="65">
        <v>330</v>
      </c>
    </row>
    <row r="79" spans="1:21" s="55" customFormat="1" x14ac:dyDescent="0.35">
      <c r="A79" s="61">
        <v>0</v>
      </c>
      <c r="B79" s="61">
        <v>0</v>
      </c>
      <c r="C79" s="61">
        <v>0</v>
      </c>
      <c r="D79" s="61">
        <v>5.9373763000000003E-2</v>
      </c>
      <c r="E79" s="61">
        <v>0.40799988630180378</v>
      </c>
      <c r="F79" s="61">
        <v>6.9206859516472388E-2</v>
      </c>
      <c r="G79" s="62">
        <v>0</v>
      </c>
      <c r="H79" s="61">
        <v>0</v>
      </c>
      <c r="I79" s="61">
        <v>0</v>
      </c>
      <c r="J79" s="61">
        <v>3.9E-2</v>
      </c>
      <c r="K79" s="61">
        <v>0.106</v>
      </c>
      <c r="L79" s="61">
        <v>0.54071935283136285</v>
      </c>
      <c r="M79" s="61">
        <v>0.10142727758302419</v>
      </c>
      <c r="N79" s="55">
        <v>0</v>
      </c>
      <c r="O79" s="63">
        <v>1.0491679074103448</v>
      </c>
      <c r="P79" s="63">
        <f>1</f>
        <v>1</v>
      </c>
      <c r="Q79" s="64">
        <v>1</v>
      </c>
      <c r="R79" s="65">
        <v>4.1559052109463306E-2</v>
      </c>
      <c r="S79" s="65">
        <v>1</v>
      </c>
      <c r="T79" s="65">
        <v>1240</v>
      </c>
      <c r="U79" s="65">
        <v>330</v>
      </c>
    </row>
    <row r="80" spans="1:21" s="55" customFormat="1" x14ac:dyDescent="0.35">
      <c r="A80" s="61">
        <v>0</v>
      </c>
      <c r="B80" s="61">
        <v>0</v>
      </c>
      <c r="C80" s="61">
        <v>0</v>
      </c>
      <c r="D80" s="61">
        <v>6.6060953000000006E-2</v>
      </c>
      <c r="E80" s="61">
        <v>0.41200003248519895</v>
      </c>
      <c r="F80" s="61">
        <v>7.700153843702455E-2</v>
      </c>
      <c r="G80" s="62">
        <v>0</v>
      </c>
      <c r="H80" s="61">
        <v>0</v>
      </c>
      <c r="I80" s="61">
        <v>0</v>
      </c>
      <c r="J80" s="61">
        <v>4.5999999999999999E-2</v>
      </c>
      <c r="K80" s="61">
        <v>0.115</v>
      </c>
      <c r="L80" s="61">
        <v>0.54252706907280646</v>
      </c>
      <c r="M80" s="61">
        <v>0.10650952346134442</v>
      </c>
      <c r="N80" s="55">
        <v>0</v>
      </c>
      <c r="O80" s="63">
        <v>1.0491679074103448</v>
      </c>
      <c r="P80" s="63">
        <f>1</f>
        <v>1</v>
      </c>
      <c r="Q80" s="64">
        <v>1</v>
      </c>
      <c r="R80" s="65">
        <v>0</v>
      </c>
      <c r="S80" s="65">
        <v>1</v>
      </c>
      <c r="T80" s="65">
        <v>1240</v>
      </c>
      <c r="U80" s="65">
        <v>330</v>
      </c>
    </row>
    <row r="81" spans="1:21" s="55" customFormat="1" x14ac:dyDescent="0.35">
      <c r="A81" s="61">
        <v>0</v>
      </c>
      <c r="B81" s="61">
        <v>0</v>
      </c>
      <c r="C81" s="61">
        <v>0</v>
      </c>
      <c r="D81" s="61">
        <v>6.9969826999999998E-2</v>
      </c>
      <c r="E81" s="61">
        <v>0.4150000406064987</v>
      </c>
      <c r="F81" s="61">
        <v>8.1557774729233132E-2</v>
      </c>
      <c r="G81" s="62">
        <v>0</v>
      </c>
      <c r="H81" s="61">
        <v>0</v>
      </c>
      <c r="I81" s="61">
        <v>0</v>
      </c>
      <c r="J81" s="61">
        <v>5.7999999999999996E-2</v>
      </c>
      <c r="K81" s="61">
        <v>0.12</v>
      </c>
      <c r="L81" s="61">
        <v>0.57488301182327317</v>
      </c>
      <c r="M81" s="61">
        <v>0.10783352593025672</v>
      </c>
      <c r="N81" s="55">
        <v>0</v>
      </c>
      <c r="O81" s="63">
        <v>1.0491679074103448</v>
      </c>
      <c r="P81" s="63">
        <f>1</f>
        <v>1</v>
      </c>
      <c r="Q81" s="64">
        <v>1</v>
      </c>
      <c r="R81" s="65">
        <v>0</v>
      </c>
      <c r="S81" s="65">
        <v>1</v>
      </c>
      <c r="T81" s="65">
        <v>1240</v>
      </c>
      <c r="U81" s="65">
        <v>330</v>
      </c>
    </row>
    <row r="82" spans="1:21" s="55" customFormat="1" x14ac:dyDescent="0.35">
      <c r="A82" s="61">
        <v>0</v>
      </c>
      <c r="B82" s="61">
        <v>0</v>
      </c>
      <c r="C82" s="61">
        <v>0</v>
      </c>
      <c r="D82" s="61">
        <v>7.8754295000000002E-2</v>
      </c>
      <c r="E82" s="61">
        <v>0.43999983757400535</v>
      </c>
      <c r="F82" s="61">
        <v>9.979335845245399E-2</v>
      </c>
      <c r="G82" s="62">
        <v>0</v>
      </c>
      <c r="H82" s="61">
        <v>0</v>
      </c>
      <c r="I82" s="61">
        <v>0</v>
      </c>
      <c r="J82" s="61">
        <v>7.4999999999999997E-2</v>
      </c>
      <c r="K82" s="61">
        <v>0.126</v>
      </c>
      <c r="L82" s="61">
        <v>0.58355444928438083</v>
      </c>
      <c r="M82" s="61">
        <v>0.11039642633773555</v>
      </c>
      <c r="N82" s="55">
        <v>0</v>
      </c>
      <c r="O82" s="63">
        <v>1.0491679074103448</v>
      </c>
      <c r="P82" s="63">
        <f>1</f>
        <v>1</v>
      </c>
      <c r="Q82" s="64">
        <v>1</v>
      </c>
      <c r="R82" s="65">
        <v>0</v>
      </c>
      <c r="S82" s="65">
        <v>1</v>
      </c>
      <c r="T82" s="65">
        <v>1240</v>
      </c>
      <c r="U82" s="65">
        <v>330</v>
      </c>
    </row>
    <row r="83" spans="1:21" s="55" customFormat="1" x14ac:dyDescent="0.35">
      <c r="A83" s="61">
        <v>6.7000000000000004E-2</v>
      </c>
      <c r="B83" s="61">
        <v>2.3E-2</v>
      </c>
      <c r="C83" s="61">
        <v>8.199999999999999E-2</v>
      </c>
      <c r="D83" s="61">
        <v>9.0938508000000001E-2</v>
      </c>
      <c r="E83" s="61">
        <v>0.44200011369819631</v>
      </c>
      <c r="F83" s="61">
        <v>0.27956679646641103</v>
      </c>
      <c r="G83" s="62">
        <v>0</v>
      </c>
      <c r="H83" s="61">
        <v>0.03</v>
      </c>
      <c r="I83" s="61">
        <v>2.5000000000000001E-2</v>
      </c>
      <c r="J83" s="61">
        <v>7.4999999999999997E-2</v>
      </c>
      <c r="K83" s="61">
        <v>0.13100000000000001</v>
      </c>
      <c r="L83" s="61">
        <v>0.59908214063472309</v>
      </c>
      <c r="M83" s="61">
        <v>0.16014798779106693</v>
      </c>
      <c r="N83" s="55">
        <v>0</v>
      </c>
      <c r="O83" s="63">
        <v>1.0491679074103448</v>
      </c>
      <c r="P83" s="63">
        <f>1</f>
        <v>1</v>
      </c>
      <c r="Q83" s="64">
        <v>1</v>
      </c>
      <c r="R83" s="65">
        <v>0</v>
      </c>
      <c r="S83" s="65">
        <v>1</v>
      </c>
      <c r="T83" s="65">
        <v>1240</v>
      </c>
      <c r="U83" s="65">
        <v>330</v>
      </c>
    </row>
    <row r="84" spans="1:21" s="55" customFormat="1" x14ac:dyDescent="0.35">
      <c r="A84" s="61">
        <v>0.17</v>
      </c>
      <c r="B84" s="61">
        <v>5.4000000000000006E-2</v>
      </c>
      <c r="C84" s="61">
        <v>0.19399999999999998</v>
      </c>
      <c r="D84" s="61">
        <v>0.100598005</v>
      </c>
      <c r="E84" s="61">
        <v>0.42400006497039783</v>
      </c>
      <c r="F84" s="61">
        <v>0.54092350467361971</v>
      </c>
      <c r="G84" s="62">
        <v>0</v>
      </c>
      <c r="H84" s="61">
        <v>0.124</v>
      </c>
      <c r="I84" s="61">
        <v>0.10100000000000001</v>
      </c>
      <c r="J84" s="61">
        <v>4.2999999999999997E-2</v>
      </c>
      <c r="K84" s="61">
        <v>0.13200000000000001</v>
      </c>
      <c r="L84" s="61">
        <v>0.59940945861854389</v>
      </c>
      <c r="M84" s="61">
        <v>0.3162349570888856</v>
      </c>
      <c r="N84" s="55">
        <v>0</v>
      </c>
      <c r="O84" s="63">
        <v>1.0491679074103448</v>
      </c>
      <c r="P84" s="63">
        <f>1</f>
        <v>1</v>
      </c>
      <c r="Q84" s="64">
        <v>1</v>
      </c>
      <c r="R84" s="65">
        <v>0</v>
      </c>
      <c r="S84" s="65">
        <v>1</v>
      </c>
      <c r="T84" s="65">
        <v>1240</v>
      </c>
      <c r="U84" s="65">
        <v>330</v>
      </c>
    </row>
    <row r="85" spans="1:21" s="55" customFormat="1" x14ac:dyDescent="0.35">
      <c r="A85" s="61">
        <v>0.23699999999999999</v>
      </c>
      <c r="B85" s="61">
        <v>8.5999999999999993E-2</v>
      </c>
      <c r="C85" s="61">
        <v>0.28499999999999903</v>
      </c>
      <c r="D85" s="61">
        <v>0.11549854399999999</v>
      </c>
      <c r="E85" s="61">
        <v>0.43399982133140597</v>
      </c>
      <c r="F85" s="61">
        <v>0.74392364727064408</v>
      </c>
      <c r="G85" s="62">
        <v>0</v>
      </c>
      <c r="H85" s="61">
        <v>0.223</v>
      </c>
      <c r="I85" s="61">
        <v>0.184</v>
      </c>
      <c r="J85" s="61">
        <v>2.8000000000000001E-2</v>
      </c>
      <c r="K85" s="61">
        <v>0.13</v>
      </c>
      <c r="L85" s="61">
        <v>0.60055320472930929</v>
      </c>
      <c r="M85" s="61">
        <v>0.48194535932482563</v>
      </c>
      <c r="N85" s="55">
        <v>0</v>
      </c>
      <c r="O85" s="63">
        <v>0</v>
      </c>
      <c r="P85" s="63">
        <f>1</f>
        <v>1</v>
      </c>
      <c r="Q85" s="64">
        <v>0</v>
      </c>
      <c r="R85" s="65">
        <v>0</v>
      </c>
      <c r="S85" s="65">
        <v>1</v>
      </c>
      <c r="T85" s="65">
        <v>1240</v>
      </c>
      <c r="U85" s="65">
        <v>330</v>
      </c>
    </row>
    <row r="86" spans="1:21" s="55" customFormat="1" x14ac:dyDescent="0.35">
      <c r="A86" s="61">
        <v>0.28100000000000003</v>
      </c>
      <c r="B86" s="61">
        <v>0.11199999999999999</v>
      </c>
      <c r="C86" s="61">
        <v>0.34</v>
      </c>
      <c r="D86" s="61">
        <v>0.13827719199999999</v>
      </c>
      <c r="E86" s="61">
        <v>0.43499995939350139</v>
      </c>
      <c r="F86" s="61">
        <v>0.88440612744389568</v>
      </c>
      <c r="G86" s="62">
        <v>0</v>
      </c>
      <c r="H86" s="61">
        <v>0.30499999999999994</v>
      </c>
      <c r="I86" s="61">
        <v>0.245</v>
      </c>
      <c r="J86" s="61">
        <v>4.2999999999999997E-2</v>
      </c>
      <c r="K86" s="61">
        <v>0.13100000000000001</v>
      </c>
      <c r="L86" s="61">
        <v>0.60160360920970757</v>
      </c>
      <c r="M86" s="61">
        <v>0.61537316962190236</v>
      </c>
      <c r="N86" s="55">
        <v>0</v>
      </c>
      <c r="O86" s="63">
        <v>0</v>
      </c>
      <c r="P86" s="63">
        <f>1</f>
        <v>1</v>
      </c>
      <c r="Q86" s="64">
        <v>0</v>
      </c>
      <c r="R86" s="65">
        <v>0</v>
      </c>
      <c r="S86" s="65">
        <v>1</v>
      </c>
      <c r="T86" s="65">
        <v>987.11730249000004</v>
      </c>
      <c r="U86" s="65">
        <v>330</v>
      </c>
    </row>
    <row r="87" spans="1:21" s="55" customFormat="1" x14ac:dyDescent="0.35">
      <c r="A87" s="61">
        <v>0.29399999999999998</v>
      </c>
      <c r="B87" s="61">
        <v>0.122</v>
      </c>
      <c r="C87" s="61">
        <v>0.34599999999999903</v>
      </c>
      <c r="D87" s="61">
        <v>0.16269359799999999</v>
      </c>
      <c r="E87" s="61">
        <v>0.43000008121299732</v>
      </c>
      <c r="F87" s="61">
        <v>0.93557822095846621</v>
      </c>
      <c r="G87" s="62">
        <v>0</v>
      </c>
      <c r="H87" s="61">
        <v>0.34500000000000003</v>
      </c>
      <c r="I87" s="61">
        <v>0.26999999999999996</v>
      </c>
      <c r="J87" s="61">
        <v>0.11499999999999999</v>
      </c>
      <c r="K87" s="61">
        <v>0.154</v>
      </c>
      <c r="L87" s="61">
        <v>0.5866888612321095</v>
      </c>
      <c r="M87" s="61">
        <v>0.69094465229618629</v>
      </c>
      <c r="N87" s="55">
        <v>0</v>
      </c>
      <c r="O87" s="63">
        <v>0</v>
      </c>
      <c r="P87" s="63">
        <f>1</f>
        <v>1</v>
      </c>
      <c r="Q87" s="64">
        <v>0</v>
      </c>
      <c r="R87" s="65">
        <v>0</v>
      </c>
      <c r="S87" s="65">
        <v>0.96280895410986711</v>
      </c>
      <c r="T87" s="65">
        <v>0</v>
      </c>
      <c r="U87" s="65">
        <v>330</v>
      </c>
    </row>
    <row r="88" spans="1:21" s="55" customFormat="1" x14ac:dyDescent="0.35">
      <c r="A88" s="61">
        <v>0.28199999999999997</v>
      </c>
      <c r="B88" s="61">
        <v>0.114</v>
      </c>
      <c r="C88" s="61">
        <v>0.307</v>
      </c>
      <c r="D88" s="61">
        <v>0.18848293999999999</v>
      </c>
      <c r="E88" s="61">
        <v>0.43199995127220159</v>
      </c>
      <c r="F88" s="61">
        <v>0.90524874679223921</v>
      </c>
      <c r="G88" s="62">
        <v>0</v>
      </c>
      <c r="H88" s="61">
        <v>0.33499999999999996</v>
      </c>
      <c r="I88" s="61">
        <v>0.254</v>
      </c>
      <c r="J88" s="61">
        <v>0.23800000000000002</v>
      </c>
      <c r="K88" s="61">
        <v>0.193</v>
      </c>
      <c r="L88" s="61">
        <v>0.58425575606720592</v>
      </c>
      <c r="M88" s="61">
        <v>0.691891916312806</v>
      </c>
      <c r="N88" s="55">
        <v>0</v>
      </c>
      <c r="O88" s="63">
        <v>0</v>
      </c>
      <c r="P88" s="63">
        <f>1</f>
        <v>1</v>
      </c>
      <c r="Q88" s="64">
        <v>0</v>
      </c>
      <c r="R88" s="65">
        <v>0</v>
      </c>
      <c r="S88" s="65">
        <v>0.58114971051437148</v>
      </c>
      <c r="T88" s="65">
        <v>0</v>
      </c>
      <c r="U88" s="65">
        <v>330</v>
      </c>
    </row>
    <row r="89" spans="1:21" s="55" customFormat="1" x14ac:dyDescent="0.35">
      <c r="A89" s="61">
        <v>0.255</v>
      </c>
      <c r="B89" s="61">
        <v>0.09</v>
      </c>
      <c r="C89" s="61">
        <v>0.245</v>
      </c>
      <c r="D89" s="61">
        <v>0.20757709799999999</v>
      </c>
      <c r="E89" s="61">
        <v>0.42400006497039783</v>
      </c>
      <c r="F89" s="61">
        <v>0.82392602152150318</v>
      </c>
      <c r="G89" s="62">
        <v>0</v>
      </c>
      <c r="H89" s="61">
        <v>0.25700000000000001</v>
      </c>
      <c r="I89" s="61">
        <v>0.192</v>
      </c>
      <c r="J89" s="61">
        <v>0.33099999999999996</v>
      </c>
      <c r="K89" s="61">
        <v>0.23399999999999999</v>
      </c>
      <c r="L89" s="61">
        <v>0.59029184816428126</v>
      </c>
      <c r="M89" s="61">
        <v>0.58857415116871947</v>
      </c>
      <c r="N89" s="55">
        <v>0</v>
      </c>
      <c r="O89" s="63">
        <v>0</v>
      </c>
      <c r="P89" s="63">
        <f>1</f>
        <v>1</v>
      </c>
      <c r="Q89" s="64">
        <v>0.62782949274599997</v>
      </c>
      <c r="R89" s="65">
        <v>0</v>
      </c>
      <c r="S89" s="65">
        <v>0.58085371378947137</v>
      </c>
      <c r="T89" s="65">
        <v>0</v>
      </c>
      <c r="U89" s="65">
        <v>330</v>
      </c>
    </row>
    <row r="90" spans="1:21" s="55" customFormat="1" x14ac:dyDescent="0.35">
      <c r="A90" s="61">
        <v>0.189</v>
      </c>
      <c r="B90" s="61">
        <v>5.0999999999999997E-2</v>
      </c>
      <c r="C90" s="61">
        <v>0.157</v>
      </c>
      <c r="D90" s="61">
        <v>0.21244671500000001</v>
      </c>
      <c r="E90" s="61">
        <v>0.42499979696750673</v>
      </c>
      <c r="F90" s="61">
        <v>0.65132831816438652</v>
      </c>
      <c r="G90" s="62">
        <v>0</v>
      </c>
      <c r="H90" s="61">
        <v>0.15699999999999997</v>
      </c>
      <c r="I90" s="61">
        <v>0.11100000000000002</v>
      </c>
      <c r="J90" s="61">
        <v>0.35600000000000004</v>
      </c>
      <c r="K90" s="61">
        <v>0.26700000000000002</v>
      </c>
      <c r="L90" s="61">
        <v>0.59544243932794028</v>
      </c>
      <c r="M90" s="61">
        <v>0.44207258242884695</v>
      </c>
      <c r="N90" s="55">
        <v>0</v>
      </c>
      <c r="O90" s="63">
        <v>0</v>
      </c>
      <c r="P90" s="63">
        <f>1</f>
        <v>1</v>
      </c>
      <c r="Q90" s="64">
        <v>0</v>
      </c>
      <c r="R90" s="65">
        <v>0</v>
      </c>
      <c r="S90" s="65">
        <v>1</v>
      </c>
      <c r="T90" s="65">
        <v>0</v>
      </c>
      <c r="U90" s="65">
        <v>330</v>
      </c>
    </row>
    <row r="91" spans="1:21" s="55" customFormat="1" x14ac:dyDescent="0.35">
      <c r="A91" s="61">
        <v>5.1999999999999998E-2</v>
      </c>
      <c r="B91" s="61">
        <v>0</v>
      </c>
      <c r="C91" s="61">
        <v>5.0999999999999997E-2</v>
      </c>
      <c r="D91" s="61">
        <v>0.20457370999999999</v>
      </c>
      <c r="E91" s="61">
        <v>0.44899986193790453</v>
      </c>
      <c r="F91" s="61">
        <v>0.35899591733702452</v>
      </c>
      <c r="G91" s="62">
        <v>0</v>
      </c>
      <c r="H91" s="61">
        <v>6.4000000000000001E-2</v>
      </c>
      <c r="I91" s="61">
        <v>3.6999999999999998E-2</v>
      </c>
      <c r="J91" s="61">
        <v>0.22</v>
      </c>
      <c r="K91" s="61">
        <v>0.316</v>
      </c>
      <c r="L91" s="61">
        <v>0.60199626633478531</v>
      </c>
      <c r="M91" s="61">
        <v>0.3250494925828758</v>
      </c>
      <c r="N91" s="55">
        <v>0</v>
      </c>
      <c r="O91" s="63">
        <v>0</v>
      </c>
      <c r="P91" s="63">
        <f>1</f>
        <v>1</v>
      </c>
      <c r="Q91" s="64">
        <v>1</v>
      </c>
      <c r="R91" s="65">
        <v>0</v>
      </c>
      <c r="S91" s="65">
        <v>0.87442654348372717</v>
      </c>
      <c r="T91" s="65">
        <v>1240</v>
      </c>
      <c r="U91" s="65">
        <v>330</v>
      </c>
    </row>
    <row r="92" spans="1:21" s="55" customFormat="1" x14ac:dyDescent="0.35">
      <c r="A92" s="61">
        <v>0</v>
      </c>
      <c r="B92" s="61">
        <v>0</v>
      </c>
      <c r="C92" s="61">
        <v>0</v>
      </c>
      <c r="D92" s="61">
        <v>0.22267505300000001</v>
      </c>
      <c r="E92" s="61">
        <v>0.45499987818050402</v>
      </c>
      <c r="F92" s="61">
        <v>0.25964291600757672</v>
      </c>
      <c r="G92" s="62">
        <v>0</v>
      </c>
      <c r="H92" s="61">
        <v>0</v>
      </c>
      <c r="I92" s="61">
        <v>0</v>
      </c>
      <c r="J92" s="61">
        <v>0.16499999999999998</v>
      </c>
      <c r="K92" s="61">
        <v>0.36399999999999999</v>
      </c>
      <c r="L92" s="61">
        <v>0.61056253889234602</v>
      </c>
      <c r="M92" s="61">
        <v>0.27338270578067964</v>
      </c>
      <c r="N92" s="55">
        <v>0</v>
      </c>
      <c r="O92" s="63">
        <v>0</v>
      </c>
      <c r="P92" s="63">
        <f>1</f>
        <v>1</v>
      </c>
      <c r="Q92" s="64">
        <v>1</v>
      </c>
      <c r="R92" s="65">
        <v>0</v>
      </c>
      <c r="S92" s="65">
        <v>1</v>
      </c>
      <c r="T92" s="65">
        <v>1240</v>
      </c>
      <c r="U92" s="65">
        <v>330</v>
      </c>
    </row>
    <row r="93" spans="1:21" s="55" customFormat="1" x14ac:dyDescent="0.35">
      <c r="A93" s="61">
        <v>0</v>
      </c>
      <c r="B93" s="61">
        <v>0</v>
      </c>
      <c r="C93" s="61">
        <v>0</v>
      </c>
      <c r="D93" s="61">
        <v>0.254737767</v>
      </c>
      <c r="E93" s="61">
        <v>0.4669999106657029</v>
      </c>
      <c r="F93" s="61">
        <v>0.29692577939365034</v>
      </c>
      <c r="G93" s="62">
        <v>0</v>
      </c>
      <c r="H93" s="61">
        <v>0</v>
      </c>
      <c r="I93" s="61">
        <v>0</v>
      </c>
      <c r="J93" s="61">
        <v>0.14599999999999999</v>
      </c>
      <c r="K93" s="61">
        <v>0.38800000000000001</v>
      </c>
      <c r="L93" s="61">
        <v>0.62000622277535777</v>
      </c>
      <c r="M93" s="61">
        <v>0.28904426518682297</v>
      </c>
      <c r="N93" s="55">
        <v>0</v>
      </c>
      <c r="O93" s="63">
        <v>0</v>
      </c>
      <c r="P93" s="63">
        <f>1</f>
        <v>1</v>
      </c>
      <c r="Q93" s="64">
        <v>1</v>
      </c>
      <c r="R93" s="65">
        <v>0</v>
      </c>
      <c r="S93" s="65">
        <v>1</v>
      </c>
      <c r="T93" s="65">
        <v>1240</v>
      </c>
      <c r="U93" s="65">
        <v>330</v>
      </c>
    </row>
    <row r="94" spans="1:21" s="55" customFormat="1" x14ac:dyDescent="0.35">
      <c r="A94" s="61">
        <v>0</v>
      </c>
      <c r="B94" s="61">
        <v>0</v>
      </c>
      <c r="C94" s="61">
        <v>0</v>
      </c>
      <c r="D94" s="61">
        <v>0.27501555100000002</v>
      </c>
      <c r="E94" s="61">
        <v>0.47299992690830239</v>
      </c>
      <c r="F94" s="61">
        <v>0.32056183811193256</v>
      </c>
      <c r="G94" s="62">
        <v>0</v>
      </c>
      <c r="H94" s="61">
        <v>0</v>
      </c>
      <c r="I94" s="61">
        <v>0</v>
      </c>
      <c r="J94" s="61">
        <v>0.14799999999999999</v>
      </c>
      <c r="K94" s="61">
        <v>0.43099999999999999</v>
      </c>
      <c r="L94" s="61">
        <v>0.62357311761045431</v>
      </c>
      <c r="M94" s="61">
        <v>0.31937469637720728</v>
      </c>
      <c r="N94" s="55">
        <v>0</v>
      </c>
      <c r="O94" s="63">
        <v>0</v>
      </c>
      <c r="P94" s="63">
        <f>1</f>
        <v>1</v>
      </c>
      <c r="Q94" s="64">
        <v>1</v>
      </c>
      <c r="R94" s="65">
        <v>0</v>
      </c>
      <c r="S94" s="65">
        <v>1</v>
      </c>
      <c r="T94" s="65">
        <v>1240</v>
      </c>
      <c r="U94" s="65">
        <v>330</v>
      </c>
    </row>
    <row r="95" spans="1:21" s="55" customFormat="1" x14ac:dyDescent="0.35">
      <c r="A95" s="61">
        <v>0</v>
      </c>
      <c r="B95" s="61">
        <v>0</v>
      </c>
      <c r="C95" s="61">
        <v>0</v>
      </c>
      <c r="D95" s="61">
        <v>0.28818690899999999</v>
      </c>
      <c r="E95" s="61">
        <v>0.4669999106657029</v>
      </c>
      <c r="F95" s="61">
        <v>0.33591455076966253</v>
      </c>
      <c r="G95" s="62">
        <v>0</v>
      </c>
      <c r="H95" s="61">
        <v>0</v>
      </c>
      <c r="I95" s="61">
        <v>0</v>
      </c>
      <c r="J95" s="61">
        <v>0.16800000000000001</v>
      </c>
      <c r="K95" s="61">
        <v>0.49800000000000005</v>
      </c>
      <c r="L95" s="61">
        <v>0.62135345364032357</v>
      </c>
      <c r="M95" s="61">
        <v>0.36329312911648609</v>
      </c>
      <c r="N95" s="55">
        <v>0</v>
      </c>
      <c r="O95" s="63">
        <v>0</v>
      </c>
      <c r="P95" s="63">
        <f>1</f>
        <v>1</v>
      </c>
      <c r="Q95" s="64">
        <v>1</v>
      </c>
      <c r="R95" s="65">
        <v>0</v>
      </c>
      <c r="S95" s="65">
        <v>1</v>
      </c>
      <c r="T95" s="65">
        <v>1240</v>
      </c>
      <c r="U95" s="65">
        <v>330</v>
      </c>
    </row>
    <row r="96" spans="1:21" s="55" customFormat="1" x14ac:dyDescent="0.35">
      <c r="A96" s="61">
        <v>0</v>
      </c>
      <c r="B96" s="61">
        <v>0</v>
      </c>
      <c r="C96" s="61">
        <v>0</v>
      </c>
      <c r="D96" s="61">
        <v>0.31947301099999997</v>
      </c>
      <c r="E96" s="61">
        <v>0.46500004060649869</v>
      </c>
      <c r="F96" s="61">
        <v>0.37238205352726989</v>
      </c>
      <c r="G96" s="62">
        <v>0</v>
      </c>
      <c r="H96" s="61">
        <v>0</v>
      </c>
      <c r="I96" s="61">
        <v>0</v>
      </c>
      <c r="J96" s="61">
        <v>0.20500000000000002</v>
      </c>
      <c r="K96" s="61">
        <v>0.53500000000000003</v>
      </c>
      <c r="L96" s="61">
        <v>0.60562912258867452</v>
      </c>
      <c r="M96" s="61">
        <v>0.38648346597418021</v>
      </c>
      <c r="N96" s="55">
        <v>0</v>
      </c>
      <c r="O96" s="63">
        <v>0</v>
      </c>
      <c r="P96" s="63">
        <f>1</f>
        <v>1</v>
      </c>
      <c r="Q96" s="64">
        <v>0.14925558578000001</v>
      </c>
      <c r="R96" s="65">
        <v>0</v>
      </c>
      <c r="S96" s="65">
        <v>1</v>
      </c>
      <c r="T96" s="65">
        <v>194.64011808999999</v>
      </c>
      <c r="U96" s="65">
        <v>330</v>
      </c>
    </row>
    <row r="97" spans="1:21" s="55" customFormat="1" x14ac:dyDescent="0.35">
      <c r="A97" s="61">
        <v>0</v>
      </c>
      <c r="B97" s="61">
        <v>0</v>
      </c>
      <c r="C97" s="61">
        <v>0</v>
      </c>
      <c r="D97" s="61">
        <v>0.353982937</v>
      </c>
      <c r="E97" s="61">
        <v>0.46500004060649869</v>
      </c>
      <c r="F97" s="61">
        <v>0.41260728905101229</v>
      </c>
      <c r="G97" s="62">
        <v>0</v>
      </c>
      <c r="H97" s="61">
        <v>0</v>
      </c>
      <c r="I97" s="61">
        <v>0</v>
      </c>
      <c r="J97" s="61">
        <v>0.23599999999999999</v>
      </c>
      <c r="K97" s="61">
        <v>0.55800000000000005</v>
      </c>
      <c r="L97" s="61">
        <v>0.60581767268201614</v>
      </c>
      <c r="M97" s="61">
        <v>0.39477331616827416</v>
      </c>
      <c r="N97" s="55">
        <v>0</v>
      </c>
      <c r="O97" s="63">
        <v>0</v>
      </c>
      <c r="P97" s="63">
        <f>1</f>
        <v>1</v>
      </c>
      <c r="Q97" s="64">
        <v>0</v>
      </c>
      <c r="R97" s="65">
        <v>0</v>
      </c>
      <c r="S97" s="65">
        <v>0.45274181287259513</v>
      </c>
      <c r="T97" s="65">
        <v>0</v>
      </c>
      <c r="U97" s="65">
        <v>128.65667970999999</v>
      </c>
    </row>
    <row r="98" spans="1:21" s="55" customFormat="1" x14ac:dyDescent="0.35">
      <c r="A98" s="61">
        <v>0</v>
      </c>
      <c r="B98" s="61">
        <v>0</v>
      </c>
      <c r="C98" s="61">
        <v>0</v>
      </c>
      <c r="D98" s="61">
        <v>0.36701989000000002</v>
      </c>
      <c r="E98" s="61">
        <v>0.445000121819496</v>
      </c>
      <c r="F98" s="61">
        <v>0.42780333742668714</v>
      </c>
      <c r="G98" s="62">
        <v>0</v>
      </c>
      <c r="H98" s="61">
        <v>0</v>
      </c>
      <c r="I98" s="61">
        <v>0</v>
      </c>
      <c r="J98" s="61">
        <v>0.25</v>
      </c>
      <c r="K98" s="61">
        <v>0.57599999999999996</v>
      </c>
      <c r="L98" s="61">
        <v>0.57914312383322963</v>
      </c>
      <c r="M98" s="61">
        <v>0.39723248950081613</v>
      </c>
      <c r="N98" s="55">
        <v>0</v>
      </c>
      <c r="O98" s="63">
        <v>0</v>
      </c>
      <c r="P98" s="63">
        <f>1</f>
        <v>1</v>
      </c>
      <c r="Q98" s="64">
        <v>0</v>
      </c>
      <c r="R98" s="65">
        <v>0</v>
      </c>
      <c r="S98" s="65">
        <v>0.58233433207805452</v>
      </c>
      <c r="T98" s="65">
        <v>0</v>
      </c>
      <c r="U98" s="65">
        <v>330</v>
      </c>
    </row>
    <row r="99" spans="1:21" s="55" customFormat="1" x14ac:dyDescent="0.35">
      <c r="A99" s="61">
        <v>0</v>
      </c>
      <c r="B99" s="61">
        <v>0</v>
      </c>
      <c r="C99" s="61">
        <v>0</v>
      </c>
      <c r="D99" s="61">
        <v>0.342508282</v>
      </c>
      <c r="E99" s="61">
        <v>0.41999991878700271</v>
      </c>
      <c r="F99" s="61">
        <v>0.39923227631036806</v>
      </c>
      <c r="G99" s="62">
        <v>0</v>
      </c>
      <c r="H99" s="61">
        <v>0</v>
      </c>
      <c r="I99" s="61">
        <v>0</v>
      </c>
      <c r="J99" s="61">
        <v>0.24299999999999999</v>
      </c>
      <c r="K99" s="61">
        <v>0.59099999999999997</v>
      </c>
      <c r="L99" s="61">
        <v>0.57756191661481027</v>
      </c>
      <c r="M99" s="61">
        <v>0.40193977309541473</v>
      </c>
      <c r="N99" s="55">
        <v>0</v>
      </c>
      <c r="O99" s="63">
        <v>0</v>
      </c>
      <c r="P99" s="63">
        <f>1</f>
        <v>1</v>
      </c>
      <c r="Q99" s="64">
        <v>0</v>
      </c>
      <c r="R99" s="65">
        <v>0</v>
      </c>
      <c r="S99" s="65">
        <v>0.58233433207805452</v>
      </c>
      <c r="T99" s="65">
        <v>0</v>
      </c>
      <c r="U99" s="65">
        <v>330</v>
      </c>
    </row>
    <row r="100" spans="1:21" s="55" customFormat="1" x14ac:dyDescent="0.35">
      <c r="A100" s="61">
        <v>0</v>
      </c>
      <c r="B100" s="61">
        <v>0</v>
      </c>
      <c r="C100" s="61">
        <v>0</v>
      </c>
      <c r="D100" s="61">
        <v>0.33470191500000002</v>
      </c>
      <c r="E100" s="61">
        <v>0.41900018678989387</v>
      </c>
      <c r="F100" s="61">
        <v>0.39013306957315952</v>
      </c>
      <c r="G100" s="62">
        <v>0</v>
      </c>
      <c r="H100" s="61">
        <v>0</v>
      </c>
      <c r="I100" s="61">
        <v>0</v>
      </c>
      <c r="J100" s="61">
        <v>0.24199999999999999</v>
      </c>
      <c r="K100" s="61">
        <v>0.59699999999999998</v>
      </c>
      <c r="L100" s="61">
        <v>0.58091039203484751</v>
      </c>
      <c r="M100" s="61">
        <v>0.40435105513429287</v>
      </c>
      <c r="N100" s="55">
        <v>0</v>
      </c>
      <c r="O100" s="63">
        <v>0</v>
      </c>
      <c r="P100" s="63">
        <f>1</f>
        <v>1</v>
      </c>
      <c r="Q100" s="64">
        <v>0</v>
      </c>
      <c r="R100" s="65">
        <v>0</v>
      </c>
      <c r="S100" s="65">
        <v>0.43258373855327792</v>
      </c>
      <c r="T100" s="65">
        <v>0</v>
      </c>
      <c r="U100" s="65">
        <v>97.336652130000004</v>
      </c>
    </row>
    <row r="101" spans="1:21" s="55" customFormat="1" x14ac:dyDescent="0.35">
      <c r="A101" s="61">
        <v>0</v>
      </c>
      <c r="B101" s="61">
        <v>0</v>
      </c>
      <c r="C101" s="61">
        <v>0</v>
      </c>
      <c r="D101" s="61">
        <v>0.35738882900000002</v>
      </c>
      <c r="E101" s="61">
        <v>0.40700015430469494</v>
      </c>
      <c r="F101" s="61">
        <v>0.41657724273530677</v>
      </c>
      <c r="G101" s="62">
        <v>0</v>
      </c>
      <c r="H101" s="61">
        <v>0</v>
      </c>
      <c r="I101" s="61">
        <v>0</v>
      </c>
      <c r="J101" s="61">
        <v>0.26200000000000001</v>
      </c>
      <c r="K101" s="61">
        <v>0.58299999999999996</v>
      </c>
      <c r="L101" s="61">
        <v>0.58569010578718106</v>
      </c>
      <c r="M101" s="61">
        <v>0.39393186500311622</v>
      </c>
      <c r="N101" s="55">
        <v>0</v>
      </c>
      <c r="O101" s="63">
        <v>0</v>
      </c>
      <c r="P101" s="63">
        <f>1</f>
        <v>1</v>
      </c>
      <c r="Q101" s="64">
        <v>0</v>
      </c>
      <c r="R101" s="65">
        <v>0</v>
      </c>
      <c r="S101" s="65">
        <v>0.36993432874453297</v>
      </c>
      <c r="T101" s="65">
        <v>0</v>
      </c>
      <c r="U101" s="65">
        <v>0</v>
      </c>
    </row>
    <row r="102" spans="1:21" s="55" customFormat="1" x14ac:dyDescent="0.35">
      <c r="A102" s="61">
        <v>0</v>
      </c>
      <c r="B102" s="61">
        <v>0</v>
      </c>
      <c r="C102" s="61">
        <v>0</v>
      </c>
      <c r="D102" s="61">
        <v>0.41485719700000001</v>
      </c>
      <c r="E102" s="61">
        <v>0.4010001380620955</v>
      </c>
      <c r="F102" s="61">
        <v>0.48356314812279144</v>
      </c>
      <c r="G102" s="62">
        <v>0</v>
      </c>
      <c r="H102" s="61">
        <v>0</v>
      </c>
      <c r="I102" s="61">
        <v>0</v>
      </c>
      <c r="J102" s="61">
        <v>0.28300000000000003</v>
      </c>
      <c r="K102" s="61">
        <v>0.56299999999999994</v>
      </c>
      <c r="L102" s="61">
        <v>0.58854075917859361</v>
      </c>
      <c r="M102" s="61">
        <v>0.37934732127971504</v>
      </c>
      <c r="N102" s="55">
        <v>0</v>
      </c>
      <c r="O102" s="63">
        <v>0</v>
      </c>
      <c r="P102" s="63">
        <f>1</f>
        <v>1</v>
      </c>
      <c r="Q102" s="64">
        <v>0</v>
      </c>
      <c r="R102" s="65">
        <v>0</v>
      </c>
      <c r="S102" s="65">
        <v>0.58203833535315441</v>
      </c>
      <c r="T102" s="65">
        <v>0</v>
      </c>
      <c r="U102" s="65">
        <v>330</v>
      </c>
    </row>
    <row r="103" spans="1:21" s="55" customFormat="1" x14ac:dyDescent="0.35">
      <c r="A103" s="61">
        <v>0</v>
      </c>
      <c r="B103" s="61">
        <v>0</v>
      </c>
      <c r="C103" s="61">
        <v>0</v>
      </c>
      <c r="D103" s="61">
        <v>0.47076277500000002</v>
      </c>
      <c r="E103" s="61">
        <v>0.39800012994079575</v>
      </c>
      <c r="F103" s="61">
        <v>0.54872744439340493</v>
      </c>
      <c r="G103" s="62">
        <v>0</v>
      </c>
      <c r="H103" s="61">
        <v>0</v>
      </c>
      <c r="I103" s="61">
        <v>0</v>
      </c>
      <c r="J103" s="61">
        <v>0.3</v>
      </c>
      <c r="K103" s="61">
        <v>0.55700000000000005</v>
      </c>
      <c r="L103" s="61">
        <v>0.58027442439327936</v>
      </c>
      <c r="M103" s="61">
        <v>0.37455350769253604</v>
      </c>
      <c r="N103" s="55">
        <v>0</v>
      </c>
      <c r="O103" s="63">
        <v>0</v>
      </c>
      <c r="P103" s="63">
        <f>1</f>
        <v>1</v>
      </c>
      <c r="Q103" s="64">
        <v>0</v>
      </c>
      <c r="R103" s="65">
        <v>0</v>
      </c>
      <c r="S103" s="65">
        <v>0.58144634189691791</v>
      </c>
      <c r="T103" s="65">
        <v>0</v>
      </c>
      <c r="U103" s="65">
        <v>330</v>
      </c>
    </row>
    <row r="104" spans="1:21" s="55" customFormat="1" x14ac:dyDescent="0.35">
      <c r="A104" s="61">
        <v>0</v>
      </c>
      <c r="B104" s="61">
        <v>0</v>
      </c>
      <c r="C104" s="61">
        <v>0</v>
      </c>
      <c r="D104" s="61">
        <v>0.49756946400000002</v>
      </c>
      <c r="E104" s="61">
        <v>0.40199987005920429</v>
      </c>
      <c r="F104" s="61">
        <v>0.57997368289987727</v>
      </c>
      <c r="G104" s="62">
        <v>0</v>
      </c>
      <c r="H104" s="61">
        <v>0</v>
      </c>
      <c r="I104" s="61">
        <v>0</v>
      </c>
      <c r="J104" s="61">
        <v>0.29299999999999998</v>
      </c>
      <c r="K104" s="61">
        <v>0.56100000000000005</v>
      </c>
      <c r="L104" s="61">
        <v>0.57440510267579337</v>
      </c>
      <c r="M104" s="61">
        <v>0.37719064248879658</v>
      </c>
      <c r="N104" s="55">
        <v>0</v>
      </c>
      <c r="O104" s="63">
        <v>0</v>
      </c>
      <c r="P104" s="63">
        <f>1</f>
        <v>1</v>
      </c>
      <c r="Q104" s="64">
        <v>0</v>
      </c>
      <c r="R104" s="65">
        <v>0</v>
      </c>
      <c r="S104" s="65">
        <v>0.36875034183849625</v>
      </c>
      <c r="T104" s="65">
        <v>0</v>
      </c>
      <c r="U104" s="65">
        <v>0</v>
      </c>
    </row>
    <row r="105" spans="1:21" s="55" customFormat="1" x14ac:dyDescent="0.35">
      <c r="A105" s="61">
        <v>0</v>
      </c>
      <c r="B105" s="61">
        <v>0</v>
      </c>
      <c r="C105" s="61">
        <v>0</v>
      </c>
      <c r="D105" s="61">
        <v>0.51359013099999995</v>
      </c>
      <c r="E105" s="61">
        <v>0.40900002436389921</v>
      </c>
      <c r="F105" s="61">
        <v>0.59864758858493861</v>
      </c>
      <c r="G105" s="62">
        <v>0</v>
      </c>
      <c r="H105" s="61">
        <v>0</v>
      </c>
      <c r="I105" s="61">
        <v>0</v>
      </c>
      <c r="J105" s="61">
        <v>0.27099999999999996</v>
      </c>
      <c r="K105" s="61">
        <v>0.53800000000000003</v>
      </c>
      <c r="L105" s="61">
        <v>0.55938207840696952</v>
      </c>
      <c r="M105" s="61">
        <v>0.36183307578453777</v>
      </c>
      <c r="N105" s="55">
        <v>0</v>
      </c>
      <c r="O105" s="63">
        <v>0</v>
      </c>
      <c r="P105" s="63">
        <f>1</f>
        <v>1</v>
      </c>
      <c r="Q105" s="64">
        <v>0</v>
      </c>
      <c r="R105" s="65">
        <v>0</v>
      </c>
      <c r="S105" s="65">
        <v>0.3684543451135962</v>
      </c>
      <c r="T105" s="65">
        <v>0</v>
      </c>
      <c r="U105" s="65">
        <v>0</v>
      </c>
    </row>
    <row r="106" spans="1:21" s="55" customFormat="1" x14ac:dyDescent="0.35">
      <c r="A106" s="61">
        <v>0</v>
      </c>
      <c r="B106" s="61">
        <v>0</v>
      </c>
      <c r="C106" s="61">
        <v>0</v>
      </c>
      <c r="D106" s="61">
        <v>0.54317550699999995</v>
      </c>
      <c r="E106" s="61">
        <v>0.42100005684909814</v>
      </c>
      <c r="F106" s="61">
        <v>0.63896250524552145</v>
      </c>
      <c r="G106" s="62">
        <v>0</v>
      </c>
      <c r="H106" s="61">
        <v>0</v>
      </c>
      <c r="I106" s="61">
        <v>0</v>
      </c>
      <c r="J106" s="61">
        <v>0.27699999999999997</v>
      </c>
      <c r="K106" s="61">
        <v>0.501</v>
      </c>
      <c r="L106" s="61">
        <v>0.54305164903546976</v>
      </c>
      <c r="M106" s="61">
        <v>0.33695295803650388</v>
      </c>
      <c r="N106" s="55">
        <v>0</v>
      </c>
      <c r="O106" s="63">
        <v>0</v>
      </c>
      <c r="P106" s="63">
        <f>1</f>
        <v>1</v>
      </c>
      <c r="Q106" s="64">
        <v>0</v>
      </c>
      <c r="R106" s="65">
        <v>0</v>
      </c>
      <c r="S106" s="65">
        <v>0.3684543451135962</v>
      </c>
      <c r="T106" s="65">
        <v>0</v>
      </c>
      <c r="U106" s="65">
        <v>0</v>
      </c>
    </row>
    <row r="107" spans="1:21" s="55" customFormat="1" x14ac:dyDescent="0.35">
      <c r="A107" s="61">
        <v>6.3E-2</v>
      </c>
      <c r="B107" s="61">
        <v>1.9E-2</v>
      </c>
      <c r="C107" s="61">
        <v>7.1999999999999897E-2</v>
      </c>
      <c r="D107" s="61">
        <v>0.57570690099999999</v>
      </c>
      <c r="E107" s="61">
        <v>0.42700007309169763</v>
      </c>
      <c r="F107" s="61">
        <v>0.82807058061079741</v>
      </c>
      <c r="G107" s="62">
        <v>0</v>
      </c>
      <c r="H107" s="61">
        <v>4.7999999999999994E-2</v>
      </c>
      <c r="I107" s="61">
        <v>3.1000000000000003E-2</v>
      </c>
      <c r="J107" s="61">
        <v>0.311</v>
      </c>
      <c r="K107" s="61">
        <v>0.47000000000000003</v>
      </c>
      <c r="L107" s="61">
        <v>0.54292283758556314</v>
      </c>
      <c r="M107" s="61">
        <v>0.38874320193411488</v>
      </c>
      <c r="N107" s="55">
        <v>0</v>
      </c>
      <c r="O107" s="63">
        <v>0</v>
      </c>
      <c r="P107" s="63">
        <f>1</f>
        <v>1</v>
      </c>
      <c r="Q107" s="64">
        <v>0</v>
      </c>
      <c r="R107" s="65">
        <v>0</v>
      </c>
      <c r="S107" s="65">
        <v>0.15605434178007468</v>
      </c>
      <c r="T107" s="65">
        <v>0</v>
      </c>
      <c r="U107" s="65">
        <v>0</v>
      </c>
    </row>
    <row r="108" spans="1:21" s="55" customFormat="1" x14ac:dyDescent="0.35">
      <c r="A108" s="61">
        <v>0.187</v>
      </c>
      <c r="B108" s="61">
        <v>0.05</v>
      </c>
      <c r="C108" s="61">
        <v>0.19600000000000001</v>
      </c>
      <c r="D108" s="61">
        <v>0.61551767300000004</v>
      </c>
      <c r="E108" s="61">
        <v>0.41200003248519895</v>
      </c>
      <c r="F108" s="61">
        <v>1</v>
      </c>
      <c r="G108" s="62">
        <v>0.12310887211795472</v>
      </c>
      <c r="H108" s="61">
        <v>0.19499999999999998</v>
      </c>
      <c r="I108" s="61">
        <v>0.125</v>
      </c>
      <c r="J108" s="61">
        <v>0.36499999999999999</v>
      </c>
      <c r="K108" s="61">
        <v>0.435</v>
      </c>
      <c r="L108" s="61">
        <v>0.54569943995021775</v>
      </c>
      <c r="M108" s="61">
        <v>0.59005906231696093</v>
      </c>
      <c r="N108" s="55">
        <v>0</v>
      </c>
      <c r="O108" s="63">
        <v>0</v>
      </c>
      <c r="P108" s="63">
        <f>1</f>
        <v>1</v>
      </c>
      <c r="Q108" s="64">
        <v>0</v>
      </c>
      <c r="R108" s="65">
        <v>0</v>
      </c>
      <c r="S108" s="65">
        <v>0.15605434178007468</v>
      </c>
      <c r="T108" s="65">
        <v>0</v>
      </c>
      <c r="U108" s="65">
        <v>0</v>
      </c>
    </row>
    <row r="109" spans="1:21" s="55" customFormat="1" x14ac:dyDescent="0.35">
      <c r="A109" s="61">
        <v>0.27200000000000002</v>
      </c>
      <c r="B109" s="61">
        <v>9.3000000000000013E-2</v>
      </c>
      <c r="C109" s="61">
        <v>0.313</v>
      </c>
      <c r="D109" s="61">
        <v>0.64408793200000003</v>
      </c>
      <c r="E109" s="61">
        <v>0.40400014618339519</v>
      </c>
      <c r="F109" s="61">
        <v>1</v>
      </c>
      <c r="G109" s="62">
        <v>0.32492136060707877</v>
      </c>
      <c r="H109" s="61">
        <v>0.34699999999999998</v>
      </c>
      <c r="I109" s="61">
        <v>0.22799999999999998</v>
      </c>
      <c r="J109" s="61">
        <v>0.499</v>
      </c>
      <c r="K109" s="61">
        <v>0.39999999999999997</v>
      </c>
      <c r="L109" s="61">
        <v>0.55619228375855634</v>
      </c>
      <c r="M109" s="61">
        <v>0.80423682013236386</v>
      </c>
      <c r="N109" s="55">
        <v>0</v>
      </c>
      <c r="O109" s="63">
        <v>0</v>
      </c>
      <c r="P109" s="63">
        <f>1</f>
        <v>1</v>
      </c>
      <c r="Q109" s="64">
        <v>0</v>
      </c>
      <c r="R109" s="65">
        <v>0</v>
      </c>
      <c r="S109" s="65">
        <v>0.15635033850497476</v>
      </c>
      <c r="T109" s="65">
        <v>0</v>
      </c>
      <c r="U109" s="65">
        <v>0</v>
      </c>
    </row>
    <row r="110" spans="1:21" s="55" customFormat="1" x14ac:dyDescent="0.35">
      <c r="A110" s="61">
        <v>0.32200000000000001</v>
      </c>
      <c r="B110" s="61">
        <v>0.14099999999999902</v>
      </c>
      <c r="C110" s="61">
        <v>0.40600000000000003</v>
      </c>
      <c r="D110" s="61">
        <v>0.67036331400000004</v>
      </c>
      <c r="E110" s="61">
        <v>0.39899986193790454</v>
      </c>
      <c r="F110" s="61">
        <v>1</v>
      </c>
      <c r="G110" s="62">
        <v>0.47353348652679855</v>
      </c>
      <c r="H110" s="61">
        <v>0.45299999999999996</v>
      </c>
      <c r="I110" s="61">
        <v>0.29500000000000004</v>
      </c>
      <c r="J110" s="61">
        <v>0.57299999999999995</v>
      </c>
      <c r="K110" s="61">
        <v>0.375</v>
      </c>
      <c r="L110" s="61">
        <v>0.55786309894212815</v>
      </c>
      <c r="M110" s="61">
        <v>0.94993070514646094</v>
      </c>
      <c r="N110" s="55">
        <v>0</v>
      </c>
      <c r="O110" s="63">
        <v>0</v>
      </c>
      <c r="P110" s="63">
        <f>1</f>
        <v>1</v>
      </c>
      <c r="Q110" s="64">
        <v>0</v>
      </c>
      <c r="R110" s="65">
        <v>0</v>
      </c>
      <c r="S110" s="65">
        <v>0.15664633522987487</v>
      </c>
      <c r="T110" s="65">
        <v>0</v>
      </c>
      <c r="U110" s="65">
        <v>0</v>
      </c>
    </row>
    <row r="111" spans="1:21" s="55" customFormat="1" x14ac:dyDescent="0.35">
      <c r="A111" s="61">
        <v>0.34499999999999997</v>
      </c>
      <c r="B111" s="61">
        <v>0.17800000000000002</v>
      </c>
      <c r="C111" s="61">
        <v>0.44900000000000001</v>
      </c>
      <c r="D111" s="61">
        <v>0.68859970000000004</v>
      </c>
      <c r="E111" s="61">
        <v>0.38699982945270561</v>
      </c>
      <c r="F111" s="61">
        <v>1</v>
      </c>
      <c r="G111" s="62">
        <v>0.54744899019938698</v>
      </c>
      <c r="H111" s="61">
        <v>0.498</v>
      </c>
      <c r="I111" s="61">
        <v>0.318</v>
      </c>
      <c r="J111" s="61">
        <v>0.61399999999999999</v>
      </c>
      <c r="K111" s="61">
        <v>0.37</v>
      </c>
      <c r="L111" s="61">
        <v>0.54186247666459242</v>
      </c>
      <c r="M111" s="61">
        <v>1</v>
      </c>
      <c r="N111" s="55">
        <v>1.2947126319706735E-2</v>
      </c>
      <c r="O111" s="63">
        <v>0</v>
      </c>
      <c r="P111" s="63">
        <f>1</f>
        <v>1</v>
      </c>
      <c r="Q111" s="64">
        <v>0</v>
      </c>
      <c r="R111" s="65">
        <v>0</v>
      </c>
      <c r="S111" s="65">
        <v>0.15664633522987487</v>
      </c>
      <c r="T111" s="65">
        <v>0</v>
      </c>
      <c r="U111" s="65">
        <v>0</v>
      </c>
    </row>
    <row r="112" spans="1:21" s="55" customFormat="1" x14ac:dyDescent="0.35">
      <c r="A112" s="61">
        <v>0.35</v>
      </c>
      <c r="B112" s="61">
        <v>0.184</v>
      </c>
      <c r="C112" s="61">
        <v>0.43200000000000005</v>
      </c>
      <c r="D112" s="61">
        <v>0.69667436500000002</v>
      </c>
      <c r="E112" s="61">
        <v>0.39099997563610084</v>
      </c>
      <c r="F112" s="61">
        <v>1</v>
      </c>
      <c r="G112" s="62">
        <v>0.54326682453228248</v>
      </c>
      <c r="H112" s="61">
        <v>0.47599999999999992</v>
      </c>
      <c r="I112" s="61">
        <v>0.29199999999999998</v>
      </c>
      <c r="J112" s="61">
        <v>0.627</v>
      </c>
      <c r="K112" s="61">
        <v>0.36699999999999999</v>
      </c>
      <c r="L112" s="61">
        <v>0.54720597386434355</v>
      </c>
      <c r="M112" s="61">
        <v>0.96232817523341752</v>
      </c>
      <c r="N112" s="55">
        <v>0</v>
      </c>
      <c r="O112" s="63">
        <v>0</v>
      </c>
      <c r="P112" s="63">
        <f>1</f>
        <v>1</v>
      </c>
      <c r="Q112" s="64">
        <v>0</v>
      </c>
      <c r="R112" s="65">
        <v>0</v>
      </c>
      <c r="S112" s="65">
        <v>0.15635033850497476</v>
      </c>
      <c r="T112" s="65">
        <v>0</v>
      </c>
      <c r="U112" s="65">
        <v>0</v>
      </c>
    </row>
    <row r="113" spans="1:21" s="55" customFormat="1" x14ac:dyDescent="0.35">
      <c r="A113" s="61">
        <v>0.32100000000000001</v>
      </c>
      <c r="B113" s="61">
        <v>0.14899999999999902</v>
      </c>
      <c r="C113" s="61">
        <v>0.33500000000000002</v>
      </c>
      <c r="D113" s="61">
        <v>0.68744846599999998</v>
      </c>
      <c r="E113" s="61">
        <v>0.38600009745559682</v>
      </c>
      <c r="F113" s="61">
        <v>1</v>
      </c>
      <c r="G113" s="62">
        <v>0.42522351505304395</v>
      </c>
      <c r="H113" s="61">
        <v>0.38700000000000001</v>
      </c>
      <c r="I113" s="61">
        <v>0.22500000000000001</v>
      </c>
      <c r="J113" s="61">
        <v>0.60099999999999998</v>
      </c>
      <c r="K113" s="61">
        <v>0.36799999999999999</v>
      </c>
      <c r="L113" s="61">
        <v>0.55132482887367773</v>
      </c>
      <c r="M113" s="61">
        <v>0.81669089114527371</v>
      </c>
      <c r="N113" s="55">
        <v>0</v>
      </c>
      <c r="O113" s="63">
        <v>0</v>
      </c>
      <c r="P113" s="63">
        <f>1</f>
        <v>1</v>
      </c>
      <c r="Q113" s="64">
        <v>0</v>
      </c>
      <c r="R113" s="65">
        <v>0</v>
      </c>
      <c r="S113" s="65">
        <v>0.15605434178007468</v>
      </c>
      <c r="T113" s="65">
        <v>0</v>
      </c>
      <c r="U113" s="65">
        <v>0</v>
      </c>
    </row>
    <row r="114" spans="1:21" s="55" customFormat="1" x14ac:dyDescent="0.35">
      <c r="A114" s="61">
        <v>0.22800000000000001</v>
      </c>
      <c r="B114" s="61">
        <v>8.4000000000000005E-2</v>
      </c>
      <c r="C114" s="61">
        <v>0.2</v>
      </c>
      <c r="D114" s="61">
        <v>0.67320856200000001</v>
      </c>
      <c r="E114" s="61">
        <v>0.39899986193790454</v>
      </c>
      <c r="F114" s="61">
        <v>1</v>
      </c>
      <c r="G114" s="62">
        <v>0.21334228711355374</v>
      </c>
      <c r="H114" s="61">
        <v>0.25700000000000001</v>
      </c>
      <c r="I114" s="61">
        <v>0.13400000000000001</v>
      </c>
      <c r="J114" s="61">
        <v>0.55999999999999994</v>
      </c>
      <c r="K114" s="61">
        <v>0.36799999999999999</v>
      </c>
      <c r="L114" s="61">
        <v>0.54871935283136286</v>
      </c>
      <c r="M114" s="61">
        <v>0.61136237513191871</v>
      </c>
      <c r="N114" s="55">
        <v>0</v>
      </c>
      <c r="O114" s="63">
        <v>0</v>
      </c>
      <c r="P114" s="63">
        <f>1</f>
        <v>1</v>
      </c>
      <c r="Q114" s="64">
        <v>0</v>
      </c>
      <c r="R114" s="65">
        <v>0</v>
      </c>
      <c r="S114" s="65">
        <v>0.15605434178007468</v>
      </c>
      <c r="T114" s="65">
        <v>0</v>
      </c>
      <c r="U114" s="65">
        <v>0</v>
      </c>
    </row>
    <row r="115" spans="1:21" s="55" customFormat="1" x14ac:dyDescent="0.35">
      <c r="A115" s="61">
        <v>5.8000000000000003E-2</v>
      </c>
      <c r="B115" s="61">
        <v>1.09999999999999E-2</v>
      </c>
      <c r="C115" s="61">
        <v>5.5999999999999994E-2</v>
      </c>
      <c r="D115" s="61">
        <v>0.61049664199999998</v>
      </c>
      <c r="E115" s="61">
        <v>0.44999999999999996</v>
      </c>
      <c r="F115" s="61">
        <v>0.8452555805706442</v>
      </c>
      <c r="G115" s="62">
        <v>0</v>
      </c>
      <c r="H115" s="61">
        <v>0.11</v>
      </c>
      <c r="I115" s="61">
        <v>4.7000000000000007E-2</v>
      </c>
      <c r="J115" s="61">
        <v>0.33200000000000002</v>
      </c>
      <c r="K115" s="61">
        <v>0.36899999999999999</v>
      </c>
      <c r="L115" s="61">
        <v>0.55333229620410707</v>
      </c>
      <c r="M115" s="61">
        <v>0.39376936384745509</v>
      </c>
      <c r="N115" s="55">
        <v>0</v>
      </c>
      <c r="O115" s="63">
        <v>0</v>
      </c>
      <c r="P115" s="63">
        <f>1</f>
        <v>1</v>
      </c>
      <c r="Q115" s="64">
        <v>0</v>
      </c>
      <c r="R115" s="65">
        <v>0</v>
      </c>
      <c r="S115" s="65">
        <v>0.3684543451135962</v>
      </c>
      <c r="T115" s="65">
        <v>0</v>
      </c>
      <c r="U115" s="65">
        <v>0</v>
      </c>
    </row>
    <row r="116" spans="1:21" s="55" customFormat="1" x14ac:dyDescent="0.35">
      <c r="A116" s="61">
        <v>0</v>
      </c>
      <c r="B116" s="61">
        <v>0</v>
      </c>
      <c r="C116" s="61">
        <v>0</v>
      </c>
      <c r="D116" s="61">
        <v>0.53394372199999995</v>
      </c>
      <c r="E116" s="61">
        <v>0.45900002436389925</v>
      </c>
      <c r="F116" s="61">
        <v>0.62253000088141097</v>
      </c>
      <c r="G116" s="62">
        <v>0</v>
      </c>
      <c r="H116" s="61">
        <v>0</v>
      </c>
      <c r="I116" s="61">
        <v>0</v>
      </c>
      <c r="J116" s="61">
        <v>0.16999999999999998</v>
      </c>
      <c r="K116" s="61">
        <v>0.36099999999999999</v>
      </c>
      <c r="L116" s="61">
        <v>0.56475980087118849</v>
      </c>
      <c r="M116" s="61">
        <v>0.24944872624187564</v>
      </c>
      <c r="N116" s="55">
        <v>0</v>
      </c>
      <c r="O116" s="63">
        <v>0</v>
      </c>
      <c r="P116" s="63">
        <f>1</f>
        <v>1</v>
      </c>
      <c r="Q116" s="64">
        <v>0</v>
      </c>
      <c r="R116" s="65">
        <v>0</v>
      </c>
      <c r="S116" s="65">
        <v>0.36875034183849625</v>
      </c>
      <c r="T116" s="65">
        <v>0</v>
      </c>
      <c r="U116" s="65">
        <v>0</v>
      </c>
    </row>
    <row r="117" spans="1:21" s="55" customFormat="1" x14ac:dyDescent="0.35">
      <c r="A117" s="61">
        <v>0</v>
      </c>
      <c r="B117" s="61">
        <v>0</v>
      </c>
      <c r="C117" s="61">
        <v>0</v>
      </c>
      <c r="D117" s="61">
        <v>0.48341007800000002</v>
      </c>
      <c r="E117" s="61">
        <v>0.46000016242599473</v>
      </c>
      <c r="F117" s="61">
        <v>0.56346931147000001</v>
      </c>
      <c r="G117" s="62">
        <v>0</v>
      </c>
      <c r="H117" s="61">
        <v>0</v>
      </c>
      <c r="I117" s="61">
        <v>0</v>
      </c>
      <c r="J117" s="61">
        <v>0.13899999999999998</v>
      </c>
      <c r="K117" s="61">
        <v>0.33900000000000002</v>
      </c>
      <c r="L117" s="61">
        <v>0.57456378344741754</v>
      </c>
      <c r="M117" s="61">
        <v>0.22885969266953554</v>
      </c>
      <c r="N117" s="55">
        <v>0</v>
      </c>
      <c r="O117" s="63">
        <v>0</v>
      </c>
      <c r="P117" s="63">
        <f>1</f>
        <v>1</v>
      </c>
      <c r="Q117" s="64">
        <v>0</v>
      </c>
      <c r="R117" s="65">
        <v>0</v>
      </c>
      <c r="S117" s="65">
        <v>0.58144634189691791</v>
      </c>
      <c r="T117" s="65">
        <v>0</v>
      </c>
      <c r="U117" s="65">
        <v>330</v>
      </c>
    </row>
    <row r="118" spans="1:21" s="55" customFormat="1" x14ac:dyDescent="0.35">
      <c r="A118" s="61">
        <v>0</v>
      </c>
      <c r="B118" s="61">
        <v>0</v>
      </c>
      <c r="C118" s="61">
        <v>0</v>
      </c>
      <c r="D118" s="61">
        <v>0.46995061100000002</v>
      </c>
      <c r="E118" s="61">
        <v>0.46000016242599473</v>
      </c>
      <c r="F118" s="61">
        <v>0.54778077507328216</v>
      </c>
      <c r="G118" s="62">
        <v>0</v>
      </c>
      <c r="H118" s="61">
        <v>0</v>
      </c>
      <c r="I118" s="61">
        <v>0</v>
      </c>
      <c r="J118" s="61">
        <v>0.151</v>
      </c>
      <c r="K118" s="61">
        <v>0.315</v>
      </c>
      <c r="L118" s="61">
        <v>0.56778158058494088</v>
      </c>
      <c r="M118" s="61">
        <v>0.21291006098916754</v>
      </c>
      <c r="N118" s="55">
        <v>0</v>
      </c>
      <c r="O118" s="63">
        <v>0</v>
      </c>
      <c r="P118" s="63">
        <f>1</f>
        <v>1</v>
      </c>
      <c r="Q118" s="64">
        <v>0</v>
      </c>
      <c r="R118" s="65">
        <v>0</v>
      </c>
      <c r="S118" s="65">
        <v>0.58174233862181801</v>
      </c>
      <c r="T118" s="65">
        <v>0</v>
      </c>
      <c r="U118" s="65">
        <v>330</v>
      </c>
    </row>
    <row r="119" spans="1:21" s="55" customFormat="1" x14ac:dyDescent="0.35">
      <c r="A119" s="61">
        <v>0</v>
      </c>
      <c r="B119" s="61">
        <v>0</v>
      </c>
      <c r="C119" s="61">
        <v>0</v>
      </c>
      <c r="D119" s="61">
        <v>0.47026385700000001</v>
      </c>
      <c r="E119" s="61">
        <v>0.45799988630180372</v>
      </c>
      <c r="F119" s="61">
        <v>0.54814589883874232</v>
      </c>
      <c r="G119" s="62">
        <v>0</v>
      </c>
      <c r="H119" s="61">
        <v>0</v>
      </c>
      <c r="I119" s="61">
        <v>0</v>
      </c>
      <c r="J119" s="61">
        <v>0.191</v>
      </c>
      <c r="K119" s="61">
        <v>0.28500000000000003</v>
      </c>
      <c r="L119" s="61">
        <v>0.56755880522713131</v>
      </c>
      <c r="M119" s="61">
        <v>0.19269104318801009</v>
      </c>
      <c r="N119" s="55">
        <v>0</v>
      </c>
      <c r="O119" s="63">
        <v>0</v>
      </c>
      <c r="P119" s="63">
        <f>1</f>
        <v>1</v>
      </c>
      <c r="Q119" s="64">
        <v>0</v>
      </c>
      <c r="R119" s="65">
        <v>0</v>
      </c>
      <c r="S119" s="65">
        <v>0.36963833201963286</v>
      </c>
      <c r="T119" s="65">
        <v>0</v>
      </c>
      <c r="U119" s="65">
        <v>0</v>
      </c>
    </row>
    <row r="120" spans="1:21" s="55" customFormat="1" x14ac:dyDescent="0.35">
      <c r="A120" s="61">
        <v>0</v>
      </c>
      <c r="B120" s="61">
        <v>0</v>
      </c>
      <c r="C120" s="61">
        <v>0</v>
      </c>
      <c r="D120" s="61">
        <v>0.469347454</v>
      </c>
      <c r="E120" s="61">
        <v>0.45199987005920433</v>
      </c>
      <c r="F120" s="61">
        <v>0.54707772713331282</v>
      </c>
      <c r="G120" s="62">
        <v>0</v>
      </c>
      <c r="H120" s="61">
        <v>0</v>
      </c>
      <c r="I120" s="61">
        <v>0</v>
      </c>
      <c r="J120" s="61">
        <v>0.23899999999999999</v>
      </c>
      <c r="K120" s="61">
        <v>0.246</v>
      </c>
      <c r="L120" s="61">
        <v>0.55865525824517737</v>
      </c>
      <c r="M120" s="61">
        <v>0.16659630499599345</v>
      </c>
      <c r="N120" s="55">
        <v>0</v>
      </c>
      <c r="O120" s="63">
        <v>0</v>
      </c>
      <c r="P120" s="63">
        <f>1</f>
        <v>1</v>
      </c>
      <c r="Q120" s="64">
        <v>0</v>
      </c>
      <c r="R120" s="65">
        <v>0</v>
      </c>
      <c r="S120" s="65">
        <v>0.58233433207805452</v>
      </c>
      <c r="T120" s="65">
        <v>0</v>
      </c>
      <c r="U120" s="65">
        <v>330</v>
      </c>
    </row>
    <row r="121" spans="1:21" s="55" customFormat="1" x14ac:dyDescent="0.35">
      <c r="A121" s="61">
        <v>0</v>
      </c>
      <c r="B121" s="61">
        <v>0</v>
      </c>
      <c r="C121" s="61">
        <v>0</v>
      </c>
      <c r="D121" s="61">
        <v>0.47874165400000002</v>
      </c>
      <c r="E121" s="61">
        <v>0.43499995939350139</v>
      </c>
      <c r="F121" s="61">
        <v>0.55802773344619627</v>
      </c>
      <c r="G121" s="62">
        <v>0</v>
      </c>
      <c r="H121" s="61">
        <v>0</v>
      </c>
      <c r="I121" s="61">
        <v>0</v>
      </c>
      <c r="J121" s="61">
        <v>0.27200000000000002</v>
      </c>
      <c r="K121" s="61">
        <v>0.21199999999999999</v>
      </c>
      <c r="L121" s="61">
        <v>0.55756129433727442</v>
      </c>
      <c r="M121" s="61">
        <v>0.14411261575129841</v>
      </c>
      <c r="N121" s="55">
        <v>0</v>
      </c>
      <c r="O121" s="63">
        <v>0</v>
      </c>
      <c r="P121" s="63">
        <f>1</f>
        <v>1</v>
      </c>
      <c r="Q121" s="64">
        <v>0</v>
      </c>
      <c r="R121" s="65">
        <v>0</v>
      </c>
      <c r="S121" s="65">
        <v>0.36993432874453297</v>
      </c>
      <c r="T121" s="65">
        <v>0</v>
      </c>
      <c r="U121" s="65">
        <v>0</v>
      </c>
    </row>
    <row r="122" spans="1:21" s="55" customFormat="1" x14ac:dyDescent="0.35">
      <c r="A122" s="61">
        <v>0</v>
      </c>
      <c r="B122" s="61">
        <v>0</v>
      </c>
      <c r="C122" s="61">
        <v>0</v>
      </c>
      <c r="D122" s="61">
        <v>0.49302268599999999</v>
      </c>
      <c r="E122" s="61">
        <v>0.3600001624259947</v>
      </c>
      <c r="F122" s="61">
        <v>0.57467389709552152</v>
      </c>
      <c r="G122" s="62">
        <v>0</v>
      </c>
      <c r="H122" s="61">
        <v>0</v>
      </c>
      <c r="I122" s="61">
        <v>0</v>
      </c>
      <c r="J122" s="61">
        <v>0.28099999999999997</v>
      </c>
      <c r="K122" s="61">
        <v>0.17899999999999999</v>
      </c>
      <c r="L122" s="61">
        <v>0.5449396390790292</v>
      </c>
      <c r="M122" s="61">
        <v>0.12256720288084286</v>
      </c>
      <c r="N122" s="55">
        <v>0</v>
      </c>
      <c r="O122" s="63">
        <v>0</v>
      </c>
      <c r="P122" s="63">
        <f>1</f>
        <v>1</v>
      </c>
      <c r="Q122" s="64">
        <v>0</v>
      </c>
      <c r="R122" s="65">
        <v>0</v>
      </c>
      <c r="S122" s="65">
        <v>0.15758813974523786</v>
      </c>
      <c r="T122" s="65">
        <v>0</v>
      </c>
      <c r="U122" s="65">
        <v>0</v>
      </c>
    </row>
    <row r="123" spans="1:21" s="55" customFormat="1" x14ac:dyDescent="0.35">
      <c r="A123" s="61">
        <v>0</v>
      </c>
      <c r="B123" s="61">
        <v>0</v>
      </c>
      <c r="C123" s="61">
        <v>0</v>
      </c>
      <c r="D123" s="61">
        <v>0.493862256</v>
      </c>
      <c r="E123" s="61">
        <v>0.3540001461833952</v>
      </c>
      <c r="F123" s="61">
        <v>0.57565251121914107</v>
      </c>
      <c r="G123" s="62">
        <v>0</v>
      </c>
      <c r="H123" s="61">
        <v>0</v>
      </c>
      <c r="I123" s="61">
        <v>0</v>
      </c>
      <c r="J123" s="61">
        <v>0.25599999999999995</v>
      </c>
      <c r="K123" s="61">
        <v>0.14799999999999999</v>
      </c>
      <c r="L123" s="61">
        <v>0.54010516490354699</v>
      </c>
      <c r="M123" s="61">
        <v>0.10278822083662265</v>
      </c>
      <c r="N123" s="55">
        <v>0</v>
      </c>
      <c r="O123" s="63">
        <v>0</v>
      </c>
      <c r="P123" s="63">
        <f>1</f>
        <v>1</v>
      </c>
      <c r="Q123" s="64">
        <v>0</v>
      </c>
      <c r="R123" s="65">
        <v>0</v>
      </c>
      <c r="S123" s="65">
        <v>0.18151701415551796</v>
      </c>
      <c r="T123" s="65">
        <v>0</v>
      </c>
      <c r="U123" s="65">
        <v>0</v>
      </c>
    </row>
    <row r="124" spans="1:21" s="55" customFormat="1" x14ac:dyDescent="0.35">
      <c r="A124" s="61">
        <v>0</v>
      </c>
      <c r="B124" s="61">
        <v>0</v>
      </c>
      <c r="C124" s="61">
        <v>0</v>
      </c>
      <c r="D124" s="61">
        <v>0.48728855799999998</v>
      </c>
      <c r="E124" s="61">
        <v>0.35100013806209546</v>
      </c>
      <c r="F124" s="61">
        <v>0.56799012010558281</v>
      </c>
      <c r="G124" s="62">
        <v>0</v>
      </c>
      <c r="H124" s="61">
        <v>0</v>
      </c>
      <c r="I124" s="61">
        <v>0</v>
      </c>
      <c r="J124" s="61">
        <v>0.221</v>
      </c>
      <c r="K124" s="61">
        <v>0.127</v>
      </c>
      <c r="L124" s="61">
        <v>0.53860485376477907</v>
      </c>
      <c r="M124" s="61">
        <v>8.9796371582430631E-2</v>
      </c>
      <c r="N124" s="55">
        <v>0</v>
      </c>
      <c r="O124" s="63">
        <v>0</v>
      </c>
      <c r="P124" s="63">
        <f>1</f>
        <v>1</v>
      </c>
      <c r="Q124" s="64">
        <v>0</v>
      </c>
      <c r="R124" s="65">
        <v>0</v>
      </c>
      <c r="S124" s="65">
        <v>0.36998814307875938</v>
      </c>
      <c r="T124" s="65">
        <v>0</v>
      </c>
      <c r="U124" s="65">
        <v>0</v>
      </c>
    </row>
    <row r="125" spans="1:21" s="55" customFormat="1" x14ac:dyDescent="0.35">
      <c r="A125" s="61">
        <v>0</v>
      </c>
      <c r="B125" s="61">
        <v>0</v>
      </c>
      <c r="C125" s="61">
        <v>0</v>
      </c>
      <c r="D125" s="61">
        <v>0.486031353</v>
      </c>
      <c r="E125" s="61">
        <v>0.35000000000000003</v>
      </c>
      <c r="F125" s="61">
        <v>0.56652470498917173</v>
      </c>
      <c r="G125" s="62">
        <v>0</v>
      </c>
      <c r="H125" s="61">
        <v>0</v>
      </c>
      <c r="I125" s="61">
        <v>0</v>
      </c>
      <c r="J125" s="61">
        <v>0.19899999999999998</v>
      </c>
      <c r="K125" s="61">
        <v>0.113</v>
      </c>
      <c r="L125" s="61">
        <v>0.54358431860609835</v>
      </c>
      <c r="M125" s="61">
        <v>8.1837162946728007E-2</v>
      </c>
      <c r="N125" s="55">
        <v>0</v>
      </c>
      <c r="O125" s="63">
        <v>0</v>
      </c>
      <c r="P125" s="63">
        <f>1</f>
        <v>1</v>
      </c>
      <c r="Q125" s="64">
        <v>0</v>
      </c>
      <c r="R125" s="65">
        <v>0</v>
      </c>
      <c r="S125" s="65">
        <v>0.15758813974523786</v>
      </c>
      <c r="T125" s="65">
        <v>0</v>
      </c>
      <c r="U125" s="65">
        <v>0</v>
      </c>
    </row>
    <row r="126" spans="1:21" s="55" customFormat="1" x14ac:dyDescent="0.35">
      <c r="A126" s="61">
        <v>0</v>
      </c>
      <c r="B126" s="61">
        <v>0</v>
      </c>
      <c r="C126" s="61">
        <v>0</v>
      </c>
      <c r="D126" s="61">
        <v>0.48435212300000002</v>
      </c>
      <c r="E126" s="61">
        <v>0.34899986193790455</v>
      </c>
      <c r="F126" s="61">
        <v>0.56456737183671779</v>
      </c>
      <c r="G126" s="62">
        <v>0</v>
      </c>
      <c r="H126" s="61">
        <v>0</v>
      </c>
      <c r="I126" s="61">
        <v>0</v>
      </c>
      <c r="J126" s="61">
        <v>0.19899999999999998</v>
      </c>
      <c r="K126" s="61">
        <v>0.107</v>
      </c>
      <c r="L126" s="61">
        <v>0.54068699439950219</v>
      </c>
      <c r="M126" s="61">
        <v>7.9417057298412225E-2</v>
      </c>
      <c r="N126" s="55">
        <v>0</v>
      </c>
      <c r="O126" s="63">
        <v>0</v>
      </c>
      <c r="P126" s="63">
        <f>1</f>
        <v>1</v>
      </c>
      <c r="Q126" s="64">
        <v>0</v>
      </c>
      <c r="R126" s="65">
        <v>0</v>
      </c>
      <c r="S126" s="65">
        <v>0.15699101644917537</v>
      </c>
      <c r="T126" s="65">
        <v>0</v>
      </c>
      <c r="U126" s="65">
        <v>0</v>
      </c>
    </row>
    <row r="127" spans="1:21" s="55" customFormat="1" x14ac:dyDescent="0.35">
      <c r="A127" s="61">
        <v>0</v>
      </c>
      <c r="B127" s="61">
        <v>0</v>
      </c>
      <c r="C127" s="61">
        <v>0</v>
      </c>
      <c r="D127" s="61">
        <v>0.478839827</v>
      </c>
      <c r="E127" s="61">
        <v>0.35000000000000003</v>
      </c>
      <c r="F127" s="61">
        <v>0.55814216522003068</v>
      </c>
      <c r="G127" s="62">
        <v>0</v>
      </c>
      <c r="H127" s="61">
        <v>0</v>
      </c>
      <c r="I127" s="61">
        <v>0</v>
      </c>
      <c r="J127" s="61">
        <v>0.219</v>
      </c>
      <c r="K127" s="61">
        <v>0.111</v>
      </c>
      <c r="L127" s="61">
        <v>0.54120846297448666</v>
      </c>
      <c r="M127" s="61">
        <v>8.3844245733491612E-2</v>
      </c>
      <c r="N127" s="55">
        <v>0</v>
      </c>
      <c r="O127" s="63">
        <v>0</v>
      </c>
      <c r="P127" s="63">
        <f>1</f>
        <v>1</v>
      </c>
      <c r="Q127" s="64">
        <v>0</v>
      </c>
      <c r="R127" s="65">
        <v>0</v>
      </c>
      <c r="S127" s="65">
        <v>0.15639389315954927</v>
      </c>
      <c r="T127" s="65">
        <v>0</v>
      </c>
      <c r="U127" s="65">
        <v>0</v>
      </c>
    </row>
    <row r="128" spans="1:21" s="55" customFormat="1" x14ac:dyDescent="0.35">
      <c r="A128" s="61">
        <v>0</v>
      </c>
      <c r="B128" s="61">
        <v>0</v>
      </c>
      <c r="C128" s="61">
        <v>0</v>
      </c>
      <c r="D128" s="61">
        <v>0.47275232099999998</v>
      </c>
      <c r="E128" s="61">
        <v>0.34800012994079571</v>
      </c>
      <c r="F128" s="61">
        <v>0.55104648606377293</v>
      </c>
      <c r="G128" s="62">
        <v>0</v>
      </c>
      <c r="H128" s="61">
        <v>0</v>
      </c>
      <c r="I128" s="61">
        <v>0</v>
      </c>
      <c r="J128" s="61">
        <v>0.24799999999999997</v>
      </c>
      <c r="K128" s="61">
        <v>0.111</v>
      </c>
      <c r="L128" s="61">
        <v>0.5533683883011824</v>
      </c>
      <c r="M128" s="61">
        <v>8.4606672030271557E-2</v>
      </c>
      <c r="N128" s="55">
        <v>0</v>
      </c>
      <c r="O128" s="63">
        <v>0</v>
      </c>
      <c r="P128" s="63">
        <f>1</f>
        <v>1</v>
      </c>
      <c r="Q128" s="64">
        <v>0</v>
      </c>
      <c r="R128" s="65">
        <v>0</v>
      </c>
      <c r="S128" s="65">
        <v>0.156095331511518</v>
      </c>
      <c r="T128" s="65">
        <v>0</v>
      </c>
      <c r="U128" s="65">
        <v>0</v>
      </c>
    </row>
    <row r="129" spans="1:21" s="55" customFormat="1" x14ac:dyDescent="0.35">
      <c r="A129" s="61">
        <v>0</v>
      </c>
      <c r="B129" s="61">
        <v>0</v>
      </c>
      <c r="C129" s="61">
        <v>0</v>
      </c>
      <c r="D129" s="61">
        <v>0.45748428800000002</v>
      </c>
      <c r="E129" s="61">
        <v>0.34699999187870029</v>
      </c>
      <c r="F129" s="61">
        <v>0.53324986072736202</v>
      </c>
      <c r="G129" s="62">
        <v>0</v>
      </c>
      <c r="H129" s="61">
        <v>0</v>
      </c>
      <c r="I129" s="61">
        <v>0</v>
      </c>
      <c r="J129" s="61">
        <v>0.26999999999999996</v>
      </c>
      <c r="K129" s="61">
        <v>0.11</v>
      </c>
      <c r="L129" s="61">
        <v>0.58012134411947724</v>
      </c>
      <c r="M129" s="61">
        <v>8.2918136260275999E-2</v>
      </c>
      <c r="N129" s="55">
        <v>0</v>
      </c>
      <c r="O129" s="63">
        <v>0</v>
      </c>
      <c r="P129" s="63">
        <f>1</f>
        <v>1</v>
      </c>
      <c r="Q129" s="64">
        <v>0</v>
      </c>
      <c r="R129" s="65">
        <v>0</v>
      </c>
      <c r="S129" s="65">
        <v>0.36879389649307076</v>
      </c>
      <c r="T129" s="65">
        <v>0</v>
      </c>
      <c r="U129" s="65">
        <v>0</v>
      </c>
    </row>
    <row r="130" spans="1:21" s="55" customFormat="1" x14ac:dyDescent="0.35">
      <c r="A130" s="61">
        <v>0</v>
      </c>
      <c r="B130" s="61">
        <v>0</v>
      </c>
      <c r="C130" s="61">
        <v>0</v>
      </c>
      <c r="D130" s="61">
        <v>0.43651181900000002</v>
      </c>
      <c r="E130" s="61">
        <v>0.35100013806209546</v>
      </c>
      <c r="F130" s="61">
        <v>0.51957921110426386</v>
      </c>
      <c r="G130" s="62">
        <v>0</v>
      </c>
      <c r="H130" s="61">
        <v>0</v>
      </c>
      <c r="I130" s="61">
        <v>0</v>
      </c>
      <c r="J130" s="61">
        <v>0.26999999999999996</v>
      </c>
      <c r="K130" s="61">
        <v>0.11</v>
      </c>
      <c r="L130" s="61">
        <v>0.58815370255133792</v>
      </c>
      <c r="M130" s="61">
        <v>8.1072287473512375E-2</v>
      </c>
      <c r="N130" s="55">
        <v>0</v>
      </c>
      <c r="O130" s="63">
        <v>0</v>
      </c>
      <c r="P130" s="63">
        <f>1</f>
        <v>1</v>
      </c>
      <c r="Q130" s="64">
        <v>0</v>
      </c>
      <c r="R130" s="65">
        <v>0</v>
      </c>
      <c r="S130" s="65">
        <v>0.36879389649307076</v>
      </c>
      <c r="T130" s="65">
        <v>0</v>
      </c>
      <c r="U130" s="65">
        <v>0</v>
      </c>
    </row>
    <row r="131" spans="1:21" s="55" customFormat="1" x14ac:dyDescent="0.35">
      <c r="A131" s="61">
        <v>0.12</v>
      </c>
      <c r="B131" s="61">
        <v>8.1000000000000003E-2</v>
      </c>
      <c r="C131" s="61">
        <v>0.127</v>
      </c>
      <c r="D131" s="61">
        <v>0.43123141399999998</v>
      </c>
      <c r="E131" s="61">
        <v>0.35300000812129972</v>
      </c>
      <c r="F131" s="61">
        <v>0.79080307418254592</v>
      </c>
      <c r="G131" s="62">
        <v>0</v>
      </c>
      <c r="H131" s="61">
        <v>5.5E-2</v>
      </c>
      <c r="I131" s="61">
        <v>3.1000000000000003E-2</v>
      </c>
      <c r="J131" s="61">
        <v>0.21299999999999999</v>
      </c>
      <c r="K131" s="61">
        <v>0.11799999999999999</v>
      </c>
      <c r="L131" s="61">
        <v>0.58981580584940885</v>
      </c>
      <c r="M131" s="61">
        <v>0.16246384433150318</v>
      </c>
      <c r="N131" s="55">
        <v>0</v>
      </c>
      <c r="O131" s="63">
        <v>0</v>
      </c>
      <c r="P131" s="63">
        <f>1</f>
        <v>1</v>
      </c>
      <c r="Q131" s="64">
        <v>0</v>
      </c>
      <c r="R131" s="65">
        <v>0</v>
      </c>
      <c r="S131" s="65">
        <v>0.15639389315954927</v>
      </c>
      <c r="T131" s="65">
        <v>0</v>
      </c>
      <c r="U131" s="65">
        <v>0</v>
      </c>
    </row>
    <row r="132" spans="1:21" s="55" customFormat="1" x14ac:dyDescent="0.35">
      <c r="A132" s="61">
        <v>0.30599999999999999</v>
      </c>
      <c r="B132" s="61">
        <v>0.21600000000000003</v>
      </c>
      <c r="C132" s="61">
        <v>0.29699999999999999</v>
      </c>
      <c r="D132" s="61">
        <v>0.43856399200000001</v>
      </c>
      <c r="E132" s="61">
        <v>0.35000000000000003</v>
      </c>
      <c r="F132" s="61">
        <v>1</v>
      </c>
      <c r="G132" s="62">
        <v>0.16082502044368407</v>
      </c>
      <c r="H132" s="61">
        <v>0.20399999999999999</v>
      </c>
      <c r="I132" s="61">
        <v>0.11700000000000001</v>
      </c>
      <c r="J132" s="61">
        <v>0.126</v>
      </c>
      <c r="K132" s="61">
        <v>0.124</v>
      </c>
      <c r="L132" s="61">
        <v>0.58814685749844431</v>
      </c>
      <c r="M132" s="61">
        <v>0.38375393635198096</v>
      </c>
      <c r="N132" s="55">
        <v>0</v>
      </c>
      <c r="O132" s="63">
        <v>0</v>
      </c>
      <c r="P132" s="63">
        <f>1</f>
        <v>1</v>
      </c>
      <c r="Q132" s="64">
        <v>0</v>
      </c>
      <c r="R132" s="65">
        <v>0</v>
      </c>
      <c r="S132" s="65">
        <v>0.15639389315954927</v>
      </c>
      <c r="T132" s="65">
        <v>0</v>
      </c>
      <c r="U132" s="65">
        <v>0</v>
      </c>
    </row>
    <row r="133" spans="1:21" s="55" customFormat="1" x14ac:dyDescent="0.35">
      <c r="A133" s="61">
        <v>0.373</v>
      </c>
      <c r="B133" s="61">
        <v>0.36</v>
      </c>
      <c r="C133" s="61">
        <v>0.43200000000000005</v>
      </c>
      <c r="D133" s="61">
        <v>0.450905371</v>
      </c>
      <c r="E133" s="61">
        <v>0.34899986193790455</v>
      </c>
      <c r="F133" s="61">
        <v>1</v>
      </c>
      <c r="G133" s="62">
        <v>0.348192967222614</v>
      </c>
      <c r="H133" s="61">
        <v>0.34899999999999998</v>
      </c>
      <c r="I133" s="61">
        <v>0.20500000000000002</v>
      </c>
      <c r="J133" s="61">
        <v>0.105</v>
      </c>
      <c r="K133" s="61">
        <v>0.13200000000000001</v>
      </c>
      <c r="L133" s="61">
        <v>0.58725015556938398</v>
      </c>
      <c r="M133" s="61">
        <v>0.60546267873393689</v>
      </c>
      <c r="N133" s="55">
        <v>0</v>
      </c>
      <c r="O133" s="63">
        <v>0</v>
      </c>
      <c r="P133" s="63">
        <f>1</f>
        <v>1</v>
      </c>
      <c r="Q133" s="64">
        <v>0</v>
      </c>
      <c r="R133" s="65">
        <v>0</v>
      </c>
      <c r="S133" s="65">
        <v>0.156095331511518</v>
      </c>
      <c r="T133" s="65">
        <v>0</v>
      </c>
      <c r="U133" s="65">
        <v>0</v>
      </c>
    </row>
    <row r="134" spans="1:21" s="55" customFormat="1" x14ac:dyDescent="0.35">
      <c r="A134" s="61">
        <v>0.38400000000000001</v>
      </c>
      <c r="B134" s="61">
        <v>0.45799999999999996</v>
      </c>
      <c r="C134" s="61">
        <v>0.496</v>
      </c>
      <c r="D134" s="61">
        <v>0.47123206899999998</v>
      </c>
      <c r="E134" s="61">
        <v>0.34800012994079571</v>
      </c>
      <c r="F134" s="61">
        <v>1</v>
      </c>
      <c r="G134" s="62">
        <v>0.43234135345204838</v>
      </c>
      <c r="H134" s="61">
        <v>0.41099999999999998</v>
      </c>
      <c r="I134" s="61">
        <v>0.251</v>
      </c>
      <c r="J134" s="61">
        <v>0.17099999999999999</v>
      </c>
      <c r="K134" s="61">
        <v>0.15000000000000002</v>
      </c>
      <c r="L134" s="61">
        <v>0.59229807093963904</v>
      </c>
      <c r="M134" s="61">
        <v>0.71757748810446631</v>
      </c>
      <c r="N134" s="55">
        <v>0</v>
      </c>
      <c r="O134" s="63">
        <v>0</v>
      </c>
      <c r="P134" s="63">
        <f>1</f>
        <v>1</v>
      </c>
      <c r="Q134" s="64">
        <v>0</v>
      </c>
      <c r="R134" s="65">
        <v>0</v>
      </c>
      <c r="S134" s="65">
        <v>0.15639389315954927</v>
      </c>
      <c r="T134" s="65">
        <v>0</v>
      </c>
      <c r="U134" s="65">
        <v>0</v>
      </c>
    </row>
    <row r="135" spans="1:21" s="55" customFormat="1" x14ac:dyDescent="0.35">
      <c r="A135" s="61">
        <v>0.38100000000000001</v>
      </c>
      <c r="B135" s="61">
        <v>0.48</v>
      </c>
      <c r="C135" s="61">
        <v>0.496</v>
      </c>
      <c r="D135" s="61">
        <v>0.47521060700000001</v>
      </c>
      <c r="E135" s="61">
        <v>0.34899986193790455</v>
      </c>
      <c r="F135" s="61">
        <v>1</v>
      </c>
      <c r="G135" s="62">
        <v>0.43233067996916924</v>
      </c>
      <c r="H135" s="61">
        <v>0.40799999999999997</v>
      </c>
      <c r="I135" s="61">
        <v>0.255</v>
      </c>
      <c r="J135" s="61">
        <v>0.27300000000000002</v>
      </c>
      <c r="K135" s="61">
        <v>0.17499999999999999</v>
      </c>
      <c r="L135" s="61">
        <v>0.60151711263223395</v>
      </c>
      <c r="M135" s="61">
        <v>0.73652962943997624</v>
      </c>
      <c r="N135" s="55">
        <v>0</v>
      </c>
      <c r="O135" s="63">
        <v>0</v>
      </c>
      <c r="P135" s="63">
        <f>1</f>
        <v>1</v>
      </c>
      <c r="Q135" s="64">
        <v>0</v>
      </c>
      <c r="R135" s="65">
        <v>0</v>
      </c>
      <c r="S135" s="65">
        <v>0.15639389315954927</v>
      </c>
      <c r="T135" s="65">
        <v>0</v>
      </c>
      <c r="U135" s="65">
        <v>0</v>
      </c>
    </row>
    <row r="136" spans="1:21" s="55" customFormat="1" x14ac:dyDescent="0.35">
      <c r="A136" s="61">
        <v>0.36899999999999999</v>
      </c>
      <c r="B136" s="61">
        <v>0.41699999999999904</v>
      </c>
      <c r="C136" s="61">
        <v>0.43799999999999994</v>
      </c>
      <c r="D136" s="61">
        <v>0.46109752100000001</v>
      </c>
      <c r="E136" s="61">
        <v>0.34899986193790455</v>
      </c>
      <c r="F136" s="61">
        <v>1</v>
      </c>
      <c r="G136" s="62">
        <v>0.35896806621210664</v>
      </c>
      <c r="H136" s="61">
        <v>0.35099999999999998</v>
      </c>
      <c r="I136" s="61">
        <v>0.22200000000000003</v>
      </c>
      <c r="J136" s="61">
        <v>0.35600000000000004</v>
      </c>
      <c r="K136" s="61">
        <v>0.22099999999999997</v>
      </c>
      <c r="L136" s="61">
        <v>0.60996328562538893</v>
      </c>
      <c r="M136" s="61">
        <v>0.68188764435821336</v>
      </c>
      <c r="N136" s="55">
        <v>0</v>
      </c>
      <c r="O136" s="63">
        <v>0</v>
      </c>
      <c r="P136" s="63">
        <f>1</f>
        <v>1</v>
      </c>
      <c r="Q136" s="64">
        <v>0</v>
      </c>
      <c r="R136" s="65">
        <v>0</v>
      </c>
      <c r="S136" s="65">
        <v>0.156095331511518</v>
      </c>
      <c r="T136" s="65">
        <v>0</v>
      </c>
      <c r="U136" s="65">
        <v>0</v>
      </c>
    </row>
    <row r="137" spans="1:21" s="55" customFormat="1" x14ac:dyDescent="0.35">
      <c r="A137" s="61">
        <v>0.33900000000000002</v>
      </c>
      <c r="B137" s="61">
        <v>0.28899999999999998</v>
      </c>
      <c r="C137" s="61">
        <v>0.33500000000000002</v>
      </c>
      <c r="D137" s="61">
        <v>0.43415106799999997</v>
      </c>
      <c r="E137" s="61">
        <v>0.34699999187870029</v>
      </c>
      <c r="F137" s="61">
        <v>1</v>
      </c>
      <c r="G137" s="62">
        <v>0.21836997124574875</v>
      </c>
      <c r="H137" s="61">
        <v>0.27299999999999996</v>
      </c>
      <c r="I137" s="61">
        <v>0.17400000000000002</v>
      </c>
      <c r="J137" s="61">
        <v>0.40699999999999997</v>
      </c>
      <c r="K137" s="61">
        <v>0.29099999999999998</v>
      </c>
      <c r="L137" s="61">
        <v>0.61163347853142502</v>
      </c>
      <c r="M137" s="61">
        <v>0.61120301438670421</v>
      </c>
      <c r="N137" s="55">
        <v>0</v>
      </c>
      <c r="O137" s="63">
        <v>0</v>
      </c>
      <c r="P137" s="63">
        <f>1</f>
        <v>1</v>
      </c>
      <c r="Q137" s="64">
        <v>0</v>
      </c>
      <c r="R137" s="65">
        <v>0</v>
      </c>
      <c r="S137" s="65">
        <v>0.15639389315954927</v>
      </c>
      <c r="T137" s="65">
        <v>0</v>
      </c>
      <c r="U137" s="65">
        <v>0</v>
      </c>
    </row>
    <row r="138" spans="1:21" s="55" customFormat="1" x14ac:dyDescent="0.35">
      <c r="A138" s="61">
        <v>0.23899999999999999</v>
      </c>
      <c r="B138" s="61">
        <v>0.13699999999999998</v>
      </c>
      <c r="C138" s="61">
        <v>0.19800000000000001</v>
      </c>
      <c r="D138" s="61">
        <v>0.412526432</v>
      </c>
      <c r="E138" s="61">
        <v>0.34899986193790455</v>
      </c>
      <c r="F138" s="61">
        <v>0.98949077088147241</v>
      </c>
      <c r="G138" s="62">
        <v>0</v>
      </c>
      <c r="H138" s="61">
        <v>0.16999999999999998</v>
      </c>
      <c r="I138" s="61">
        <v>0.10700000000000001</v>
      </c>
      <c r="J138" s="61">
        <v>0.42799999999999999</v>
      </c>
      <c r="K138" s="61">
        <v>0.35399999999999998</v>
      </c>
      <c r="L138" s="61">
        <v>0.6126042314872433</v>
      </c>
      <c r="M138" s="61">
        <v>0.493595365310877</v>
      </c>
      <c r="N138" s="55">
        <v>0</v>
      </c>
      <c r="O138" s="63">
        <v>0</v>
      </c>
      <c r="P138" s="63">
        <f>1</f>
        <v>1</v>
      </c>
      <c r="Q138" s="64">
        <v>0</v>
      </c>
      <c r="R138" s="65">
        <v>0</v>
      </c>
      <c r="S138" s="65">
        <v>0.15639389315954927</v>
      </c>
      <c r="T138" s="65">
        <v>0</v>
      </c>
      <c r="U138" s="65">
        <v>0</v>
      </c>
    </row>
    <row r="139" spans="1:21" s="55" customFormat="1" x14ac:dyDescent="0.35">
      <c r="A139" s="61">
        <v>5.6000000000000001E-2</v>
      </c>
      <c r="B139" s="61">
        <v>1.7000000000000001E-2</v>
      </c>
      <c r="C139" s="61">
        <v>5.5E-2</v>
      </c>
      <c r="D139" s="61">
        <v>0.34461741800000001</v>
      </c>
      <c r="E139" s="61">
        <v>0.35900002436389922</v>
      </c>
      <c r="F139" s="61">
        <v>0.53168625899242328</v>
      </c>
      <c r="G139" s="62">
        <v>0</v>
      </c>
      <c r="H139" s="61">
        <v>6.9999999999999993E-2</v>
      </c>
      <c r="I139" s="61">
        <v>3.7999999999999999E-2</v>
      </c>
      <c r="J139" s="61">
        <v>0.28099999999999997</v>
      </c>
      <c r="K139" s="61">
        <v>0.40200000000000002</v>
      </c>
      <c r="L139" s="61">
        <v>0.62155133789670192</v>
      </c>
      <c r="M139" s="61">
        <v>0.36842110586259086</v>
      </c>
      <c r="N139" s="55">
        <v>0</v>
      </c>
      <c r="O139" s="63">
        <v>0</v>
      </c>
      <c r="P139" s="63">
        <f>1</f>
        <v>1</v>
      </c>
      <c r="Q139" s="64">
        <v>0</v>
      </c>
      <c r="R139" s="65">
        <v>0</v>
      </c>
      <c r="S139" s="65">
        <v>0.30183786306462623</v>
      </c>
      <c r="T139" s="65">
        <v>0</v>
      </c>
      <c r="U139" s="65">
        <v>0</v>
      </c>
    </row>
    <row r="140" spans="1:21" s="55" customFormat="1" x14ac:dyDescent="0.35">
      <c r="A140" s="61">
        <v>0</v>
      </c>
      <c r="B140" s="61">
        <v>0</v>
      </c>
      <c r="C140" s="61">
        <v>0</v>
      </c>
      <c r="D140" s="61">
        <v>0.34607711600000002</v>
      </c>
      <c r="E140" s="61">
        <v>0.37200019491119363</v>
      </c>
      <c r="F140" s="61">
        <v>0.40366212513110433</v>
      </c>
      <c r="G140" s="62">
        <v>0</v>
      </c>
      <c r="H140" s="61">
        <v>0</v>
      </c>
      <c r="I140" s="61">
        <v>0</v>
      </c>
      <c r="J140" s="61">
        <v>0.23800000000000002</v>
      </c>
      <c r="K140" s="61">
        <v>0.45800000000000002</v>
      </c>
      <c r="L140" s="61">
        <v>0.62640572495332925</v>
      </c>
      <c r="M140" s="61">
        <v>0.31159934092684372</v>
      </c>
      <c r="N140" s="55">
        <v>0</v>
      </c>
      <c r="O140" s="63">
        <v>0</v>
      </c>
      <c r="P140" s="63">
        <f>1</f>
        <v>1</v>
      </c>
      <c r="Q140" s="64">
        <v>0</v>
      </c>
      <c r="R140" s="65">
        <v>0</v>
      </c>
      <c r="S140" s="65">
        <v>0.156095331511518</v>
      </c>
      <c r="T140" s="65">
        <v>0</v>
      </c>
      <c r="U140" s="65">
        <v>0</v>
      </c>
    </row>
    <row r="141" spans="1:21" s="55" customFormat="1" x14ac:dyDescent="0.35">
      <c r="A141" s="61">
        <v>0</v>
      </c>
      <c r="B141" s="61">
        <v>0</v>
      </c>
      <c r="C141" s="61">
        <v>0</v>
      </c>
      <c r="D141" s="61">
        <v>0.38436776900000003</v>
      </c>
      <c r="E141" s="61">
        <v>0.37100005684909815</v>
      </c>
      <c r="F141" s="61">
        <v>0.44802425933223927</v>
      </c>
      <c r="G141" s="62">
        <v>0</v>
      </c>
      <c r="H141" s="61">
        <v>0</v>
      </c>
      <c r="I141" s="61">
        <v>0</v>
      </c>
      <c r="J141" s="61">
        <v>0.253</v>
      </c>
      <c r="K141" s="61">
        <v>0.50600000000000001</v>
      </c>
      <c r="L141" s="61">
        <v>0.62530118232731802</v>
      </c>
      <c r="M141" s="61">
        <v>0.33690654937438791</v>
      </c>
      <c r="N141" s="55">
        <v>0</v>
      </c>
      <c r="O141" s="63">
        <v>0</v>
      </c>
      <c r="P141" s="63">
        <f>1</f>
        <v>1</v>
      </c>
      <c r="Q141" s="64">
        <v>0</v>
      </c>
      <c r="R141" s="65">
        <v>0</v>
      </c>
      <c r="S141" s="65">
        <v>0.36879389649307076</v>
      </c>
      <c r="T141" s="65">
        <v>0</v>
      </c>
      <c r="U141" s="65">
        <v>0</v>
      </c>
    </row>
    <row r="142" spans="1:21" s="55" customFormat="1" x14ac:dyDescent="0.35">
      <c r="A142" s="61">
        <v>0</v>
      </c>
      <c r="B142" s="61">
        <v>0</v>
      </c>
      <c r="C142" s="61">
        <v>0</v>
      </c>
      <c r="D142" s="61">
        <v>0.41364261899999999</v>
      </c>
      <c r="E142" s="61">
        <v>0.36900018678989388</v>
      </c>
      <c r="F142" s="61">
        <v>0.48214741961291413</v>
      </c>
      <c r="G142" s="62">
        <v>0</v>
      </c>
      <c r="H142" s="61">
        <v>0</v>
      </c>
      <c r="I142" s="61">
        <v>0</v>
      </c>
      <c r="J142" s="61">
        <v>0.29599999999999999</v>
      </c>
      <c r="K142" s="61">
        <v>0.54799999999999993</v>
      </c>
      <c r="L142" s="61">
        <v>0.62520597386434351</v>
      </c>
      <c r="M142" s="61">
        <v>0.36460607819320379</v>
      </c>
      <c r="N142" s="55">
        <v>0</v>
      </c>
      <c r="O142" s="63">
        <v>0</v>
      </c>
      <c r="P142" s="63">
        <f>1</f>
        <v>1</v>
      </c>
      <c r="Q142" s="64">
        <v>0</v>
      </c>
      <c r="R142" s="65">
        <v>0</v>
      </c>
      <c r="S142" s="65">
        <v>0.15669245480758048</v>
      </c>
      <c r="T142" s="65">
        <v>0</v>
      </c>
      <c r="U142" s="65">
        <v>0</v>
      </c>
    </row>
    <row r="143" spans="1:21" s="55" customFormat="1" x14ac:dyDescent="0.35">
      <c r="A143" s="61">
        <v>0</v>
      </c>
      <c r="B143" s="61">
        <v>0</v>
      </c>
      <c r="C143" s="61">
        <v>0</v>
      </c>
      <c r="D143" s="61">
        <v>0.43220439799999999</v>
      </c>
      <c r="E143" s="61">
        <v>0.36999991878700267</v>
      </c>
      <c r="F143" s="61">
        <v>0.50378327974239256</v>
      </c>
      <c r="G143" s="62">
        <v>0</v>
      </c>
      <c r="H143" s="61">
        <v>0</v>
      </c>
      <c r="I143" s="61">
        <v>0</v>
      </c>
      <c r="J143" s="61">
        <v>0.374</v>
      </c>
      <c r="K143" s="61">
        <v>0.58399999999999996</v>
      </c>
      <c r="L143" s="61">
        <v>0.62175046670815182</v>
      </c>
      <c r="M143" s="61">
        <v>0.38848806175218881</v>
      </c>
      <c r="N143" s="55">
        <v>0</v>
      </c>
      <c r="O143" s="63">
        <v>0</v>
      </c>
      <c r="P143" s="63">
        <f>1</f>
        <v>1</v>
      </c>
      <c r="Q143" s="64">
        <v>0</v>
      </c>
      <c r="R143" s="65">
        <v>0</v>
      </c>
      <c r="S143" s="65">
        <v>0.36939101978269684</v>
      </c>
      <c r="T143" s="65">
        <v>0</v>
      </c>
      <c r="U143" s="65">
        <v>0</v>
      </c>
    </row>
    <row r="144" spans="1:21" s="55" customFormat="1" x14ac:dyDescent="0.35">
      <c r="A144" s="61">
        <v>0</v>
      </c>
      <c r="B144" s="61">
        <v>0</v>
      </c>
      <c r="C144" s="61">
        <v>0</v>
      </c>
      <c r="D144" s="61">
        <v>0.45847632599999999</v>
      </c>
      <c r="E144" s="61">
        <v>0.36200003248519891</v>
      </c>
      <c r="F144" s="61">
        <v>0.53440619360963193</v>
      </c>
      <c r="G144" s="62">
        <v>0</v>
      </c>
      <c r="H144" s="61">
        <v>0</v>
      </c>
      <c r="I144" s="61">
        <v>0</v>
      </c>
      <c r="J144" s="61">
        <v>0.45700000000000002</v>
      </c>
      <c r="K144" s="61">
        <v>0.61899999999999999</v>
      </c>
      <c r="L144" s="61">
        <v>0.61293030491599254</v>
      </c>
      <c r="M144" s="61">
        <v>0.4113483301451254</v>
      </c>
      <c r="N144" s="55">
        <v>0</v>
      </c>
      <c r="O144" s="63">
        <v>0</v>
      </c>
      <c r="P144" s="63">
        <f>1</f>
        <v>1</v>
      </c>
      <c r="Q144" s="64">
        <v>0</v>
      </c>
      <c r="R144" s="65">
        <v>0</v>
      </c>
      <c r="S144" s="65">
        <v>0.15758813974523786</v>
      </c>
      <c r="T144" s="65">
        <v>0</v>
      </c>
      <c r="U144" s="65">
        <v>0</v>
      </c>
    </row>
    <row r="145" spans="1:21" s="55" customFormat="1" x14ac:dyDescent="0.35">
      <c r="A145" s="61">
        <v>0</v>
      </c>
      <c r="B145" s="61">
        <v>0</v>
      </c>
      <c r="C145" s="61">
        <v>0</v>
      </c>
      <c r="D145" s="61">
        <v>0.48614243400000001</v>
      </c>
      <c r="E145" s="61">
        <v>0.35799988630180374</v>
      </c>
      <c r="F145" s="61">
        <v>0.56665418250202459</v>
      </c>
      <c r="G145" s="62">
        <v>0</v>
      </c>
      <c r="H145" s="61">
        <v>0</v>
      </c>
      <c r="I145" s="61">
        <v>0</v>
      </c>
      <c r="J145" s="61">
        <v>0.53</v>
      </c>
      <c r="K145" s="61">
        <v>0.65300000000000002</v>
      </c>
      <c r="L145" s="61">
        <v>0.60488363410080892</v>
      </c>
      <c r="M145" s="61">
        <v>0.4342770062893605</v>
      </c>
      <c r="N145" s="55">
        <v>0</v>
      </c>
      <c r="O145" s="63">
        <v>0</v>
      </c>
      <c r="P145" s="63">
        <f>1</f>
        <v>1</v>
      </c>
      <c r="Q145" s="64">
        <v>0</v>
      </c>
      <c r="R145" s="65">
        <v>0</v>
      </c>
      <c r="S145" s="65">
        <v>0.36998814307875938</v>
      </c>
      <c r="T145" s="65">
        <v>0</v>
      </c>
      <c r="U145" s="65">
        <v>0</v>
      </c>
    </row>
    <row r="146" spans="1:21" s="55" customFormat="1" x14ac:dyDescent="0.35">
      <c r="A146" s="61">
        <v>0</v>
      </c>
      <c r="B146" s="61">
        <v>0</v>
      </c>
      <c r="C146" s="61">
        <v>0</v>
      </c>
      <c r="D146" s="61">
        <v>0.52357058199999995</v>
      </c>
      <c r="E146" s="61">
        <v>0.35900002436389922</v>
      </c>
      <c r="F146" s="61">
        <v>0.61028093697601227</v>
      </c>
      <c r="G146" s="62">
        <v>0</v>
      </c>
      <c r="H146" s="61">
        <v>0</v>
      </c>
      <c r="I146" s="61">
        <v>0</v>
      </c>
      <c r="J146" s="61">
        <v>0.62</v>
      </c>
      <c r="K146" s="61">
        <v>0.68300000000000005</v>
      </c>
      <c r="L146" s="61">
        <v>0.57243248288736781</v>
      </c>
      <c r="M146" s="61">
        <v>0.45401902715180298</v>
      </c>
      <c r="N146" s="55">
        <v>0</v>
      </c>
      <c r="O146" s="63">
        <v>0</v>
      </c>
      <c r="P146" s="63">
        <f>1</f>
        <v>1</v>
      </c>
      <c r="Q146" s="64">
        <v>0</v>
      </c>
      <c r="R146" s="65">
        <v>0</v>
      </c>
      <c r="S146" s="65">
        <v>0.15758877440288419</v>
      </c>
      <c r="T146" s="65">
        <v>0</v>
      </c>
      <c r="U146" s="65">
        <v>0</v>
      </c>
    </row>
    <row r="147" spans="1:21" s="55" customFormat="1" x14ac:dyDescent="0.35">
      <c r="A147" s="61">
        <v>0</v>
      </c>
      <c r="B147" s="61">
        <v>0</v>
      </c>
      <c r="C147" s="61">
        <v>0</v>
      </c>
      <c r="D147" s="61">
        <v>0.564047148</v>
      </c>
      <c r="E147" s="61">
        <v>0.35900002436389922</v>
      </c>
      <c r="F147" s="61">
        <v>0.65746096861509207</v>
      </c>
      <c r="G147" s="62">
        <v>0</v>
      </c>
      <c r="H147" s="61">
        <v>0</v>
      </c>
      <c r="I147" s="61">
        <v>0</v>
      </c>
      <c r="J147" s="61">
        <v>0.70799999999999996</v>
      </c>
      <c r="K147" s="61">
        <v>0.70399999999999996</v>
      </c>
      <c r="L147" s="61">
        <v>0.57423708774113258</v>
      </c>
      <c r="M147" s="61">
        <v>0.46781759319157146</v>
      </c>
      <c r="N147" s="55">
        <v>0</v>
      </c>
      <c r="O147" s="63">
        <v>0</v>
      </c>
      <c r="P147" s="63">
        <f>1</f>
        <v>1</v>
      </c>
      <c r="Q147" s="64">
        <v>0</v>
      </c>
      <c r="R147" s="65">
        <v>0</v>
      </c>
      <c r="S147" s="65">
        <v>0.15758877440288419</v>
      </c>
      <c r="T147" s="65">
        <v>0</v>
      </c>
      <c r="U147" s="65">
        <v>0</v>
      </c>
    </row>
    <row r="148" spans="1:21" s="55" customFormat="1" x14ac:dyDescent="0.35">
      <c r="A148" s="61">
        <v>0</v>
      </c>
      <c r="B148" s="61">
        <v>0</v>
      </c>
      <c r="C148" s="61">
        <v>0</v>
      </c>
      <c r="D148" s="61">
        <v>0.60432528500000005</v>
      </c>
      <c r="E148" s="61">
        <v>0.3600001624259947</v>
      </c>
      <c r="F148" s="61">
        <v>0.70440970873358899</v>
      </c>
      <c r="G148" s="62">
        <v>0</v>
      </c>
      <c r="H148" s="61">
        <v>0</v>
      </c>
      <c r="I148" s="61">
        <v>0</v>
      </c>
      <c r="J148" s="61">
        <v>0.75199999999999989</v>
      </c>
      <c r="K148" s="61">
        <v>0.72599999999999998</v>
      </c>
      <c r="L148" s="61">
        <v>0.57625202240199136</v>
      </c>
      <c r="M148" s="61">
        <v>0.48282628743136968</v>
      </c>
      <c r="N148" s="55">
        <v>0</v>
      </c>
      <c r="O148" s="63">
        <v>0</v>
      </c>
      <c r="P148" s="63">
        <f>1</f>
        <v>1</v>
      </c>
      <c r="Q148" s="64">
        <v>0</v>
      </c>
      <c r="R148" s="65">
        <v>0</v>
      </c>
      <c r="S148" s="65">
        <v>0.15758877440288419</v>
      </c>
      <c r="T148" s="65">
        <v>0</v>
      </c>
      <c r="U148" s="65">
        <v>0</v>
      </c>
    </row>
    <row r="149" spans="1:21" s="55" customFormat="1" x14ac:dyDescent="0.35">
      <c r="A149" s="61">
        <v>0</v>
      </c>
      <c r="B149" s="61">
        <v>0</v>
      </c>
      <c r="C149" s="61">
        <v>0</v>
      </c>
      <c r="D149" s="61">
        <v>0.64680523499999998</v>
      </c>
      <c r="E149" s="61">
        <v>0.3600001624259947</v>
      </c>
      <c r="F149" s="61">
        <v>0.75392491180260734</v>
      </c>
      <c r="G149" s="62">
        <v>0</v>
      </c>
      <c r="H149" s="61">
        <v>0</v>
      </c>
      <c r="I149" s="61">
        <v>0</v>
      </c>
      <c r="J149" s="61">
        <v>0.78800000000000003</v>
      </c>
      <c r="K149" s="61">
        <v>0.73299999999999998</v>
      </c>
      <c r="L149" s="61">
        <v>0.58007093963907896</v>
      </c>
      <c r="M149" s="61">
        <v>0.4872661157429885</v>
      </c>
      <c r="N149" s="55">
        <v>0</v>
      </c>
      <c r="O149" s="63">
        <v>0</v>
      </c>
      <c r="P149" s="63">
        <f>1</f>
        <v>1</v>
      </c>
      <c r="Q149" s="64">
        <v>0</v>
      </c>
      <c r="R149" s="65">
        <v>0</v>
      </c>
      <c r="S149" s="65">
        <v>0.15758877440288419</v>
      </c>
      <c r="T149" s="65">
        <v>0</v>
      </c>
      <c r="U149" s="65">
        <v>0</v>
      </c>
    </row>
    <row r="150" spans="1:21" s="55" customFormat="1" x14ac:dyDescent="0.35">
      <c r="A150" s="61">
        <v>0</v>
      </c>
      <c r="B150" s="61">
        <v>0</v>
      </c>
      <c r="C150" s="61">
        <v>0</v>
      </c>
      <c r="D150" s="61">
        <v>0.68888568299999997</v>
      </c>
      <c r="E150" s="61">
        <v>0.35700015430469495</v>
      </c>
      <c r="F150" s="61">
        <v>0.8029744499483743</v>
      </c>
      <c r="G150" s="62">
        <v>0</v>
      </c>
      <c r="H150" s="61">
        <v>0</v>
      </c>
      <c r="I150" s="61">
        <v>0</v>
      </c>
      <c r="J150" s="61">
        <v>0.80799999999999994</v>
      </c>
      <c r="K150" s="61">
        <v>0.72</v>
      </c>
      <c r="L150" s="61">
        <v>0.58005413814561302</v>
      </c>
      <c r="M150" s="61">
        <v>0.47855559392165009</v>
      </c>
      <c r="N150" s="55">
        <v>0</v>
      </c>
      <c r="O150" s="63">
        <v>0</v>
      </c>
      <c r="P150" s="63">
        <f>1</f>
        <v>1</v>
      </c>
      <c r="Q150" s="64">
        <v>0</v>
      </c>
      <c r="R150" s="65">
        <v>0</v>
      </c>
      <c r="S150" s="65">
        <v>0.1569916511068217</v>
      </c>
      <c r="T150" s="65">
        <v>0</v>
      </c>
      <c r="U150" s="65">
        <v>0</v>
      </c>
    </row>
    <row r="151" spans="1:21" s="55" customFormat="1" x14ac:dyDescent="0.35">
      <c r="A151" s="61">
        <v>0</v>
      </c>
      <c r="B151" s="61">
        <v>0</v>
      </c>
      <c r="C151" s="61">
        <v>0</v>
      </c>
      <c r="D151" s="61">
        <v>0.70893419700000004</v>
      </c>
      <c r="E151" s="61">
        <v>0.35900002436389922</v>
      </c>
      <c r="F151" s="61">
        <v>0.82634326846021477</v>
      </c>
      <c r="G151" s="62">
        <v>0</v>
      </c>
      <c r="H151" s="61">
        <v>0</v>
      </c>
      <c r="I151" s="61">
        <v>0</v>
      </c>
      <c r="J151" s="61">
        <v>0.79500000000000004</v>
      </c>
      <c r="K151" s="61">
        <v>0.68899999999999995</v>
      </c>
      <c r="L151" s="61">
        <v>0.58121717485998758</v>
      </c>
      <c r="M151" s="61">
        <v>0.45816941682000295</v>
      </c>
      <c r="N151" s="55">
        <v>0</v>
      </c>
      <c r="O151" s="63">
        <v>0</v>
      </c>
      <c r="P151" s="63">
        <f>1</f>
        <v>1</v>
      </c>
      <c r="Q151" s="64">
        <v>0</v>
      </c>
      <c r="R151" s="65">
        <v>0</v>
      </c>
      <c r="S151" s="65">
        <v>0.15639452781719557</v>
      </c>
      <c r="T151" s="65">
        <v>0</v>
      </c>
      <c r="U151" s="65">
        <v>0</v>
      </c>
    </row>
    <row r="152" spans="1:21" s="55" customFormat="1" x14ac:dyDescent="0.35">
      <c r="A152" s="61">
        <v>0</v>
      </c>
      <c r="B152" s="61">
        <v>0</v>
      </c>
      <c r="C152" s="61">
        <v>0</v>
      </c>
      <c r="D152" s="61">
        <v>0.69710707999999999</v>
      </c>
      <c r="E152" s="61">
        <v>0.36099989442310348</v>
      </c>
      <c r="F152" s="61">
        <v>0.81255742125521468</v>
      </c>
      <c r="G152" s="62">
        <v>0</v>
      </c>
      <c r="H152" s="61">
        <v>0</v>
      </c>
      <c r="I152" s="61">
        <v>0</v>
      </c>
      <c r="J152" s="61">
        <v>0.78999999999999992</v>
      </c>
      <c r="K152" s="61">
        <v>0.69400000000000006</v>
      </c>
      <c r="L152" s="61">
        <v>0.58722650902302431</v>
      </c>
      <c r="M152" s="61">
        <v>0.46185738923252706</v>
      </c>
      <c r="N152" s="55">
        <v>0</v>
      </c>
      <c r="O152" s="63">
        <v>0</v>
      </c>
      <c r="P152" s="63">
        <f>1</f>
        <v>1</v>
      </c>
      <c r="Q152" s="64">
        <v>0</v>
      </c>
      <c r="R152" s="65">
        <v>0</v>
      </c>
      <c r="S152" s="65">
        <v>0.15609596616916432</v>
      </c>
      <c r="T152" s="65">
        <v>0</v>
      </c>
      <c r="U152" s="65">
        <v>0</v>
      </c>
    </row>
    <row r="153" spans="1:21" s="55" customFormat="1" x14ac:dyDescent="0.35">
      <c r="A153" s="61">
        <v>0</v>
      </c>
      <c r="B153" s="61">
        <v>0</v>
      </c>
      <c r="C153" s="61">
        <v>0</v>
      </c>
      <c r="D153" s="61">
        <v>0.67072794400000002</v>
      </c>
      <c r="E153" s="61">
        <v>0.36200003248519891</v>
      </c>
      <c r="F153" s="61">
        <v>0.78180954429619631</v>
      </c>
      <c r="G153" s="62">
        <v>0</v>
      </c>
      <c r="H153" s="61">
        <v>0</v>
      </c>
      <c r="I153" s="61">
        <v>0</v>
      </c>
      <c r="J153" s="61">
        <v>0.77799999999999991</v>
      </c>
      <c r="K153" s="61">
        <v>0.67500000000000004</v>
      </c>
      <c r="L153" s="61">
        <v>0.63246421904169259</v>
      </c>
      <c r="M153" s="61">
        <v>0.44929821953138449</v>
      </c>
      <c r="N153" s="55">
        <v>0</v>
      </c>
      <c r="O153" s="63">
        <v>0</v>
      </c>
      <c r="P153" s="63">
        <f>1</f>
        <v>1</v>
      </c>
      <c r="Q153" s="64">
        <v>0</v>
      </c>
      <c r="R153" s="65">
        <v>0</v>
      </c>
      <c r="S153" s="65">
        <v>0.15639452781719557</v>
      </c>
      <c r="T153" s="65">
        <v>0</v>
      </c>
      <c r="U153" s="65">
        <v>0</v>
      </c>
    </row>
    <row r="154" spans="1:21" s="55" customFormat="1" x14ac:dyDescent="0.35">
      <c r="A154" s="61">
        <v>0</v>
      </c>
      <c r="B154" s="61">
        <v>0</v>
      </c>
      <c r="C154" s="61">
        <v>0</v>
      </c>
      <c r="D154" s="61">
        <v>0.63980309599999996</v>
      </c>
      <c r="E154" s="61">
        <v>0.36200003248519891</v>
      </c>
      <c r="F154" s="61">
        <v>0.74863616902052144</v>
      </c>
      <c r="G154" s="62">
        <v>0</v>
      </c>
      <c r="H154" s="61">
        <v>0</v>
      </c>
      <c r="I154" s="61">
        <v>0</v>
      </c>
      <c r="J154" s="61">
        <v>0.72</v>
      </c>
      <c r="K154" s="61">
        <v>0.60499999999999998</v>
      </c>
      <c r="L154" s="61">
        <v>0.64205662725575607</v>
      </c>
      <c r="M154" s="61">
        <v>0.40280014776999551</v>
      </c>
      <c r="N154" s="55">
        <v>0</v>
      </c>
      <c r="O154" s="63">
        <v>0</v>
      </c>
      <c r="P154" s="63">
        <f>1</f>
        <v>1</v>
      </c>
      <c r="Q154" s="64">
        <v>0</v>
      </c>
      <c r="R154" s="65">
        <v>0</v>
      </c>
      <c r="S154" s="65">
        <v>0.15639452781719557</v>
      </c>
      <c r="T154" s="65">
        <v>0</v>
      </c>
      <c r="U154" s="65">
        <v>0</v>
      </c>
    </row>
    <row r="155" spans="1:21" s="55" customFormat="1" x14ac:dyDescent="0.35">
      <c r="A155" s="61">
        <v>0.03</v>
      </c>
      <c r="B155" s="61">
        <v>0</v>
      </c>
      <c r="C155" s="61">
        <v>3.6999999999999901E-2</v>
      </c>
      <c r="D155" s="61">
        <v>0.60584827900000005</v>
      </c>
      <c r="E155" s="61">
        <v>0.3680000487277984</v>
      </c>
      <c r="F155" s="61">
        <v>0.7843030235232209</v>
      </c>
      <c r="G155" s="62">
        <v>0</v>
      </c>
      <c r="H155" s="61">
        <v>1.1999999999999999E-2</v>
      </c>
      <c r="I155" s="61">
        <v>1.2E-2</v>
      </c>
      <c r="J155" s="61">
        <v>0.66499999999999992</v>
      </c>
      <c r="K155" s="61">
        <v>0.52800000000000002</v>
      </c>
      <c r="L155" s="61">
        <v>0</v>
      </c>
      <c r="M155" s="61">
        <v>0.37409166075678885</v>
      </c>
      <c r="N155" s="55">
        <v>0</v>
      </c>
      <c r="O155" s="63">
        <v>0</v>
      </c>
      <c r="P155" s="63">
        <f>1</f>
        <v>1</v>
      </c>
      <c r="Q155" s="64">
        <v>0</v>
      </c>
      <c r="R155" s="65">
        <v>0</v>
      </c>
      <c r="S155" s="65">
        <v>0.15639452781719557</v>
      </c>
      <c r="T155" s="65">
        <v>0</v>
      </c>
      <c r="U155" s="65">
        <v>0</v>
      </c>
    </row>
    <row r="156" spans="1:21" s="55" customFormat="1" x14ac:dyDescent="0.35">
      <c r="A156" s="61">
        <v>8.2000000000000003E-2</v>
      </c>
      <c r="B156" s="61">
        <v>1.7000000000000001E-2</v>
      </c>
      <c r="C156" s="61">
        <v>0.107</v>
      </c>
      <c r="D156" s="61">
        <v>0.60256063999999998</v>
      </c>
      <c r="E156" s="61">
        <v>0.36600017866859413</v>
      </c>
      <c r="F156" s="61">
        <v>0.92267591344659516</v>
      </c>
      <c r="G156" s="62">
        <v>0</v>
      </c>
      <c r="H156" s="61">
        <v>4.8999999999999995E-2</v>
      </c>
      <c r="I156" s="61">
        <v>5.6000000000000001E-2</v>
      </c>
      <c r="J156" s="61">
        <v>0.621</v>
      </c>
      <c r="K156" s="61">
        <v>0.44599999999999995</v>
      </c>
      <c r="L156" s="61">
        <v>0.64305476042314869</v>
      </c>
      <c r="M156" s="61">
        <v>0.39545631109125984</v>
      </c>
      <c r="N156" s="55">
        <v>0</v>
      </c>
      <c r="O156" s="63">
        <v>0</v>
      </c>
      <c r="P156" s="63">
        <f>1</f>
        <v>1</v>
      </c>
      <c r="Q156" s="64">
        <v>0</v>
      </c>
      <c r="R156" s="65">
        <v>0</v>
      </c>
      <c r="S156" s="65">
        <v>0.15639452781719557</v>
      </c>
      <c r="T156" s="65">
        <v>0</v>
      </c>
      <c r="U156" s="65">
        <v>0</v>
      </c>
    </row>
    <row r="157" spans="1:21" s="55" customFormat="1" x14ac:dyDescent="0.35">
      <c r="A157" s="61">
        <v>0.13600000000000001</v>
      </c>
      <c r="B157" s="61">
        <v>2.7999999999999997E-2</v>
      </c>
      <c r="C157" s="61">
        <v>0.17899999999999999</v>
      </c>
      <c r="D157" s="61">
        <v>0.61838280300000004</v>
      </c>
      <c r="E157" s="61">
        <v>0.36999991878700267</v>
      </c>
      <c r="F157" s="61">
        <v>1</v>
      </c>
      <c r="G157" s="62">
        <v>6.6089800927899872E-2</v>
      </c>
      <c r="H157" s="61">
        <v>0.09</v>
      </c>
      <c r="I157" s="61">
        <v>0.108</v>
      </c>
      <c r="J157" s="61">
        <v>0.57499999999999996</v>
      </c>
      <c r="K157" s="61">
        <v>0.371</v>
      </c>
      <c r="L157" s="61">
        <v>0.63741319228375859</v>
      </c>
      <c r="M157" s="61">
        <v>0.43222901928387003</v>
      </c>
      <c r="N157" s="55">
        <v>0</v>
      </c>
      <c r="O157" s="63">
        <v>0</v>
      </c>
      <c r="P157" s="63">
        <f>1</f>
        <v>1</v>
      </c>
      <c r="Q157" s="64">
        <v>0</v>
      </c>
      <c r="R157" s="65">
        <v>0</v>
      </c>
      <c r="S157" s="65">
        <v>0.15609596616916432</v>
      </c>
      <c r="T157" s="65">
        <v>0</v>
      </c>
      <c r="U157" s="65">
        <v>0</v>
      </c>
    </row>
    <row r="158" spans="1:21" s="55" customFormat="1" x14ac:dyDescent="0.35">
      <c r="A158" s="61">
        <v>0.184</v>
      </c>
      <c r="B158" s="61">
        <v>3.59999999999999E-2</v>
      </c>
      <c r="C158" s="61">
        <v>0.24</v>
      </c>
      <c r="D158" s="61">
        <v>0.65846688499999995</v>
      </c>
      <c r="E158" s="61">
        <v>0.36900018678989388</v>
      </c>
      <c r="F158" s="61">
        <v>1</v>
      </c>
      <c r="G158" s="62">
        <v>0.19684529768837272</v>
      </c>
      <c r="H158" s="61">
        <v>0.15199999999999997</v>
      </c>
      <c r="I158" s="61">
        <v>0.16400000000000001</v>
      </c>
      <c r="J158" s="61">
        <v>0.58399999999999996</v>
      </c>
      <c r="K158" s="61">
        <v>0.33100000000000002</v>
      </c>
      <c r="L158" s="61">
        <v>0.63307840696950834</v>
      </c>
      <c r="M158" s="61">
        <v>0.51657799270485227</v>
      </c>
      <c r="N158" s="55">
        <v>0</v>
      </c>
      <c r="O158" s="63">
        <v>0</v>
      </c>
      <c r="P158" s="63">
        <f>1</f>
        <v>1</v>
      </c>
      <c r="Q158" s="64">
        <v>0</v>
      </c>
      <c r="R158" s="65">
        <v>0</v>
      </c>
      <c r="S158" s="65">
        <v>0.15639452781719557</v>
      </c>
      <c r="T158" s="65">
        <v>0</v>
      </c>
      <c r="U158" s="65">
        <v>0</v>
      </c>
    </row>
    <row r="159" spans="1:21" s="55" customFormat="1" x14ac:dyDescent="0.35">
      <c r="A159" s="61">
        <v>0.20899999999999999</v>
      </c>
      <c r="B159" s="61">
        <v>3.9E-2</v>
      </c>
      <c r="C159" s="61">
        <v>0.27200000000000002</v>
      </c>
      <c r="D159" s="61">
        <v>0.69550253799999995</v>
      </c>
      <c r="E159" s="61">
        <v>0.36999991878700267</v>
      </c>
      <c r="F159" s="61">
        <v>1</v>
      </c>
      <c r="G159" s="62">
        <v>0.27876875131854001</v>
      </c>
      <c r="H159" s="61">
        <v>0.20699999999999999</v>
      </c>
      <c r="I159" s="61">
        <v>0.20400000000000001</v>
      </c>
      <c r="J159" s="61">
        <v>0.61899999999999999</v>
      </c>
      <c r="K159" s="61">
        <v>0.32400000000000001</v>
      </c>
      <c r="L159" s="61">
        <v>0.63141692594897325</v>
      </c>
      <c r="M159" s="61">
        <v>0.60069289200979381</v>
      </c>
      <c r="N159" s="55">
        <v>0</v>
      </c>
      <c r="O159" s="63">
        <v>0</v>
      </c>
      <c r="P159" s="63">
        <f>1</f>
        <v>1</v>
      </c>
      <c r="Q159" s="64">
        <v>0</v>
      </c>
      <c r="R159" s="65">
        <v>0</v>
      </c>
      <c r="S159" s="65">
        <v>0.15639452781719557</v>
      </c>
      <c r="T159" s="65">
        <v>0</v>
      </c>
      <c r="U159" s="65">
        <v>0</v>
      </c>
    </row>
    <row r="160" spans="1:21" s="55" customFormat="1" x14ac:dyDescent="0.35">
      <c r="A160" s="61">
        <v>0.20899999999999999</v>
      </c>
      <c r="B160" s="61">
        <v>3.4000000000000002E-2</v>
      </c>
      <c r="C160" s="61">
        <v>0.26400000000000001</v>
      </c>
      <c r="D160" s="61">
        <v>0.72059707900000003</v>
      </c>
      <c r="E160" s="61">
        <v>0.37100005684909815</v>
      </c>
      <c r="F160" s="61">
        <v>1</v>
      </c>
      <c r="G160" s="62">
        <v>0.29436189112555872</v>
      </c>
      <c r="H160" s="61">
        <v>0.23899999999999999</v>
      </c>
      <c r="I160" s="61">
        <v>0.21300000000000002</v>
      </c>
      <c r="J160" s="61">
        <v>0.63</v>
      </c>
      <c r="K160" s="61">
        <v>0.33200000000000002</v>
      </c>
      <c r="L160" s="61">
        <v>0.62502613565650278</v>
      </c>
      <c r="M160" s="61">
        <v>0.64461079759786322</v>
      </c>
      <c r="N160" s="55">
        <v>0</v>
      </c>
      <c r="O160" s="63">
        <v>0</v>
      </c>
      <c r="P160" s="63">
        <f>1</f>
        <v>1</v>
      </c>
      <c r="Q160" s="64">
        <v>0</v>
      </c>
      <c r="R160" s="65">
        <v>0</v>
      </c>
      <c r="S160" s="65">
        <v>0.15609596616916432</v>
      </c>
      <c r="T160" s="65">
        <v>0</v>
      </c>
      <c r="U160" s="65">
        <v>0</v>
      </c>
    </row>
    <row r="161" spans="1:21" s="55" customFormat="1" x14ac:dyDescent="0.35">
      <c r="A161" s="61">
        <v>0.17399999999999999</v>
      </c>
      <c r="B161" s="61">
        <v>2.1999999999999898E-2</v>
      </c>
      <c r="C161" s="61">
        <v>0.20399999999999999</v>
      </c>
      <c r="D161" s="61">
        <v>0.739312894</v>
      </c>
      <c r="E161" s="61">
        <v>0.36600017866859413</v>
      </c>
      <c r="F161" s="61">
        <v>1</v>
      </c>
      <c r="G161" s="62">
        <v>0.22696561682992308</v>
      </c>
      <c r="H161" s="61">
        <v>0.21199999999999997</v>
      </c>
      <c r="I161" s="61">
        <v>0.17400000000000002</v>
      </c>
      <c r="J161" s="61">
        <v>0.61699999999999999</v>
      </c>
      <c r="K161" s="61">
        <v>0.34199999999999997</v>
      </c>
      <c r="L161" s="61">
        <v>0.62156253889234603</v>
      </c>
      <c r="M161" s="61">
        <v>0.59000497674847896</v>
      </c>
      <c r="N161" s="55">
        <v>0</v>
      </c>
      <c r="O161" s="63">
        <v>0</v>
      </c>
      <c r="P161" s="63">
        <f>1</f>
        <v>1</v>
      </c>
      <c r="Q161" s="64">
        <v>0</v>
      </c>
      <c r="R161" s="65">
        <v>0</v>
      </c>
      <c r="S161" s="65">
        <v>0.15639452781719557</v>
      </c>
      <c r="T161" s="65">
        <v>0</v>
      </c>
      <c r="U161" s="65">
        <v>0</v>
      </c>
    </row>
    <row r="162" spans="1:21" s="55" customFormat="1" x14ac:dyDescent="0.35">
      <c r="A162" s="61">
        <v>0.112</v>
      </c>
      <c r="B162" s="61">
        <v>0</v>
      </c>
      <c r="C162" s="61">
        <v>0.11899999999999901</v>
      </c>
      <c r="D162" s="61">
        <v>0.77701201099999995</v>
      </c>
      <c r="E162" s="61">
        <v>0.37200019491119363</v>
      </c>
      <c r="F162" s="61">
        <v>1</v>
      </c>
      <c r="G162" s="62">
        <v>0.13091532353016261</v>
      </c>
      <c r="H162" s="61">
        <v>0.16</v>
      </c>
      <c r="I162" s="61">
        <v>0.112</v>
      </c>
      <c r="J162" s="61">
        <v>0.61199999999999999</v>
      </c>
      <c r="K162" s="61">
        <v>0.34100000000000003</v>
      </c>
      <c r="L162" s="61">
        <v>0.62416116988176729</v>
      </c>
      <c r="M162" s="61">
        <v>0.48271115095622497</v>
      </c>
      <c r="N162" s="55">
        <v>0</v>
      </c>
      <c r="O162" s="63">
        <v>0</v>
      </c>
      <c r="P162" s="63">
        <f>1</f>
        <v>1</v>
      </c>
      <c r="Q162" s="64">
        <v>0</v>
      </c>
      <c r="R162" s="65">
        <v>0</v>
      </c>
      <c r="S162" s="65">
        <v>0.15639452781719557</v>
      </c>
      <c r="T162" s="65">
        <v>0</v>
      </c>
      <c r="U162" s="65">
        <v>0</v>
      </c>
    </row>
    <row r="163" spans="1:21" s="55" customFormat="1" x14ac:dyDescent="0.35">
      <c r="A163" s="61">
        <v>2.8000000000000001E-2</v>
      </c>
      <c r="B163" s="61">
        <v>0</v>
      </c>
      <c r="C163" s="61">
        <v>3.2000000000000001E-2</v>
      </c>
      <c r="D163" s="61">
        <v>0.76608125500000002</v>
      </c>
      <c r="E163" s="61">
        <v>0.37499979696750668</v>
      </c>
      <c r="F163" s="61">
        <v>0.9624251089213498</v>
      </c>
      <c r="G163" s="62">
        <v>0</v>
      </c>
      <c r="H163" s="61">
        <v>9.0999999999999984E-2</v>
      </c>
      <c r="I163" s="61">
        <v>4.4999999999999998E-2</v>
      </c>
      <c r="J163" s="61">
        <v>0.51700000000000002</v>
      </c>
      <c r="K163" s="61">
        <v>0.34300000000000003</v>
      </c>
      <c r="L163" s="61">
        <v>0.62626384567517113</v>
      </c>
      <c r="M163" s="61">
        <v>0.12914362781718353</v>
      </c>
      <c r="N163" s="55">
        <v>0</v>
      </c>
      <c r="O163" s="63">
        <v>0</v>
      </c>
      <c r="P163" s="63">
        <f>1</f>
        <v>1</v>
      </c>
      <c r="Q163" s="64">
        <v>0</v>
      </c>
      <c r="R163" s="65">
        <v>0</v>
      </c>
      <c r="S163" s="65">
        <v>0.15639452781719557</v>
      </c>
      <c r="T163" s="65">
        <v>0</v>
      </c>
      <c r="U163" s="65">
        <v>0</v>
      </c>
    </row>
    <row r="164" spans="1:21" s="55" customFormat="1" x14ac:dyDescent="0.35">
      <c r="A164" s="61">
        <v>0</v>
      </c>
      <c r="B164" s="61">
        <v>0</v>
      </c>
      <c r="C164" s="61">
        <v>0</v>
      </c>
      <c r="D164" s="61">
        <v>0.71677553000000005</v>
      </c>
      <c r="E164" s="61">
        <v>0.37599993502960216</v>
      </c>
      <c r="F164" s="61">
        <v>0.83568117885423321</v>
      </c>
      <c r="G164" s="62">
        <v>0</v>
      </c>
      <c r="H164" s="61">
        <v>0</v>
      </c>
      <c r="I164" s="61">
        <v>0</v>
      </c>
      <c r="J164" s="61">
        <v>0.32400000000000001</v>
      </c>
      <c r="K164" s="61">
        <v>0.33999999999999997</v>
      </c>
      <c r="L164" s="61">
        <v>0.62713130056004973</v>
      </c>
      <c r="M164" s="61">
        <v>1.0749753499332245E-2</v>
      </c>
      <c r="N164" s="55">
        <v>0</v>
      </c>
      <c r="O164" s="63">
        <v>0</v>
      </c>
      <c r="P164" s="63">
        <f>1</f>
        <v>1</v>
      </c>
      <c r="Q164" s="64">
        <v>0</v>
      </c>
      <c r="R164" s="65">
        <v>0</v>
      </c>
      <c r="S164" s="65">
        <v>0.15609596616916432</v>
      </c>
      <c r="T164" s="65">
        <v>0</v>
      </c>
      <c r="U164" s="65">
        <v>0</v>
      </c>
    </row>
    <row r="165" spans="1:21" s="55" customFormat="1" x14ac:dyDescent="0.35">
      <c r="A165" s="61">
        <v>0</v>
      </c>
      <c r="B165" s="61">
        <v>0</v>
      </c>
      <c r="C165" s="61">
        <v>0</v>
      </c>
      <c r="D165" s="61">
        <v>0.69716506300000003</v>
      </c>
      <c r="E165" s="61">
        <v>0.37599993502960216</v>
      </c>
      <c r="F165" s="61">
        <v>0.81262500702260732</v>
      </c>
      <c r="G165" s="62">
        <v>0</v>
      </c>
      <c r="H165" s="61">
        <v>0</v>
      </c>
      <c r="I165" s="61">
        <v>0</v>
      </c>
      <c r="J165" s="61">
        <v>0.251</v>
      </c>
      <c r="K165" s="61">
        <v>0.33800000000000002</v>
      </c>
      <c r="L165" s="61">
        <v>0.63002613565650278</v>
      </c>
      <c r="M165" s="61">
        <v>2.8759975224810805E-3</v>
      </c>
      <c r="N165" s="55">
        <v>0</v>
      </c>
      <c r="O165" s="63">
        <v>0</v>
      </c>
      <c r="P165" s="63">
        <f>1</f>
        <v>1</v>
      </c>
      <c r="Q165" s="64">
        <v>0</v>
      </c>
      <c r="R165" s="65">
        <v>0</v>
      </c>
      <c r="S165" s="65">
        <v>0.15639452781719557</v>
      </c>
      <c r="T165" s="65">
        <v>0</v>
      </c>
      <c r="U165" s="65">
        <v>0</v>
      </c>
    </row>
    <row r="166" spans="1:21" s="55" customFormat="1" x14ac:dyDescent="0.35">
      <c r="A166" s="61">
        <v>0</v>
      </c>
      <c r="B166" s="61">
        <v>0</v>
      </c>
      <c r="C166" s="61">
        <v>0</v>
      </c>
      <c r="D166" s="61">
        <v>0.702644457</v>
      </c>
      <c r="E166" s="61">
        <v>0.37599993502960216</v>
      </c>
      <c r="F166" s="61">
        <v>0.81901186262401848</v>
      </c>
      <c r="G166" s="62">
        <v>0</v>
      </c>
      <c r="H166" s="61">
        <v>0</v>
      </c>
      <c r="I166" s="61">
        <v>0</v>
      </c>
      <c r="J166" s="61">
        <v>0.22</v>
      </c>
      <c r="K166" s="61">
        <v>0.35599999999999998</v>
      </c>
      <c r="L166" s="61">
        <v>0.63565525824517732</v>
      </c>
      <c r="M166" s="61">
        <v>3.1153989042884698E-3</v>
      </c>
      <c r="N166" s="55">
        <v>0</v>
      </c>
      <c r="O166" s="63">
        <v>0</v>
      </c>
      <c r="P166" s="63">
        <f>1</f>
        <v>1</v>
      </c>
      <c r="Q166" s="64">
        <v>0</v>
      </c>
      <c r="R166" s="65">
        <v>0</v>
      </c>
      <c r="S166" s="65">
        <v>0.15669308946522681</v>
      </c>
      <c r="T166" s="65">
        <v>0</v>
      </c>
      <c r="U166" s="65">
        <v>0</v>
      </c>
    </row>
    <row r="167" spans="1:21" s="55" customFormat="1" x14ac:dyDescent="0.35">
      <c r="A167" s="61">
        <v>0</v>
      </c>
      <c r="B167" s="61">
        <v>0</v>
      </c>
      <c r="C167" s="61">
        <v>0</v>
      </c>
      <c r="D167" s="61">
        <v>0.71687946599999997</v>
      </c>
      <c r="E167" s="61">
        <v>0.37700007309169764</v>
      </c>
      <c r="F167" s="61">
        <v>0.83560438124337422</v>
      </c>
      <c r="G167" s="62">
        <v>0</v>
      </c>
      <c r="H167" s="61">
        <v>0</v>
      </c>
      <c r="I167" s="61">
        <v>0</v>
      </c>
      <c r="J167" s="61">
        <v>0.23299999999999998</v>
      </c>
      <c r="K167" s="61">
        <v>0.39499999999999996</v>
      </c>
      <c r="L167" s="61">
        <v>0.63668637212196633</v>
      </c>
      <c r="M167" s="61">
        <v>2.6278477275560172E-3</v>
      </c>
      <c r="N167" s="55">
        <v>0</v>
      </c>
      <c r="O167" s="63">
        <v>0</v>
      </c>
      <c r="P167" s="63">
        <f>1</f>
        <v>1</v>
      </c>
      <c r="Q167" s="64">
        <v>0</v>
      </c>
      <c r="R167" s="65">
        <v>0</v>
      </c>
      <c r="S167" s="65">
        <v>0.1569916511068217</v>
      </c>
      <c r="T167" s="65">
        <v>0</v>
      </c>
      <c r="U167" s="65">
        <v>0</v>
      </c>
    </row>
    <row r="168" spans="1:21" s="55" customFormat="1" x14ac:dyDescent="0.35">
      <c r="A168" s="61">
        <v>0</v>
      </c>
      <c r="B168" s="61">
        <v>0</v>
      </c>
      <c r="C168" s="61">
        <v>0</v>
      </c>
      <c r="D168" s="61">
        <v>0.73354011799999996</v>
      </c>
      <c r="E168" s="61">
        <v>0.37299992690830241</v>
      </c>
      <c r="F168" s="61">
        <v>0.85502426208226989</v>
      </c>
      <c r="G168" s="62">
        <v>0</v>
      </c>
      <c r="H168" s="61">
        <v>0</v>
      </c>
      <c r="I168" s="61">
        <v>0</v>
      </c>
      <c r="J168" s="61">
        <v>0.27699999999999997</v>
      </c>
      <c r="K168" s="61">
        <v>0.44800000000000001</v>
      </c>
      <c r="L168" s="61">
        <v>0.63864405724953321</v>
      </c>
      <c r="M168" s="61">
        <v>2.7025496334767769E-3</v>
      </c>
      <c r="N168" s="55">
        <v>0</v>
      </c>
      <c r="O168" s="63">
        <v>0</v>
      </c>
      <c r="P168" s="63">
        <f>1</f>
        <v>1</v>
      </c>
      <c r="Q168" s="64">
        <v>0</v>
      </c>
      <c r="R168" s="65">
        <v>0</v>
      </c>
      <c r="S168" s="65">
        <v>0.15758877440288419</v>
      </c>
      <c r="T168" s="65">
        <v>0</v>
      </c>
      <c r="U168" s="65">
        <v>0</v>
      </c>
    </row>
    <row r="169" spans="1:21" s="55" customFormat="1" x14ac:dyDescent="0.35">
      <c r="A169" s="61">
        <v>0</v>
      </c>
      <c r="B169" s="61">
        <v>0</v>
      </c>
      <c r="C169" s="61">
        <v>0</v>
      </c>
      <c r="D169" s="61">
        <v>0.75291925000000004</v>
      </c>
      <c r="E169" s="61">
        <v>0.36900018678989388</v>
      </c>
      <c r="F169" s="61">
        <v>0.85502426208226989</v>
      </c>
      <c r="G169" s="61">
        <v>0</v>
      </c>
      <c r="H169" s="61">
        <v>0</v>
      </c>
      <c r="I169" s="61">
        <v>0.34899999999999998</v>
      </c>
      <c r="J169" s="61">
        <v>0.34899999999999998</v>
      </c>
      <c r="K169" s="61">
        <v>0.50900000000000001</v>
      </c>
      <c r="L169" s="55">
        <v>0.63848288736776593</v>
      </c>
      <c r="M169" s="55">
        <v>0</v>
      </c>
      <c r="N169" s="63">
        <v>0</v>
      </c>
      <c r="O169" s="63">
        <v>0</v>
      </c>
      <c r="P169" s="64">
        <v>1</v>
      </c>
      <c r="Q169" s="65">
        <v>0</v>
      </c>
      <c r="R169" s="65">
        <v>0.15758877440288419</v>
      </c>
      <c r="S169" s="65">
        <v>0.15758877440288419</v>
      </c>
      <c r="T169" s="65">
        <v>0</v>
      </c>
      <c r="U169" s="55">
        <v>0</v>
      </c>
    </row>
    <row r="170" spans="1:21" s="55" customFormat="1" x14ac:dyDescent="0.35">
      <c r="A170" s="61"/>
      <c r="B170" s="61"/>
      <c r="C170" s="61"/>
      <c r="D170" s="61"/>
      <c r="E170" s="61"/>
      <c r="F170" s="62"/>
      <c r="G170" s="61"/>
      <c r="H170" s="61"/>
      <c r="I170" s="61"/>
      <c r="J170" s="61"/>
      <c r="K170" s="61"/>
      <c r="N170" s="66"/>
      <c r="O170" s="63"/>
      <c r="P170" s="64"/>
      <c r="Q170" s="65"/>
      <c r="R170" s="65"/>
      <c r="S170" s="65"/>
      <c r="T170" s="65"/>
    </row>
    <row r="171" spans="1:21" x14ac:dyDescent="0.35">
      <c r="P171" s="67"/>
      <c r="S171" s="68"/>
      <c r="T171" s="68"/>
    </row>
    <row r="172" spans="1:21" x14ac:dyDescent="0.35">
      <c r="P172" s="67"/>
      <c r="S172" s="68"/>
      <c r="T172" s="68"/>
    </row>
    <row r="173" spans="1:21" x14ac:dyDescent="0.35">
      <c r="P173" s="67"/>
    </row>
    <row r="174" spans="1:21" x14ac:dyDescent="0.35">
      <c r="P174" s="67"/>
    </row>
    <row r="175" spans="1:21" x14ac:dyDescent="0.35">
      <c r="P175" s="67"/>
    </row>
    <row r="176" spans="1:21" x14ac:dyDescent="0.35">
      <c r="P176" s="67"/>
    </row>
    <row r="177" spans="16:16" x14ac:dyDescent="0.35">
      <c r="P177" s="67"/>
    </row>
    <row r="178" spans="16:16" x14ac:dyDescent="0.35">
      <c r="P178" s="67"/>
    </row>
    <row r="179" spans="16:16" x14ac:dyDescent="0.35">
      <c r="P179" s="67"/>
    </row>
    <row r="180" spans="16:16" x14ac:dyDescent="0.35">
      <c r="P180" s="67"/>
    </row>
    <row r="181" spans="16:16" x14ac:dyDescent="0.35">
      <c r="P181" s="67"/>
    </row>
    <row r="182" spans="16:16" x14ac:dyDescent="0.35">
      <c r="P182" s="67"/>
    </row>
    <row r="183" spans="16:16" x14ac:dyDescent="0.35">
      <c r="P183" s="67"/>
    </row>
    <row r="184" spans="16:16" x14ac:dyDescent="0.35">
      <c r="P184" s="67"/>
    </row>
    <row r="185" spans="16:16" x14ac:dyDescent="0.35">
      <c r="P185" s="67"/>
    </row>
    <row r="186" spans="16:16" x14ac:dyDescent="0.35">
      <c r="P186" s="67"/>
    </row>
    <row r="187" spans="16:16" x14ac:dyDescent="0.35">
      <c r="P187" s="67"/>
    </row>
    <row r="188" spans="16:16" x14ac:dyDescent="0.35">
      <c r="P188" s="67"/>
    </row>
    <row r="189" spans="16:16" x14ac:dyDescent="0.35">
      <c r="P189" s="67"/>
    </row>
    <row r="190" spans="16:16" x14ac:dyDescent="0.35">
      <c r="P190" s="67"/>
    </row>
    <row r="191" spans="16:16" x14ac:dyDescent="0.35">
      <c r="P191" s="67"/>
    </row>
    <row r="192" spans="16:16" x14ac:dyDescent="0.35">
      <c r="P192" s="67"/>
    </row>
    <row r="193" spans="16:16" x14ac:dyDescent="0.35">
      <c r="P193" s="67"/>
    </row>
    <row r="194" spans="16:16" x14ac:dyDescent="0.35">
      <c r="P194" s="67"/>
    </row>
    <row r="195" spans="16:16" x14ac:dyDescent="0.35">
      <c r="P195" s="67"/>
    </row>
    <row r="196" spans="16:16" x14ac:dyDescent="0.35">
      <c r="P196" s="67"/>
    </row>
    <row r="197" spans="16:16" x14ac:dyDescent="0.35">
      <c r="P197" s="67"/>
    </row>
    <row r="198" spans="16:16" x14ac:dyDescent="0.35">
      <c r="P198" s="67"/>
    </row>
    <row r="199" spans="16:16" x14ac:dyDescent="0.35">
      <c r="P199" s="67"/>
    </row>
    <row r="200" spans="16:16" x14ac:dyDescent="0.35">
      <c r="P200" s="67"/>
    </row>
    <row r="201" spans="16:16" x14ac:dyDescent="0.35">
      <c r="P201" s="67"/>
    </row>
    <row r="202" spans="16:16" x14ac:dyDescent="0.35">
      <c r="P202" s="67"/>
    </row>
    <row r="203" spans="16:16" x14ac:dyDescent="0.35">
      <c r="P203" s="67"/>
    </row>
    <row r="204" spans="16:16" x14ac:dyDescent="0.35">
      <c r="P204" s="67"/>
    </row>
    <row r="205" spans="16:16" x14ac:dyDescent="0.35">
      <c r="P205" s="67"/>
    </row>
    <row r="206" spans="16:16" x14ac:dyDescent="0.35">
      <c r="P206" s="67"/>
    </row>
    <row r="207" spans="16:16" x14ac:dyDescent="0.35">
      <c r="P207" s="67"/>
    </row>
    <row r="208" spans="16:16" x14ac:dyDescent="0.35">
      <c r="P208" s="67"/>
    </row>
    <row r="209" spans="16:16" x14ac:dyDescent="0.35">
      <c r="P209" s="67"/>
    </row>
    <row r="210" spans="16:16" x14ac:dyDescent="0.35">
      <c r="P210" s="67"/>
    </row>
    <row r="211" spans="16:16" x14ac:dyDescent="0.35">
      <c r="P211" s="67"/>
    </row>
    <row r="212" spans="16:16" x14ac:dyDescent="0.35">
      <c r="P212" s="67"/>
    </row>
    <row r="213" spans="16:16" x14ac:dyDescent="0.35">
      <c r="P213" s="67"/>
    </row>
    <row r="214" spans="16:16" x14ac:dyDescent="0.35">
      <c r="P214" s="67"/>
    </row>
    <row r="215" spans="16:16" x14ac:dyDescent="0.35">
      <c r="P215" s="67"/>
    </row>
    <row r="216" spans="16:16" x14ac:dyDescent="0.35">
      <c r="P216" s="67"/>
    </row>
    <row r="217" spans="16:16" x14ac:dyDescent="0.35">
      <c r="P217" s="67"/>
    </row>
    <row r="218" spans="16:16" x14ac:dyDescent="0.35">
      <c r="P218" s="67"/>
    </row>
    <row r="219" spans="16:16" x14ac:dyDescent="0.35">
      <c r="P219" s="67"/>
    </row>
    <row r="220" spans="16:16" x14ac:dyDescent="0.35">
      <c r="P220" s="67"/>
    </row>
    <row r="221" spans="16:16" x14ac:dyDescent="0.35">
      <c r="P221" s="67"/>
    </row>
    <row r="222" spans="16:16" x14ac:dyDescent="0.35">
      <c r="P222" s="67"/>
    </row>
    <row r="223" spans="16:16" x14ac:dyDescent="0.35">
      <c r="P223" s="67"/>
    </row>
    <row r="224" spans="16:16" x14ac:dyDescent="0.35">
      <c r="P224" s="67"/>
    </row>
    <row r="225" spans="16:16" x14ac:dyDescent="0.35">
      <c r="P225" s="67"/>
    </row>
    <row r="226" spans="16:16" x14ac:dyDescent="0.35">
      <c r="P226" s="67"/>
    </row>
    <row r="227" spans="16:16" x14ac:dyDescent="0.35">
      <c r="P227" s="67"/>
    </row>
    <row r="228" spans="16:16" x14ac:dyDescent="0.35">
      <c r="P228" s="67"/>
    </row>
    <row r="229" spans="16:16" x14ac:dyDescent="0.35">
      <c r="P229" s="67"/>
    </row>
    <row r="230" spans="16:16" x14ac:dyDescent="0.35">
      <c r="P230" s="67"/>
    </row>
    <row r="231" spans="16:16" x14ac:dyDescent="0.35">
      <c r="P231" s="67"/>
    </row>
    <row r="232" spans="16:16" x14ac:dyDescent="0.35">
      <c r="P232" s="67"/>
    </row>
    <row r="233" spans="16:16" x14ac:dyDescent="0.35">
      <c r="P233" s="67"/>
    </row>
    <row r="234" spans="16:16" x14ac:dyDescent="0.35">
      <c r="P234" s="67"/>
    </row>
    <row r="235" spans="16:16" x14ac:dyDescent="0.35">
      <c r="P235" s="67"/>
    </row>
    <row r="236" spans="16:16" x14ac:dyDescent="0.35">
      <c r="P236" s="67"/>
    </row>
    <row r="237" spans="16:16" x14ac:dyDescent="0.35">
      <c r="P237" s="67"/>
    </row>
    <row r="238" spans="16:16" x14ac:dyDescent="0.35">
      <c r="P238" s="67"/>
    </row>
    <row r="239" spans="16:16" x14ac:dyDescent="0.35">
      <c r="P239" s="67"/>
    </row>
    <row r="240" spans="16:16" x14ac:dyDescent="0.35">
      <c r="P240" s="67"/>
    </row>
    <row r="241" spans="16:16" x14ac:dyDescent="0.35">
      <c r="P241" s="67"/>
    </row>
    <row r="242" spans="16:16" x14ac:dyDescent="0.35">
      <c r="P242" s="67"/>
    </row>
    <row r="243" spans="16:16" x14ac:dyDescent="0.35">
      <c r="P243" s="67"/>
    </row>
    <row r="244" spans="16:16" x14ac:dyDescent="0.35">
      <c r="P244" s="67"/>
    </row>
    <row r="245" spans="16:16" x14ac:dyDescent="0.35">
      <c r="P245" s="67"/>
    </row>
    <row r="246" spans="16:16" x14ac:dyDescent="0.35">
      <c r="P246" s="67"/>
    </row>
    <row r="247" spans="16:16" x14ac:dyDescent="0.35">
      <c r="P247" s="67"/>
    </row>
    <row r="248" spans="16:16" x14ac:dyDescent="0.35">
      <c r="P248" s="67"/>
    </row>
    <row r="249" spans="16:16" x14ac:dyDescent="0.35">
      <c r="P249" s="67"/>
    </row>
    <row r="250" spans="16:16" x14ac:dyDescent="0.35">
      <c r="P250" s="67"/>
    </row>
    <row r="251" spans="16:16" x14ac:dyDescent="0.35">
      <c r="P251" s="67"/>
    </row>
    <row r="252" spans="16:16" x14ac:dyDescent="0.35">
      <c r="P252" s="67"/>
    </row>
    <row r="253" spans="16:16" x14ac:dyDescent="0.35">
      <c r="P253" s="67"/>
    </row>
    <row r="254" spans="16:16" x14ac:dyDescent="0.35">
      <c r="P254" s="67"/>
    </row>
    <row r="255" spans="16:16" x14ac:dyDescent="0.35">
      <c r="P255" s="67"/>
    </row>
    <row r="256" spans="16:16" x14ac:dyDescent="0.35">
      <c r="P256" s="67"/>
    </row>
    <row r="257" spans="16:16" x14ac:dyDescent="0.35">
      <c r="P257" s="67"/>
    </row>
    <row r="258" spans="16:16" x14ac:dyDescent="0.35">
      <c r="P258" s="67"/>
    </row>
    <row r="259" spans="16:16" x14ac:dyDescent="0.35">
      <c r="P259" s="67"/>
    </row>
    <row r="260" spans="16:16" x14ac:dyDescent="0.35">
      <c r="P260" s="67"/>
    </row>
    <row r="261" spans="16:16" x14ac:dyDescent="0.35">
      <c r="P261" s="67"/>
    </row>
    <row r="262" spans="16:16" x14ac:dyDescent="0.35">
      <c r="P262" s="67"/>
    </row>
    <row r="263" spans="16:16" x14ac:dyDescent="0.35">
      <c r="P263" s="67"/>
    </row>
    <row r="264" spans="16:16" x14ac:dyDescent="0.35">
      <c r="P264" s="67"/>
    </row>
    <row r="265" spans="16:16" x14ac:dyDescent="0.35">
      <c r="P265" s="67"/>
    </row>
    <row r="266" spans="16:16" x14ac:dyDescent="0.35">
      <c r="P266" s="67"/>
    </row>
    <row r="267" spans="16:16" x14ac:dyDescent="0.35">
      <c r="P267" s="67"/>
    </row>
    <row r="268" spans="16:16" x14ac:dyDescent="0.35">
      <c r="P268" s="67"/>
    </row>
    <row r="269" spans="16:16" x14ac:dyDescent="0.35">
      <c r="P269" s="67"/>
    </row>
    <row r="270" spans="16:16" x14ac:dyDescent="0.35">
      <c r="P270" s="67"/>
    </row>
    <row r="271" spans="16:16" x14ac:dyDescent="0.35">
      <c r="P271" s="67"/>
    </row>
    <row r="272" spans="16:16" x14ac:dyDescent="0.35">
      <c r="P272" s="67"/>
    </row>
    <row r="273" spans="16:16" x14ac:dyDescent="0.35">
      <c r="P273" s="67"/>
    </row>
    <row r="274" spans="16:16" x14ac:dyDescent="0.35">
      <c r="P274" s="67"/>
    </row>
    <row r="275" spans="16:16" x14ac:dyDescent="0.35">
      <c r="P275" s="67"/>
    </row>
    <row r="276" spans="16:16" x14ac:dyDescent="0.35">
      <c r="P276" s="67"/>
    </row>
    <row r="277" spans="16:16" x14ac:dyDescent="0.35">
      <c r="P277" s="67"/>
    </row>
    <row r="278" spans="16:16" x14ac:dyDescent="0.35">
      <c r="P278" s="67"/>
    </row>
    <row r="279" spans="16:16" x14ac:dyDescent="0.35">
      <c r="P279" s="67"/>
    </row>
    <row r="280" spans="16:16" x14ac:dyDescent="0.35">
      <c r="P280" s="67"/>
    </row>
    <row r="281" spans="16:16" x14ac:dyDescent="0.35">
      <c r="P281" s="67"/>
    </row>
    <row r="282" spans="16:16" x14ac:dyDescent="0.35">
      <c r="P282" s="67"/>
    </row>
    <row r="283" spans="16:16" x14ac:dyDescent="0.35">
      <c r="P283" s="67"/>
    </row>
    <row r="284" spans="16:16" x14ac:dyDescent="0.35">
      <c r="P284" s="67"/>
    </row>
    <row r="285" spans="16:16" x14ac:dyDescent="0.35">
      <c r="P285" s="67"/>
    </row>
    <row r="286" spans="16:16" x14ac:dyDescent="0.35">
      <c r="P286" s="67"/>
    </row>
    <row r="287" spans="16:16" x14ac:dyDescent="0.35">
      <c r="P287" s="67"/>
    </row>
    <row r="288" spans="16:16" x14ac:dyDescent="0.35">
      <c r="P288" s="67"/>
    </row>
    <row r="289" spans="16:16" x14ac:dyDescent="0.35">
      <c r="P289" s="67"/>
    </row>
    <row r="290" spans="16:16" x14ac:dyDescent="0.35">
      <c r="P290" s="67"/>
    </row>
    <row r="291" spans="16:16" x14ac:dyDescent="0.35">
      <c r="P291" s="67"/>
    </row>
    <row r="292" spans="16:16" x14ac:dyDescent="0.35">
      <c r="P292" s="67"/>
    </row>
    <row r="293" spans="16:16" x14ac:dyDescent="0.35">
      <c r="P293" s="67"/>
    </row>
    <row r="294" spans="16:16" x14ac:dyDescent="0.35">
      <c r="P294" s="67"/>
    </row>
    <row r="295" spans="16:16" x14ac:dyDescent="0.35">
      <c r="P295" s="67"/>
    </row>
    <row r="296" spans="16:16" x14ac:dyDescent="0.35">
      <c r="P296" s="67"/>
    </row>
    <row r="297" spans="16:16" x14ac:dyDescent="0.35">
      <c r="P297" s="67"/>
    </row>
    <row r="298" spans="16:16" x14ac:dyDescent="0.35">
      <c r="P298" s="67"/>
    </row>
    <row r="299" spans="16:16" x14ac:dyDescent="0.35">
      <c r="P299" s="67"/>
    </row>
    <row r="300" spans="16:16" x14ac:dyDescent="0.35">
      <c r="P300" s="67"/>
    </row>
    <row r="301" spans="16:16" x14ac:dyDescent="0.35">
      <c r="P301" s="67"/>
    </row>
    <row r="302" spans="16:16" x14ac:dyDescent="0.35">
      <c r="P302" s="67"/>
    </row>
    <row r="303" spans="16:16" x14ac:dyDescent="0.35">
      <c r="P303" s="67"/>
    </row>
    <row r="304" spans="16:16" x14ac:dyDescent="0.35">
      <c r="P304" s="67"/>
    </row>
    <row r="305" spans="16:16" x14ac:dyDescent="0.35">
      <c r="P305" s="67"/>
    </row>
    <row r="306" spans="16:16" x14ac:dyDescent="0.35">
      <c r="P306" s="67"/>
    </row>
    <row r="307" spans="16:16" x14ac:dyDescent="0.35">
      <c r="P307" s="67"/>
    </row>
    <row r="308" spans="16:16" x14ac:dyDescent="0.35">
      <c r="P308" s="67"/>
    </row>
    <row r="309" spans="16:16" x14ac:dyDescent="0.35">
      <c r="P309" s="67"/>
    </row>
    <row r="310" spans="16:16" x14ac:dyDescent="0.35">
      <c r="P310" s="67"/>
    </row>
    <row r="311" spans="16:16" x14ac:dyDescent="0.35">
      <c r="P311" s="67"/>
    </row>
    <row r="312" spans="16:16" x14ac:dyDescent="0.35">
      <c r="P312" s="67"/>
    </row>
    <row r="313" spans="16:16" x14ac:dyDescent="0.35">
      <c r="P313" s="67"/>
    </row>
    <row r="314" spans="16:16" x14ac:dyDescent="0.35">
      <c r="P314" s="67"/>
    </row>
    <row r="315" spans="16:16" x14ac:dyDescent="0.35">
      <c r="P315" s="67"/>
    </row>
    <row r="316" spans="16:16" x14ac:dyDescent="0.35">
      <c r="P316" s="67"/>
    </row>
    <row r="317" spans="16:16" x14ac:dyDescent="0.35">
      <c r="P317" s="67"/>
    </row>
    <row r="318" spans="16:16" x14ac:dyDescent="0.35">
      <c r="P318" s="67"/>
    </row>
    <row r="319" spans="16:16" x14ac:dyDescent="0.35">
      <c r="P319" s="67"/>
    </row>
    <row r="320" spans="16:16" x14ac:dyDescent="0.35">
      <c r="P320" s="67"/>
    </row>
    <row r="321" spans="16:16" x14ac:dyDescent="0.35">
      <c r="P321" s="67"/>
    </row>
    <row r="322" spans="16:16" x14ac:dyDescent="0.35">
      <c r="P322" s="67"/>
    </row>
    <row r="323" spans="16:16" x14ac:dyDescent="0.35">
      <c r="P323" s="67"/>
    </row>
    <row r="324" spans="16:16" x14ac:dyDescent="0.35">
      <c r="P324" s="67"/>
    </row>
    <row r="325" spans="16:16" x14ac:dyDescent="0.35">
      <c r="P325" s="67"/>
    </row>
    <row r="326" spans="16:16" x14ac:dyDescent="0.35">
      <c r="P326" s="67"/>
    </row>
    <row r="327" spans="16:16" x14ac:dyDescent="0.35">
      <c r="P327" s="67"/>
    </row>
    <row r="328" spans="16:16" x14ac:dyDescent="0.35">
      <c r="P328" s="67"/>
    </row>
    <row r="329" spans="16:16" x14ac:dyDescent="0.35">
      <c r="P329" s="67"/>
    </row>
    <row r="330" spans="16:16" x14ac:dyDescent="0.35">
      <c r="P330" s="67"/>
    </row>
    <row r="331" spans="16:16" x14ac:dyDescent="0.35">
      <c r="P331" s="67"/>
    </row>
    <row r="332" spans="16:16" x14ac:dyDescent="0.35">
      <c r="P332" s="67"/>
    </row>
    <row r="333" spans="16:16" x14ac:dyDescent="0.35">
      <c r="P333" s="67"/>
    </row>
    <row r="334" spans="16:16" x14ac:dyDescent="0.35">
      <c r="P334" s="67"/>
    </row>
    <row r="335" spans="16:16" x14ac:dyDescent="0.35">
      <c r="P335" s="67"/>
    </row>
    <row r="336" spans="16:16" x14ac:dyDescent="0.35">
      <c r="P336" s="67"/>
    </row>
    <row r="337" spans="16:16" x14ac:dyDescent="0.35">
      <c r="P337" s="67"/>
    </row>
    <row r="338" spans="16:16" x14ac:dyDescent="0.35">
      <c r="P338" s="67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3639-1819-4052-B2D7-B9E472FED938}">
  <dimension ref="A1:DM8762"/>
  <sheetViews>
    <sheetView tabSelected="1" topLeftCell="BV1" zoomScale="85" zoomScaleNormal="85" workbookViewId="0">
      <selection activeCell="CH16" sqref="CH16"/>
    </sheetView>
  </sheetViews>
  <sheetFormatPr baseColWidth="10" defaultRowHeight="14.5" x14ac:dyDescent="0.35"/>
  <cols>
    <col min="1" max="1" width="18.7265625" style="131" customWidth="1"/>
    <col min="2" max="2" width="10.90625" style="131"/>
    <col min="3" max="3" width="16.453125" style="131" customWidth="1"/>
    <col min="4" max="4" width="26.54296875" style="131" bestFit="1" customWidth="1"/>
    <col min="5" max="6" width="10.90625" style="131"/>
    <col min="7" max="7" width="26.6328125" style="131" bestFit="1" customWidth="1"/>
    <col min="8" max="9" width="10.90625" style="131"/>
    <col min="10" max="10" width="26.36328125" style="131" bestFit="1" customWidth="1"/>
    <col min="11" max="12" width="10.90625" style="131"/>
    <col min="13" max="13" width="7.1796875" style="131" bestFit="1" customWidth="1"/>
    <col min="14" max="16" width="19.1796875" style="128" bestFit="1" customWidth="1"/>
    <col min="17" max="19" width="22.1796875" style="128" bestFit="1" customWidth="1"/>
    <col min="20" max="20" width="22.1796875" style="128" customWidth="1"/>
    <col min="21" max="21" width="19.08984375" style="128" bestFit="1" customWidth="1"/>
    <col min="22" max="22" width="25.7265625" style="87" bestFit="1" customWidth="1"/>
    <col min="23" max="23" width="19.26953125" style="87" bestFit="1" customWidth="1"/>
    <col min="24" max="24" width="19.26953125" style="87" customWidth="1"/>
    <col min="25" max="25" width="19.08984375" style="128" customWidth="1"/>
    <col min="26" max="26" width="19.08984375" style="128" bestFit="1" customWidth="1"/>
    <col min="27" max="28" width="19.08984375" style="128" customWidth="1"/>
    <col min="29" max="29" width="16.453125" style="89" customWidth="1"/>
    <col min="30" max="30" width="5.81640625" style="89" bestFit="1" customWidth="1"/>
    <col min="31" max="31" width="13" style="89" bestFit="1" customWidth="1"/>
    <col min="32" max="32" width="5.81640625" style="89" bestFit="1" customWidth="1"/>
    <col min="33" max="33" width="13" style="89" bestFit="1" customWidth="1"/>
    <col min="34" max="34" width="5.81640625" style="89" bestFit="1" customWidth="1"/>
    <col min="35" max="35" width="16.81640625" style="89" bestFit="1" customWidth="1"/>
    <col min="36" max="36" width="5.81640625" style="89" bestFit="1" customWidth="1"/>
    <col min="37" max="37" width="22.54296875" style="89" bestFit="1" customWidth="1"/>
    <col min="38" max="38" width="5.81640625" style="89" bestFit="1" customWidth="1"/>
    <col min="39" max="39" width="16.81640625" style="89" bestFit="1" customWidth="1"/>
    <col min="40" max="40" width="5.81640625" style="89" bestFit="1" customWidth="1"/>
    <col min="41" max="41" width="22.54296875" style="89" bestFit="1" customWidth="1"/>
    <col min="42" max="42" width="5.81640625" style="89" bestFit="1" customWidth="1"/>
    <col min="43" max="43" width="19.08984375" style="128" customWidth="1"/>
    <col min="44" max="44" width="25.26953125" style="89" bestFit="1" customWidth="1"/>
    <col min="45" max="45" width="17.90625" style="89" bestFit="1" customWidth="1"/>
    <col min="46" max="46" width="25.26953125" style="89" bestFit="1" customWidth="1"/>
    <col min="47" max="47" width="8.453125" style="128" bestFit="1" customWidth="1"/>
    <col min="48" max="48" width="8.26953125" style="128" bestFit="1" customWidth="1"/>
    <col min="49" max="49" width="8.453125" style="128" bestFit="1" customWidth="1"/>
    <col min="50" max="50" width="25.26953125" style="89" bestFit="1" customWidth="1"/>
    <col min="51" max="51" width="17.90625" style="89" bestFit="1" customWidth="1"/>
    <col min="52" max="52" width="8.453125" style="128" bestFit="1" customWidth="1"/>
    <col min="53" max="53" width="8.26953125" style="128" bestFit="1" customWidth="1"/>
    <col min="54" max="54" width="25.26953125" style="89" bestFit="1" customWidth="1"/>
    <col min="55" max="55" width="17.90625" style="89" bestFit="1" customWidth="1"/>
    <col min="56" max="56" width="8.453125" style="128" bestFit="1" customWidth="1"/>
    <col min="57" max="57" width="8.26953125" style="128" bestFit="1" customWidth="1"/>
    <col min="58" max="58" width="10.90625" style="131"/>
    <col min="59" max="59" width="15.6328125" style="128" customWidth="1"/>
    <col min="60" max="60" width="5.1796875" style="128" bestFit="1" customWidth="1"/>
    <col min="61" max="61" width="13.54296875" style="128" bestFit="1" customWidth="1"/>
    <col min="62" max="62" width="5.1796875" style="128" bestFit="1" customWidth="1"/>
    <col min="63" max="63" width="13.54296875" style="128" bestFit="1" customWidth="1"/>
    <col min="64" max="64" width="5.1796875" style="128" bestFit="1" customWidth="1"/>
    <col min="65" max="65" width="10.90625" style="131"/>
    <col min="66" max="66" width="12.6328125" style="131" bestFit="1" customWidth="1"/>
    <col min="67" max="67" width="5.1796875" style="128" bestFit="1" customWidth="1"/>
    <col min="68" max="68" width="10.90625" style="131"/>
    <col min="69" max="69" width="14.26953125" style="2" bestFit="1" customWidth="1"/>
    <col min="70" max="70" width="16.81640625" style="131" customWidth="1"/>
    <col min="71" max="71" width="20.1796875" style="2" customWidth="1"/>
    <col min="72" max="72" width="16.26953125" style="131" bestFit="1" customWidth="1"/>
    <col min="73" max="73" width="19.54296875" style="131" bestFit="1" customWidth="1"/>
    <col min="74" max="76" width="16.36328125" style="2" customWidth="1"/>
    <col min="77" max="77" width="10.90625" style="2"/>
    <col min="78" max="78" width="16.26953125" style="131" bestFit="1" customWidth="1"/>
    <col min="79" max="79" width="19.54296875" style="131" bestFit="1" customWidth="1"/>
    <col min="80" max="80" width="27.1796875" style="131" customWidth="1"/>
    <col min="81" max="81" width="28.1796875" style="131" customWidth="1"/>
    <col min="82" max="96" width="10.90625" style="131"/>
    <col min="97" max="97" width="15.1796875" style="131" bestFit="1" customWidth="1"/>
    <col min="98" max="98" width="10.90625" style="131"/>
    <col min="99" max="99" width="19.26953125" style="131" bestFit="1" customWidth="1"/>
    <col min="100" max="114" width="10.90625" style="131"/>
    <col min="115" max="115" width="15.1796875" style="131" bestFit="1" customWidth="1"/>
    <col min="116" max="116" width="10.90625" style="131"/>
    <col min="117" max="117" width="19.26953125" style="131" bestFit="1" customWidth="1"/>
    <col min="118" max="16384" width="10.90625" style="131"/>
  </cols>
  <sheetData>
    <row r="1" spans="1:117" s="5" customFormat="1" ht="32.5" x14ac:dyDescent="0.75">
      <c r="A1" s="69" t="s">
        <v>145</v>
      </c>
      <c r="D1" s="127" t="s">
        <v>234</v>
      </c>
      <c r="E1" s="127"/>
      <c r="G1" s="127" t="s">
        <v>235</v>
      </c>
      <c r="H1" s="127"/>
      <c r="J1" s="127" t="s">
        <v>236</v>
      </c>
      <c r="K1" s="127"/>
      <c r="N1" s="44"/>
      <c r="O1" s="44"/>
      <c r="P1" s="44"/>
      <c r="Q1" s="44"/>
      <c r="R1" s="44"/>
      <c r="S1" s="44"/>
      <c r="T1" s="44"/>
      <c r="U1" s="44"/>
      <c r="V1" s="18"/>
      <c r="W1" s="18"/>
      <c r="X1" s="18"/>
      <c r="Y1" s="44"/>
      <c r="Z1" s="44"/>
      <c r="AA1" s="44"/>
      <c r="AB1" s="44" t="s">
        <v>108</v>
      </c>
      <c r="AC1" s="104" t="s">
        <v>183</v>
      </c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44"/>
      <c r="AR1" s="104" t="s">
        <v>241</v>
      </c>
      <c r="AS1" s="76"/>
      <c r="AT1" s="104"/>
      <c r="AU1" s="44"/>
      <c r="AV1" s="44"/>
      <c r="AW1" s="44"/>
      <c r="AY1" s="76"/>
      <c r="AZ1" s="44"/>
      <c r="BA1" s="44"/>
      <c r="BB1" s="104"/>
      <c r="BC1" s="76"/>
      <c r="BD1" s="44"/>
      <c r="BE1" s="44"/>
      <c r="BG1" s="118" t="s">
        <v>237</v>
      </c>
      <c r="BH1" s="44"/>
      <c r="BI1" s="44"/>
      <c r="BJ1" s="44"/>
      <c r="BK1" s="44"/>
      <c r="BL1" s="44"/>
      <c r="BN1" s="118" t="s">
        <v>239</v>
      </c>
      <c r="BO1" s="44"/>
      <c r="BQ1" s="118" t="s">
        <v>240</v>
      </c>
      <c r="BT1" s="149" t="s">
        <v>245</v>
      </c>
      <c r="CE1" s="135" t="s">
        <v>246</v>
      </c>
      <c r="CF1" s="135"/>
      <c r="CH1" s="135"/>
      <c r="CJ1" s="135"/>
      <c r="CL1" s="155" t="s">
        <v>258</v>
      </c>
      <c r="CN1" s="135"/>
      <c r="CP1" s="135"/>
      <c r="CR1" s="135"/>
      <c r="CT1" s="135"/>
      <c r="CW1" s="135" t="s">
        <v>259</v>
      </c>
      <c r="CX1" s="135"/>
      <c r="CZ1" s="135"/>
      <c r="DB1" s="135"/>
      <c r="DD1" s="155" t="s">
        <v>260</v>
      </c>
      <c r="DF1" s="135"/>
      <c r="DH1" s="135"/>
      <c r="DJ1" s="135"/>
      <c r="DL1" s="135"/>
    </row>
    <row r="2" spans="1:117" s="5" customFormat="1" x14ac:dyDescent="0.35">
      <c r="A2" s="85" t="s">
        <v>145</v>
      </c>
      <c r="B2" s="86"/>
      <c r="D2" s="120" t="s">
        <v>204</v>
      </c>
      <c r="E2" s="120">
        <v>24559.65</v>
      </c>
      <c r="G2" s="120" t="s">
        <v>222</v>
      </c>
      <c r="H2" s="120">
        <v>1357</v>
      </c>
      <c r="J2" s="120" t="s">
        <v>184</v>
      </c>
      <c r="K2" s="120">
        <v>414</v>
      </c>
      <c r="M2" s="70" t="s">
        <v>144</v>
      </c>
      <c r="N2" s="71" t="s">
        <v>152</v>
      </c>
      <c r="O2" s="71" t="s">
        <v>139</v>
      </c>
      <c r="P2" s="71" t="s">
        <v>140</v>
      </c>
      <c r="Q2" s="72" t="s">
        <v>155</v>
      </c>
      <c r="R2" s="72" t="s">
        <v>151</v>
      </c>
      <c r="S2" s="73" t="s">
        <v>58</v>
      </c>
      <c r="T2" s="74" t="s">
        <v>153</v>
      </c>
      <c r="U2" s="74" t="s">
        <v>142</v>
      </c>
      <c r="V2" s="74" t="s">
        <v>165</v>
      </c>
      <c r="W2" s="74" t="s">
        <v>166</v>
      </c>
      <c r="X2" s="74" t="s">
        <v>167</v>
      </c>
      <c r="Y2" s="75" t="s">
        <v>156</v>
      </c>
      <c r="Z2" s="75" t="s">
        <v>154</v>
      </c>
      <c r="AA2" s="74" t="s">
        <v>60</v>
      </c>
      <c r="AB2" s="76"/>
      <c r="AC2" s="113" t="s">
        <v>152</v>
      </c>
      <c r="AD2" s="119" t="s">
        <v>162</v>
      </c>
      <c r="AE2" s="122" t="s">
        <v>161</v>
      </c>
      <c r="AF2" s="119" t="s">
        <v>162</v>
      </c>
      <c r="AG2" s="122" t="s">
        <v>216</v>
      </c>
      <c r="AH2" s="119" t="s">
        <v>162</v>
      </c>
      <c r="AI2" s="70" t="s">
        <v>153</v>
      </c>
      <c r="AJ2" s="133" t="s">
        <v>162</v>
      </c>
      <c r="AK2" s="70" t="s">
        <v>163</v>
      </c>
      <c r="AL2" s="133" t="s">
        <v>180</v>
      </c>
      <c r="AM2" s="70" t="s">
        <v>188</v>
      </c>
      <c r="AN2" s="132" t="s">
        <v>162</v>
      </c>
      <c r="AO2" s="70" t="s">
        <v>198</v>
      </c>
      <c r="AP2" s="132" t="s">
        <v>162</v>
      </c>
      <c r="AQ2" s="76"/>
      <c r="AR2" s="96" t="s">
        <v>206</v>
      </c>
      <c r="AS2" s="99" t="s">
        <v>207</v>
      </c>
      <c r="AT2" s="96" t="s">
        <v>208</v>
      </c>
      <c r="AU2" s="136" t="s">
        <v>182</v>
      </c>
      <c r="AV2" s="137" t="s">
        <v>181</v>
      </c>
      <c r="AW2" s="136" t="s">
        <v>242</v>
      </c>
      <c r="AX2" s="96" t="s">
        <v>165</v>
      </c>
      <c r="AY2" s="138" t="s">
        <v>166</v>
      </c>
      <c r="AZ2" s="102" t="s">
        <v>181</v>
      </c>
      <c r="BA2" s="103" t="s">
        <v>182</v>
      </c>
      <c r="BB2" s="96" t="s">
        <v>187</v>
      </c>
      <c r="BC2" s="99" t="s">
        <v>189</v>
      </c>
      <c r="BD2" s="129" t="s">
        <v>182</v>
      </c>
      <c r="BE2" s="130" t="s">
        <v>238</v>
      </c>
      <c r="BG2" s="113" t="s">
        <v>174</v>
      </c>
      <c r="BH2" s="119" t="s">
        <v>162</v>
      </c>
      <c r="BI2" s="113" t="s">
        <v>177</v>
      </c>
      <c r="BJ2" s="133" t="s">
        <v>162</v>
      </c>
      <c r="BK2" s="113" t="s">
        <v>190</v>
      </c>
      <c r="BL2" s="132" t="s">
        <v>162</v>
      </c>
      <c r="BN2" s="19" t="s">
        <v>185</v>
      </c>
      <c r="BO2" s="132" t="s">
        <v>162</v>
      </c>
      <c r="BP2" s="5" t="s">
        <v>108</v>
      </c>
      <c r="BQ2" s="141" t="s">
        <v>219</v>
      </c>
      <c r="BR2" s="19" t="s">
        <v>217</v>
      </c>
      <c r="BS2" s="146" t="s">
        <v>218</v>
      </c>
      <c r="BT2" s="139" t="s">
        <v>243</v>
      </c>
      <c r="BU2" s="147" t="s">
        <v>244</v>
      </c>
      <c r="BV2" s="141" t="s">
        <v>230</v>
      </c>
      <c r="BW2" s="19" t="s">
        <v>231</v>
      </c>
      <c r="BX2" s="146" t="s">
        <v>232</v>
      </c>
      <c r="BY2" s="141" t="s">
        <v>233</v>
      </c>
      <c r="BZ2" s="140" t="s">
        <v>243</v>
      </c>
      <c r="CA2" s="148" t="s">
        <v>244</v>
      </c>
      <c r="CB2" s="150" t="s">
        <v>255</v>
      </c>
      <c r="CC2" s="150" t="s">
        <v>256</v>
      </c>
      <c r="CE2" s="151" t="s">
        <v>247</v>
      </c>
      <c r="CF2" s="150" t="s">
        <v>247</v>
      </c>
      <c r="CG2" s="151" t="s">
        <v>248</v>
      </c>
      <c r="CH2" s="150" t="s">
        <v>248</v>
      </c>
      <c r="CI2" s="151" t="s">
        <v>249</v>
      </c>
      <c r="CJ2" s="150" t="s">
        <v>248</v>
      </c>
      <c r="CK2" s="151" t="s">
        <v>250</v>
      </c>
      <c r="CL2" s="150" t="s">
        <v>248</v>
      </c>
      <c r="CM2" s="151" t="s">
        <v>251</v>
      </c>
      <c r="CN2" s="150" t="s">
        <v>248</v>
      </c>
      <c r="CO2" s="151" t="s">
        <v>252</v>
      </c>
      <c r="CP2" s="150" t="s">
        <v>248</v>
      </c>
      <c r="CQ2" s="151" t="s">
        <v>253</v>
      </c>
      <c r="CR2" s="150" t="s">
        <v>248</v>
      </c>
      <c r="CS2" s="151" t="s">
        <v>254</v>
      </c>
      <c r="CT2" s="152" t="s">
        <v>248</v>
      </c>
      <c r="CU2" s="134" t="s">
        <v>257</v>
      </c>
      <c r="CW2" s="151" t="s">
        <v>247</v>
      </c>
      <c r="CX2" s="150" t="s">
        <v>247</v>
      </c>
      <c r="CY2" s="151" t="s">
        <v>248</v>
      </c>
      <c r="CZ2" s="150" t="s">
        <v>248</v>
      </c>
      <c r="DA2" s="151" t="s">
        <v>249</v>
      </c>
      <c r="DB2" s="150" t="s">
        <v>248</v>
      </c>
      <c r="DC2" s="151" t="s">
        <v>250</v>
      </c>
      <c r="DD2" s="150" t="s">
        <v>248</v>
      </c>
      <c r="DE2" s="151" t="s">
        <v>251</v>
      </c>
      <c r="DF2" s="150" t="s">
        <v>248</v>
      </c>
      <c r="DG2" s="151" t="s">
        <v>252</v>
      </c>
      <c r="DH2" s="150" t="s">
        <v>248</v>
      </c>
      <c r="DI2" s="151" t="s">
        <v>253</v>
      </c>
      <c r="DJ2" s="150" t="s">
        <v>248</v>
      </c>
      <c r="DK2" s="151" t="s">
        <v>254</v>
      </c>
      <c r="DL2" s="152" t="s">
        <v>248</v>
      </c>
      <c r="DM2" s="134" t="s">
        <v>261</v>
      </c>
    </row>
    <row r="3" spans="1:117" s="5" customFormat="1" x14ac:dyDescent="0.35">
      <c r="A3" s="123" t="s">
        <v>148</v>
      </c>
      <c r="B3" s="121">
        <v>83000</v>
      </c>
      <c r="D3" s="120" t="s">
        <v>205</v>
      </c>
      <c r="E3" s="120">
        <v>4207.0280000000002</v>
      </c>
      <c r="G3" s="120" t="s">
        <v>223</v>
      </c>
      <c r="H3" s="120">
        <v>468.99599999999998</v>
      </c>
      <c r="J3" s="120" t="s">
        <v>185</v>
      </c>
      <c r="K3" s="120">
        <v>69619.971000000005</v>
      </c>
      <c r="M3" s="77">
        <f>1</f>
        <v>1</v>
      </c>
      <c r="N3" s="78">
        <v>0</v>
      </c>
      <c r="O3" s="79">
        <v>0</v>
      </c>
      <c r="P3" s="79">
        <v>0</v>
      </c>
      <c r="Q3" s="79">
        <v>31741.699000000001</v>
      </c>
      <c r="R3" s="79">
        <v>1169.32010313</v>
      </c>
      <c r="S3" s="79">
        <f>Q3+R3</f>
        <v>32911.019103129998</v>
      </c>
      <c r="T3" s="78">
        <v>0</v>
      </c>
      <c r="U3" s="79">
        <v>0</v>
      </c>
      <c r="V3" s="79">
        <v>0.13200000000000001</v>
      </c>
      <c r="W3" s="79">
        <v>0.11900000000000001</v>
      </c>
      <c r="X3" s="79">
        <f>V3+W3</f>
        <v>0.251</v>
      </c>
      <c r="Y3" s="79">
        <v>5108.7860000000001</v>
      </c>
      <c r="Z3" s="79">
        <v>0</v>
      </c>
      <c r="AA3" s="80">
        <f>Y3+Z3</f>
        <v>5108.7860000000001</v>
      </c>
      <c r="AB3" s="79"/>
      <c r="AC3" s="88">
        <v>0</v>
      </c>
      <c r="AD3" s="94">
        <f>AC3/$E$5</f>
        <v>0</v>
      </c>
      <c r="AE3" s="89">
        <v>0</v>
      </c>
      <c r="AF3" s="94">
        <f>AE3/$E$8</f>
        <v>0</v>
      </c>
      <c r="AG3" s="89">
        <v>0</v>
      </c>
      <c r="AH3" s="94">
        <f>AG3/$E$17</f>
        <v>0</v>
      </c>
      <c r="AI3" s="89">
        <v>0</v>
      </c>
      <c r="AJ3" s="94">
        <f>AI3/$B$6</f>
        <v>0</v>
      </c>
      <c r="AK3" s="89">
        <v>0</v>
      </c>
      <c r="AL3" s="94">
        <f>AK3/$B$7</f>
        <v>0</v>
      </c>
      <c r="AM3" s="89">
        <v>0</v>
      </c>
      <c r="AN3" s="94">
        <f>AM3/$K$6</f>
        <v>0</v>
      </c>
      <c r="AO3" s="89">
        <v>0</v>
      </c>
      <c r="AP3" s="94">
        <f>AO3/$K$16</f>
        <v>0</v>
      </c>
      <c r="AQ3" s="79"/>
      <c r="AR3" s="88">
        <v>24474.945</v>
      </c>
      <c r="AS3" s="76">
        <v>1267.3</v>
      </c>
      <c r="AT3" s="88">
        <v>275.5</v>
      </c>
      <c r="AU3" s="100">
        <f>AR3/$E$4</f>
        <v>0.27499999999999997</v>
      </c>
      <c r="AV3" s="100">
        <f>AS3/$E$6</f>
        <v>0.55099999999999993</v>
      </c>
      <c r="AW3" s="100">
        <f>AT3/$E$7</f>
        <v>0.55100000000000005</v>
      </c>
      <c r="AX3" s="94">
        <v>85.272000000000006</v>
      </c>
      <c r="AY3" s="76">
        <v>1385.5884000000001</v>
      </c>
      <c r="AZ3" s="100">
        <f>AX3/$B$9</f>
        <v>0.13200000000000001</v>
      </c>
      <c r="BA3" s="97">
        <f>AY3/$B$8</f>
        <v>0.11900000000000001</v>
      </c>
      <c r="BB3" s="88">
        <v>15208.6</v>
      </c>
      <c r="BC3" s="76">
        <v>13568.55</v>
      </c>
      <c r="BD3" s="100">
        <f>BB3/$K$5</f>
        <v>0.34100000000000003</v>
      </c>
      <c r="BE3" s="97">
        <f>BC3/$K$7</f>
        <v>0.57799999999999996</v>
      </c>
      <c r="BG3" s="88">
        <v>662.45600000000002</v>
      </c>
      <c r="BH3" s="114">
        <f>BG3/$B$10</f>
        <v>0.2690001867898939</v>
      </c>
      <c r="BI3" s="115">
        <v>863.94200000000001</v>
      </c>
      <c r="BJ3" s="114">
        <f>BI3/$B$11</f>
        <v>0.53761169881767268</v>
      </c>
      <c r="BK3" s="115">
        <v>1121.4780000000001</v>
      </c>
      <c r="BL3" s="114">
        <f>BK3/$K$8</f>
        <v>0.5784392407674851</v>
      </c>
      <c r="BN3" s="111">
        <v>51358.995000000003</v>
      </c>
      <c r="BO3" s="114">
        <f>BN3/$K$3</f>
        <v>0.73770491803278682</v>
      </c>
      <c r="BQ3" s="142">
        <v>10455.164000000001</v>
      </c>
      <c r="BR3" s="131">
        <v>0</v>
      </c>
      <c r="BS3" s="143">
        <v>0</v>
      </c>
      <c r="BT3" s="105">
        <f>BQ3/$E$20</f>
        <v>0.32071055214723926</v>
      </c>
      <c r="BU3" s="20">
        <f>BR3/$E$18+BS3/$E$19</f>
        <v>0</v>
      </c>
      <c r="BV3" s="2">
        <v>0</v>
      </c>
      <c r="BW3" s="2">
        <v>0</v>
      </c>
      <c r="BX3" s="2">
        <v>0</v>
      </c>
      <c r="BY3" s="2">
        <v>1409.6679999999999</v>
      </c>
      <c r="BZ3" s="105">
        <f>BY3/$H$17</f>
        <v>0.10459029529603799</v>
      </c>
      <c r="CA3" s="20">
        <f>BV3/$H$14+BW3/$H$15+BX3/$H$16</f>
        <v>0</v>
      </c>
      <c r="CB3" s="5">
        <v>10800</v>
      </c>
      <c r="CC3" s="5">
        <v>913.97115460999999</v>
      </c>
      <c r="CE3" s="108">
        <v>-700</v>
      </c>
      <c r="CF3" s="153">
        <f>IF(CE3&gt;0,CE3,0)</f>
        <v>0</v>
      </c>
      <c r="CG3" s="153">
        <v>4485</v>
      </c>
      <c r="CH3" s="153">
        <f>IF(CG3&gt;0,CG3,0)</f>
        <v>4485</v>
      </c>
      <c r="CI3" s="153">
        <v>0</v>
      </c>
      <c r="CJ3" s="153">
        <f>IF(CI3&gt;0,CI3,0)</f>
        <v>0</v>
      </c>
      <c r="CK3" s="153">
        <v>-5000</v>
      </c>
      <c r="CL3" s="153">
        <f>IF(CK3&gt;0,CK3,0)</f>
        <v>0</v>
      </c>
      <c r="CM3" s="153">
        <v>-716.91476567999996</v>
      </c>
      <c r="CN3" s="153">
        <f>IF(CM3&gt;0,CM3,0)</f>
        <v>0</v>
      </c>
      <c r="CO3" s="153">
        <v>-4000</v>
      </c>
      <c r="CP3" s="153">
        <f>IF(CO3&gt;0,CO3,0)</f>
        <v>0</v>
      </c>
      <c r="CQ3" s="153">
        <v>4800</v>
      </c>
      <c r="CR3" s="153">
        <f>IF(CQ3&gt;0,CQ3,0)</f>
        <v>4800</v>
      </c>
      <c r="CS3" s="153">
        <v>14492.933186640001</v>
      </c>
      <c r="CT3" s="153">
        <f>IF(CS3&gt;0,CS3,0)</f>
        <v>14492.933186640001</v>
      </c>
      <c r="CU3" s="107">
        <f>CF3+CH3+CJ3+CL3+CN3+CP3+CR3+CT3</f>
        <v>23777.933186640003</v>
      </c>
      <c r="CW3" s="108">
        <v>-700</v>
      </c>
      <c r="CX3" s="153">
        <f>IF(CW3&lt;0,-CW3,0)</f>
        <v>700</v>
      </c>
      <c r="CY3" s="153">
        <v>4485</v>
      </c>
      <c r="CZ3" s="153">
        <f>IF(CY3&lt;0,-CY3,0)</f>
        <v>0</v>
      </c>
      <c r="DA3" s="153">
        <v>0</v>
      </c>
      <c r="DB3" s="153">
        <f>IF(DA3&lt;0,-DA3,0)</f>
        <v>0</v>
      </c>
      <c r="DC3" s="153">
        <v>-5000</v>
      </c>
      <c r="DD3" s="153">
        <f>IF(DC3&lt;0,-DC3,0)</f>
        <v>5000</v>
      </c>
      <c r="DE3" s="153">
        <v>-716.91476567999996</v>
      </c>
      <c r="DF3" s="153">
        <f>IF(DE3&lt;0,-DE3,0)</f>
        <v>716.91476567999996</v>
      </c>
      <c r="DG3" s="153">
        <v>-4000</v>
      </c>
      <c r="DH3" s="153">
        <f>IF(DG3&lt;0,-DG3,0)</f>
        <v>4000</v>
      </c>
      <c r="DI3" s="153">
        <v>4800</v>
      </c>
      <c r="DJ3" s="153">
        <f>IF(DI3&lt;0,-DI3,0)</f>
        <v>0</v>
      </c>
      <c r="DK3" s="153">
        <v>14492.933186640001</v>
      </c>
      <c r="DL3" s="153">
        <f>IF(DK3&lt;0,-DK3,0)</f>
        <v>0</v>
      </c>
      <c r="DM3" s="107">
        <f>CX3+CZ3+DB3+DD3+DF3+DH3+DJ3+DL3</f>
        <v>10416.91476568</v>
      </c>
    </row>
    <row r="4" spans="1:117" s="5" customFormat="1" x14ac:dyDescent="0.35">
      <c r="A4" s="124" t="s">
        <v>147</v>
      </c>
      <c r="B4" s="90">
        <v>4805</v>
      </c>
      <c r="D4" s="120" t="s">
        <v>206</v>
      </c>
      <c r="E4" s="120">
        <v>88999.8</v>
      </c>
      <c r="G4" s="120" t="s">
        <v>166</v>
      </c>
      <c r="H4" s="120">
        <v>11643.6</v>
      </c>
      <c r="J4" s="120" t="s">
        <v>186</v>
      </c>
      <c r="K4" s="120">
        <v>1390</v>
      </c>
      <c r="M4" s="77">
        <f>1+M3</f>
        <v>2</v>
      </c>
      <c r="N4" s="78">
        <v>0</v>
      </c>
      <c r="O4" s="79">
        <v>0</v>
      </c>
      <c r="P4" s="79">
        <v>0</v>
      </c>
      <c r="Q4" s="79">
        <v>30099.562999999998</v>
      </c>
      <c r="R4" s="79">
        <v>888.66789827000002</v>
      </c>
      <c r="S4" s="79">
        <f t="shared" ref="S4:S67" si="0">Q4+R4</f>
        <v>30988.230898269998</v>
      </c>
      <c r="T4" s="78">
        <v>0</v>
      </c>
      <c r="U4" s="79">
        <v>0</v>
      </c>
      <c r="V4" s="79">
        <v>0.11799999999999999</v>
      </c>
      <c r="W4" s="79">
        <v>0.125</v>
      </c>
      <c r="X4" s="79">
        <f t="shared" ref="X4:X67" si="1">V4+W4</f>
        <v>0.24299999999999999</v>
      </c>
      <c r="Y4" s="79">
        <v>4819.1030000000001</v>
      </c>
      <c r="Z4" s="79">
        <v>0</v>
      </c>
      <c r="AA4" s="80">
        <f t="shared" ref="AA4:AA67" si="2">Y4+Z4</f>
        <v>4819.1030000000001</v>
      </c>
      <c r="AB4" s="79"/>
      <c r="AC4" s="88">
        <v>0</v>
      </c>
      <c r="AD4" s="94">
        <f t="shared" ref="AD4:AD67" si="3">AC4/$E$5</f>
        <v>0</v>
      </c>
      <c r="AE4" s="89">
        <v>0</v>
      </c>
      <c r="AF4" s="94">
        <f t="shared" ref="AF4:AF67" si="4">AE4/$E$8</f>
        <v>0</v>
      </c>
      <c r="AG4" s="89">
        <v>0</v>
      </c>
      <c r="AH4" s="94">
        <f t="shared" ref="AH4:AH67" si="5">AG4/$E$17</f>
        <v>0</v>
      </c>
      <c r="AI4" s="89">
        <v>0</v>
      </c>
      <c r="AJ4" s="94">
        <f>AI4/$B$6</f>
        <v>0</v>
      </c>
      <c r="AK4" s="89">
        <v>0</v>
      </c>
      <c r="AL4" s="94">
        <f>AK4/$B$7</f>
        <v>0</v>
      </c>
      <c r="AM4" s="89">
        <v>0</v>
      </c>
      <c r="AN4" s="94">
        <f t="shared" ref="AN4:AN67" si="6">AM4/$K$6</f>
        <v>0</v>
      </c>
      <c r="AO4" s="89">
        <v>0</v>
      </c>
      <c r="AP4" s="94">
        <f t="shared" ref="AP4:AP67" si="7">AO4/$K$16</f>
        <v>0</v>
      </c>
      <c r="AQ4" s="79"/>
      <c r="AR4" s="88">
        <v>26165.941200000001</v>
      </c>
      <c r="AS4" s="76">
        <v>1400.7</v>
      </c>
      <c r="AT4" s="88">
        <v>304.5</v>
      </c>
      <c r="AU4" s="100">
        <f t="shared" ref="AU4:AU67" si="8">AR4/$E$4</f>
        <v>0.29399999999999998</v>
      </c>
      <c r="AV4" s="100">
        <f t="shared" ref="AV4:AV67" si="9">AS4/$E$6</f>
        <v>0.60899999999999999</v>
      </c>
      <c r="AW4" s="100">
        <f t="shared" ref="AW4:AW67" si="10">AT4/$E$7</f>
        <v>0.60899999999999999</v>
      </c>
      <c r="AX4" s="94">
        <v>76.227999999999994</v>
      </c>
      <c r="AY4" s="76">
        <v>1455.45</v>
      </c>
      <c r="AZ4" s="100">
        <f>AX4/$B$9</f>
        <v>0.11799999999999999</v>
      </c>
      <c r="BA4" s="97">
        <f>AY4/$B$8</f>
        <v>0.125</v>
      </c>
      <c r="BB4" s="88">
        <v>16591.2</v>
      </c>
      <c r="BC4" s="76">
        <v>16127.325000000001</v>
      </c>
      <c r="BD4" s="100">
        <f t="shared" ref="BD4:BD67" si="11">BB4/$K$5</f>
        <v>0.372</v>
      </c>
      <c r="BE4" s="97">
        <f t="shared" ref="BE4:BE67" si="12">BC4/$K$7</f>
        <v>0.68700000000000006</v>
      </c>
      <c r="BG4" s="88">
        <v>657.53</v>
      </c>
      <c r="BH4" s="114">
        <f>BG4/$B$10</f>
        <v>0.26699991066570294</v>
      </c>
      <c r="BI4" s="115">
        <v>857.85199999999998</v>
      </c>
      <c r="BJ4" s="114">
        <f>BI4/$B$11</f>
        <v>0.53382202862476658</v>
      </c>
      <c r="BK4" s="115">
        <v>1121.4780000000001</v>
      </c>
      <c r="BL4" s="114">
        <f t="shared" ref="BL4:BL67" si="13">BK4/$K$8</f>
        <v>0.5784392407674851</v>
      </c>
      <c r="BN4" s="111">
        <v>51358.995000000003</v>
      </c>
      <c r="BO4" s="114">
        <f t="shared" ref="BO4:BO67" si="14">BN4/$K$3</f>
        <v>0.73770491803278682</v>
      </c>
      <c r="BQ4" s="142">
        <v>11188.316999999999</v>
      </c>
      <c r="BR4" s="131">
        <v>0</v>
      </c>
      <c r="BS4" s="143">
        <v>0</v>
      </c>
      <c r="BT4" s="105">
        <f t="shared" ref="BT4:BT67" si="15">BQ4/$E$20</f>
        <v>0.34319990797546007</v>
      </c>
      <c r="BU4" s="20">
        <f t="shared" ref="BU4:BU67" si="16">BR4/$E$18+BS4/$E$19</f>
        <v>0</v>
      </c>
      <c r="BV4" s="2">
        <v>0</v>
      </c>
      <c r="BW4" s="2">
        <v>0</v>
      </c>
      <c r="BX4" s="2">
        <v>0</v>
      </c>
      <c r="BY4" s="2">
        <v>1295.2329999999999</v>
      </c>
      <c r="BZ4" s="105">
        <f t="shared" ref="BZ4:BZ67" si="17">BY4/$H$17</f>
        <v>9.6099792254043623E-2</v>
      </c>
      <c r="CA4" s="20">
        <f t="shared" ref="CA4:CA67" si="18">BV4/$H$14+BW4/$H$15+BX4/$H$16</f>
        <v>0</v>
      </c>
      <c r="CB4" s="5">
        <v>10800</v>
      </c>
      <c r="CC4" s="5">
        <v>913.97115460999999</v>
      </c>
      <c r="CE4" s="108">
        <v>-700</v>
      </c>
      <c r="CF4" s="153">
        <f t="shared" ref="CF4:CH67" si="19">IF(CE4&gt;0,CE4,0)</f>
        <v>0</v>
      </c>
      <c r="CG4" s="153">
        <v>4485</v>
      </c>
      <c r="CH4" s="153">
        <f t="shared" si="19"/>
        <v>4485</v>
      </c>
      <c r="CI4" s="153">
        <v>0</v>
      </c>
      <c r="CJ4" s="153">
        <f t="shared" ref="CJ4:CL4" si="20">IF(CI4&gt;0,CI4,0)</f>
        <v>0</v>
      </c>
      <c r="CK4" s="153">
        <v>-5000</v>
      </c>
      <c r="CL4" s="153">
        <f t="shared" si="20"/>
        <v>0</v>
      </c>
      <c r="CM4" s="153">
        <v>0</v>
      </c>
      <c r="CN4" s="153">
        <f t="shared" ref="CN4:CP4" si="21">IF(CM4&gt;0,CM4,0)</f>
        <v>0</v>
      </c>
      <c r="CO4" s="153">
        <v>-4000</v>
      </c>
      <c r="CP4" s="153">
        <f t="shared" si="21"/>
        <v>0</v>
      </c>
      <c r="CQ4" s="153">
        <v>4800</v>
      </c>
      <c r="CR4" s="153">
        <f t="shared" ref="CR4:CT4" si="22">IF(CQ4&gt;0,CQ4,0)</f>
        <v>4800</v>
      </c>
      <c r="CS4" s="153">
        <v>10757.921540130001</v>
      </c>
      <c r="CT4" s="153">
        <f t="shared" si="22"/>
        <v>10757.921540130001</v>
      </c>
      <c r="CU4" s="107">
        <f t="shared" ref="CU4:CU67" si="23">CF4+CH4+CJ4+CL4+CN4+CP4+CR4+CT4</f>
        <v>20042.921540130003</v>
      </c>
      <c r="CW4" s="108">
        <v>-700</v>
      </c>
      <c r="CX4" s="153">
        <f t="shared" ref="CX4:CZ67" si="24">IF(CW4&lt;0,-CW4,0)</f>
        <v>700</v>
      </c>
      <c r="CY4" s="153">
        <v>4485</v>
      </c>
      <c r="CZ4" s="153">
        <f t="shared" si="24"/>
        <v>0</v>
      </c>
      <c r="DA4" s="153">
        <v>0</v>
      </c>
      <c r="DB4" s="153">
        <f t="shared" ref="DB4:DD4" si="25">IF(DA4&lt;0,-DA4,0)</f>
        <v>0</v>
      </c>
      <c r="DC4" s="153">
        <v>-5000</v>
      </c>
      <c r="DD4" s="153">
        <f t="shared" si="25"/>
        <v>5000</v>
      </c>
      <c r="DE4" s="153">
        <v>0</v>
      </c>
      <c r="DF4" s="153">
        <f t="shared" ref="DF4:DH4" si="26">IF(DE4&lt;0,-DE4,0)</f>
        <v>0</v>
      </c>
      <c r="DG4" s="153">
        <v>-4000</v>
      </c>
      <c r="DH4" s="153">
        <f t="shared" si="26"/>
        <v>4000</v>
      </c>
      <c r="DI4" s="153">
        <v>4800</v>
      </c>
      <c r="DJ4" s="153">
        <f t="shared" ref="DJ4:DL4" si="27">IF(DI4&lt;0,-DI4,0)</f>
        <v>0</v>
      </c>
      <c r="DK4" s="153">
        <v>10757.921540130001</v>
      </c>
      <c r="DL4" s="153">
        <f t="shared" si="27"/>
        <v>0</v>
      </c>
      <c r="DM4" s="107">
        <f t="shared" ref="DM4:DM67" si="28">CX4+CZ4+DB4+DD4+DF4+DH4+DJ4+DL4</f>
        <v>9700</v>
      </c>
    </row>
    <row r="5" spans="1:117" s="5" customFormat="1" x14ac:dyDescent="0.35">
      <c r="A5" s="125" t="s">
        <v>146</v>
      </c>
      <c r="B5" s="93">
        <v>30000</v>
      </c>
      <c r="D5" s="120" t="s">
        <v>152</v>
      </c>
      <c r="E5" s="120">
        <v>83000</v>
      </c>
      <c r="G5" s="120" t="s">
        <v>153</v>
      </c>
      <c r="H5" s="120">
        <v>14378.2</v>
      </c>
      <c r="J5" s="120" t="s">
        <v>187</v>
      </c>
      <c r="K5" s="120">
        <v>44600</v>
      </c>
      <c r="M5" s="77">
        <f t="shared" ref="M5:M68" si="29">1+M4</f>
        <v>3</v>
      </c>
      <c r="N5" s="78">
        <v>0</v>
      </c>
      <c r="O5" s="79">
        <v>0</v>
      </c>
      <c r="P5" s="79">
        <v>0</v>
      </c>
      <c r="Q5" s="79">
        <v>28885.16</v>
      </c>
      <c r="R5" s="79">
        <v>1460.14500662</v>
      </c>
      <c r="S5" s="79">
        <f t="shared" si="0"/>
        <v>30345.305006620001</v>
      </c>
      <c r="T5" s="78">
        <v>0</v>
      </c>
      <c r="U5" s="79">
        <v>0</v>
      </c>
      <c r="V5" s="79">
        <v>0.11</v>
      </c>
      <c r="W5" s="79">
        <v>0.13699999999999998</v>
      </c>
      <c r="X5" s="79">
        <f t="shared" si="1"/>
        <v>0.247</v>
      </c>
      <c r="Y5" s="79">
        <v>4387.7039999999997</v>
      </c>
      <c r="Z5" s="79">
        <v>0</v>
      </c>
      <c r="AA5" s="80">
        <f t="shared" si="2"/>
        <v>4387.7039999999997</v>
      </c>
      <c r="AB5" s="79"/>
      <c r="AC5" s="88">
        <v>0</v>
      </c>
      <c r="AD5" s="94">
        <f t="shared" si="3"/>
        <v>0</v>
      </c>
      <c r="AE5" s="89">
        <v>0</v>
      </c>
      <c r="AF5" s="94">
        <f t="shared" si="4"/>
        <v>0</v>
      </c>
      <c r="AG5" s="89">
        <v>0</v>
      </c>
      <c r="AH5" s="94">
        <f t="shared" si="5"/>
        <v>0</v>
      </c>
      <c r="AI5" s="89">
        <v>0</v>
      </c>
      <c r="AJ5" s="94">
        <f>AI5/$B$6</f>
        <v>0</v>
      </c>
      <c r="AK5" s="89">
        <v>0</v>
      </c>
      <c r="AL5" s="94">
        <f>AK5/$B$7</f>
        <v>0</v>
      </c>
      <c r="AM5" s="89">
        <v>0</v>
      </c>
      <c r="AN5" s="94">
        <f t="shared" si="6"/>
        <v>0</v>
      </c>
      <c r="AO5" s="89">
        <v>0</v>
      </c>
      <c r="AP5" s="94">
        <f t="shared" si="7"/>
        <v>0</v>
      </c>
      <c r="AQ5" s="79"/>
      <c r="AR5" s="88">
        <v>26610.940200000001</v>
      </c>
      <c r="AS5" s="76">
        <v>1465.1</v>
      </c>
      <c r="AT5" s="88">
        <v>318.5</v>
      </c>
      <c r="AU5" s="100">
        <f t="shared" si="8"/>
        <v>0.29899999999999999</v>
      </c>
      <c r="AV5" s="100">
        <f t="shared" si="9"/>
        <v>0.63700000000000001</v>
      </c>
      <c r="AW5" s="100">
        <f t="shared" si="10"/>
        <v>0.63700000000000001</v>
      </c>
      <c r="AX5" s="94">
        <v>71.06</v>
      </c>
      <c r="AY5" s="76">
        <v>1595.1732</v>
      </c>
      <c r="AZ5" s="100">
        <f>AX5/$B$9</f>
        <v>0.11</v>
      </c>
      <c r="BA5" s="97">
        <f>AY5/$B$8</f>
        <v>0.13699999999999998</v>
      </c>
      <c r="BB5" s="88">
        <v>18375.2</v>
      </c>
      <c r="BC5" s="76">
        <v>17653.2</v>
      </c>
      <c r="BD5" s="100">
        <f t="shared" si="11"/>
        <v>0.41200000000000003</v>
      </c>
      <c r="BE5" s="97">
        <f t="shared" si="12"/>
        <v>0.752</v>
      </c>
      <c r="BG5" s="88">
        <v>652.60500000000002</v>
      </c>
      <c r="BH5" s="114">
        <f>BG5/$B$10</f>
        <v>0.26500004060649868</v>
      </c>
      <c r="BI5" s="115">
        <v>856.53800000000001</v>
      </c>
      <c r="BJ5" s="114">
        <f>BI5/$B$11</f>
        <v>0.53300435594275042</v>
      </c>
      <c r="BK5" s="115">
        <v>1121.4780000000001</v>
      </c>
      <c r="BL5" s="114">
        <f t="shared" si="13"/>
        <v>0.5784392407674851</v>
      </c>
      <c r="BN5" s="111">
        <v>51358.995000000003</v>
      </c>
      <c r="BO5" s="114">
        <f t="shared" si="14"/>
        <v>0.73770491803278682</v>
      </c>
      <c r="BQ5" s="142">
        <v>11379.209000000001</v>
      </c>
      <c r="BR5" s="131">
        <v>0</v>
      </c>
      <c r="BS5" s="143">
        <v>0</v>
      </c>
      <c r="BT5" s="105">
        <f t="shared" si="15"/>
        <v>0.34905549079754605</v>
      </c>
      <c r="BU5" s="20">
        <f t="shared" si="16"/>
        <v>0</v>
      </c>
      <c r="BV5" s="2">
        <v>0</v>
      </c>
      <c r="BW5" s="2">
        <v>0</v>
      </c>
      <c r="BX5" s="2">
        <v>0</v>
      </c>
      <c r="BY5" s="2">
        <v>1219.3710000000001</v>
      </c>
      <c r="BZ5" s="105">
        <f t="shared" si="17"/>
        <v>9.047121234604541E-2</v>
      </c>
      <c r="CA5" s="20">
        <f t="shared" si="18"/>
        <v>0</v>
      </c>
      <c r="CB5" s="5">
        <v>10800</v>
      </c>
      <c r="CC5" s="5">
        <v>913.97115460999999</v>
      </c>
      <c r="CE5" s="108">
        <v>-700</v>
      </c>
      <c r="CF5" s="153">
        <f t="shared" si="19"/>
        <v>0</v>
      </c>
      <c r="CG5" s="153">
        <v>4485</v>
      </c>
      <c r="CH5" s="153">
        <f t="shared" si="19"/>
        <v>4485</v>
      </c>
      <c r="CI5" s="153">
        <v>0</v>
      </c>
      <c r="CJ5" s="153">
        <f t="shared" ref="CJ5:CL5" si="30">IF(CI5&gt;0,CI5,0)</f>
        <v>0</v>
      </c>
      <c r="CK5" s="153">
        <v>-5000</v>
      </c>
      <c r="CL5" s="153">
        <f t="shared" si="30"/>
        <v>0</v>
      </c>
      <c r="CM5" s="153">
        <v>-2222.6190378800002</v>
      </c>
      <c r="CN5" s="153">
        <f t="shared" ref="CN5:CP5" si="31">IF(CM5&gt;0,CM5,0)</f>
        <v>0</v>
      </c>
      <c r="CO5" s="153">
        <v>-4000</v>
      </c>
      <c r="CP5" s="153">
        <f t="shared" si="31"/>
        <v>0</v>
      </c>
      <c r="CQ5" s="153">
        <v>4800</v>
      </c>
      <c r="CR5" s="153">
        <f t="shared" ref="CR5:CT5" si="32">IF(CQ5&gt;0,CQ5,0)</f>
        <v>4800</v>
      </c>
      <c r="CS5" s="153">
        <v>10279.41041857</v>
      </c>
      <c r="CT5" s="153">
        <f t="shared" si="32"/>
        <v>10279.41041857</v>
      </c>
      <c r="CU5" s="107">
        <f t="shared" si="23"/>
        <v>19564.410418569998</v>
      </c>
      <c r="CW5" s="108">
        <v>-700</v>
      </c>
      <c r="CX5" s="153">
        <f t="shared" si="24"/>
        <v>700</v>
      </c>
      <c r="CY5" s="153">
        <v>4485</v>
      </c>
      <c r="CZ5" s="153">
        <f t="shared" si="24"/>
        <v>0</v>
      </c>
      <c r="DA5" s="153">
        <v>0</v>
      </c>
      <c r="DB5" s="153">
        <f t="shared" ref="DB5:DD5" si="33">IF(DA5&lt;0,-DA5,0)</f>
        <v>0</v>
      </c>
      <c r="DC5" s="153">
        <v>-5000</v>
      </c>
      <c r="DD5" s="153">
        <f t="shared" si="33"/>
        <v>5000</v>
      </c>
      <c r="DE5" s="153">
        <v>-2222.6190378800002</v>
      </c>
      <c r="DF5" s="153">
        <f t="shared" ref="DF5:DH5" si="34">IF(DE5&lt;0,-DE5,0)</f>
        <v>2222.6190378800002</v>
      </c>
      <c r="DG5" s="153">
        <v>-4000</v>
      </c>
      <c r="DH5" s="153">
        <f t="shared" si="34"/>
        <v>4000</v>
      </c>
      <c r="DI5" s="153">
        <v>4800</v>
      </c>
      <c r="DJ5" s="153">
        <f t="shared" ref="DJ5:DL5" si="35">IF(DI5&lt;0,-DI5,0)</f>
        <v>0</v>
      </c>
      <c r="DK5" s="153">
        <v>10279.41041857</v>
      </c>
      <c r="DL5" s="153">
        <f t="shared" si="35"/>
        <v>0</v>
      </c>
      <c r="DM5" s="107">
        <f t="shared" si="28"/>
        <v>11922.61903788</v>
      </c>
    </row>
    <row r="6" spans="1:117" s="5" customFormat="1" x14ac:dyDescent="0.35">
      <c r="A6" s="123" t="s">
        <v>149</v>
      </c>
      <c r="B6" s="121">
        <v>14378.2</v>
      </c>
      <c r="D6" s="120" t="s">
        <v>207</v>
      </c>
      <c r="E6" s="120">
        <v>2300</v>
      </c>
      <c r="G6" s="120" t="s">
        <v>165</v>
      </c>
      <c r="H6" s="120">
        <v>646</v>
      </c>
      <c r="J6" s="120" t="s">
        <v>188</v>
      </c>
      <c r="K6" s="120">
        <v>51420</v>
      </c>
      <c r="M6" s="77">
        <f t="shared" si="29"/>
        <v>4</v>
      </c>
      <c r="N6" s="78">
        <v>0</v>
      </c>
      <c r="O6" s="79">
        <v>0</v>
      </c>
      <c r="P6" s="79">
        <v>0</v>
      </c>
      <c r="Q6" s="79">
        <v>28278.065999999999</v>
      </c>
      <c r="R6" s="79">
        <v>2313.93280177</v>
      </c>
      <c r="S6" s="79">
        <f t="shared" si="0"/>
        <v>30591.998801769998</v>
      </c>
      <c r="T6" s="78">
        <v>0</v>
      </c>
      <c r="U6" s="79">
        <v>0</v>
      </c>
      <c r="V6" s="79">
        <v>0.105</v>
      </c>
      <c r="W6" s="79">
        <v>0.153</v>
      </c>
      <c r="X6" s="79">
        <f t="shared" si="1"/>
        <v>0.25800000000000001</v>
      </c>
      <c r="Y6" s="79">
        <v>4234.8289999999997</v>
      </c>
      <c r="Z6" s="79">
        <v>0</v>
      </c>
      <c r="AA6" s="80">
        <f t="shared" si="2"/>
        <v>4234.8289999999997</v>
      </c>
      <c r="AB6" s="79"/>
      <c r="AC6" s="88">
        <v>0</v>
      </c>
      <c r="AD6" s="94">
        <f t="shared" si="3"/>
        <v>0</v>
      </c>
      <c r="AE6" s="89">
        <v>0</v>
      </c>
      <c r="AF6" s="94">
        <f t="shared" si="4"/>
        <v>0</v>
      </c>
      <c r="AG6" s="89">
        <v>0</v>
      </c>
      <c r="AH6" s="94">
        <f t="shared" si="5"/>
        <v>0</v>
      </c>
      <c r="AI6" s="89">
        <v>0</v>
      </c>
      <c r="AJ6" s="94">
        <f>AI6/$B$6</f>
        <v>0</v>
      </c>
      <c r="AK6" s="89">
        <v>0</v>
      </c>
      <c r="AL6" s="94">
        <f>AK6/$B$7</f>
        <v>0</v>
      </c>
      <c r="AM6" s="89">
        <v>0</v>
      </c>
      <c r="AN6" s="94">
        <f t="shared" si="6"/>
        <v>0</v>
      </c>
      <c r="AO6" s="89">
        <v>0</v>
      </c>
      <c r="AP6" s="94">
        <f t="shared" si="7"/>
        <v>0</v>
      </c>
      <c r="AQ6" s="79"/>
      <c r="AR6" s="88">
        <v>27322.938600000001</v>
      </c>
      <c r="AS6" s="76">
        <v>1460.5</v>
      </c>
      <c r="AT6" s="88">
        <v>317.5</v>
      </c>
      <c r="AU6" s="100">
        <f t="shared" si="8"/>
        <v>0.307</v>
      </c>
      <c r="AV6" s="100">
        <f t="shared" si="9"/>
        <v>0.63500000000000001</v>
      </c>
      <c r="AW6" s="100">
        <f t="shared" si="10"/>
        <v>0.63500000000000001</v>
      </c>
      <c r="AX6" s="94">
        <v>67.83</v>
      </c>
      <c r="AY6" s="76">
        <v>1781.4708000000001</v>
      </c>
      <c r="AZ6" s="100">
        <f>AX6/$B$9</f>
        <v>0.105</v>
      </c>
      <c r="BA6" s="97">
        <f>AY6/$B$8</f>
        <v>0.153</v>
      </c>
      <c r="BB6" s="88">
        <v>19534.8</v>
      </c>
      <c r="BC6" s="76">
        <v>18404.400000000001</v>
      </c>
      <c r="BD6" s="100">
        <f t="shared" si="11"/>
        <v>0.438</v>
      </c>
      <c r="BE6" s="97">
        <f t="shared" si="12"/>
        <v>0.78400000000000003</v>
      </c>
      <c r="BG6" s="88">
        <v>677.23099999999999</v>
      </c>
      <c r="BH6" s="114">
        <f>BG6/$B$10</f>
        <v>0.2749997969675067</v>
      </c>
      <c r="BI6" s="115">
        <v>866.279</v>
      </c>
      <c r="BJ6" s="114">
        <f>BI6/$B$11</f>
        <v>0.53906596141879282</v>
      </c>
      <c r="BK6" s="115">
        <v>1121.4780000000001</v>
      </c>
      <c r="BL6" s="114">
        <f t="shared" si="13"/>
        <v>0.5784392407674851</v>
      </c>
      <c r="BN6" s="111">
        <v>51358.995000000003</v>
      </c>
      <c r="BO6" s="114">
        <f t="shared" si="14"/>
        <v>0.73770491803278682</v>
      </c>
      <c r="BQ6" s="142">
        <v>11664.808999999999</v>
      </c>
      <c r="BR6" s="131">
        <v>0</v>
      </c>
      <c r="BS6" s="143">
        <v>0</v>
      </c>
      <c r="BT6" s="105">
        <f t="shared" si="15"/>
        <v>0.35781622699386501</v>
      </c>
      <c r="BU6" s="20">
        <f t="shared" si="16"/>
        <v>0</v>
      </c>
      <c r="BV6" s="2">
        <v>0</v>
      </c>
      <c r="BW6" s="2">
        <v>0</v>
      </c>
      <c r="BX6" s="2">
        <v>0</v>
      </c>
      <c r="BY6" s="2">
        <v>1148.32</v>
      </c>
      <c r="BZ6" s="105">
        <f t="shared" si="17"/>
        <v>8.5199584508087248E-2</v>
      </c>
      <c r="CA6" s="20">
        <f t="shared" si="18"/>
        <v>0</v>
      </c>
      <c r="CB6" s="5">
        <v>10800</v>
      </c>
      <c r="CC6" s="5">
        <v>913.97115460999999</v>
      </c>
      <c r="CE6" s="108">
        <v>-700</v>
      </c>
      <c r="CF6" s="153">
        <f t="shared" si="19"/>
        <v>0</v>
      </c>
      <c r="CG6" s="153">
        <v>4485</v>
      </c>
      <c r="CH6" s="153">
        <f t="shared" si="19"/>
        <v>4485</v>
      </c>
      <c r="CI6" s="153">
        <v>0</v>
      </c>
      <c r="CJ6" s="153">
        <f t="shared" ref="CJ6:CL6" si="36">IF(CI6&gt;0,CI6,0)</f>
        <v>0</v>
      </c>
      <c r="CK6" s="153">
        <v>-5000</v>
      </c>
      <c r="CL6" s="153">
        <f t="shared" si="36"/>
        <v>0</v>
      </c>
      <c r="CM6" s="153">
        <v>-1446.1602973500001</v>
      </c>
      <c r="CN6" s="153">
        <f t="shared" ref="CN6:CP6" si="37">IF(CM6&gt;0,CM6,0)</f>
        <v>0</v>
      </c>
      <c r="CO6" s="153">
        <v>-4000</v>
      </c>
      <c r="CP6" s="153">
        <f t="shared" si="37"/>
        <v>0</v>
      </c>
      <c r="CQ6" s="153">
        <v>4800</v>
      </c>
      <c r="CR6" s="153">
        <f t="shared" ref="CR6:CT6" si="38">IF(CQ6&gt;0,CQ6,0)</f>
        <v>4800</v>
      </c>
      <c r="CS6" s="153">
        <v>13335.643314000001</v>
      </c>
      <c r="CT6" s="153">
        <f t="shared" si="38"/>
        <v>13335.643314000001</v>
      </c>
      <c r="CU6" s="107">
        <f t="shared" si="23"/>
        <v>22620.643314000001</v>
      </c>
      <c r="CW6" s="108">
        <v>-700</v>
      </c>
      <c r="CX6" s="153">
        <f t="shared" si="24"/>
        <v>700</v>
      </c>
      <c r="CY6" s="153">
        <v>4485</v>
      </c>
      <c r="CZ6" s="153">
        <f t="shared" si="24"/>
        <v>0</v>
      </c>
      <c r="DA6" s="153">
        <v>0</v>
      </c>
      <c r="DB6" s="153">
        <f t="shared" ref="DB6:DD6" si="39">IF(DA6&lt;0,-DA6,0)</f>
        <v>0</v>
      </c>
      <c r="DC6" s="153">
        <v>-5000</v>
      </c>
      <c r="DD6" s="153">
        <f t="shared" si="39"/>
        <v>5000</v>
      </c>
      <c r="DE6" s="153">
        <v>-1446.1602973500001</v>
      </c>
      <c r="DF6" s="153">
        <f t="shared" ref="DF6:DH6" si="40">IF(DE6&lt;0,-DE6,0)</f>
        <v>1446.1602973500001</v>
      </c>
      <c r="DG6" s="153">
        <v>-4000</v>
      </c>
      <c r="DH6" s="153">
        <f t="shared" si="40"/>
        <v>4000</v>
      </c>
      <c r="DI6" s="153">
        <v>4800</v>
      </c>
      <c r="DJ6" s="153">
        <f t="shared" ref="DJ6:DL6" si="41">IF(DI6&lt;0,-DI6,0)</f>
        <v>0</v>
      </c>
      <c r="DK6" s="153">
        <v>13335.643314000001</v>
      </c>
      <c r="DL6" s="153">
        <f t="shared" si="41"/>
        <v>0</v>
      </c>
      <c r="DM6" s="107">
        <f t="shared" si="28"/>
        <v>11146.160297350001</v>
      </c>
    </row>
    <row r="7" spans="1:117" s="5" customFormat="1" x14ac:dyDescent="0.35">
      <c r="A7" s="125" t="s">
        <v>150</v>
      </c>
      <c r="B7" s="93">
        <v>9659.9</v>
      </c>
      <c r="D7" s="120" t="s">
        <v>208</v>
      </c>
      <c r="E7" s="120">
        <v>500</v>
      </c>
      <c r="G7" s="120" t="s">
        <v>224</v>
      </c>
      <c r="H7" s="120">
        <v>1607</v>
      </c>
      <c r="J7" s="120" t="s">
        <v>189</v>
      </c>
      <c r="K7" s="120">
        <v>23475</v>
      </c>
      <c r="M7" s="77">
        <f t="shared" si="29"/>
        <v>5</v>
      </c>
      <c r="N7" s="78">
        <v>0</v>
      </c>
      <c r="O7" s="79">
        <v>0</v>
      </c>
      <c r="P7" s="79">
        <v>0</v>
      </c>
      <c r="Q7" s="79">
        <v>28514.219000000001</v>
      </c>
      <c r="R7" s="79">
        <v>2602.54615109</v>
      </c>
      <c r="S7" s="79">
        <f t="shared" si="0"/>
        <v>31116.76515109</v>
      </c>
      <c r="T7" s="78">
        <v>0</v>
      </c>
      <c r="U7" s="79">
        <v>0</v>
      </c>
      <c r="V7" s="79">
        <v>0.10099999999999999</v>
      </c>
      <c r="W7" s="79">
        <v>0.16699999999999998</v>
      </c>
      <c r="X7" s="79">
        <f t="shared" si="1"/>
        <v>0.26799999999999996</v>
      </c>
      <c r="Y7" s="79">
        <v>4222.5379999999996</v>
      </c>
      <c r="Z7" s="79">
        <v>0</v>
      </c>
      <c r="AA7" s="80">
        <f t="shared" si="2"/>
        <v>4222.5379999999996</v>
      </c>
      <c r="AB7" s="79"/>
      <c r="AC7" s="88">
        <v>0</v>
      </c>
      <c r="AD7" s="94">
        <f t="shared" si="3"/>
        <v>0</v>
      </c>
      <c r="AE7" s="89">
        <v>0</v>
      </c>
      <c r="AF7" s="94">
        <f t="shared" si="4"/>
        <v>0</v>
      </c>
      <c r="AG7" s="89">
        <v>0</v>
      </c>
      <c r="AH7" s="94">
        <f t="shared" si="5"/>
        <v>0</v>
      </c>
      <c r="AI7" s="89">
        <v>0</v>
      </c>
      <c r="AJ7" s="94">
        <f>AI7/$B$6</f>
        <v>0</v>
      </c>
      <c r="AK7" s="89">
        <v>0</v>
      </c>
      <c r="AL7" s="94">
        <f>AK7/$B$7</f>
        <v>0</v>
      </c>
      <c r="AM7" s="89">
        <v>0</v>
      </c>
      <c r="AN7" s="94">
        <f t="shared" si="6"/>
        <v>0</v>
      </c>
      <c r="AO7" s="89">
        <v>0</v>
      </c>
      <c r="AP7" s="94">
        <f t="shared" si="7"/>
        <v>0</v>
      </c>
      <c r="AQ7" s="79"/>
      <c r="AR7" s="88">
        <v>28657.935600000001</v>
      </c>
      <c r="AS7" s="76">
        <v>1428.3</v>
      </c>
      <c r="AT7" s="88">
        <v>310.5</v>
      </c>
      <c r="AU7" s="100">
        <f t="shared" si="8"/>
        <v>0.32200000000000001</v>
      </c>
      <c r="AV7" s="100">
        <f t="shared" si="9"/>
        <v>0.621</v>
      </c>
      <c r="AW7" s="100">
        <f t="shared" si="10"/>
        <v>0.621</v>
      </c>
      <c r="AX7" s="94">
        <v>65.245999999999995</v>
      </c>
      <c r="AY7" s="76">
        <v>1944.4811999999999</v>
      </c>
      <c r="AZ7" s="100">
        <f>AX7/$B$9</f>
        <v>0.10099999999999999</v>
      </c>
      <c r="BA7" s="97">
        <f>AY7/$B$8</f>
        <v>0.16699999999999998</v>
      </c>
      <c r="BB7" s="88">
        <v>20560.599999999999</v>
      </c>
      <c r="BC7" s="76">
        <v>19132.125</v>
      </c>
      <c r="BD7" s="100">
        <f t="shared" si="11"/>
        <v>0.46099999999999997</v>
      </c>
      <c r="BE7" s="97">
        <f t="shared" si="12"/>
        <v>0.81499999999999995</v>
      </c>
      <c r="BG7" s="88">
        <v>687.08199999999999</v>
      </c>
      <c r="BH7" s="114">
        <f>BG7/$B$10</f>
        <v>0.27899994315090187</v>
      </c>
      <c r="BI7" s="115">
        <v>871.28399999999999</v>
      </c>
      <c r="BJ7" s="114">
        <f>BI7/$B$11</f>
        <v>0.54218046048537649</v>
      </c>
      <c r="BK7" s="115">
        <v>1121.4780000000001</v>
      </c>
      <c r="BL7" s="114">
        <f t="shared" si="13"/>
        <v>0.5784392407674851</v>
      </c>
      <c r="BN7" s="111">
        <v>51358.995000000003</v>
      </c>
      <c r="BO7" s="114">
        <f t="shared" si="14"/>
        <v>0.73770491803278682</v>
      </c>
      <c r="BQ7" s="142">
        <v>12228.816999999999</v>
      </c>
      <c r="BR7" s="131">
        <v>0</v>
      </c>
      <c r="BS7" s="143">
        <v>0</v>
      </c>
      <c r="BT7" s="105">
        <f t="shared" si="15"/>
        <v>0.37511708588957055</v>
      </c>
      <c r="BU7" s="20">
        <f t="shared" si="16"/>
        <v>0</v>
      </c>
      <c r="BV7" s="2">
        <v>0</v>
      </c>
      <c r="BW7" s="2">
        <v>0</v>
      </c>
      <c r="BX7" s="2">
        <v>0</v>
      </c>
      <c r="BY7" s="2">
        <v>1097.6030000000001</v>
      </c>
      <c r="BZ7" s="105">
        <f t="shared" si="17"/>
        <v>8.1436637483306137E-2</v>
      </c>
      <c r="CA7" s="20">
        <f t="shared" si="18"/>
        <v>0</v>
      </c>
      <c r="CB7" s="5">
        <v>10800</v>
      </c>
      <c r="CC7" s="5">
        <v>914.61887561000003</v>
      </c>
      <c r="CE7" s="108">
        <v>-700</v>
      </c>
      <c r="CF7" s="153">
        <f t="shared" si="19"/>
        <v>0</v>
      </c>
      <c r="CG7" s="153">
        <v>4485</v>
      </c>
      <c r="CH7" s="153">
        <f t="shared" si="19"/>
        <v>4485</v>
      </c>
      <c r="CI7" s="153">
        <v>0</v>
      </c>
      <c r="CJ7" s="153">
        <f t="shared" ref="CJ7:CL7" si="42">IF(CI7&gt;0,CI7,0)</f>
        <v>0</v>
      </c>
      <c r="CK7" s="153">
        <v>-5000</v>
      </c>
      <c r="CL7" s="153">
        <f t="shared" si="42"/>
        <v>0</v>
      </c>
      <c r="CM7" s="153">
        <v>-2137.9980652999998</v>
      </c>
      <c r="CN7" s="153">
        <f t="shared" ref="CN7:CP7" si="43">IF(CM7&gt;0,CM7,0)</f>
        <v>0</v>
      </c>
      <c r="CO7" s="153">
        <v>-4000</v>
      </c>
      <c r="CP7" s="153">
        <f t="shared" si="43"/>
        <v>0</v>
      </c>
      <c r="CQ7" s="153">
        <v>4800</v>
      </c>
      <c r="CR7" s="153">
        <f t="shared" ref="CR7:CT7" si="44">IF(CQ7&gt;0,CQ7,0)</f>
        <v>4800</v>
      </c>
      <c r="CS7" s="153">
        <v>12475.32154845</v>
      </c>
      <c r="CT7" s="153">
        <f t="shared" si="44"/>
        <v>12475.32154845</v>
      </c>
      <c r="CU7" s="107">
        <f t="shared" si="23"/>
        <v>21760.32154845</v>
      </c>
      <c r="CW7" s="108">
        <v>-700</v>
      </c>
      <c r="CX7" s="153">
        <f t="shared" si="24"/>
        <v>700</v>
      </c>
      <c r="CY7" s="153">
        <v>4485</v>
      </c>
      <c r="CZ7" s="153">
        <f t="shared" si="24"/>
        <v>0</v>
      </c>
      <c r="DA7" s="153">
        <v>0</v>
      </c>
      <c r="DB7" s="153">
        <f t="shared" ref="DB7:DD7" si="45">IF(DA7&lt;0,-DA7,0)</f>
        <v>0</v>
      </c>
      <c r="DC7" s="153">
        <v>-5000</v>
      </c>
      <c r="DD7" s="153">
        <f t="shared" si="45"/>
        <v>5000</v>
      </c>
      <c r="DE7" s="153">
        <v>-2137.9980652999998</v>
      </c>
      <c r="DF7" s="153">
        <f t="shared" ref="DF7:DH7" si="46">IF(DE7&lt;0,-DE7,0)</f>
        <v>2137.9980652999998</v>
      </c>
      <c r="DG7" s="153">
        <v>-4000</v>
      </c>
      <c r="DH7" s="153">
        <f t="shared" si="46"/>
        <v>4000</v>
      </c>
      <c r="DI7" s="153">
        <v>4800</v>
      </c>
      <c r="DJ7" s="153">
        <f t="shared" ref="DJ7:DL7" si="47">IF(DI7&lt;0,-DI7,0)</f>
        <v>0</v>
      </c>
      <c r="DK7" s="153">
        <v>12475.32154845</v>
      </c>
      <c r="DL7" s="153">
        <f t="shared" si="47"/>
        <v>0</v>
      </c>
      <c r="DM7" s="107">
        <f t="shared" si="28"/>
        <v>11837.9980653</v>
      </c>
    </row>
    <row r="8" spans="1:117" s="5" customFormat="1" x14ac:dyDescent="0.35">
      <c r="A8" s="123" t="s">
        <v>166</v>
      </c>
      <c r="B8" s="121">
        <v>11643.6</v>
      </c>
      <c r="D8" s="120" t="s">
        <v>161</v>
      </c>
      <c r="E8" s="120">
        <v>4805</v>
      </c>
      <c r="G8" s="120" t="s">
        <v>225</v>
      </c>
      <c r="H8" s="120">
        <v>508.3</v>
      </c>
      <c r="J8" s="120" t="s">
        <v>190</v>
      </c>
      <c r="K8" s="120">
        <v>1938.8</v>
      </c>
      <c r="M8" s="77">
        <f t="shared" si="29"/>
        <v>6</v>
      </c>
      <c r="N8" s="78">
        <v>0</v>
      </c>
      <c r="O8" s="79">
        <v>0</v>
      </c>
      <c r="P8" s="79">
        <v>0</v>
      </c>
      <c r="Q8" s="79">
        <v>29517.69</v>
      </c>
      <c r="R8" s="79">
        <v>2801.3606452399999</v>
      </c>
      <c r="S8" s="79">
        <f t="shared" si="0"/>
        <v>32319.05064524</v>
      </c>
      <c r="T8" s="78">
        <v>0</v>
      </c>
      <c r="U8" s="79">
        <v>0</v>
      </c>
      <c r="V8" s="79">
        <v>9.7000000000000003E-2</v>
      </c>
      <c r="W8" s="79">
        <v>0.17800000000000002</v>
      </c>
      <c r="X8" s="79">
        <f t="shared" si="1"/>
        <v>0.27500000000000002</v>
      </c>
      <c r="Y8" s="79">
        <v>4353.5569999999998</v>
      </c>
      <c r="Z8" s="79">
        <v>0</v>
      </c>
      <c r="AA8" s="80">
        <f t="shared" si="2"/>
        <v>4353.5569999999998</v>
      </c>
      <c r="AB8" s="79"/>
      <c r="AC8" s="88">
        <v>0</v>
      </c>
      <c r="AD8" s="94">
        <f t="shared" si="3"/>
        <v>0</v>
      </c>
      <c r="AE8" s="89">
        <v>0</v>
      </c>
      <c r="AF8" s="94">
        <f t="shared" si="4"/>
        <v>0</v>
      </c>
      <c r="AG8" s="89">
        <v>0</v>
      </c>
      <c r="AH8" s="94">
        <f t="shared" si="5"/>
        <v>0</v>
      </c>
      <c r="AI8" s="89">
        <v>0</v>
      </c>
      <c r="AJ8" s="94">
        <f>AI8/$B$6</f>
        <v>0</v>
      </c>
      <c r="AK8" s="89">
        <v>0</v>
      </c>
      <c r="AL8" s="94">
        <f>AK8/$B$7</f>
        <v>0</v>
      </c>
      <c r="AM8" s="89">
        <v>0</v>
      </c>
      <c r="AN8" s="94">
        <f t="shared" si="6"/>
        <v>0</v>
      </c>
      <c r="AO8" s="89">
        <v>0</v>
      </c>
      <c r="AP8" s="94">
        <f t="shared" si="7"/>
        <v>0</v>
      </c>
      <c r="AQ8" s="79"/>
      <c r="AR8" s="88">
        <v>28835.9352</v>
      </c>
      <c r="AS8" s="76">
        <v>1393.8</v>
      </c>
      <c r="AT8" s="88">
        <v>303</v>
      </c>
      <c r="AU8" s="100">
        <f t="shared" si="8"/>
        <v>0.32400000000000001</v>
      </c>
      <c r="AV8" s="100">
        <f t="shared" si="9"/>
        <v>0.60599999999999998</v>
      </c>
      <c r="AW8" s="100">
        <f t="shared" si="10"/>
        <v>0.60599999999999998</v>
      </c>
      <c r="AX8" s="94">
        <v>62.661999999999999</v>
      </c>
      <c r="AY8" s="76">
        <v>2072.5608000000002</v>
      </c>
      <c r="AZ8" s="100">
        <f>AX8/$B$9</f>
        <v>9.7000000000000003E-2</v>
      </c>
      <c r="BA8" s="97">
        <f>AY8/$B$8</f>
        <v>0.17800000000000002</v>
      </c>
      <c r="BB8" s="88">
        <v>21363.4</v>
      </c>
      <c r="BC8" s="76">
        <v>19578.150000000001</v>
      </c>
      <c r="BD8" s="100">
        <f t="shared" si="11"/>
        <v>0.47900000000000004</v>
      </c>
      <c r="BE8" s="97">
        <f t="shared" si="12"/>
        <v>0.83400000000000007</v>
      </c>
      <c r="BG8" s="88">
        <v>716.63400000000001</v>
      </c>
      <c r="BH8" s="114">
        <f>BG8/$B$10</f>
        <v>0.2909999756361008</v>
      </c>
      <c r="BI8" s="115">
        <v>890.92200000000003</v>
      </c>
      <c r="BJ8" s="114">
        <f>BI8/$B$11</f>
        <v>0.55440074673304296</v>
      </c>
      <c r="BK8" s="115">
        <v>1121.4780000000001</v>
      </c>
      <c r="BL8" s="114">
        <f t="shared" si="13"/>
        <v>0.5784392407674851</v>
      </c>
      <c r="BN8" s="111">
        <v>51358.995000000003</v>
      </c>
      <c r="BO8" s="114">
        <f t="shared" si="14"/>
        <v>0.73770491803278682</v>
      </c>
      <c r="BQ8" s="142">
        <v>12302.136</v>
      </c>
      <c r="BR8" s="131">
        <v>0</v>
      </c>
      <c r="BS8" s="143">
        <v>0</v>
      </c>
      <c r="BT8" s="105">
        <f t="shared" si="15"/>
        <v>0.37736613496932514</v>
      </c>
      <c r="BU8" s="20">
        <f t="shared" si="16"/>
        <v>0</v>
      </c>
      <c r="BV8" s="2">
        <v>0</v>
      </c>
      <c r="BW8" s="2">
        <v>0</v>
      </c>
      <c r="BX8" s="2">
        <v>0</v>
      </c>
      <c r="BY8" s="2">
        <v>1069.221</v>
      </c>
      <c r="BZ8" s="105">
        <f t="shared" si="17"/>
        <v>7.9330835435524563E-2</v>
      </c>
      <c r="CA8" s="20">
        <f t="shared" si="18"/>
        <v>0</v>
      </c>
      <c r="CB8" s="5">
        <v>10800</v>
      </c>
      <c r="CC8" s="5">
        <v>915.91431762000002</v>
      </c>
      <c r="CE8" s="108">
        <v>-700</v>
      </c>
      <c r="CF8" s="153">
        <f t="shared" si="19"/>
        <v>0</v>
      </c>
      <c r="CG8" s="153">
        <v>4485</v>
      </c>
      <c r="CH8" s="153">
        <f t="shared" si="19"/>
        <v>4485</v>
      </c>
      <c r="CI8" s="153">
        <v>0</v>
      </c>
      <c r="CJ8" s="153">
        <f t="shared" ref="CJ8:CL8" si="48">IF(CI8&gt;0,CI8,0)</f>
        <v>0</v>
      </c>
      <c r="CK8" s="153">
        <v>-5000</v>
      </c>
      <c r="CL8" s="153">
        <f t="shared" si="48"/>
        <v>0</v>
      </c>
      <c r="CM8" s="153">
        <v>0</v>
      </c>
      <c r="CN8" s="153">
        <f t="shared" ref="CN8:CP8" si="49">IF(CM8&gt;0,CM8,0)</f>
        <v>0</v>
      </c>
      <c r="CO8" s="153">
        <v>-4000</v>
      </c>
      <c r="CP8" s="153">
        <f t="shared" si="49"/>
        <v>0</v>
      </c>
      <c r="CQ8" s="153">
        <v>4800</v>
      </c>
      <c r="CR8" s="153">
        <f t="shared" ref="CR8:CT8" si="50">IF(CQ8&gt;0,CQ8,0)</f>
        <v>4800</v>
      </c>
      <c r="CS8" s="153">
        <v>16766.796405789999</v>
      </c>
      <c r="CT8" s="153">
        <f t="shared" si="50"/>
        <v>16766.796405789999</v>
      </c>
      <c r="CU8" s="107">
        <f t="shared" si="23"/>
        <v>26051.796405789999</v>
      </c>
      <c r="CW8" s="108">
        <v>-700</v>
      </c>
      <c r="CX8" s="153">
        <f t="shared" si="24"/>
        <v>700</v>
      </c>
      <c r="CY8" s="153">
        <v>4485</v>
      </c>
      <c r="CZ8" s="153">
        <f t="shared" si="24"/>
        <v>0</v>
      </c>
      <c r="DA8" s="153">
        <v>0</v>
      </c>
      <c r="DB8" s="153">
        <f t="shared" ref="DB8:DD8" si="51">IF(DA8&lt;0,-DA8,0)</f>
        <v>0</v>
      </c>
      <c r="DC8" s="153">
        <v>-5000</v>
      </c>
      <c r="DD8" s="153">
        <f t="shared" si="51"/>
        <v>5000</v>
      </c>
      <c r="DE8" s="153">
        <v>0</v>
      </c>
      <c r="DF8" s="153">
        <f t="shared" ref="DF8:DH8" si="52">IF(DE8&lt;0,-DE8,0)</f>
        <v>0</v>
      </c>
      <c r="DG8" s="153">
        <v>-4000</v>
      </c>
      <c r="DH8" s="153">
        <f t="shared" si="52"/>
        <v>4000</v>
      </c>
      <c r="DI8" s="153">
        <v>4800</v>
      </c>
      <c r="DJ8" s="153">
        <f t="shared" ref="DJ8:DL8" si="53">IF(DI8&lt;0,-DI8,0)</f>
        <v>0</v>
      </c>
      <c r="DK8" s="153">
        <v>16766.796405789999</v>
      </c>
      <c r="DL8" s="153">
        <f t="shared" si="53"/>
        <v>0</v>
      </c>
      <c r="DM8" s="107">
        <f t="shared" si="28"/>
        <v>9700</v>
      </c>
    </row>
    <row r="9" spans="1:117" s="5" customFormat="1" x14ac:dyDescent="0.35">
      <c r="A9" s="125" t="s">
        <v>165</v>
      </c>
      <c r="B9" s="93">
        <v>646</v>
      </c>
      <c r="D9" s="120" t="s">
        <v>174</v>
      </c>
      <c r="E9" s="120">
        <v>2462.66</v>
      </c>
      <c r="G9" s="120" t="s">
        <v>226</v>
      </c>
      <c r="H9" s="120">
        <v>3135.5</v>
      </c>
      <c r="J9" s="120" t="s">
        <v>191</v>
      </c>
      <c r="K9" s="120">
        <v>11600</v>
      </c>
      <c r="M9" s="77">
        <f t="shared" si="29"/>
        <v>7</v>
      </c>
      <c r="N9" s="78">
        <v>0</v>
      </c>
      <c r="O9" s="79">
        <v>0</v>
      </c>
      <c r="P9" s="79">
        <v>0</v>
      </c>
      <c r="Q9" s="79">
        <v>31303.323</v>
      </c>
      <c r="R9" s="79">
        <v>3547.0086195099998</v>
      </c>
      <c r="S9" s="79">
        <f t="shared" si="0"/>
        <v>34850.331619509998</v>
      </c>
      <c r="T9" s="78">
        <v>0</v>
      </c>
      <c r="U9" s="79">
        <v>0</v>
      </c>
      <c r="V9" s="79">
        <v>9.1999999999999998E-2</v>
      </c>
      <c r="W9" s="79">
        <v>0.183</v>
      </c>
      <c r="X9" s="79">
        <f t="shared" si="1"/>
        <v>0.27500000000000002</v>
      </c>
      <c r="Y9" s="79">
        <v>4546.4669999999996</v>
      </c>
      <c r="Z9" s="79">
        <v>0</v>
      </c>
      <c r="AA9" s="80">
        <f t="shared" si="2"/>
        <v>4546.4669999999996</v>
      </c>
      <c r="AB9" s="79"/>
      <c r="AC9" s="88">
        <v>0</v>
      </c>
      <c r="AD9" s="94">
        <f t="shared" si="3"/>
        <v>0</v>
      </c>
      <c r="AE9" s="89">
        <v>0</v>
      </c>
      <c r="AF9" s="94">
        <f t="shared" si="4"/>
        <v>0</v>
      </c>
      <c r="AG9" s="89">
        <v>0</v>
      </c>
      <c r="AH9" s="94">
        <f t="shared" si="5"/>
        <v>0</v>
      </c>
      <c r="AI9" s="89">
        <v>0</v>
      </c>
      <c r="AJ9" s="94">
        <f>AI9/$B$6</f>
        <v>0</v>
      </c>
      <c r="AK9" s="89">
        <v>0</v>
      </c>
      <c r="AL9" s="94">
        <f>AK9/$B$7</f>
        <v>0</v>
      </c>
      <c r="AM9" s="89">
        <v>0</v>
      </c>
      <c r="AN9" s="94">
        <f t="shared" si="6"/>
        <v>0</v>
      </c>
      <c r="AO9" s="89">
        <v>0</v>
      </c>
      <c r="AP9" s="94">
        <f t="shared" si="7"/>
        <v>0</v>
      </c>
      <c r="AQ9" s="79"/>
      <c r="AR9" s="88">
        <v>26966.939399999999</v>
      </c>
      <c r="AS9" s="76">
        <v>1324.8</v>
      </c>
      <c r="AT9" s="88">
        <v>288</v>
      </c>
      <c r="AU9" s="100">
        <f t="shared" si="8"/>
        <v>0.30299999999999999</v>
      </c>
      <c r="AV9" s="100">
        <f t="shared" si="9"/>
        <v>0.57599999999999996</v>
      </c>
      <c r="AW9" s="100">
        <f t="shared" si="10"/>
        <v>0.57599999999999996</v>
      </c>
      <c r="AX9" s="94">
        <v>59.432000000000002</v>
      </c>
      <c r="AY9" s="76">
        <v>2130.7788</v>
      </c>
      <c r="AZ9" s="100">
        <f>AX9/$B$9</f>
        <v>9.1999999999999998E-2</v>
      </c>
      <c r="BA9" s="97">
        <f>AY9/$B$8</f>
        <v>0.183</v>
      </c>
      <c r="BB9" s="88">
        <v>21809.4</v>
      </c>
      <c r="BC9" s="76">
        <v>19742.474999999999</v>
      </c>
      <c r="BD9" s="100">
        <f t="shared" si="11"/>
        <v>0.48900000000000005</v>
      </c>
      <c r="BE9" s="97">
        <f t="shared" si="12"/>
        <v>0.84099999999999997</v>
      </c>
      <c r="BG9" s="88">
        <v>807.75199999999995</v>
      </c>
      <c r="BH9" s="114">
        <f>BG9/$B$10</f>
        <v>0.32799980508880644</v>
      </c>
      <c r="BI9" s="115">
        <v>907.654</v>
      </c>
      <c r="BJ9" s="114">
        <f>BI9/$B$11</f>
        <v>0.56481269446172988</v>
      </c>
      <c r="BK9" s="115">
        <v>1121.4780000000001</v>
      </c>
      <c r="BL9" s="114">
        <f t="shared" si="13"/>
        <v>0.5784392407674851</v>
      </c>
      <c r="BN9" s="111">
        <v>51358.995000000003</v>
      </c>
      <c r="BO9" s="114">
        <f t="shared" si="14"/>
        <v>0.73770491803278682</v>
      </c>
      <c r="BQ9" s="142">
        <v>11503.817999999999</v>
      </c>
      <c r="BR9" s="131">
        <v>0</v>
      </c>
      <c r="BS9" s="143">
        <v>0</v>
      </c>
      <c r="BT9" s="105">
        <f t="shared" si="15"/>
        <v>0.35287785276073619</v>
      </c>
      <c r="BU9" s="20">
        <f t="shared" si="16"/>
        <v>0</v>
      </c>
      <c r="BV9" s="2">
        <v>0</v>
      </c>
      <c r="BW9" s="2">
        <v>0</v>
      </c>
      <c r="BX9" s="2">
        <v>0</v>
      </c>
      <c r="BY9" s="2">
        <v>1034.4000000000001</v>
      </c>
      <c r="BZ9" s="105">
        <f t="shared" si="17"/>
        <v>7.6747291883068711E-2</v>
      </c>
      <c r="CA9" s="20">
        <f t="shared" si="18"/>
        <v>0</v>
      </c>
      <c r="CB9" s="5">
        <v>10800</v>
      </c>
      <c r="CC9" s="5">
        <v>916.56203861999995</v>
      </c>
      <c r="CE9" s="108">
        <v>-700</v>
      </c>
      <c r="CF9" s="153">
        <f t="shared" si="19"/>
        <v>0</v>
      </c>
      <c r="CG9" s="153">
        <v>4485</v>
      </c>
      <c r="CH9" s="153">
        <f t="shared" si="19"/>
        <v>4485</v>
      </c>
      <c r="CI9" s="153">
        <v>0</v>
      </c>
      <c r="CJ9" s="153">
        <f t="shared" ref="CJ9:CL9" si="54">IF(CI9&gt;0,CI9,0)</f>
        <v>0</v>
      </c>
      <c r="CK9" s="153">
        <v>-5000</v>
      </c>
      <c r="CL9" s="153">
        <f t="shared" si="54"/>
        <v>0</v>
      </c>
      <c r="CM9" s="153">
        <v>-1692.9680953100001</v>
      </c>
      <c r="CN9" s="153">
        <f t="shared" ref="CN9:CP9" si="55">IF(CM9&gt;0,CM9,0)</f>
        <v>0</v>
      </c>
      <c r="CO9" s="153">
        <v>-4000</v>
      </c>
      <c r="CP9" s="153">
        <f t="shared" si="55"/>
        <v>0</v>
      </c>
      <c r="CQ9" s="153">
        <v>4800</v>
      </c>
      <c r="CR9" s="153">
        <f t="shared" ref="CR9:CT9" si="56">IF(CQ9&gt;0,CQ9,0)</f>
        <v>4800</v>
      </c>
      <c r="CS9" s="153">
        <v>11390.79910111</v>
      </c>
      <c r="CT9" s="153">
        <f t="shared" si="56"/>
        <v>11390.79910111</v>
      </c>
      <c r="CU9" s="107">
        <f t="shared" si="23"/>
        <v>20675.799101110002</v>
      </c>
      <c r="CW9" s="108">
        <v>-700</v>
      </c>
      <c r="CX9" s="153">
        <f t="shared" si="24"/>
        <v>700</v>
      </c>
      <c r="CY9" s="153">
        <v>4485</v>
      </c>
      <c r="CZ9" s="153">
        <f t="shared" si="24"/>
        <v>0</v>
      </c>
      <c r="DA9" s="153">
        <v>0</v>
      </c>
      <c r="DB9" s="153">
        <f t="shared" ref="DB9:DD9" si="57">IF(DA9&lt;0,-DA9,0)</f>
        <v>0</v>
      </c>
      <c r="DC9" s="153">
        <v>-5000</v>
      </c>
      <c r="DD9" s="153">
        <f t="shared" si="57"/>
        <v>5000</v>
      </c>
      <c r="DE9" s="153">
        <v>-1692.9680953100001</v>
      </c>
      <c r="DF9" s="153">
        <f t="shared" ref="DF9:DH9" si="58">IF(DE9&lt;0,-DE9,0)</f>
        <v>1692.9680953100001</v>
      </c>
      <c r="DG9" s="153">
        <v>-4000</v>
      </c>
      <c r="DH9" s="153">
        <f t="shared" si="58"/>
        <v>4000</v>
      </c>
      <c r="DI9" s="153">
        <v>4800</v>
      </c>
      <c r="DJ9" s="153">
        <f t="shared" ref="DJ9:DL9" si="59">IF(DI9&lt;0,-DI9,0)</f>
        <v>0</v>
      </c>
      <c r="DK9" s="153">
        <v>11390.79910111</v>
      </c>
      <c r="DL9" s="153">
        <f t="shared" si="59"/>
        <v>0</v>
      </c>
      <c r="DM9" s="107">
        <f t="shared" si="28"/>
        <v>11392.96809531</v>
      </c>
    </row>
    <row r="10" spans="1:117" s="5" customFormat="1" x14ac:dyDescent="0.35">
      <c r="A10" s="126" t="s">
        <v>175</v>
      </c>
      <c r="B10" s="122">
        <v>2462.66</v>
      </c>
      <c r="D10" s="120" t="s">
        <v>209</v>
      </c>
      <c r="E10" s="120">
        <v>3117.92</v>
      </c>
      <c r="G10" s="120" t="s">
        <v>227</v>
      </c>
      <c r="H10" s="120">
        <v>4469.3999999999996</v>
      </c>
      <c r="J10" s="120" t="s">
        <v>192</v>
      </c>
      <c r="K10" s="120">
        <v>9849.0400000000009</v>
      </c>
      <c r="M10" s="77">
        <f t="shared" si="29"/>
        <v>8</v>
      </c>
      <c r="N10" s="78">
        <v>0</v>
      </c>
      <c r="O10" s="79">
        <v>0</v>
      </c>
      <c r="P10" s="79">
        <v>0</v>
      </c>
      <c r="Q10" s="79">
        <v>33072.214</v>
      </c>
      <c r="R10" s="79">
        <v>3967.9018050700001</v>
      </c>
      <c r="S10" s="79">
        <f t="shared" si="0"/>
        <v>37040.115805070003</v>
      </c>
      <c r="T10" s="78">
        <v>0</v>
      </c>
      <c r="U10" s="79">
        <v>0</v>
      </c>
      <c r="V10" s="79">
        <v>9.0999999999999998E-2</v>
      </c>
      <c r="W10" s="79">
        <v>0.183</v>
      </c>
      <c r="X10" s="79">
        <f t="shared" si="1"/>
        <v>0.27400000000000002</v>
      </c>
      <c r="Y10" s="79">
        <v>4670.4759999999997</v>
      </c>
      <c r="Z10" s="79">
        <v>0</v>
      </c>
      <c r="AA10" s="80">
        <f t="shared" si="2"/>
        <v>4670.4759999999997</v>
      </c>
      <c r="AB10" s="79"/>
      <c r="AC10" s="88">
        <v>0</v>
      </c>
      <c r="AD10" s="94">
        <f t="shared" si="3"/>
        <v>0</v>
      </c>
      <c r="AE10" s="89">
        <v>0</v>
      </c>
      <c r="AF10" s="94">
        <f t="shared" si="4"/>
        <v>0</v>
      </c>
      <c r="AG10" s="89">
        <v>0</v>
      </c>
      <c r="AH10" s="94">
        <f t="shared" si="5"/>
        <v>0</v>
      </c>
      <c r="AI10" s="89">
        <v>0</v>
      </c>
      <c r="AJ10" s="94">
        <f>AI10/$B$6</f>
        <v>0</v>
      </c>
      <c r="AK10" s="89">
        <v>0</v>
      </c>
      <c r="AL10" s="94">
        <f>AK10/$B$7</f>
        <v>0</v>
      </c>
      <c r="AM10" s="89">
        <v>0</v>
      </c>
      <c r="AN10" s="94">
        <f t="shared" si="6"/>
        <v>0</v>
      </c>
      <c r="AO10" s="89">
        <v>0</v>
      </c>
      <c r="AP10" s="94">
        <f t="shared" si="7"/>
        <v>0</v>
      </c>
      <c r="AQ10" s="79"/>
      <c r="AR10" s="88">
        <v>21804.951000000001</v>
      </c>
      <c r="AS10" s="76">
        <v>1258.0999999999999</v>
      </c>
      <c r="AT10" s="88">
        <v>273.5</v>
      </c>
      <c r="AU10" s="100">
        <f t="shared" si="8"/>
        <v>0.245</v>
      </c>
      <c r="AV10" s="100">
        <f t="shared" si="9"/>
        <v>0.54699999999999993</v>
      </c>
      <c r="AW10" s="100">
        <f t="shared" si="10"/>
        <v>0.54700000000000004</v>
      </c>
      <c r="AX10" s="94">
        <v>58.786000000000001</v>
      </c>
      <c r="AY10" s="76">
        <v>2130.7788</v>
      </c>
      <c r="AZ10" s="100">
        <f>AX10/$B$9</f>
        <v>9.0999999999999998E-2</v>
      </c>
      <c r="BA10" s="97">
        <f>AY10/$B$8</f>
        <v>0.183</v>
      </c>
      <c r="BB10" s="88">
        <v>22121.599999999999</v>
      </c>
      <c r="BC10" s="76">
        <v>19930.275000000001</v>
      </c>
      <c r="BD10" s="100">
        <f t="shared" si="11"/>
        <v>0.49599999999999994</v>
      </c>
      <c r="BE10" s="97">
        <f t="shared" si="12"/>
        <v>0.84900000000000009</v>
      </c>
      <c r="BG10" s="88">
        <v>881.63199999999995</v>
      </c>
      <c r="BH10" s="114">
        <f>BG10/$B$10</f>
        <v>0.35799988630180374</v>
      </c>
      <c r="BI10" s="115">
        <v>914.14400000000001</v>
      </c>
      <c r="BJ10" s="114">
        <f>BI10/$B$11</f>
        <v>0.56885127566894833</v>
      </c>
      <c r="BK10" s="115">
        <v>1121.4780000000001</v>
      </c>
      <c r="BL10" s="114">
        <f t="shared" si="13"/>
        <v>0.5784392407674851</v>
      </c>
      <c r="BN10" s="111">
        <v>51358.995000000003</v>
      </c>
      <c r="BO10" s="114">
        <f t="shared" si="14"/>
        <v>0.73770491803278682</v>
      </c>
      <c r="BQ10" s="142">
        <v>9322.5859999999993</v>
      </c>
      <c r="BR10" s="131">
        <v>0</v>
      </c>
      <c r="BS10" s="143">
        <v>0</v>
      </c>
      <c r="BT10" s="105">
        <f t="shared" si="15"/>
        <v>0.28596889570552148</v>
      </c>
      <c r="BU10" s="20">
        <f t="shared" si="16"/>
        <v>0</v>
      </c>
      <c r="BV10" s="2">
        <v>0</v>
      </c>
      <c r="BW10" s="2">
        <v>0</v>
      </c>
      <c r="BX10" s="2">
        <v>0</v>
      </c>
      <c r="BY10" s="2">
        <v>1038.8150000000001</v>
      </c>
      <c r="BZ10" s="105">
        <f t="shared" si="17"/>
        <v>7.7074862739278827E-2</v>
      </c>
      <c r="CA10" s="20">
        <f t="shared" si="18"/>
        <v>0</v>
      </c>
      <c r="CB10" s="5">
        <v>10800</v>
      </c>
      <c r="CC10" s="5">
        <v>917.20975962</v>
      </c>
      <c r="CE10" s="108">
        <v>-700</v>
      </c>
      <c r="CF10" s="153">
        <f t="shared" si="19"/>
        <v>0</v>
      </c>
      <c r="CG10" s="153">
        <v>4485</v>
      </c>
      <c r="CH10" s="153">
        <f t="shared" si="19"/>
        <v>4485</v>
      </c>
      <c r="CI10" s="153">
        <v>0</v>
      </c>
      <c r="CJ10" s="153">
        <f t="shared" ref="CJ10:CL10" si="60">IF(CI10&gt;0,CI10,0)</f>
        <v>0</v>
      </c>
      <c r="CK10" s="153">
        <v>-5000</v>
      </c>
      <c r="CL10" s="153">
        <f t="shared" si="60"/>
        <v>0</v>
      </c>
      <c r="CM10" s="153">
        <v>-1588.07461242</v>
      </c>
      <c r="CN10" s="153">
        <f t="shared" ref="CN10:CP10" si="61">IF(CM10&gt;0,CM10,0)</f>
        <v>0</v>
      </c>
      <c r="CO10" s="153">
        <v>-4000</v>
      </c>
      <c r="CP10" s="153">
        <f t="shared" si="61"/>
        <v>0</v>
      </c>
      <c r="CQ10" s="153">
        <v>4800</v>
      </c>
      <c r="CR10" s="153">
        <f t="shared" ref="CR10:CT10" si="62">IF(CQ10&gt;0,CQ10,0)</f>
        <v>4800</v>
      </c>
      <c r="CS10" s="153">
        <v>11792.66902114</v>
      </c>
      <c r="CT10" s="153">
        <f t="shared" si="62"/>
        <v>11792.66902114</v>
      </c>
      <c r="CU10" s="107">
        <f t="shared" si="23"/>
        <v>21077.669021139998</v>
      </c>
      <c r="CW10" s="108">
        <v>-700</v>
      </c>
      <c r="CX10" s="153">
        <f t="shared" si="24"/>
        <v>700</v>
      </c>
      <c r="CY10" s="153">
        <v>4485</v>
      </c>
      <c r="CZ10" s="153">
        <f t="shared" si="24"/>
        <v>0</v>
      </c>
      <c r="DA10" s="153">
        <v>0</v>
      </c>
      <c r="DB10" s="153">
        <f t="shared" ref="DB10:DD10" si="63">IF(DA10&lt;0,-DA10,0)</f>
        <v>0</v>
      </c>
      <c r="DC10" s="153">
        <v>-5000</v>
      </c>
      <c r="DD10" s="153">
        <f t="shared" si="63"/>
        <v>5000</v>
      </c>
      <c r="DE10" s="153">
        <v>-1588.07461242</v>
      </c>
      <c r="DF10" s="153">
        <f t="shared" ref="DF10:DH10" si="64">IF(DE10&lt;0,-DE10,0)</f>
        <v>1588.07461242</v>
      </c>
      <c r="DG10" s="153">
        <v>-4000</v>
      </c>
      <c r="DH10" s="153">
        <f t="shared" si="64"/>
        <v>4000</v>
      </c>
      <c r="DI10" s="153">
        <v>4800</v>
      </c>
      <c r="DJ10" s="153">
        <f t="shared" ref="DJ10:DL10" si="65">IF(DI10&lt;0,-DI10,0)</f>
        <v>0</v>
      </c>
      <c r="DK10" s="153">
        <v>11792.66902114</v>
      </c>
      <c r="DL10" s="153">
        <f t="shared" si="65"/>
        <v>0</v>
      </c>
      <c r="DM10" s="107">
        <f t="shared" si="28"/>
        <v>11288.07461242</v>
      </c>
    </row>
    <row r="11" spans="1:117" s="5" customFormat="1" x14ac:dyDescent="0.35">
      <c r="A11" s="125" t="s">
        <v>176</v>
      </c>
      <c r="B11" s="93">
        <v>1607</v>
      </c>
      <c r="D11" s="120" t="s">
        <v>210</v>
      </c>
      <c r="E11" s="120">
        <v>11536.3</v>
      </c>
      <c r="G11" s="120" t="s">
        <v>228</v>
      </c>
      <c r="H11" s="120">
        <v>3837</v>
      </c>
      <c r="J11" s="120" t="s">
        <v>193</v>
      </c>
      <c r="K11" s="120">
        <v>3304.57</v>
      </c>
      <c r="M11" s="77">
        <f t="shared" si="29"/>
        <v>9</v>
      </c>
      <c r="N11" s="78">
        <v>0</v>
      </c>
      <c r="O11" s="79">
        <v>0</v>
      </c>
      <c r="P11" s="79">
        <v>0</v>
      </c>
      <c r="Q11" s="79">
        <v>34068.637999999999</v>
      </c>
      <c r="R11" s="79">
        <v>3830.0583072999998</v>
      </c>
      <c r="S11" s="79">
        <f t="shared" si="0"/>
        <v>37898.696307300001</v>
      </c>
      <c r="T11" s="78">
        <v>0</v>
      </c>
      <c r="U11" s="79">
        <v>0</v>
      </c>
      <c r="V11" s="79">
        <v>8.8999999999999996E-2</v>
      </c>
      <c r="W11" s="79">
        <v>0.17199999999999999</v>
      </c>
      <c r="X11" s="79">
        <f t="shared" si="1"/>
        <v>0.26100000000000001</v>
      </c>
      <c r="Y11" s="79">
        <v>4713.0320000000002</v>
      </c>
      <c r="Z11" s="79">
        <v>0</v>
      </c>
      <c r="AA11" s="80">
        <f t="shared" si="2"/>
        <v>4713.0320000000002</v>
      </c>
      <c r="AB11" s="79"/>
      <c r="AC11" s="88">
        <v>0</v>
      </c>
      <c r="AD11" s="94">
        <f t="shared" si="3"/>
        <v>0</v>
      </c>
      <c r="AE11" s="89">
        <v>0</v>
      </c>
      <c r="AF11" s="94">
        <f t="shared" si="4"/>
        <v>0</v>
      </c>
      <c r="AG11" s="89">
        <v>0</v>
      </c>
      <c r="AH11" s="94">
        <f t="shared" si="5"/>
        <v>0</v>
      </c>
      <c r="AI11" s="89">
        <v>0</v>
      </c>
      <c r="AJ11" s="94">
        <f>AI11/$B$6</f>
        <v>0</v>
      </c>
      <c r="AK11" s="89">
        <v>0</v>
      </c>
      <c r="AL11" s="94">
        <f>AK11/$B$7</f>
        <v>0</v>
      </c>
      <c r="AM11" s="89">
        <v>0</v>
      </c>
      <c r="AN11" s="94">
        <f t="shared" si="6"/>
        <v>0</v>
      </c>
      <c r="AO11" s="89">
        <v>0</v>
      </c>
      <c r="AP11" s="94">
        <f t="shared" si="7"/>
        <v>0</v>
      </c>
      <c r="AQ11" s="79"/>
      <c r="AR11" s="88">
        <v>16998.961800000001</v>
      </c>
      <c r="AS11" s="76">
        <v>1207.5</v>
      </c>
      <c r="AT11" s="88">
        <v>262.5</v>
      </c>
      <c r="AU11" s="100">
        <f t="shared" si="8"/>
        <v>0.191</v>
      </c>
      <c r="AV11" s="100">
        <f t="shared" si="9"/>
        <v>0.52500000000000002</v>
      </c>
      <c r="AW11" s="100">
        <f t="shared" si="10"/>
        <v>0.52500000000000002</v>
      </c>
      <c r="AX11" s="94">
        <v>57.494</v>
      </c>
      <c r="AY11" s="76">
        <v>2002.6992</v>
      </c>
      <c r="AZ11" s="100">
        <f>AX11/$B$9</f>
        <v>8.8999999999999996E-2</v>
      </c>
      <c r="BA11" s="97">
        <f>AY11/$B$8</f>
        <v>0.17199999999999999</v>
      </c>
      <c r="BB11" s="88">
        <v>22077</v>
      </c>
      <c r="BC11" s="76">
        <v>20446.724999999999</v>
      </c>
      <c r="BD11" s="100">
        <f t="shared" si="11"/>
        <v>0.495</v>
      </c>
      <c r="BE11" s="97">
        <f t="shared" si="12"/>
        <v>0.87099999999999989</v>
      </c>
      <c r="BG11" s="88">
        <v>913.64700000000005</v>
      </c>
      <c r="BH11" s="114">
        <f>BG11/$B$10</f>
        <v>0.37100005684909815</v>
      </c>
      <c r="BI11" s="115">
        <v>911.74300000000005</v>
      </c>
      <c r="BJ11" s="114">
        <f>BI11/$B$11</f>
        <v>0.5673571873055383</v>
      </c>
      <c r="BK11" s="115">
        <v>1121.4780000000001</v>
      </c>
      <c r="BL11" s="114">
        <f t="shared" si="13"/>
        <v>0.5784392407674851</v>
      </c>
      <c r="BN11" s="111">
        <v>51358.995000000003</v>
      </c>
      <c r="BO11" s="114">
        <f t="shared" si="14"/>
        <v>0.73770491803278682</v>
      </c>
      <c r="BQ11" s="142">
        <v>7455.5240000000003</v>
      </c>
      <c r="BR11" s="131">
        <v>0</v>
      </c>
      <c r="BS11" s="143">
        <v>0</v>
      </c>
      <c r="BT11" s="105">
        <f t="shared" si="15"/>
        <v>0.22869705521472394</v>
      </c>
      <c r="BU11" s="20">
        <f t="shared" si="16"/>
        <v>0</v>
      </c>
      <c r="BV11" s="2">
        <v>0</v>
      </c>
      <c r="BW11" s="2">
        <v>0</v>
      </c>
      <c r="BX11" s="2">
        <v>0</v>
      </c>
      <c r="BY11" s="2">
        <v>1038.2049999999999</v>
      </c>
      <c r="BZ11" s="105">
        <f t="shared" si="17"/>
        <v>7.7029603798783194E-2</v>
      </c>
      <c r="CA11" s="20">
        <f t="shared" si="18"/>
        <v>0</v>
      </c>
      <c r="CB11" s="5">
        <v>10800</v>
      </c>
      <c r="CC11" s="5">
        <v>917.20975962</v>
      </c>
      <c r="CE11" s="108">
        <v>-700</v>
      </c>
      <c r="CF11" s="153">
        <f t="shared" si="19"/>
        <v>0</v>
      </c>
      <c r="CG11" s="153">
        <v>4485</v>
      </c>
      <c r="CH11" s="153">
        <f t="shared" si="19"/>
        <v>4485</v>
      </c>
      <c r="CI11" s="153">
        <v>0</v>
      </c>
      <c r="CJ11" s="153">
        <f t="shared" ref="CJ11:CL11" si="66">IF(CI11&gt;0,CI11,0)</f>
        <v>0</v>
      </c>
      <c r="CK11" s="153">
        <v>-5000</v>
      </c>
      <c r="CL11" s="153">
        <f t="shared" si="66"/>
        <v>0</v>
      </c>
      <c r="CM11" s="153">
        <v>-773.81716131999997</v>
      </c>
      <c r="CN11" s="153">
        <f t="shared" ref="CN11:CP11" si="67">IF(CM11&gt;0,CM11,0)</f>
        <v>0</v>
      </c>
      <c r="CO11" s="153">
        <v>-4000</v>
      </c>
      <c r="CP11" s="153">
        <f t="shared" si="67"/>
        <v>0</v>
      </c>
      <c r="CQ11" s="153">
        <v>4800</v>
      </c>
      <c r="CR11" s="153">
        <f t="shared" ref="CR11:CT11" si="68">IF(CQ11&gt;0,CQ11,0)</f>
        <v>4800</v>
      </c>
      <c r="CS11" s="153">
        <v>12546.92561097</v>
      </c>
      <c r="CT11" s="153">
        <f t="shared" si="68"/>
        <v>12546.92561097</v>
      </c>
      <c r="CU11" s="107">
        <f t="shared" si="23"/>
        <v>21831.92561097</v>
      </c>
      <c r="CW11" s="108">
        <v>-700</v>
      </c>
      <c r="CX11" s="153">
        <f t="shared" si="24"/>
        <v>700</v>
      </c>
      <c r="CY11" s="153">
        <v>4485</v>
      </c>
      <c r="CZ11" s="153">
        <f t="shared" si="24"/>
        <v>0</v>
      </c>
      <c r="DA11" s="153">
        <v>0</v>
      </c>
      <c r="DB11" s="153">
        <f t="shared" ref="DB11:DD11" si="69">IF(DA11&lt;0,-DA11,0)</f>
        <v>0</v>
      </c>
      <c r="DC11" s="153">
        <v>-5000</v>
      </c>
      <c r="DD11" s="153">
        <f t="shared" si="69"/>
        <v>5000</v>
      </c>
      <c r="DE11" s="153">
        <v>-773.81716131999997</v>
      </c>
      <c r="DF11" s="153">
        <f t="shared" ref="DF11:DH11" si="70">IF(DE11&lt;0,-DE11,0)</f>
        <v>773.81716131999997</v>
      </c>
      <c r="DG11" s="153">
        <v>-4000</v>
      </c>
      <c r="DH11" s="153">
        <f t="shared" si="70"/>
        <v>4000</v>
      </c>
      <c r="DI11" s="153">
        <v>4800</v>
      </c>
      <c r="DJ11" s="153">
        <f t="shared" ref="DJ11:DL11" si="71">IF(DI11&lt;0,-DI11,0)</f>
        <v>0</v>
      </c>
      <c r="DK11" s="153">
        <v>12546.92561097</v>
      </c>
      <c r="DL11" s="153">
        <f t="shared" si="71"/>
        <v>0</v>
      </c>
      <c r="DM11" s="107">
        <f t="shared" si="28"/>
        <v>10473.817161319999</v>
      </c>
    </row>
    <row r="12" spans="1:117" s="5" customFormat="1" x14ac:dyDescent="0.35">
      <c r="D12" s="120" t="s">
        <v>211</v>
      </c>
      <c r="E12" s="120">
        <v>3156.57</v>
      </c>
      <c r="G12" s="120" t="s">
        <v>229</v>
      </c>
      <c r="H12" s="120">
        <v>279.8</v>
      </c>
      <c r="J12" s="120" t="s">
        <v>194</v>
      </c>
      <c r="K12" s="120">
        <v>3304.57</v>
      </c>
      <c r="M12" s="77">
        <f t="shared" si="29"/>
        <v>10</v>
      </c>
      <c r="N12" s="78">
        <v>4.2000000000000003E-2</v>
      </c>
      <c r="O12" s="79">
        <v>7.0999999999999994E-2</v>
      </c>
      <c r="P12" s="79">
        <v>0.13100000000000001</v>
      </c>
      <c r="Q12" s="79">
        <v>35359.432999999997</v>
      </c>
      <c r="R12" s="79">
        <v>2387.89148776</v>
      </c>
      <c r="S12" s="79">
        <f t="shared" si="0"/>
        <v>37747.324487759994</v>
      </c>
      <c r="T12" s="78">
        <v>1.4999999999999999E-2</v>
      </c>
      <c r="U12" s="79">
        <v>1.4999999999999999E-2</v>
      </c>
      <c r="V12" s="79">
        <v>8.8999999999999996E-2</v>
      </c>
      <c r="W12" s="79">
        <v>0.13400000000000001</v>
      </c>
      <c r="X12" s="79">
        <f t="shared" si="1"/>
        <v>0.223</v>
      </c>
      <c r="Y12" s="79">
        <v>4911.3090000000002</v>
      </c>
      <c r="Z12" s="79">
        <v>0</v>
      </c>
      <c r="AA12" s="80">
        <f t="shared" si="2"/>
        <v>4911.3090000000002</v>
      </c>
      <c r="AB12" s="79"/>
      <c r="AC12" s="88">
        <v>10126</v>
      </c>
      <c r="AD12" s="94">
        <f t="shared" si="3"/>
        <v>0.122</v>
      </c>
      <c r="AE12" s="89">
        <v>341.15499999999997</v>
      </c>
      <c r="AF12" s="94">
        <f t="shared" si="4"/>
        <v>7.0999999999999994E-2</v>
      </c>
      <c r="AG12" s="89">
        <v>3930</v>
      </c>
      <c r="AH12" s="94">
        <f t="shared" si="5"/>
        <v>0.13100000000000001</v>
      </c>
      <c r="AI12" s="89">
        <v>1063.9867999999999</v>
      </c>
      <c r="AJ12" s="94">
        <f>AI12/$B$6</f>
        <v>7.3999999999999996E-2</v>
      </c>
      <c r="AK12" s="89">
        <v>367.07619999999997</v>
      </c>
      <c r="AL12" s="94">
        <f>AK12/$B$7</f>
        <v>3.7999999999999999E-2</v>
      </c>
      <c r="AM12" s="89">
        <v>3290.88</v>
      </c>
      <c r="AN12" s="94">
        <f t="shared" si="6"/>
        <v>6.4000000000000001E-2</v>
      </c>
      <c r="AO12" s="89">
        <v>2316.04</v>
      </c>
      <c r="AP12" s="94">
        <f t="shared" si="7"/>
        <v>4.9999999999999996E-2</v>
      </c>
      <c r="AQ12" s="79"/>
      <c r="AR12" s="88">
        <v>14684.967000000001</v>
      </c>
      <c r="AS12" s="76">
        <v>1145.4000000000001</v>
      </c>
      <c r="AT12" s="88">
        <v>249</v>
      </c>
      <c r="AU12" s="100">
        <f t="shared" si="8"/>
        <v>0.16500000000000001</v>
      </c>
      <c r="AV12" s="100">
        <f t="shared" si="9"/>
        <v>0.49800000000000005</v>
      </c>
      <c r="AW12" s="100">
        <f t="shared" si="10"/>
        <v>0.498</v>
      </c>
      <c r="AX12" s="94">
        <v>57.494</v>
      </c>
      <c r="AY12" s="76">
        <v>1560.2424000000001</v>
      </c>
      <c r="AZ12" s="100">
        <f>AX12/$B$9</f>
        <v>8.8999999999999996E-2</v>
      </c>
      <c r="BA12" s="97">
        <f>AY12/$B$8</f>
        <v>0.13400000000000001</v>
      </c>
      <c r="BB12" s="88">
        <v>20114.599999999999</v>
      </c>
      <c r="BC12" s="76">
        <v>20423.25</v>
      </c>
      <c r="BD12" s="100">
        <f t="shared" si="11"/>
        <v>0.45099999999999996</v>
      </c>
      <c r="BE12" s="97">
        <f t="shared" si="12"/>
        <v>0.87</v>
      </c>
      <c r="BG12" s="88">
        <v>962.9</v>
      </c>
      <c r="BH12" s="114">
        <f>BG12/$B$10</f>
        <v>0.39099997563610084</v>
      </c>
      <c r="BI12" s="115">
        <v>911.59100000000001</v>
      </c>
      <c r="BJ12" s="114">
        <f>BI12/$B$11</f>
        <v>0.56726260112009952</v>
      </c>
      <c r="BK12" s="115">
        <v>1121.4780000000001</v>
      </c>
      <c r="BL12" s="114">
        <f t="shared" si="13"/>
        <v>0.5784392407674851</v>
      </c>
      <c r="BN12" s="111">
        <v>51358.995000000003</v>
      </c>
      <c r="BO12" s="114">
        <f t="shared" si="14"/>
        <v>0.73770491803278682</v>
      </c>
      <c r="BQ12" s="142">
        <v>11070.761</v>
      </c>
      <c r="BR12" s="131">
        <v>0</v>
      </c>
      <c r="BS12" s="143">
        <v>0</v>
      </c>
      <c r="BT12" s="105">
        <f t="shared" si="15"/>
        <v>0.33959389570552151</v>
      </c>
      <c r="BU12" s="20">
        <f t="shared" si="16"/>
        <v>0</v>
      </c>
      <c r="BV12" s="2">
        <v>0</v>
      </c>
      <c r="BW12" s="2">
        <v>0</v>
      </c>
      <c r="BX12" s="2">
        <v>0</v>
      </c>
      <c r="BY12" s="2">
        <v>1716.028</v>
      </c>
      <c r="BZ12" s="105">
        <f t="shared" si="17"/>
        <v>0.12732067072265915</v>
      </c>
      <c r="CA12" s="20">
        <f t="shared" si="18"/>
        <v>0</v>
      </c>
      <c r="CB12" s="5">
        <v>10800</v>
      </c>
      <c r="CC12" s="5">
        <v>917.20975962</v>
      </c>
      <c r="CE12" s="108">
        <v>-700</v>
      </c>
      <c r="CF12" s="153">
        <f t="shared" si="19"/>
        <v>0</v>
      </c>
      <c r="CG12" s="153">
        <v>4485</v>
      </c>
      <c r="CH12" s="153">
        <f t="shared" si="19"/>
        <v>4485</v>
      </c>
      <c r="CI12" s="153">
        <v>0</v>
      </c>
      <c r="CJ12" s="153">
        <f t="shared" ref="CJ12:CL12" si="72">IF(CI12&gt;0,CI12,0)</f>
        <v>0</v>
      </c>
      <c r="CK12" s="153">
        <v>-1595.9713999999999</v>
      </c>
      <c r="CL12" s="153">
        <f t="shared" si="72"/>
        <v>0</v>
      </c>
      <c r="CM12" s="153">
        <v>-1389.4593902900001</v>
      </c>
      <c r="CN12" s="153">
        <f t="shared" ref="CN12:CP12" si="73">IF(CM12&gt;0,CM12,0)</f>
        <v>0</v>
      </c>
      <c r="CO12" s="153">
        <v>-4000</v>
      </c>
      <c r="CP12" s="153">
        <f t="shared" si="73"/>
        <v>0</v>
      </c>
      <c r="CQ12" s="153">
        <v>4800</v>
      </c>
      <c r="CR12" s="153">
        <f t="shared" ref="CR12:CT12" si="74">IF(CQ12&gt;0,CQ12,0)</f>
        <v>4800</v>
      </c>
      <c r="CS12" s="153">
        <v>10791.92056735</v>
      </c>
      <c r="CT12" s="153">
        <f t="shared" si="74"/>
        <v>10791.92056735</v>
      </c>
      <c r="CU12" s="107">
        <f t="shared" si="23"/>
        <v>20076.92056735</v>
      </c>
      <c r="CW12" s="108">
        <v>-700</v>
      </c>
      <c r="CX12" s="153">
        <f t="shared" si="24"/>
        <v>700</v>
      </c>
      <c r="CY12" s="153">
        <v>4485</v>
      </c>
      <c r="CZ12" s="153">
        <f t="shared" si="24"/>
        <v>0</v>
      </c>
      <c r="DA12" s="153">
        <v>0</v>
      </c>
      <c r="DB12" s="153">
        <f t="shared" ref="DB12:DD12" si="75">IF(DA12&lt;0,-DA12,0)</f>
        <v>0</v>
      </c>
      <c r="DC12" s="153">
        <v>-1595.9713999999999</v>
      </c>
      <c r="DD12" s="153">
        <f t="shared" si="75"/>
        <v>1595.9713999999999</v>
      </c>
      <c r="DE12" s="153">
        <v>-1389.4593902900001</v>
      </c>
      <c r="DF12" s="153">
        <f t="shared" ref="DF12:DH12" si="76">IF(DE12&lt;0,-DE12,0)</f>
        <v>1389.4593902900001</v>
      </c>
      <c r="DG12" s="153">
        <v>-4000</v>
      </c>
      <c r="DH12" s="153">
        <f t="shared" si="76"/>
        <v>4000</v>
      </c>
      <c r="DI12" s="153">
        <v>4800</v>
      </c>
      <c r="DJ12" s="153">
        <f t="shared" ref="DJ12:DL12" si="77">IF(DI12&lt;0,-DI12,0)</f>
        <v>0</v>
      </c>
      <c r="DK12" s="153">
        <v>10791.92056735</v>
      </c>
      <c r="DL12" s="153">
        <f t="shared" si="77"/>
        <v>0</v>
      </c>
      <c r="DM12" s="107">
        <f t="shared" si="28"/>
        <v>7685.43079029</v>
      </c>
    </row>
    <row r="13" spans="1:117" s="5" customFormat="1" x14ac:dyDescent="0.35">
      <c r="D13" s="120" t="s">
        <v>212</v>
      </c>
      <c r="E13" s="120">
        <v>2897.4</v>
      </c>
      <c r="G13" s="120" t="s">
        <v>163</v>
      </c>
      <c r="H13" s="120">
        <v>9659.9</v>
      </c>
      <c r="J13" s="120" t="s">
        <v>195</v>
      </c>
      <c r="K13" s="120">
        <v>1895.43</v>
      </c>
      <c r="M13" s="77">
        <f t="shared" si="29"/>
        <v>11</v>
      </c>
      <c r="N13" s="78">
        <v>0.157</v>
      </c>
      <c r="O13" s="79">
        <v>0.188</v>
      </c>
      <c r="P13" s="79">
        <v>0.30499999999999999</v>
      </c>
      <c r="Q13" s="79">
        <v>35771.872000000003</v>
      </c>
      <c r="R13" s="79">
        <v>1889.8543081600001</v>
      </c>
      <c r="S13" s="79">
        <f t="shared" si="0"/>
        <v>37661.726308160003</v>
      </c>
      <c r="T13" s="78">
        <v>5.7999999999999996E-2</v>
      </c>
      <c r="U13" s="79">
        <v>6.5000000000000002E-2</v>
      </c>
      <c r="V13" s="79">
        <v>8.4999999999999992E-2</v>
      </c>
      <c r="W13" s="79">
        <v>7.1999999999999995E-2</v>
      </c>
      <c r="X13" s="79">
        <f t="shared" si="1"/>
        <v>0.15699999999999997</v>
      </c>
      <c r="Y13" s="79">
        <v>5033.2820000000002</v>
      </c>
      <c r="Z13" s="79">
        <v>0</v>
      </c>
      <c r="AA13" s="80">
        <f t="shared" si="2"/>
        <v>5033.2820000000002</v>
      </c>
      <c r="AB13" s="79"/>
      <c r="AC13" s="88">
        <v>25979</v>
      </c>
      <c r="AD13" s="94">
        <f t="shared" si="3"/>
        <v>0.313</v>
      </c>
      <c r="AE13" s="89">
        <v>903.34</v>
      </c>
      <c r="AF13" s="94">
        <f t="shared" si="4"/>
        <v>0.188</v>
      </c>
      <c r="AG13" s="89">
        <v>9150</v>
      </c>
      <c r="AH13" s="94">
        <f t="shared" si="5"/>
        <v>0.30499999999999999</v>
      </c>
      <c r="AI13" s="89">
        <v>3810.223</v>
      </c>
      <c r="AJ13" s="94">
        <f>AI13/$B$6</f>
        <v>0.26499999999999996</v>
      </c>
      <c r="AK13" s="89">
        <v>1371.7058</v>
      </c>
      <c r="AL13" s="94">
        <f>AK13/$B$7</f>
        <v>0.14199999999999999</v>
      </c>
      <c r="AM13" s="89">
        <v>7095.96</v>
      </c>
      <c r="AN13" s="94">
        <f t="shared" si="6"/>
        <v>0.13800000000000001</v>
      </c>
      <c r="AO13" s="89">
        <v>5187.9296000000004</v>
      </c>
      <c r="AP13" s="94">
        <f t="shared" si="7"/>
        <v>0.112</v>
      </c>
      <c r="AQ13" s="79"/>
      <c r="AR13" s="88">
        <v>13883.968800000001</v>
      </c>
      <c r="AS13" s="76">
        <v>1071.8</v>
      </c>
      <c r="AT13" s="88">
        <v>233</v>
      </c>
      <c r="AU13" s="100">
        <f t="shared" si="8"/>
        <v>0.156</v>
      </c>
      <c r="AV13" s="100">
        <f t="shared" si="9"/>
        <v>0.46599999999999997</v>
      </c>
      <c r="AW13" s="100">
        <f t="shared" si="10"/>
        <v>0.46600000000000003</v>
      </c>
      <c r="AX13" s="94">
        <v>54.91</v>
      </c>
      <c r="AY13" s="76">
        <v>838.33920000000001</v>
      </c>
      <c r="AZ13" s="100">
        <f>AX13/$B$9</f>
        <v>8.4999999999999992E-2</v>
      </c>
      <c r="BA13" s="97">
        <f>AY13/$B$8</f>
        <v>7.1999999999999995E-2</v>
      </c>
      <c r="BB13" s="88">
        <v>18241.400000000001</v>
      </c>
      <c r="BC13" s="76">
        <v>19672.05</v>
      </c>
      <c r="BD13" s="100">
        <f t="shared" si="11"/>
        <v>0.40900000000000003</v>
      </c>
      <c r="BE13" s="97">
        <f t="shared" si="12"/>
        <v>0.83799999999999997</v>
      </c>
      <c r="BG13" s="88">
        <v>982.601</v>
      </c>
      <c r="BH13" s="114">
        <f>BG13/$B$10</f>
        <v>0.39899986193790454</v>
      </c>
      <c r="BI13" s="115">
        <v>918.27</v>
      </c>
      <c r="BJ13" s="114">
        <f>BI13/$B$11</f>
        <v>0.57141879278158059</v>
      </c>
      <c r="BK13" s="115">
        <v>1121.4780000000001</v>
      </c>
      <c r="BL13" s="114">
        <f t="shared" si="13"/>
        <v>0.5784392407674851</v>
      </c>
      <c r="BN13" s="111">
        <v>51358.995000000003</v>
      </c>
      <c r="BO13" s="114">
        <f t="shared" si="14"/>
        <v>0.73770491803278682</v>
      </c>
      <c r="BQ13" s="142">
        <v>17654</v>
      </c>
      <c r="BR13" s="131">
        <v>0</v>
      </c>
      <c r="BS13" s="143">
        <v>0</v>
      </c>
      <c r="BT13" s="105">
        <f t="shared" si="15"/>
        <v>0.54153374233128837</v>
      </c>
      <c r="BU13" s="20">
        <f t="shared" si="16"/>
        <v>0</v>
      </c>
      <c r="BV13" s="2">
        <v>0</v>
      </c>
      <c r="BW13" s="2">
        <v>0</v>
      </c>
      <c r="BX13" s="2">
        <v>0</v>
      </c>
      <c r="BY13" s="2">
        <v>3518.203</v>
      </c>
      <c r="BZ13" s="105">
        <f t="shared" si="17"/>
        <v>0.26103301676806645</v>
      </c>
      <c r="CA13" s="20">
        <f t="shared" si="18"/>
        <v>0</v>
      </c>
      <c r="CB13" s="5">
        <v>10800</v>
      </c>
      <c r="CC13" s="5">
        <v>0</v>
      </c>
      <c r="CE13" s="108">
        <v>-700</v>
      </c>
      <c r="CF13" s="153">
        <f t="shared" si="19"/>
        <v>0</v>
      </c>
      <c r="CG13" s="153">
        <v>4485</v>
      </c>
      <c r="CH13" s="153">
        <f t="shared" si="19"/>
        <v>4485</v>
      </c>
      <c r="CI13" s="153">
        <v>0</v>
      </c>
      <c r="CJ13" s="153">
        <f t="shared" ref="CJ13:CL13" si="78">IF(CI13&gt;0,CI13,0)</f>
        <v>0</v>
      </c>
      <c r="CK13" s="153">
        <v>0</v>
      </c>
      <c r="CL13" s="153">
        <f t="shared" si="78"/>
        <v>0</v>
      </c>
      <c r="CM13" s="153">
        <v>-5300</v>
      </c>
      <c r="CN13" s="153">
        <f t="shared" ref="CN13:CP13" si="79">IF(CM13&gt;0,CM13,0)</f>
        <v>0</v>
      </c>
      <c r="CO13" s="153">
        <v>-4000</v>
      </c>
      <c r="CP13" s="153">
        <f t="shared" si="79"/>
        <v>0</v>
      </c>
      <c r="CQ13" s="153">
        <v>4800</v>
      </c>
      <c r="CR13" s="153">
        <f t="shared" ref="CR13:CT13" si="80">IF(CQ13&gt;0,CQ13,0)</f>
        <v>4800</v>
      </c>
      <c r="CS13" s="153">
        <v>9336.1176897999994</v>
      </c>
      <c r="CT13" s="153">
        <f t="shared" si="80"/>
        <v>9336.1176897999994</v>
      </c>
      <c r="CU13" s="107">
        <f t="shared" si="23"/>
        <v>18621.117689799998</v>
      </c>
      <c r="CW13" s="108">
        <v>-700</v>
      </c>
      <c r="CX13" s="153">
        <f t="shared" si="24"/>
        <v>700</v>
      </c>
      <c r="CY13" s="153">
        <v>4485</v>
      </c>
      <c r="CZ13" s="153">
        <f t="shared" si="24"/>
        <v>0</v>
      </c>
      <c r="DA13" s="153">
        <v>0</v>
      </c>
      <c r="DB13" s="153">
        <f t="shared" ref="DB13:DD13" si="81">IF(DA13&lt;0,-DA13,0)</f>
        <v>0</v>
      </c>
      <c r="DC13" s="153">
        <v>0</v>
      </c>
      <c r="DD13" s="153">
        <f t="shared" si="81"/>
        <v>0</v>
      </c>
      <c r="DE13" s="153">
        <v>-5300</v>
      </c>
      <c r="DF13" s="153">
        <f t="shared" ref="DF13:DH13" si="82">IF(DE13&lt;0,-DE13,0)</f>
        <v>5300</v>
      </c>
      <c r="DG13" s="153">
        <v>-4000</v>
      </c>
      <c r="DH13" s="153">
        <f t="shared" si="82"/>
        <v>4000</v>
      </c>
      <c r="DI13" s="153">
        <v>4800</v>
      </c>
      <c r="DJ13" s="153">
        <f t="shared" ref="DJ13:DL13" si="83">IF(DI13&lt;0,-DI13,0)</f>
        <v>0</v>
      </c>
      <c r="DK13" s="153">
        <v>9336.1176897999994</v>
      </c>
      <c r="DL13" s="153">
        <f t="shared" si="83"/>
        <v>0</v>
      </c>
      <c r="DM13" s="107">
        <f t="shared" si="28"/>
        <v>10000</v>
      </c>
    </row>
    <row r="14" spans="1:117" s="5" customFormat="1" x14ac:dyDescent="0.35">
      <c r="D14" s="120" t="s">
        <v>213</v>
      </c>
      <c r="E14" s="120">
        <v>10447.41</v>
      </c>
      <c r="G14" s="120" t="s">
        <v>230</v>
      </c>
      <c r="H14" s="120">
        <v>12584.9</v>
      </c>
      <c r="J14" s="120" t="s">
        <v>196</v>
      </c>
      <c r="K14" s="120">
        <v>1895.43</v>
      </c>
      <c r="M14" s="77">
        <f t="shared" si="29"/>
        <v>12</v>
      </c>
      <c r="N14" s="78">
        <v>0.22800000000000001</v>
      </c>
      <c r="O14" s="79">
        <v>0.31</v>
      </c>
      <c r="P14" s="79">
        <v>0.442</v>
      </c>
      <c r="Q14" s="79">
        <v>36558.857000000004</v>
      </c>
      <c r="R14" s="79">
        <v>2380.3125980899999</v>
      </c>
      <c r="S14" s="79">
        <f t="shared" si="0"/>
        <v>38939.169598090004</v>
      </c>
      <c r="T14" s="78">
        <v>9.0999999999999998E-2</v>
      </c>
      <c r="U14" s="79">
        <v>0.115</v>
      </c>
      <c r="V14" s="79">
        <v>8.2000000000000003E-2</v>
      </c>
      <c r="W14" s="79">
        <v>3.7999999999999999E-2</v>
      </c>
      <c r="X14" s="79">
        <f t="shared" si="1"/>
        <v>0.12</v>
      </c>
      <c r="Y14" s="79">
        <v>5241.0720000000001</v>
      </c>
      <c r="Z14" s="79">
        <v>0</v>
      </c>
      <c r="AA14" s="80">
        <f t="shared" si="2"/>
        <v>5241.0720000000001</v>
      </c>
      <c r="AB14" s="79"/>
      <c r="AC14" s="88">
        <v>31457</v>
      </c>
      <c r="AD14" s="94">
        <f t="shared" si="3"/>
        <v>0.379</v>
      </c>
      <c r="AE14" s="89">
        <v>1489.55</v>
      </c>
      <c r="AF14" s="94">
        <f t="shared" si="4"/>
        <v>0.31</v>
      </c>
      <c r="AG14" s="89">
        <v>13260</v>
      </c>
      <c r="AH14" s="94">
        <f t="shared" si="5"/>
        <v>0.442</v>
      </c>
      <c r="AI14" s="89">
        <v>6355.1643999999997</v>
      </c>
      <c r="AJ14" s="94">
        <f>AI14/$B$6</f>
        <v>0.44199999999999995</v>
      </c>
      <c r="AK14" s="89">
        <v>2424.6349</v>
      </c>
      <c r="AL14" s="94">
        <f>AK14/$B$7</f>
        <v>0.251</v>
      </c>
      <c r="AM14" s="89">
        <v>10181.16</v>
      </c>
      <c r="AN14" s="94">
        <f t="shared" si="6"/>
        <v>0.19800000000000001</v>
      </c>
      <c r="AO14" s="89">
        <v>7503.9696000000004</v>
      </c>
      <c r="AP14" s="94">
        <f t="shared" si="7"/>
        <v>0.16200000000000001</v>
      </c>
      <c r="AQ14" s="79"/>
      <c r="AR14" s="88">
        <v>14684.967000000001</v>
      </c>
      <c r="AS14" s="76">
        <v>1005.1</v>
      </c>
      <c r="AT14" s="88">
        <v>218.5</v>
      </c>
      <c r="AU14" s="100">
        <f t="shared" si="8"/>
        <v>0.16500000000000001</v>
      </c>
      <c r="AV14" s="100">
        <f t="shared" si="9"/>
        <v>0.437</v>
      </c>
      <c r="AW14" s="100">
        <f t="shared" si="10"/>
        <v>0.437</v>
      </c>
      <c r="AX14" s="94">
        <v>52.972000000000001</v>
      </c>
      <c r="AY14" s="76">
        <v>442.45679999999999</v>
      </c>
      <c r="AZ14" s="100">
        <f>AX14/$B$9</f>
        <v>8.2000000000000003E-2</v>
      </c>
      <c r="BA14" s="97">
        <f>AY14/$B$8</f>
        <v>3.7999999999999999E-2</v>
      </c>
      <c r="BB14" s="88">
        <v>16011.4</v>
      </c>
      <c r="BC14" s="76">
        <v>19014.75</v>
      </c>
      <c r="BD14" s="100">
        <f t="shared" si="11"/>
        <v>0.35899999999999999</v>
      </c>
      <c r="BE14" s="97">
        <f t="shared" si="12"/>
        <v>0.81</v>
      </c>
      <c r="BG14" s="88">
        <v>997.37699999999995</v>
      </c>
      <c r="BH14" s="114">
        <f>BG14/$B$10</f>
        <v>0.40499987818050404</v>
      </c>
      <c r="BI14" s="115">
        <v>914.43200000000002</v>
      </c>
      <c r="BJ14" s="114">
        <f>BI14/$B$11</f>
        <v>0.56903049159925323</v>
      </c>
      <c r="BK14" s="115">
        <v>1121.4780000000001</v>
      </c>
      <c r="BL14" s="114">
        <f t="shared" si="13"/>
        <v>0.5784392407674851</v>
      </c>
      <c r="BN14" s="111">
        <v>51358.995000000003</v>
      </c>
      <c r="BO14" s="114">
        <f t="shared" si="14"/>
        <v>0.73770491803278682</v>
      </c>
      <c r="BQ14" s="142">
        <v>21855.530999999999</v>
      </c>
      <c r="BR14" s="131">
        <v>0</v>
      </c>
      <c r="BS14" s="143">
        <v>0</v>
      </c>
      <c r="BT14" s="105">
        <f t="shared" si="15"/>
        <v>0.6704150613496932</v>
      </c>
      <c r="BU14" s="20">
        <f t="shared" si="16"/>
        <v>0</v>
      </c>
      <c r="BV14" s="2">
        <v>0</v>
      </c>
      <c r="BW14" s="2">
        <v>0</v>
      </c>
      <c r="BX14" s="2">
        <v>0</v>
      </c>
      <c r="BY14" s="2">
        <v>5291.8940000000002</v>
      </c>
      <c r="BZ14" s="105">
        <f t="shared" si="17"/>
        <v>0.39263199287728151</v>
      </c>
      <c r="CA14" s="20">
        <f t="shared" si="18"/>
        <v>0</v>
      </c>
      <c r="CB14" s="5">
        <v>10800</v>
      </c>
      <c r="CC14" s="5">
        <v>0</v>
      </c>
      <c r="CE14" s="108">
        <v>-700</v>
      </c>
      <c r="CF14" s="153">
        <f t="shared" si="19"/>
        <v>0</v>
      </c>
      <c r="CG14" s="153">
        <v>4485</v>
      </c>
      <c r="CH14" s="153">
        <f t="shared" si="19"/>
        <v>4485</v>
      </c>
      <c r="CI14" s="153">
        <v>0</v>
      </c>
      <c r="CJ14" s="153">
        <f t="shared" ref="CJ14:CL14" si="84">IF(CI14&gt;0,CI14,0)</f>
        <v>0</v>
      </c>
      <c r="CK14" s="153">
        <v>0</v>
      </c>
      <c r="CL14" s="153">
        <f t="shared" si="84"/>
        <v>0</v>
      </c>
      <c r="CM14" s="153">
        <v>-5300</v>
      </c>
      <c r="CN14" s="153">
        <f t="shared" ref="CN14:CP14" si="85">IF(CM14&gt;0,CM14,0)</f>
        <v>0</v>
      </c>
      <c r="CO14" s="153">
        <v>-4000</v>
      </c>
      <c r="CP14" s="153">
        <f t="shared" si="85"/>
        <v>0</v>
      </c>
      <c r="CQ14" s="153">
        <v>4800</v>
      </c>
      <c r="CR14" s="153">
        <f t="shared" ref="CR14:CT14" si="86">IF(CQ14&gt;0,CQ14,0)</f>
        <v>4800</v>
      </c>
      <c r="CS14" s="153">
        <v>9373.2597054100006</v>
      </c>
      <c r="CT14" s="153">
        <f t="shared" si="86"/>
        <v>9373.2597054100006</v>
      </c>
      <c r="CU14" s="107">
        <f t="shared" si="23"/>
        <v>18658.259705410001</v>
      </c>
      <c r="CW14" s="108">
        <v>-700</v>
      </c>
      <c r="CX14" s="153">
        <f t="shared" si="24"/>
        <v>700</v>
      </c>
      <c r="CY14" s="153">
        <v>4485</v>
      </c>
      <c r="CZ14" s="153">
        <f t="shared" si="24"/>
        <v>0</v>
      </c>
      <c r="DA14" s="153">
        <v>0</v>
      </c>
      <c r="DB14" s="153">
        <f t="shared" ref="DB14:DD14" si="87">IF(DA14&lt;0,-DA14,0)</f>
        <v>0</v>
      </c>
      <c r="DC14" s="153">
        <v>0</v>
      </c>
      <c r="DD14" s="153">
        <f t="shared" si="87"/>
        <v>0</v>
      </c>
      <c r="DE14" s="153">
        <v>-5300</v>
      </c>
      <c r="DF14" s="153">
        <f t="shared" ref="DF14:DH14" si="88">IF(DE14&lt;0,-DE14,0)</f>
        <v>5300</v>
      </c>
      <c r="DG14" s="153">
        <v>-4000</v>
      </c>
      <c r="DH14" s="153">
        <f t="shared" si="88"/>
        <v>4000</v>
      </c>
      <c r="DI14" s="153">
        <v>4800</v>
      </c>
      <c r="DJ14" s="153">
        <f t="shared" ref="DJ14:DL14" si="89">IF(DI14&lt;0,-DI14,0)</f>
        <v>0</v>
      </c>
      <c r="DK14" s="153">
        <v>9373.2597054100006</v>
      </c>
      <c r="DL14" s="153">
        <f t="shared" si="89"/>
        <v>0</v>
      </c>
      <c r="DM14" s="107">
        <f t="shared" si="28"/>
        <v>10000</v>
      </c>
    </row>
    <row r="15" spans="1:117" s="5" customFormat="1" x14ac:dyDescent="0.35">
      <c r="D15" s="120" t="s">
        <v>214</v>
      </c>
      <c r="E15" s="120">
        <v>10423.35</v>
      </c>
      <c r="G15" s="120" t="s">
        <v>231</v>
      </c>
      <c r="H15" s="120">
        <v>8954</v>
      </c>
      <c r="J15" s="120" t="s">
        <v>197</v>
      </c>
      <c r="K15" s="120">
        <v>7270</v>
      </c>
      <c r="M15" s="77">
        <f t="shared" si="29"/>
        <v>13</v>
      </c>
      <c r="N15" s="78">
        <v>0.245</v>
      </c>
      <c r="O15" s="79">
        <v>0.38900000000000001</v>
      </c>
      <c r="P15" s="79">
        <v>0.51</v>
      </c>
      <c r="Q15" s="79">
        <v>37443.358999999997</v>
      </c>
      <c r="R15" s="79">
        <v>2602.6944411600002</v>
      </c>
      <c r="S15" s="79">
        <f t="shared" si="0"/>
        <v>40046.053441159995</v>
      </c>
      <c r="T15" s="78">
        <v>0.10199999999999999</v>
      </c>
      <c r="U15" s="79">
        <v>0.13699999999999998</v>
      </c>
      <c r="V15" s="79">
        <v>7.8E-2</v>
      </c>
      <c r="W15" s="79">
        <v>3.6999999999999998E-2</v>
      </c>
      <c r="X15" s="79">
        <f t="shared" si="1"/>
        <v>0.11499999999999999</v>
      </c>
      <c r="Y15" s="79">
        <v>5572.7849999999999</v>
      </c>
      <c r="Z15" s="79">
        <v>0</v>
      </c>
      <c r="AA15" s="80">
        <f t="shared" si="2"/>
        <v>5572.7849999999999</v>
      </c>
      <c r="AB15" s="79"/>
      <c r="AC15" s="88">
        <v>32453</v>
      </c>
      <c r="AD15" s="94">
        <f t="shared" si="3"/>
        <v>0.39100000000000001</v>
      </c>
      <c r="AE15" s="89">
        <v>1869.145</v>
      </c>
      <c r="AF15" s="94">
        <f t="shared" si="4"/>
        <v>0.38900000000000001</v>
      </c>
      <c r="AG15" s="89">
        <v>15300</v>
      </c>
      <c r="AH15" s="94">
        <f t="shared" si="5"/>
        <v>0.51</v>
      </c>
      <c r="AI15" s="89">
        <v>7879.2536</v>
      </c>
      <c r="AJ15" s="94">
        <f>AI15/$B$6</f>
        <v>0.54799999999999993</v>
      </c>
      <c r="AK15" s="89">
        <v>3120.1477</v>
      </c>
      <c r="AL15" s="94">
        <f>AK15/$B$7</f>
        <v>0.32300000000000001</v>
      </c>
      <c r="AM15" s="89">
        <v>11003.88</v>
      </c>
      <c r="AN15" s="94">
        <f t="shared" si="6"/>
        <v>0.214</v>
      </c>
      <c r="AO15" s="89">
        <v>8245.1023999999998</v>
      </c>
      <c r="AP15" s="94">
        <f t="shared" si="7"/>
        <v>0.17799999999999999</v>
      </c>
      <c r="AQ15" s="79"/>
      <c r="AR15" s="88">
        <v>16909.962</v>
      </c>
      <c r="AS15" s="76">
        <v>979.8</v>
      </c>
      <c r="AT15" s="88">
        <v>213</v>
      </c>
      <c r="AU15" s="100">
        <f t="shared" si="8"/>
        <v>0.19</v>
      </c>
      <c r="AV15" s="100">
        <f t="shared" si="9"/>
        <v>0.42599999999999999</v>
      </c>
      <c r="AW15" s="100">
        <f t="shared" si="10"/>
        <v>0.42599999999999999</v>
      </c>
      <c r="AX15" s="94">
        <v>50.387999999999998</v>
      </c>
      <c r="AY15" s="76">
        <v>430.81319999999999</v>
      </c>
      <c r="AZ15" s="100">
        <f>AX15/$B$9</f>
        <v>7.8E-2</v>
      </c>
      <c r="BA15" s="97">
        <f>AY15/$B$8</f>
        <v>3.6999999999999998E-2</v>
      </c>
      <c r="BB15" s="88">
        <v>15877.6</v>
      </c>
      <c r="BC15" s="76">
        <v>18803.474999999999</v>
      </c>
      <c r="BD15" s="100">
        <f t="shared" si="11"/>
        <v>0.35599999999999998</v>
      </c>
      <c r="BE15" s="97">
        <f t="shared" si="12"/>
        <v>0.80099999999999993</v>
      </c>
      <c r="BG15" s="88">
        <v>994.91499999999996</v>
      </c>
      <c r="BH15" s="114">
        <f>BG15/$B$10</f>
        <v>0.40400014618339519</v>
      </c>
      <c r="BI15" s="115">
        <v>916.05899999999997</v>
      </c>
      <c r="BJ15" s="114">
        <f>BI15/$B$11</f>
        <v>0.5700429371499689</v>
      </c>
      <c r="BK15" s="115">
        <v>1121.4780000000001</v>
      </c>
      <c r="BL15" s="114">
        <f t="shared" si="13"/>
        <v>0.5784392407674851</v>
      </c>
      <c r="BN15" s="111">
        <v>51358.995000000003</v>
      </c>
      <c r="BO15" s="114">
        <f t="shared" si="14"/>
        <v>0.73770491803278682</v>
      </c>
      <c r="BQ15" s="142">
        <v>24329.670999999998</v>
      </c>
      <c r="BR15" s="131">
        <v>0</v>
      </c>
      <c r="BS15" s="143">
        <v>0</v>
      </c>
      <c r="BT15" s="105">
        <f t="shared" si="15"/>
        <v>0.74630892638036805</v>
      </c>
      <c r="BU15" s="20">
        <f t="shared" si="16"/>
        <v>0</v>
      </c>
      <c r="BV15" s="2">
        <v>0</v>
      </c>
      <c r="BW15" s="2">
        <v>0</v>
      </c>
      <c r="BX15" s="2">
        <v>0</v>
      </c>
      <c r="BY15" s="2">
        <v>6406.0810000000001</v>
      </c>
      <c r="BZ15" s="105">
        <f t="shared" si="17"/>
        <v>0.47529907998219323</v>
      </c>
      <c r="CA15" s="20">
        <f t="shared" si="18"/>
        <v>0</v>
      </c>
      <c r="CB15" s="5">
        <v>10800</v>
      </c>
      <c r="CC15" s="5">
        <v>0</v>
      </c>
      <c r="CE15" s="108">
        <v>-700</v>
      </c>
      <c r="CF15" s="153">
        <f t="shared" si="19"/>
        <v>0</v>
      </c>
      <c r="CG15" s="153">
        <v>4485</v>
      </c>
      <c r="CH15" s="153">
        <f t="shared" si="19"/>
        <v>4485</v>
      </c>
      <c r="CI15" s="153">
        <v>0</v>
      </c>
      <c r="CJ15" s="153">
        <f t="shared" ref="CJ15:CL15" si="90">IF(CI15&gt;0,CI15,0)</f>
        <v>0</v>
      </c>
      <c r="CK15" s="153">
        <v>1310.5749978700001</v>
      </c>
      <c r="CL15" s="153">
        <f t="shared" si="90"/>
        <v>1310.5749978700001</v>
      </c>
      <c r="CM15" s="153">
        <v>-5300</v>
      </c>
      <c r="CN15" s="153">
        <f t="shared" ref="CN15:CP15" si="91">IF(CM15&gt;0,CM15,0)</f>
        <v>0</v>
      </c>
      <c r="CO15" s="153">
        <v>-4000</v>
      </c>
      <c r="CP15" s="153">
        <f t="shared" si="91"/>
        <v>0</v>
      </c>
      <c r="CQ15" s="153">
        <v>4800</v>
      </c>
      <c r="CR15" s="153">
        <f t="shared" ref="CR15:CT15" si="92">IF(CQ15&gt;0,CQ15,0)</f>
        <v>4800</v>
      </c>
      <c r="CS15" s="153">
        <v>10307.71668231</v>
      </c>
      <c r="CT15" s="153">
        <f t="shared" si="92"/>
        <v>10307.71668231</v>
      </c>
      <c r="CU15" s="107">
        <f t="shared" si="23"/>
        <v>20903.291680180002</v>
      </c>
      <c r="CW15" s="108">
        <v>-700</v>
      </c>
      <c r="CX15" s="153">
        <f t="shared" si="24"/>
        <v>700</v>
      </c>
      <c r="CY15" s="153">
        <v>4485</v>
      </c>
      <c r="CZ15" s="153">
        <f t="shared" si="24"/>
        <v>0</v>
      </c>
      <c r="DA15" s="153">
        <v>0</v>
      </c>
      <c r="DB15" s="153">
        <f t="shared" ref="DB15:DD15" si="93">IF(DA15&lt;0,-DA15,0)</f>
        <v>0</v>
      </c>
      <c r="DC15" s="153">
        <v>1310.5749978700001</v>
      </c>
      <c r="DD15" s="153">
        <f t="shared" si="93"/>
        <v>0</v>
      </c>
      <c r="DE15" s="153">
        <v>-5300</v>
      </c>
      <c r="DF15" s="153">
        <f t="shared" ref="DF15:DH15" si="94">IF(DE15&lt;0,-DE15,0)</f>
        <v>5300</v>
      </c>
      <c r="DG15" s="153">
        <v>-4000</v>
      </c>
      <c r="DH15" s="153">
        <f t="shared" si="94"/>
        <v>4000</v>
      </c>
      <c r="DI15" s="153">
        <v>4800</v>
      </c>
      <c r="DJ15" s="153">
        <f t="shared" ref="DJ15:DL15" si="95">IF(DI15&lt;0,-DI15,0)</f>
        <v>0</v>
      </c>
      <c r="DK15" s="153">
        <v>10307.71668231</v>
      </c>
      <c r="DL15" s="153">
        <f t="shared" si="95"/>
        <v>0</v>
      </c>
      <c r="DM15" s="107">
        <f t="shared" si="28"/>
        <v>10000</v>
      </c>
    </row>
    <row r="16" spans="1:117" s="5" customFormat="1" x14ac:dyDescent="0.35">
      <c r="D16" s="120" t="s">
        <v>215</v>
      </c>
      <c r="E16" s="120">
        <v>3500</v>
      </c>
      <c r="G16" s="120" t="s">
        <v>232</v>
      </c>
      <c r="H16" s="120">
        <v>968</v>
      </c>
      <c r="J16" s="120" t="s">
        <v>198</v>
      </c>
      <c r="K16" s="120">
        <v>46320.800000000003</v>
      </c>
      <c r="M16" s="77">
        <f t="shared" si="29"/>
        <v>14</v>
      </c>
      <c r="N16" s="78">
        <v>0.23500000000000001</v>
      </c>
      <c r="O16" s="79">
        <v>0.39899999999999997</v>
      </c>
      <c r="P16" s="79">
        <v>0.51100000000000001</v>
      </c>
      <c r="Q16" s="79">
        <v>37784.137000000002</v>
      </c>
      <c r="R16" s="79">
        <v>2314.1030445299998</v>
      </c>
      <c r="S16" s="79">
        <f t="shared" si="0"/>
        <v>40098.240044530001</v>
      </c>
      <c r="T16" s="78">
        <v>9.8000000000000004E-2</v>
      </c>
      <c r="U16" s="79">
        <v>0.13</v>
      </c>
      <c r="V16" s="79">
        <v>0.08</v>
      </c>
      <c r="W16" s="79">
        <v>4.2999999999999997E-2</v>
      </c>
      <c r="X16" s="79">
        <f t="shared" si="1"/>
        <v>0.123</v>
      </c>
      <c r="Y16" s="79">
        <v>5282.482</v>
      </c>
      <c r="Z16" s="79">
        <v>0</v>
      </c>
      <c r="AA16" s="80">
        <f t="shared" si="2"/>
        <v>5282.482</v>
      </c>
      <c r="AB16" s="79"/>
      <c r="AC16" s="88">
        <v>32287</v>
      </c>
      <c r="AD16" s="94">
        <f t="shared" si="3"/>
        <v>0.38900000000000001</v>
      </c>
      <c r="AE16" s="89">
        <v>1917.1949999999999</v>
      </c>
      <c r="AF16" s="94">
        <f t="shared" si="4"/>
        <v>0.39899999999999997</v>
      </c>
      <c r="AG16" s="89">
        <v>15330</v>
      </c>
      <c r="AH16" s="94">
        <f t="shared" si="5"/>
        <v>0.51100000000000001</v>
      </c>
      <c r="AI16" s="89">
        <v>8353.7342000000008</v>
      </c>
      <c r="AJ16" s="94">
        <f>AI16/$B$6</f>
        <v>0.58100000000000007</v>
      </c>
      <c r="AK16" s="89">
        <v>3361.6451999999999</v>
      </c>
      <c r="AL16" s="94">
        <f>AK16/$B$7</f>
        <v>0.34800000000000003</v>
      </c>
      <c r="AM16" s="89">
        <v>10078.32</v>
      </c>
      <c r="AN16" s="94">
        <f t="shared" si="6"/>
        <v>0.19600000000000001</v>
      </c>
      <c r="AO16" s="89">
        <v>7596.6112000000003</v>
      </c>
      <c r="AP16" s="94">
        <f t="shared" si="7"/>
        <v>0.16400000000000001</v>
      </c>
      <c r="AQ16" s="79"/>
      <c r="AR16" s="88">
        <v>18422.958600000002</v>
      </c>
      <c r="AS16" s="76">
        <v>954.5</v>
      </c>
      <c r="AT16" s="88">
        <v>207.5</v>
      </c>
      <c r="AU16" s="100">
        <f t="shared" si="8"/>
        <v>0.20700000000000002</v>
      </c>
      <c r="AV16" s="100">
        <f t="shared" si="9"/>
        <v>0.41499999999999998</v>
      </c>
      <c r="AW16" s="100">
        <f t="shared" si="10"/>
        <v>0.41499999999999998</v>
      </c>
      <c r="AX16" s="94">
        <v>51.68</v>
      </c>
      <c r="AY16" s="76">
        <v>500.6748</v>
      </c>
      <c r="AZ16" s="100">
        <f>AX16/$B$9</f>
        <v>0.08</v>
      </c>
      <c r="BA16" s="97">
        <f>AY16/$B$8</f>
        <v>4.2999999999999997E-2</v>
      </c>
      <c r="BB16" s="88">
        <v>16100.6</v>
      </c>
      <c r="BC16" s="76">
        <v>18709.575000000001</v>
      </c>
      <c r="BD16" s="100">
        <f t="shared" si="11"/>
        <v>0.36099999999999999</v>
      </c>
      <c r="BE16" s="97">
        <f t="shared" si="12"/>
        <v>0.79700000000000004</v>
      </c>
      <c r="BG16" s="88">
        <v>999.84</v>
      </c>
      <c r="BH16" s="114">
        <f>BG16/$B$10</f>
        <v>0.40600001624259952</v>
      </c>
      <c r="BI16" s="115">
        <v>911.99199999999996</v>
      </c>
      <c r="BJ16" s="114">
        <f>BI16/$B$11</f>
        <v>0.5675121344119477</v>
      </c>
      <c r="BK16" s="115">
        <v>1121.4780000000001</v>
      </c>
      <c r="BL16" s="114">
        <f t="shared" si="13"/>
        <v>0.5784392407674851</v>
      </c>
      <c r="BN16" s="111">
        <v>51358.995000000003</v>
      </c>
      <c r="BO16" s="114">
        <f t="shared" si="14"/>
        <v>0.73770491803278682</v>
      </c>
      <c r="BQ16" s="142">
        <v>24980.846000000001</v>
      </c>
      <c r="BR16" s="131">
        <v>0</v>
      </c>
      <c r="BS16" s="143">
        <v>0</v>
      </c>
      <c r="BT16" s="105">
        <f t="shared" si="15"/>
        <v>0.76628361963190184</v>
      </c>
      <c r="BU16" s="20">
        <f t="shared" si="16"/>
        <v>0</v>
      </c>
      <c r="BV16" s="2">
        <v>0</v>
      </c>
      <c r="BW16" s="2">
        <v>0</v>
      </c>
      <c r="BX16" s="2">
        <v>0</v>
      </c>
      <c r="BY16" s="2">
        <v>6829.7910000000002</v>
      </c>
      <c r="BZ16" s="105">
        <f t="shared" si="17"/>
        <v>0.50673623683039026</v>
      </c>
      <c r="CA16" s="20">
        <f t="shared" si="18"/>
        <v>0</v>
      </c>
      <c r="CB16" s="5">
        <v>10800</v>
      </c>
      <c r="CC16" s="5">
        <v>0</v>
      </c>
      <c r="CE16" s="108">
        <v>-700</v>
      </c>
      <c r="CF16" s="153">
        <f t="shared" si="19"/>
        <v>0</v>
      </c>
      <c r="CG16" s="153">
        <v>4485</v>
      </c>
      <c r="CH16" s="153">
        <f t="shared" si="19"/>
        <v>4485</v>
      </c>
      <c r="CI16" s="153">
        <v>0</v>
      </c>
      <c r="CJ16" s="153">
        <f t="shared" ref="CJ16:CL16" si="96">IF(CI16&gt;0,CI16,0)</f>
        <v>0</v>
      </c>
      <c r="CK16" s="153">
        <v>5000</v>
      </c>
      <c r="CL16" s="153">
        <f t="shared" si="96"/>
        <v>5000</v>
      </c>
      <c r="CM16" s="153">
        <v>-5300</v>
      </c>
      <c r="CN16" s="153">
        <f t="shared" ref="CN16:CP16" si="97">IF(CM16&gt;0,CM16,0)</f>
        <v>0</v>
      </c>
      <c r="CO16" s="153">
        <v>-4000</v>
      </c>
      <c r="CP16" s="153">
        <f t="shared" si="97"/>
        <v>0</v>
      </c>
      <c r="CQ16" s="153">
        <v>4800</v>
      </c>
      <c r="CR16" s="153">
        <f t="shared" ref="CR16:CT16" si="98">IF(CQ16&gt;0,CQ16,0)</f>
        <v>4800</v>
      </c>
      <c r="CS16" s="153">
        <v>9058.23317021</v>
      </c>
      <c r="CT16" s="153">
        <f t="shared" si="98"/>
        <v>9058.23317021</v>
      </c>
      <c r="CU16" s="107">
        <f t="shared" si="23"/>
        <v>23343.233170209998</v>
      </c>
      <c r="CW16" s="108">
        <v>-700</v>
      </c>
      <c r="CX16" s="153">
        <f t="shared" si="24"/>
        <v>700</v>
      </c>
      <c r="CY16" s="153">
        <v>4485</v>
      </c>
      <c r="CZ16" s="153">
        <f t="shared" si="24"/>
        <v>0</v>
      </c>
      <c r="DA16" s="153">
        <v>0</v>
      </c>
      <c r="DB16" s="153">
        <f t="shared" ref="DB16:DD16" si="99">IF(DA16&lt;0,-DA16,0)</f>
        <v>0</v>
      </c>
      <c r="DC16" s="153">
        <v>5000</v>
      </c>
      <c r="DD16" s="153">
        <f t="shared" si="99"/>
        <v>0</v>
      </c>
      <c r="DE16" s="153">
        <v>-5300</v>
      </c>
      <c r="DF16" s="153">
        <f t="shared" ref="DF16:DH16" si="100">IF(DE16&lt;0,-DE16,0)</f>
        <v>5300</v>
      </c>
      <c r="DG16" s="153">
        <v>-4000</v>
      </c>
      <c r="DH16" s="153">
        <f t="shared" si="100"/>
        <v>4000</v>
      </c>
      <c r="DI16" s="153">
        <v>4800</v>
      </c>
      <c r="DJ16" s="153">
        <f t="shared" ref="DJ16:DL16" si="101">IF(DI16&lt;0,-DI16,0)</f>
        <v>0</v>
      </c>
      <c r="DK16" s="153">
        <v>9058.23317021</v>
      </c>
      <c r="DL16" s="153">
        <f t="shared" si="101"/>
        <v>0</v>
      </c>
      <c r="DM16" s="107">
        <f t="shared" si="28"/>
        <v>10000</v>
      </c>
    </row>
    <row r="17" spans="4:117" s="5" customFormat="1" x14ac:dyDescent="0.35">
      <c r="D17" s="120" t="s">
        <v>216</v>
      </c>
      <c r="E17" s="120">
        <v>30000</v>
      </c>
      <c r="G17" s="120" t="s">
        <v>233</v>
      </c>
      <c r="H17" s="120">
        <v>13478</v>
      </c>
      <c r="J17" s="120" t="s">
        <v>199</v>
      </c>
      <c r="K17" s="120">
        <v>158</v>
      </c>
      <c r="M17" s="77">
        <f t="shared" si="29"/>
        <v>15</v>
      </c>
      <c r="N17" s="78">
        <v>0.15</v>
      </c>
      <c r="O17" s="79">
        <v>0.34799999999999998</v>
      </c>
      <c r="P17" s="79">
        <v>0.45100000000000001</v>
      </c>
      <c r="Q17" s="79">
        <v>37011.836000000003</v>
      </c>
      <c r="R17" s="79">
        <v>1735.9122407699999</v>
      </c>
      <c r="S17" s="79">
        <f t="shared" si="0"/>
        <v>38747.748240770001</v>
      </c>
      <c r="T17" s="78">
        <v>0.09</v>
      </c>
      <c r="U17" s="79">
        <v>9.9000000000000005E-2</v>
      </c>
      <c r="V17" s="79">
        <v>8.7999999999999995E-2</v>
      </c>
      <c r="W17" s="79">
        <v>4.9999999999999996E-2</v>
      </c>
      <c r="X17" s="79">
        <f t="shared" si="1"/>
        <v>0.13799999999999998</v>
      </c>
      <c r="Y17" s="79">
        <v>5002.3549999999996</v>
      </c>
      <c r="Z17" s="79">
        <v>0</v>
      </c>
      <c r="AA17" s="80">
        <f t="shared" si="2"/>
        <v>5002.3549999999996</v>
      </c>
      <c r="AB17" s="79"/>
      <c r="AC17" s="88">
        <v>31374</v>
      </c>
      <c r="AD17" s="94">
        <f t="shared" si="3"/>
        <v>0.378</v>
      </c>
      <c r="AE17" s="89">
        <v>1672.14</v>
      </c>
      <c r="AF17" s="94">
        <f t="shared" si="4"/>
        <v>0.34800000000000003</v>
      </c>
      <c r="AG17" s="89">
        <v>13530</v>
      </c>
      <c r="AH17" s="94">
        <f t="shared" si="5"/>
        <v>0.45100000000000001</v>
      </c>
      <c r="AI17" s="89">
        <v>7792.9844000000003</v>
      </c>
      <c r="AJ17" s="94">
        <f>AI17/$B$6</f>
        <v>0.54200000000000004</v>
      </c>
      <c r="AK17" s="89">
        <v>3120.1477</v>
      </c>
      <c r="AL17" s="94">
        <f>AK17/$B$7</f>
        <v>0.32300000000000001</v>
      </c>
      <c r="AM17" s="89">
        <v>7764.42</v>
      </c>
      <c r="AN17" s="94">
        <f t="shared" si="6"/>
        <v>0.151</v>
      </c>
      <c r="AO17" s="89">
        <v>5790.1</v>
      </c>
      <c r="AP17" s="94">
        <f t="shared" si="7"/>
        <v>0.125</v>
      </c>
      <c r="AQ17" s="79"/>
      <c r="AR17" s="88">
        <v>19045.957200000001</v>
      </c>
      <c r="AS17" s="76">
        <v>945.3</v>
      </c>
      <c r="AT17" s="88">
        <v>205.5</v>
      </c>
      <c r="AU17" s="100">
        <f t="shared" si="8"/>
        <v>0.214</v>
      </c>
      <c r="AV17" s="100">
        <f t="shared" si="9"/>
        <v>0.41099999999999998</v>
      </c>
      <c r="AW17" s="100">
        <f t="shared" si="10"/>
        <v>0.41099999999999998</v>
      </c>
      <c r="AX17" s="94">
        <v>56.847999999999999</v>
      </c>
      <c r="AY17" s="76">
        <v>582.17999999999995</v>
      </c>
      <c r="AZ17" s="100">
        <f>AX17/$B$9</f>
        <v>8.7999999999999995E-2</v>
      </c>
      <c r="BA17" s="97">
        <f>AY17/$B$8</f>
        <v>4.9999999999999996E-2</v>
      </c>
      <c r="BB17" s="88">
        <v>17171</v>
      </c>
      <c r="BC17" s="76">
        <v>18780</v>
      </c>
      <c r="BD17" s="100">
        <f t="shared" si="11"/>
        <v>0.38500000000000001</v>
      </c>
      <c r="BE17" s="97">
        <f t="shared" si="12"/>
        <v>0.8</v>
      </c>
      <c r="BG17" s="88">
        <v>1004.765</v>
      </c>
      <c r="BH17" s="114">
        <f>BG17/$B$10</f>
        <v>0.40799988630180378</v>
      </c>
      <c r="BI17" s="115">
        <v>906.76800000000003</v>
      </c>
      <c r="BJ17" s="114">
        <f>BI17/$B$11</f>
        <v>0.56426135656502807</v>
      </c>
      <c r="BK17" s="115">
        <v>1121.4780000000001</v>
      </c>
      <c r="BL17" s="114">
        <f t="shared" si="13"/>
        <v>0.5784392407674851</v>
      </c>
      <c r="BN17" s="111">
        <v>51358.995000000003</v>
      </c>
      <c r="BO17" s="114">
        <f t="shared" si="14"/>
        <v>0.73770491803278682</v>
      </c>
      <c r="BQ17" s="142">
        <v>23893.52</v>
      </c>
      <c r="BR17" s="131">
        <v>0</v>
      </c>
      <c r="BS17" s="143">
        <v>0</v>
      </c>
      <c r="BT17" s="105">
        <f t="shared" si="15"/>
        <v>0.7329300613496933</v>
      </c>
      <c r="BU17" s="20">
        <f t="shared" si="16"/>
        <v>0</v>
      </c>
      <c r="BV17" s="2">
        <v>0</v>
      </c>
      <c r="BW17" s="2">
        <v>0</v>
      </c>
      <c r="BX17" s="2">
        <v>0</v>
      </c>
      <c r="BY17" s="2">
        <v>6512.1450000000004</v>
      </c>
      <c r="BZ17" s="105">
        <f t="shared" si="17"/>
        <v>0.48316849680961571</v>
      </c>
      <c r="CA17" s="20">
        <f t="shared" si="18"/>
        <v>0</v>
      </c>
      <c r="CB17" s="5">
        <v>10800</v>
      </c>
      <c r="CC17" s="5">
        <v>0</v>
      </c>
      <c r="CE17" s="108">
        <v>-700</v>
      </c>
      <c r="CF17" s="153">
        <f t="shared" si="19"/>
        <v>0</v>
      </c>
      <c r="CG17" s="153">
        <v>4485</v>
      </c>
      <c r="CH17" s="153">
        <f t="shared" si="19"/>
        <v>4485</v>
      </c>
      <c r="CI17" s="153">
        <v>0</v>
      </c>
      <c r="CJ17" s="153">
        <f t="shared" ref="CJ17:CL17" si="102">IF(CI17&gt;0,CI17,0)</f>
        <v>0</v>
      </c>
      <c r="CK17" s="153">
        <v>5000</v>
      </c>
      <c r="CL17" s="153">
        <f t="shared" si="102"/>
        <v>5000</v>
      </c>
      <c r="CM17" s="153">
        <v>-5300</v>
      </c>
      <c r="CN17" s="153">
        <f t="shared" ref="CN17:CP17" si="103">IF(CM17&gt;0,CM17,0)</f>
        <v>0</v>
      </c>
      <c r="CO17" s="153">
        <v>-4000</v>
      </c>
      <c r="CP17" s="153">
        <f t="shared" si="103"/>
        <v>0</v>
      </c>
      <c r="CQ17" s="153">
        <v>4800</v>
      </c>
      <c r="CR17" s="153">
        <f t="shared" ref="CR17:CT17" si="104">IF(CQ17&gt;0,CQ17,0)</f>
        <v>4800</v>
      </c>
      <c r="CS17" s="153">
        <v>11163.3032766</v>
      </c>
      <c r="CT17" s="153">
        <f t="shared" si="104"/>
        <v>11163.3032766</v>
      </c>
      <c r="CU17" s="107">
        <f t="shared" si="23"/>
        <v>25448.3032766</v>
      </c>
      <c r="CW17" s="108">
        <v>-700</v>
      </c>
      <c r="CX17" s="153">
        <f t="shared" si="24"/>
        <v>700</v>
      </c>
      <c r="CY17" s="153">
        <v>4485</v>
      </c>
      <c r="CZ17" s="153">
        <f t="shared" si="24"/>
        <v>0</v>
      </c>
      <c r="DA17" s="153">
        <v>0</v>
      </c>
      <c r="DB17" s="153">
        <f t="shared" ref="DB17:DD17" si="105">IF(DA17&lt;0,-DA17,0)</f>
        <v>0</v>
      </c>
      <c r="DC17" s="153">
        <v>5000</v>
      </c>
      <c r="DD17" s="153">
        <f t="shared" si="105"/>
        <v>0</v>
      </c>
      <c r="DE17" s="153">
        <v>-5300</v>
      </c>
      <c r="DF17" s="153">
        <f t="shared" ref="DF17:DH17" si="106">IF(DE17&lt;0,-DE17,0)</f>
        <v>5300</v>
      </c>
      <c r="DG17" s="153">
        <v>-4000</v>
      </c>
      <c r="DH17" s="153">
        <f t="shared" si="106"/>
        <v>4000</v>
      </c>
      <c r="DI17" s="153">
        <v>4800</v>
      </c>
      <c r="DJ17" s="153">
        <f t="shared" ref="DJ17:DL17" si="107">IF(DI17&lt;0,-DI17,0)</f>
        <v>0</v>
      </c>
      <c r="DK17" s="153">
        <v>11163.3032766</v>
      </c>
      <c r="DL17" s="153">
        <f t="shared" si="107"/>
        <v>0</v>
      </c>
      <c r="DM17" s="107">
        <f t="shared" si="28"/>
        <v>10000</v>
      </c>
    </row>
    <row r="18" spans="4:117" s="5" customFormat="1" x14ac:dyDescent="0.35">
      <c r="D18" s="120" t="s">
        <v>217</v>
      </c>
      <c r="E18" s="120">
        <v>37999.68</v>
      </c>
      <c r="J18" s="120" t="s">
        <v>200</v>
      </c>
      <c r="K18" s="120">
        <v>847.5</v>
      </c>
      <c r="M18" s="77">
        <f t="shared" si="29"/>
        <v>16</v>
      </c>
      <c r="N18" s="78">
        <v>0.03</v>
      </c>
      <c r="O18" s="79">
        <v>0.253</v>
      </c>
      <c r="P18" s="79">
        <v>0.34899999999999998</v>
      </c>
      <c r="Q18" s="79">
        <v>36719.425000000003</v>
      </c>
      <c r="R18" s="79">
        <v>1480.27747864</v>
      </c>
      <c r="S18" s="79">
        <f t="shared" si="0"/>
        <v>38199.70247864</v>
      </c>
      <c r="T18" s="78">
        <v>3.59999999999999E-2</v>
      </c>
      <c r="U18" s="79">
        <v>4.4999999999999998E-2</v>
      </c>
      <c r="V18" s="79">
        <v>0.10099999999999999</v>
      </c>
      <c r="W18" s="79">
        <v>5.7000000000000002E-2</v>
      </c>
      <c r="X18" s="79">
        <f t="shared" si="1"/>
        <v>0.158</v>
      </c>
      <c r="Y18" s="79">
        <v>5027.03</v>
      </c>
      <c r="Z18" s="79">
        <v>0</v>
      </c>
      <c r="AA18" s="80">
        <f t="shared" si="2"/>
        <v>5027.03</v>
      </c>
      <c r="AB18" s="79"/>
      <c r="AC18" s="88">
        <v>29465</v>
      </c>
      <c r="AD18" s="94">
        <f t="shared" si="3"/>
        <v>0.35499999999999998</v>
      </c>
      <c r="AE18" s="89">
        <v>1215.665</v>
      </c>
      <c r="AF18" s="94">
        <f t="shared" si="4"/>
        <v>0.253</v>
      </c>
      <c r="AG18" s="89">
        <v>10470</v>
      </c>
      <c r="AH18" s="94">
        <f t="shared" si="5"/>
        <v>0.34899999999999998</v>
      </c>
      <c r="AI18" s="89">
        <v>6340.7861999999996</v>
      </c>
      <c r="AJ18" s="94">
        <f>AI18/$B$6</f>
        <v>0.44099999999999995</v>
      </c>
      <c r="AK18" s="89">
        <v>2424.6349</v>
      </c>
      <c r="AL18" s="94">
        <f>AK18/$B$7</f>
        <v>0.251</v>
      </c>
      <c r="AM18" s="89">
        <v>4936.32</v>
      </c>
      <c r="AN18" s="94">
        <f t="shared" si="6"/>
        <v>9.5999999999999988E-2</v>
      </c>
      <c r="AO18" s="89">
        <v>3566.7015999999999</v>
      </c>
      <c r="AP18" s="94">
        <f t="shared" si="7"/>
        <v>7.6999999999999999E-2</v>
      </c>
      <c r="AQ18" s="79"/>
      <c r="AR18" s="88">
        <v>19134.956999999999</v>
      </c>
      <c r="AS18" s="76">
        <v>947.6</v>
      </c>
      <c r="AT18" s="88">
        <v>206</v>
      </c>
      <c r="AU18" s="100">
        <f t="shared" si="8"/>
        <v>0.21499999999999997</v>
      </c>
      <c r="AV18" s="100">
        <f t="shared" si="9"/>
        <v>0.41200000000000003</v>
      </c>
      <c r="AW18" s="100">
        <f t="shared" si="10"/>
        <v>0.41199999999999998</v>
      </c>
      <c r="AX18" s="94">
        <v>65.245999999999995</v>
      </c>
      <c r="AY18" s="76">
        <v>663.68520000000001</v>
      </c>
      <c r="AZ18" s="100">
        <f>AX18/$B$9</f>
        <v>0.10099999999999999</v>
      </c>
      <c r="BA18" s="97">
        <f>AY18/$B$8</f>
        <v>5.7000000000000002E-2</v>
      </c>
      <c r="BB18" s="88">
        <v>19802.400000000001</v>
      </c>
      <c r="BC18" s="76">
        <v>19061.7</v>
      </c>
      <c r="BD18" s="100">
        <f t="shared" si="11"/>
        <v>0.44400000000000001</v>
      </c>
      <c r="BE18" s="97">
        <f t="shared" si="12"/>
        <v>0.81200000000000006</v>
      </c>
      <c r="BG18" s="88">
        <v>1002.303</v>
      </c>
      <c r="BH18" s="114">
        <f>BG18/$B$10</f>
        <v>0.40700015430469494</v>
      </c>
      <c r="BI18" s="115">
        <v>900.34500000000003</v>
      </c>
      <c r="BJ18" s="114">
        <f>BI18/$B$11</f>
        <v>0.5602644679527069</v>
      </c>
      <c r="BK18" s="115">
        <v>1121.4780000000001</v>
      </c>
      <c r="BL18" s="114">
        <f t="shared" si="13"/>
        <v>0.5784392407674851</v>
      </c>
      <c r="BN18" s="111">
        <v>51358.995000000003</v>
      </c>
      <c r="BO18" s="114">
        <f t="shared" si="14"/>
        <v>0.73770491803278682</v>
      </c>
      <c r="BQ18" s="142">
        <v>21529.504000000001</v>
      </c>
      <c r="BR18" s="131">
        <v>0</v>
      </c>
      <c r="BS18" s="143">
        <v>0</v>
      </c>
      <c r="BT18" s="105">
        <f t="shared" si="15"/>
        <v>0.6604142331288344</v>
      </c>
      <c r="BU18" s="20">
        <f t="shared" si="16"/>
        <v>0</v>
      </c>
      <c r="BV18" s="2">
        <v>0</v>
      </c>
      <c r="BW18" s="2">
        <v>0</v>
      </c>
      <c r="BX18" s="2">
        <v>0</v>
      </c>
      <c r="BY18" s="2">
        <v>5504.8130000000001</v>
      </c>
      <c r="BZ18" s="105">
        <f t="shared" si="17"/>
        <v>0.40842951476480188</v>
      </c>
      <c r="CA18" s="20">
        <f t="shared" si="18"/>
        <v>0</v>
      </c>
      <c r="CB18" s="5">
        <v>10800</v>
      </c>
      <c r="CC18" s="5">
        <v>0</v>
      </c>
      <c r="CE18" s="108">
        <v>-700</v>
      </c>
      <c r="CF18" s="153">
        <f t="shared" si="19"/>
        <v>0</v>
      </c>
      <c r="CG18" s="153">
        <v>4485</v>
      </c>
      <c r="CH18" s="153">
        <f t="shared" si="19"/>
        <v>4485</v>
      </c>
      <c r="CI18" s="153">
        <v>0</v>
      </c>
      <c r="CJ18" s="153">
        <f t="shared" ref="CJ18:CL18" si="108">IF(CI18&gt;0,CI18,0)</f>
        <v>0</v>
      </c>
      <c r="CK18" s="153">
        <v>5000</v>
      </c>
      <c r="CL18" s="153">
        <f t="shared" si="108"/>
        <v>5000</v>
      </c>
      <c r="CM18" s="153">
        <v>-5300</v>
      </c>
      <c r="CN18" s="153">
        <f t="shared" ref="CN18:CP18" si="109">IF(CM18&gt;0,CM18,0)</f>
        <v>0</v>
      </c>
      <c r="CO18" s="153">
        <v>-4000</v>
      </c>
      <c r="CP18" s="153">
        <f t="shared" si="109"/>
        <v>0</v>
      </c>
      <c r="CQ18" s="153">
        <v>4800</v>
      </c>
      <c r="CR18" s="153">
        <f t="shared" ref="CR18:CT18" si="110">IF(CQ18&gt;0,CQ18,0)</f>
        <v>4800</v>
      </c>
      <c r="CS18" s="153">
        <v>12619.90597383</v>
      </c>
      <c r="CT18" s="153">
        <f t="shared" si="110"/>
        <v>12619.90597383</v>
      </c>
      <c r="CU18" s="107">
        <f t="shared" si="23"/>
        <v>26904.905973829998</v>
      </c>
      <c r="CW18" s="108">
        <v>-700</v>
      </c>
      <c r="CX18" s="153">
        <f t="shared" si="24"/>
        <v>700</v>
      </c>
      <c r="CY18" s="153">
        <v>4485</v>
      </c>
      <c r="CZ18" s="153">
        <f t="shared" si="24"/>
        <v>0</v>
      </c>
      <c r="DA18" s="153">
        <v>0</v>
      </c>
      <c r="DB18" s="153">
        <f t="shared" ref="DB18:DD18" si="111">IF(DA18&lt;0,-DA18,0)</f>
        <v>0</v>
      </c>
      <c r="DC18" s="153">
        <v>5000</v>
      </c>
      <c r="DD18" s="153">
        <f t="shared" si="111"/>
        <v>0</v>
      </c>
      <c r="DE18" s="153">
        <v>-5300</v>
      </c>
      <c r="DF18" s="153">
        <f t="shared" ref="DF18:DH18" si="112">IF(DE18&lt;0,-DE18,0)</f>
        <v>5300</v>
      </c>
      <c r="DG18" s="153">
        <v>-4000</v>
      </c>
      <c r="DH18" s="153">
        <f t="shared" si="112"/>
        <v>4000</v>
      </c>
      <c r="DI18" s="153">
        <v>4800</v>
      </c>
      <c r="DJ18" s="153">
        <f t="shared" ref="DJ18:DL18" si="113">IF(DI18&lt;0,-DI18,0)</f>
        <v>0</v>
      </c>
      <c r="DK18" s="153">
        <v>12619.90597383</v>
      </c>
      <c r="DL18" s="153">
        <f t="shared" si="113"/>
        <v>0</v>
      </c>
      <c r="DM18" s="107">
        <f t="shared" si="28"/>
        <v>10000</v>
      </c>
    </row>
    <row r="19" spans="4:117" s="5" customFormat="1" x14ac:dyDescent="0.35">
      <c r="D19" s="120" t="s">
        <v>218</v>
      </c>
      <c r="E19" s="120">
        <v>37999.68</v>
      </c>
      <c r="J19" s="120" t="s">
        <v>201</v>
      </c>
      <c r="K19" s="120">
        <v>847.5</v>
      </c>
      <c r="M19" s="77">
        <f t="shared" si="29"/>
        <v>17</v>
      </c>
      <c r="N19" s="78">
        <v>0</v>
      </c>
      <c r="O19" s="79">
        <v>0.128</v>
      </c>
      <c r="P19" s="79">
        <v>0.20699999999999999</v>
      </c>
      <c r="Q19" s="79">
        <v>37509.415000000001</v>
      </c>
      <c r="R19" s="79">
        <v>1494.42451018</v>
      </c>
      <c r="S19" s="79">
        <f t="shared" si="0"/>
        <v>39003.839510179998</v>
      </c>
      <c r="T19" s="78">
        <v>0</v>
      </c>
      <c r="U19" s="79">
        <v>0</v>
      </c>
      <c r="V19" s="79">
        <v>0.111</v>
      </c>
      <c r="W19" s="79">
        <v>5.7999999999999996E-2</v>
      </c>
      <c r="X19" s="79">
        <f t="shared" si="1"/>
        <v>0.16899999999999998</v>
      </c>
      <c r="Y19" s="79">
        <v>5250.4759999999997</v>
      </c>
      <c r="Z19" s="79">
        <v>0</v>
      </c>
      <c r="AA19" s="80">
        <f t="shared" si="2"/>
        <v>5250.4759999999997</v>
      </c>
      <c r="AB19" s="79"/>
      <c r="AC19" s="88">
        <v>20916</v>
      </c>
      <c r="AD19" s="94">
        <f t="shared" si="3"/>
        <v>0.252</v>
      </c>
      <c r="AE19" s="89">
        <v>615.04</v>
      </c>
      <c r="AF19" s="94">
        <f t="shared" si="4"/>
        <v>0.128</v>
      </c>
      <c r="AG19" s="89">
        <v>6210</v>
      </c>
      <c r="AH19" s="94">
        <f t="shared" si="5"/>
        <v>0.20699999999999999</v>
      </c>
      <c r="AI19" s="89">
        <v>4227.1908000000003</v>
      </c>
      <c r="AJ19" s="94">
        <f>AI19/$B$6</f>
        <v>0.29399999999999998</v>
      </c>
      <c r="AK19" s="89">
        <v>1468.3047999999999</v>
      </c>
      <c r="AL19" s="94">
        <f>AK19/$B$7</f>
        <v>0.152</v>
      </c>
      <c r="AM19" s="89">
        <v>1799.7</v>
      </c>
      <c r="AN19" s="94">
        <f t="shared" si="6"/>
        <v>3.5000000000000003E-2</v>
      </c>
      <c r="AO19" s="89">
        <v>1204.3407999999999</v>
      </c>
      <c r="AP19" s="94">
        <f t="shared" si="7"/>
        <v>2.5999999999999999E-2</v>
      </c>
      <c r="AQ19" s="79"/>
      <c r="AR19" s="88">
        <v>18333.9588</v>
      </c>
      <c r="AS19" s="76">
        <v>926.9</v>
      </c>
      <c r="AT19" s="88">
        <v>201.5</v>
      </c>
      <c r="AU19" s="100">
        <f t="shared" si="8"/>
        <v>0.20599999999999999</v>
      </c>
      <c r="AV19" s="100">
        <f t="shared" si="9"/>
        <v>0.40299999999999997</v>
      </c>
      <c r="AW19" s="100">
        <f t="shared" si="10"/>
        <v>0.40300000000000002</v>
      </c>
      <c r="AX19" s="94">
        <v>71.706000000000003</v>
      </c>
      <c r="AY19" s="76">
        <v>675.3288</v>
      </c>
      <c r="AZ19" s="100">
        <f>AX19/$B$9</f>
        <v>0.111</v>
      </c>
      <c r="BA19" s="97">
        <f>AY19/$B$8</f>
        <v>5.7999999999999996E-2</v>
      </c>
      <c r="BB19" s="88">
        <v>23905.599999999999</v>
      </c>
      <c r="BC19" s="76">
        <v>19366.875</v>
      </c>
      <c r="BD19" s="100">
        <f t="shared" si="11"/>
        <v>0.53599999999999992</v>
      </c>
      <c r="BE19" s="97">
        <f t="shared" si="12"/>
        <v>0.82499999999999996</v>
      </c>
      <c r="BG19" s="88">
        <v>1009.691</v>
      </c>
      <c r="BH19" s="114">
        <f>BG19/$B$10</f>
        <v>0.41000016242599469</v>
      </c>
      <c r="BI19" s="115">
        <v>889.62300000000005</v>
      </c>
      <c r="BJ19" s="114">
        <f>BI19/$B$11</f>
        <v>0.55359240821406352</v>
      </c>
      <c r="BK19" s="115">
        <v>1121.4780000000001</v>
      </c>
      <c r="BL19" s="114">
        <f t="shared" si="13"/>
        <v>0.5784392407674851</v>
      </c>
      <c r="BN19" s="111">
        <v>51358.995000000003</v>
      </c>
      <c r="BO19" s="114">
        <f t="shared" si="14"/>
        <v>0.73770491803278682</v>
      </c>
      <c r="BQ19" s="142">
        <v>16552.667000000001</v>
      </c>
      <c r="BR19" s="131">
        <v>0</v>
      </c>
      <c r="BS19" s="143">
        <v>0</v>
      </c>
      <c r="BT19" s="105">
        <f t="shared" si="15"/>
        <v>0.50775052147239264</v>
      </c>
      <c r="BU19" s="20">
        <f t="shared" si="16"/>
        <v>0</v>
      </c>
      <c r="BV19" s="2">
        <v>0</v>
      </c>
      <c r="BW19" s="2">
        <v>0</v>
      </c>
      <c r="BX19" s="2">
        <v>0</v>
      </c>
      <c r="BY19" s="2">
        <v>3977.0909999999999</v>
      </c>
      <c r="BZ19" s="105">
        <f t="shared" si="17"/>
        <v>0.295080204778157</v>
      </c>
      <c r="CA19" s="20">
        <f t="shared" si="18"/>
        <v>0</v>
      </c>
      <c r="CB19" s="5">
        <v>10800</v>
      </c>
      <c r="CC19" s="5">
        <v>502.73239437000001</v>
      </c>
      <c r="CE19" s="108">
        <v>-700</v>
      </c>
      <c r="CF19" s="153">
        <f t="shared" si="19"/>
        <v>0</v>
      </c>
      <c r="CG19" s="153">
        <v>4485</v>
      </c>
      <c r="CH19" s="153">
        <f t="shared" si="19"/>
        <v>4485</v>
      </c>
      <c r="CI19" s="153">
        <v>0</v>
      </c>
      <c r="CJ19" s="153">
        <f t="shared" ref="CJ19:CL19" si="114">IF(CI19&gt;0,CI19,0)</f>
        <v>0</v>
      </c>
      <c r="CK19" s="153">
        <v>5000</v>
      </c>
      <c r="CL19" s="153">
        <f t="shared" si="114"/>
        <v>5000</v>
      </c>
      <c r="CM19" s="153">
        <v>-5300</v>
      </c>
      <c r="CN19" s="153">
        <f t="shared" ref="CN19:CP19" si="115">IF(CM19&gt;0,CM19,0)</f>
        <v>0</v>
      </c>
      <c r="CO19" s="153">
        <v>-4000</v>
      </c>
      <c r="CP19" s="153">
        <f t="shared" si="115"/>
        <v>0</v>
      </c>
      <c r="CQ19" s="153">
        <v>4800</v>
      </c>
      <c r="CR19" s="153">
        <f t="shared" ref="CR19:CT19" si="116">IF(CQ19&gt;0,CQ19,0)</f>
        <v>4800</v>
      </c>
      <c r="CS19" s="153">
        <v>8186.3133576500004</v>
      </c>
      <c r="CT19" s="153">
        <f t="shared" si="116"/>
        <v>8186.3133576500004</v>
      </c>
      <c r="CU19" s="107">
        <f t="shared" si="23"/>
        <v>22471.31335765</v>
      </c>
      <c r="CW19" s="108">
        <v>-700</v>
      </c>
      <c r="CX19" s="153">
        <f t="shared" si="24"/>
        <v>700</v>
      </c>
      <c r="CY19" s="153">
        <v>4485</v>
      </c>
      <c r="CZ19" s="153">
        <f t="shared" si="24"/>
        <v>0</v>
      </c>
      <c r="DA19" s="153">
        <v>0</v>
      </c>
      <c r="DB19" s="153">
        <f t="shared" ref="DB19:DD19" si="117">IF(DA19&lt;0,-DA19,0)</f>
        <v>0</v>
      </c>
      <c r="DC19" s="153">
        <v>5000</v>
      </c>
      <c r="DD19" s="153">
        <f t="shared" si="117"/>
        <v>0</v>
      </c>
      <c r="DE19" s="153">
        <v>-5300</v>
      </c>
      <c r="DF19" s="153">
        <f t="shared" ref="DF19:DH19" si="118">IF(DE19&lt;0,-DE19,0)</f>
        <v>5300</v>
      </c>
      <c r="DG19" s="153">
        <v>-4000</v>
      </c>
      <c r="DH19" s="153">
        <f t="shared" si="118"/>
        <v>4000</v>
      </c>
      <c r="DI19" s="153">
        <v>4800</v>
      </c>
      <c r="DJ19" s="153">
        <f t="shared" ref="DJ19:DL19" si="119">IF(DI19&lt;0,-DI19,0)</f>
        <v>0</v>
      </c>
      <c r="DK19" s="153">
        <v>8186.3133576500004</v>
      </c>
      <c r="DL19" s="153">
        <f t="shared" si="119"/>
        <v>0</v>
      </c>
      <c r="DM19" s="107">
        <f t="shared" si="28"/>
        <v>10000</v>
      </c>
    </row>
    <row r="20" spans="4:117" s="5" customFormat="1" x14ac:dyDescent="0.35">
      <c r="D20" s="120" t="s">
        <v>219</v>
      </c>
      <c r="E20" s="120">
        <v>32600</v>
      </c>
      <c r="J20" s="120" t="s">
        <v>202</v>
      </c>
      <c r="K20" s="120">
        <v>735.83500000000004</v>
      </c>
      <c r="M20" s="77">
        <f t="shared" si="29"/>
        <v>18</v>
      </c>
      <c r="N20" s="78">
        <v>0</v>
      </c>
      <c r="O20" s="79">
        <v>1.3000000000000001E-2</v>
      </c>
      <c r="P20" s="79">
        <v>5.2000000000000005E-2</v>
      </c>
      <c r="Q20" s="79">
        <v>40069.400999999998</v>
      </c>
      <c r="R20" s="79">
        <v>1594.91699021</v>
      </c>
      <c r="S20" s="79">
        <f t="shared" si="0"/>
        <v>41664.317990209995</v>
      </c>
      <c r="T20" s="78">
        <v>0</v>
      </c>
      <c r="U20" s="79">
        <v>0</v>
      </c>
      <c r="V20" s="79">
        <v>0.125</v>
      </c>
      <c r="W20" s="79">
        <v>6.9000000000000006E-2</v>
      </c>
      <c r="X20" s="79">
        <f t="shared" si="1"/>
        <v>0.19400000000000001</v>
      </c>
      <c r="Y20" s="79">
        <v>5897.9110000000001</v>
      </c>
      <c r="Z20" s="79">
        <v>0</v>
      </c>
      <c r="AA20" s="80">
        <f t="shared" si="2"/>
        <v>5897.9110000000001</v>
      </c>
      <c r="AB20" s="79"/>
      <c r="AC20" s="88">
        <v>4565</v>
      </c>
      <c r="AD20" s="94">
        <f t="shared" si="3"/>
        <v>5.5E-2</v>
      </c>
      <c r="AE20" s="89">
        <v>62.465000000000003</v>
      </c>
      <c r="AF20" s="94">
        <f t="shared" si="4"/>
        <v>1.3000000000000001E-2</v>
      </c>
      <c r="AG20" s="89">
        <v>1560</v>
      </c>
      <c r="AH20" s="94">
        <f t="shared" si="5"/>
        <v>5.1999999999999998E-2</v>
      </c>
      <c r="AI20" s="89">
        <v>1739.7621999999999</v>
      </c>
      <c r="AJ20" s="94">
        <f>AI20/$B$6</f>
        <v>0.12099999999999998</v>
      </c>
      <c r="AK20" s="89">
        <v>511.97469999999998</v>
      </c>
      <c r="AL20" s="94">
        <f>AK20/$B$7</f>
        <v>5.2999999999999999E-2</v>
      </c>
      <c r="AM20" s="89">
        <v>0</v>
      </c>
      <c r="AN20" s="94">
        <f t="shared" si="6"/>
        <v>0</v>
      </c>
      <c r="AO20" s="89">
        <v>0</v>
      </c>
      <c r="AP20" s="94">
        <f t="shared" si="7"/>
        <v>0</v>
      </c>
      <c r="AQ20" s="79"/>
      <c r="AR20" s="88">
        <v>15307.9656</v>
      </c>
      <c r="AS20" s="76">
        <v>901.6</v>
      </c>
      <c r="AT20" s="88">
        <v>196</v>
      </c>
      <c r="AU20" s="100">
        <f t="shared" si="8"/>
        <v>0.17199999999999999</v>
      </c>
      <c r="AV20" s="100">
        <f t="shared" si="9"/>
        <v>0.39200000000000002</v>
      </c>
      <c r="AW20" s="100">
        <f t="shared" si="10"/>
        <v>0.39200000000000002</v>
      </c>
      <c r="AX20" s="94">
        <v>80.75</v>
      </c>
      <c r="AY20" s="76">
        <v>803.40840000000003</v>
      </c>
      <c r="AZ20" s="100">
        <f>AX20/$B$9</f>
        <v>0.125</v>
      </c>
      <c r="BA20" s="97">
        <f>AY20/$B$8</f>
        <v>6.9000000000000006E-2</v>
      </c>
      <c r="BB20" s="88">
        <v>27473.599999999999</v>
      </c>
      <c r="BC20" s="76">
        <v>19578.150000000001</v>
      </c>
      <c r="BD20" s="100">
        <f t="shared" si="11"/>
        <v>0.61599999999999999</v>
      </c>
      <c r="BE20" s="97">
        <f t="shared" si="12"/>
        <v>0.83400000000000007</v>
      </c>
      <c r="BG20" s="88">
        <v>1049.0930000000001</v>
      </c>
      <c r="BH20" s="114">
        <f>BG20/$B$10</f>
        <v>0.42599993502960221</v>
      </c>
      <c r="BI20" s="115">
        <v>875.74099999999999</v>
      </c>
      <c r="BJ20" s="114">
        <f>BI20/$B$11</f>
        <v>0.54495395146235215</v>
      </c>
      <c r="BK20" s="115">
        <v>1121.4780000000001</v>
      </c>
      <c r="BL20" s="114">
        <f t="shared" si="13"/>
        <v>0.5784392407674851</v>
      </c>
      <c r="BN20" s="111">
        <v>51358.995000000003</v>
      </c>
      <c r="BO20" s="114">
        <f t="shared" si="14"/>
        <v>0.73770491803278682</v>
      </c>
      <c r="BQ20" s="142">
        <v>8563.5049999999992</v>
      </c>
      <c r="BR20" s="131">
        <v>0</v>
      </c>
      <c r="BS20" s="143">
        <v>0</v>
      </c>
      <c r="BT20" s="105">
        <f t="shared" si="15"/>
        <v>0.26268420245398771</v>
      </c>
      <c r="BU20" s="20">
        <f t="shared" si="16"/>
        <v>0</v>
      </c>
      <c r="BV20" s="2">
        <v>0</v>
      </c>
      <c r="BW20" s="2">
        <v>0</v>
      </c>
      <c r="BX20" s="2">
        <v>0</v>
      </c>
      <c r="BY20" s="2">
        <v>2359.0790000000002</v>
      </c>
      <c r="BZ20" s="105">
        <f t="shared" si="17"/>
        <v>0.17503182964831579</v>
      </c>
      <c r="CA20" s="20">
        <f t="shared" si="18"/>
        <v>0</v>
      </c>
      <c r="CB20" s="5">
        <v>10800</v>
      </c>
      <c r="CC20" s="5">
        <v>917.20975962</v>
      </c>
      <c r="CE20" s="108">
        <v>-700</v>
      </c>
      <c r="CF20" s="153">
        <f t="shared" si="19"/>
        <v>0</v>
      </c>
      <c r="CG20" s="153">
        <v>4485</v>
      </c>
      <c r="CH20" s="153">
        <f t="shared" si="19"/>
        <v>4485</v>
      </c>
      <c r="CI20" s="153">
        <v>0</v>
      </c>
      <c r="CJ20" s="153">
        <f t="shared" ref="CJ20:CL20" si="120">IF(CI20&gt;0,CI20,0)</f>
        <v>0</v>
      </c>
      <c r="CK20" s="153">
        <v>5000</v>
      </c>
      <c r="CL20" s="153">
        <f t="shared" si="120"/>
        <v>5000</v>
      </c>
      <c r="CM20" s="153">
        <v>-5300</v>
      </c>
      <c r="CN20" s="153">
        <f t="shared" ref="CN20:CP20" si="121">IF(CM20&gt;0,CM20,0)</f>
        <v>0</v>
      </c>
      <c r="CO20" s="153">
        <v>-4000</v>
      </c>
      <c r="CP20" s="153">
        <f t="shared" si="121"/>
        <v>0</v>
      </c>
      <c r="CQ20" s="153">
        <v>4800</v>
      </c>
      <c r="CR20" s="153">
        <f t="shared" ref="CR20:CT20" si="122">IF(CQ20&gt;0,CQ20,0)</f>
        <v>4800</v>
      </c>
      <c r="CS20" s="153">
        <v>9515.0866049600008</v>
      </c>
      <c r="CT20" s="153">
        <f t="shared" si="122"/>
        <v>9515.0866049600008</v>
      </c>
      <c r="CU20" s="107">
        <f t="shared" si="23"/>
        <v>23800.086604960001</v>
      </c>
      <c r="CW20" s="108">
        <v>-700</v>
      </c>
      <c r="CX20" s="153">
        <f t="shared" si="24"/>
        <v>700</v>
      </c>
      <c r="CY20" s="153">
        <v>4485</v>
      </c>
      <c r="CZ20" s="153">
        <f t="shared" si="24"/>
        <v>0</v>
      </c>
      <c r="DA20" s="153">
        <v>0</v>
      </c>
      <c r="DB20" s="153">
        <f t="shared" ref="DB20:DD20" si="123">IF(DA20&lt;0,-DA20,0)</f>
        <v>0</v>
      </c>
      <c r="DC20" s="153">
        <v>5000</v>
      </c>
      <c r="DD20" s="153">
        <f t="shared" si="123"/>
        <v>0</v>
      </c>
      <c r="DE20" s="153">
        <v>-5300</v>
      </c>
      <c r="DF20" s="153">
        <f t="shared" ref="DF20:DH20" si="124">IF(DE20&lt;0,-DE20,0)</f>
        <v>5300</v>
      </c>
      <c r="DG20" s="153">
        <v>-4000</v>
      </c>
      <c r="DH20" s="153">
        <f t="shared" si="124"/>
        <v>4000</v>
      </c>
      <c r="DI20" s="153">
        <v>4800</v>
      </c>
      <c r="DJ20" s="153">
        <f t="shared" ref="DJ20:DL20" si="125">IF(DI20&lt;0,-DI20,0)</f>
        <v>0</v>
      </c>
      <c r="DK20" s="153">
        <v>9515.0866049600008</v>
      </c>
      <c r="DL20" s="153">
        <f t="shared" si="125"/>
        <v>0</v>
      </c>
      <c r="DM20" s="107">
        <f t="shared" si="28"/>
        <v>10000</v>
      </c>
    </row>
    <row r="21" spans="4:117" s="5" customFormat="1" x14ac:dyDescent="0.35">
      <c r="D21" s="120" t="s">
        <v>220</v>
      </c>
      <c r="E21" s="120">
        <v>1100.37359042</v>
      </c>
      <c r="J21" s="120" t="s">
        <v>203</v>
      </c>
      <c r="K21" s="120">
        <v>735.83500000000004</v>
      </c>
      <c r="M21" s="77">
        <f t="shared" si="29"/>
        <v>19</v>
      </c>
      <c r="N21" s="78">
        <v>0</v>
      </c>
      <c r="O21" s="79">
        <v>0</v>
      </c>
      <c r="P21" s="79">
        <v>0</v>
      </c>
      <c r="Q21" s="79">
        <v>41869.760999999999</v>
      </c>
      <c r="R21" s="79">
        <v>1721.6878512000001</v>
      </c>
      <c r="S21" s="79">
        <f t="shared" si="0"/>
        <v>43591.448851199995</v>
      </c>
      <c r="T21" s="78">
        <v>0</v>
      </c>
      <c r="U21" s="79">
        <v>0</v>
      </c>
      <c r="V21" s="79">
        <v>0.13999999999999999</v>
      </c>
      <c r="W21" s="79">
        <v>9.5999999999999988E-2</v>
      </c>
      <c r="X21" s="79">
        <f t="shared" si="1"/>
        <v>0.23599999999999999</v>
      </c>
      <c r="Y21" s="79">
        <v>6460.5529999999999</v>
      </c>
      <c r="Z21" s="79">
        <v>202.78072</v>
      </c>
      <c r="AA21" s="80">
        <f t="shared" si="2"/>
        <v>6663.3337199999996</v>
      </c>
      <c r="AB21" s="79"/>
      <c r="AC21" s="88">
        <v>0</v>
      </c>
      <c r="AD21" s="94">
        <f t="shared" si="3"/>
        <v>0</v>
      </c>
      <c r="AE21" s="89">
        <v>0</v>
      </c>
      <c r="AF21" s="94">
        <f t="shared" si="4"/>
        <v>0</v>
      </c>
      <c r="AG21" s="89">
        <v>0</v>
      </c>
      <c r="AH21" s="94">
        <f t="shared" si="5"/>
        <v>0</v>
      </c>
      <c r="AI21" s="89">
        <v>0</v>
      </c>
      <c r="AJ21" s="94">
        <f>AI21/$B$6</f>
        <v>0</v>
      </c>
      <c r="AK21" s="89">
        <v>0</v>
      </c>
      <c r="AL21" s="94">
        <f>AK21/$B$7</f>
        <v>0</v>
      </c>
      <c r="AM21" s="89">
        <v>0</v>
      </c>
      <c r="AN21" s="94">
        <f t="shared" si="6"/>
        <v>0</v>
      </c>
      <c r="AO21" s="89">
        <v>0</v>
      </c>
      <c r="AP21" s="94">
        <f t="shared" si="7"/>
        <v>0</v>
      </c>
      <c r="AQ21" s="79"/>
      <c r="AR21" s="88">
        <v>14150.968199999999</v>
      </c>
      <c r="AS21" s="76">
        <v>867.1</v>
      </c>
      <c r="AT21" s="88">
        <v>188.5</v>
      </c>
      <c r="AU21" s="100">
        <f t="shared" si="8"/>
        <v>0.15899999999999997</v>
      </c>
      <c r="AV21" s="100">
        <f t="shared" si="9"/>
        <v>0.377</v>
      </c>
      <c r="AW21" s="100">
        <f t="shared" si="10"/>
        <v>0.377</v>
      </c>
      <c r="AX21" s="94">
        <v>90.44</v>
      </c>
      <c r="AY21" s="76">
        <v>1117.7855999999999</v>
      </c>
      <c r="AZ21" s="100">
        <f>AX21/$B$9</f>
        <v>0.13999999999999999</v>
      </c>
      <c r="BA21" s="97">
        <f>AY21/$B$8</f>
        <v>9.5999999999999988E-2</v>
      </c>
      <c r="BB21" s="88">
        <v>29703.599999999999</v>
      </c>
      <c r="BC21" s="76">
        <v>19742.474999999999</v>
      </c>
      <c r="BD21" s="100">
        <f t="shared" si="11"/>
        <v>0.66599999999999993</v>
      </c>
      <c r="BE21" s="97">
        <f t="shared" si="12"/>
        <v>0.84099999999999997</v>
      </c>
      <c r="BG21" s="88">
        <v>1044.1679999999999</v>
      </c>
      <c r="BH21" s="114">
        <f>BG21/$B$10</f>
        <v>0.42400006497039783</v>
      </c>
      <c r="BI21" s="115">
        <v>870.74099999999999</v>
      </c>
      <c r="BJ21" s="114">
        <f>BI21/$B$11</f>
        <v>0.54184256378344742</v>
      </c>
      <c r="BK21" s="115">
        <v>1121.4780000000001</v>
      </c>
      <c r="BL21" s="114">
        <f t="shared" si="13"/>
        <v>0.5784392407674851</v>
      </c>
      <c r="BN21" s="111">
        <v>51358.995000000003</v>
      </c>
      <c r="BO21" s="114">
        <f t="shared" si="14"/>
        <v>0.73770491803278682</v>
      </c>
      <c r="BQ21" s="142">
        <v>6041.09</v>
      </c>
      <c r="BR21" s="131">
        <v>0</v>
      </c>
      <c r="BS21" s="143">
        <v>0</v>
      </c>
      <c r="BT21" s="105">
        <f t="shared" si="15"/>
        <v>0.18530950920245398</v>
      </c>
      <c r="BU21" s="20">
        <f t="shared" si="16"/>
        <v>0</v>
      </c>
      <c r="BV21" s="2">
        <v>0</v>
      </c>
      <c r="BW21" s="2">
        <v>0</v>
      </c>
      <c r="BX21" s="2">
        <v>0</v>
      </c>
      <c r="BY21" s="2">
        <v>1396.289</v>
      </c>
      <c r="BZ21" s="105">
        <f t="shared" si="17"/>
        <v>0.10359764059949547</v>
      </c>
      <c r="CA21" s="20">
        <f t="shared" si="18"/>
        <v>0</v>
      </c>
      <c r="CB21" s="5">
        <v>10800</v>
      </c>
      <c r="CC21" s="5">
        <v>916.56203861999995</v>
      </c>
      <c r="CE21" s="108">
        <v>-700</v>
      </c>
      <c r="CF21" s="153">
        <f t="shared" si="19"/>
        <v>0</v>
      </c>
      <c r="CG21" s="153">
        <v>4485</v>
      </c>
      <c r="CH21" s="153">
        <f t="shared" si="19"/>
        <v>4485</v>
      </c>
      <c r="CI21" s="153">
        <v>0</v>
      </c>
      <c r="CJ21" s="153">
        <f t="shared" ref="CJ21:CL21" si="126">IF(CI21&gt;0,CI21,0)</f>
        <v>0</v>
      </c>
      <c r="CK21" s="153">
        <v>5000</v>
      </c>
      <c r="CL21" s="153">
        <f t="shared" si="126"/>
        <v>5000</v>
      </c>
      <c r="CM21" s="153">
        <v>-5300</v>
      </c>
      <c r="CN21" s="153">
        <f t="shared" ref="CN21:CP21" si="127">IF(CM21&gt;0,CM21,0)</f>
        <v>0</v>
      </c>
      <c r="CO21" s="153">
        <v>-4000</v>
      </c>
      <c r="CP21" s="153">
        <f t="shared" si="127"/>
        <v>0</v>
      </c>
      <c r="CQ21" s="153">
        <v>4800</v>
      </c>
      <c r="CR21" s="153">
        <f t="shared" ref="CR21:CT21" si="128">IF(CQ21&gt;0,CQ21,0)</f>
        <v>4800</v>
      </c>
      <c r="CS21" s="153">
        <v>9516.3936855899992</v>
      </c>
      <c r="CT21" s="153">
        <f t="shared" si="128"/>
        <v>9516.3936855899992</v>
      </c>
      <c r="CU21" s="107">
        <f t="shared" si="23"/>
        <v>23801.393685589999</v>
      </c>
      <c r="CW21" s="108">
        <v>-700</v>
      </c>
      <c r="CX21" s="153">
        <f t="shared" si="24"/>
        <v>700</v>
      </c>
      <c r="CY21" s="153">
        <v>4485</v>
      </c>
      <c r="CZ21" s="153">
        <f t="shared" si="24"/>
        <v>0</v>
      </c>
      <c r="DA21" s="153">
        <v>0</v>
      </c>
      <c r="DB21" s="153">
        <f t="shared" ref="DB21:DD21" si="129">IF(DA21&lt;0,-DA21,0)</f>
        <v>0</v>
      </c>
      <c r="DC21" s="153">
        <v>5000</v>
      </c>
      <c r="DD21" s="153">
        <f t="shared" si="129"/>
        <v>0</v>
      </c>
      <c r="DE21" s="153">
        <v>-5300</v>
      </c>
      <c r="DF21" s="153">
        <f t="shared" ref="DF21:DH21" si="130">IF(DE21&lt;0,-DE21,0)</f>
        <v>5300</v>
      </c>
      <c r="DG21" s="153">
        <v>-4000</v>
      </c>
      <c r="DH21" s="153">
        <f t="shared" si="130"/>
        <v>4000</v>
      </c>
      <c r="DI21" s="153">
        <v>4800</v>
      </c>
      <c r="DJ21" s="153">
        <f t="shared" ref="DJ21:DL21" si="131">IF(DI21&lt;0,-DI21,0)</f>
        <v>0</v>
      </c>
      <c r="DK21" s="153">
        <v>9516.3936855899992</v>
      </c>
      <c r="DL21" s="153">
        <f t="shared" si="131"/>
        <v>0</v>
      </c>
      <c r="DM21" s="107">
        <f t="shared" si="28"/>
        <v>10000</v>
      </c>
    </row>
    <row r="22" spans="4:117" s="5" customFormat="1" x14ac:dyDescent="0.35">
      <c r="D22" s="120" t="s">
        <v>221</v>
      </c>
      <c r="E22" s="120">
        <v>1517.77579117</v>
      </c>
      <c r="M22" s="77">
        <f t="shared" si="29"/>
        <v>20</v>
      </c>
      <c r="N22" s="78">
        <v>0</v>
      </c>
      <c r="O22" s="79">
        <v>0</v>
      </c>
      <c r="P22" s="79">
        <v>0</v>
      </c>
      <c r="Q22" s="79">
        <v>42326.976000000002</v>
      </c>
      <c r="R22" s="79">
        <v>1856.2611563999999</v>
      </c>
      <c r="S22" s="79">
        <f t="shared" si="0"/>
        <v>44183.237156400006</v>
      </c>
      <c r="T22" s="78">
        <v>0</v>
      </c>
      <c r="U22" s="79">
        <v>0</v>
      </c>
      <c r="V22" s="79">
        <v>0.14900000000000002</v>
      </c>
      <c r="W22" s="79">
        <v>0.11299999999999999</v>
      </c>
      <c r="X22" s="79">
        <f t="shared" si="1"/>
        <v>0.26200000000000001</v>
      </c>
      <c r="Y22" s="79">
        <v>6579.66</v>
      </c>
      <c r="Z22" s="79">
        <v>199.60531915000001</v>
      </c>
      <c r="AA22" s="80">
        <f t="shared" si="2"/>
        <v>6779.2653191499994</v>
      </c>
      <c r="AB22" s="79"/>
      <c r="AC22" s="88">
        <v>0</v>
      </c>
      <c r="AD22" s="94">
        <f t="shared" si="3"/>
        <v>0</v>
      </c>
      <c r="AE22" s="89">
        <v>0</v>
      </c>
      <c r="AF22" s="94">
        <f t="shared" si="4"/>
        <v>0</v>
      </c>
      <c r="AG22" s="89">
        <v>0</v>
      </c>
      <c r="AH22" s="94">
        <f t="shared" si="5"/>
        <v>0</v>
      </c>
      <c r="AI22" s="89">
        <v>0</v>
      </c>
      <c r="AJ22" s="94">
        <f>AI22/$B$6</f>
        <v>0</v>
      </c>
      <c r="AK22" s="89">
        <v>0</v>
      </c>
      <c r="AL22" s="94">
        <f>AK22/$B$7</f>
        <v>0</v>
      </c>
      <c r="AM22" s="89">
        <v>0</v>
      </c>
      <c r="AN22" s="94">
        <f t="shared" si="6"/>
        <v>0</v>
      </c>
      <c r="AO22" s="89">
        <v>0</v>
      </c>
      <c r="AP22" s="94">
        <f t="shared" si="7"/>
        <v>0</v>
      </c>
      <c r="AQ22" s="79"/>
      <c r="AR22" s="88">
        <v>13794.968999999999</v>
      </c>
      <c r="AS22" s="76">
        <v>825.7</v>
      </c>
      <c r="AT22" s="88">
        <v>179.5</v>
      </c>
      <c r="AU22" s="100">
        <f t="shared" si="8"/>
        <v>0.155</v>
      </c>
      <c r="AV22" s="100">
        <f t="shared" si="9"/>
        <v>0.35900000000000004</v>
      </c>
      <c r="AW22" s="100">
        <f t="shared" si="10"/>
        <v>0.35899999999999999</v>
      </c>
      <c r="AX22" s="94">
        <v>96.254000000000005</v>
      </c>
      <c r="AY22" s="76">
        <v>1315.7267999999999</v>
      </c>
      <c r="AZ22" s="100">
        <f>AX22/$B$9</f>
        <v>0.14900000000000002</v>
      </c>
      <c r="BA22" s="97">
        <f>AY22/$B$8</f>
        <v>0.11299999999999999</v>
      </c>
      <c r="BB22" s="88">
        <v>30684.799999999999</v>
      </c>
      <c r="BC22" s="76">
        <v>19601.625</v>
      </c>
      <c r="BD22" s="100">
        <f t="shared" si="11"/>
        <v>0.68799999999999994</v>
      </c>
      <c r="BE22" s="97">
        <f t="shared" si="12"/>
        <v>0.83499999999999996</v>
      </c>
      <c r="BG22" s="88">
        <v>1044.1679999999999</v>
      </c>
      <c r="BH22" s="114">
        <f>BG22/$B$10</f>
        <v>0.42400006497039783</v>
      </c>
      <c r="BI22" s="115">
        <v>871.05899999999997</v>
      </c>
      <c r="BJ22" s="114">
        <f>BI22/$B$11</f>
        <v>0.54204044803982576</v>
      </c>
      <c r="BK22" s="115">
        <v>1121.4780000000001</v>
      </c>
      <c r="BL22" s="114">
        <f t="shared" si="13"/>
        <v>0.5784392407674851</v>
      </c>
      <c r="BN22" s="111">
        <v>51358.995000000003</v>
      </c>
      <c r="BO22" s="114">
        <f t="shared" si="14"/>
        <v>0.73770491803278682</v>
      </c>
      <c r="BQ22" s="142">
        <v>5887.6229999999996</v>
      </c>
      <c r="BR22" s="131">
        <v>0</v>
      </c>
      <c r="BS22" s="143">
        <v>0</v>
      </c>
      <c r="BT22" s="105">
        <f t="shared" si="15"/>
        <v>0.1806019325153374</v>
      </c>
      <c r="BU22" s="20">
        <f t="shared" si="16"/>
        <v>0</v>
      </c>
      <c r="BV22" s="2">
        <v>0</v>
      </c>
      <c r="BW22" s="2">
        <v>0</v>
      </c>
      <c r="BX22" s="2">
        <v>0</v>
      </c>
      <c r="BY22" s="2">
        <v>1465.329</v>
      </c>
      <c r="BZ22" s="105">
        <f t="shared" si="17"/>
        <v>0.10872006232378691</v>
      </c>
      <c r="CA22" s="20">
        <f t="shared" si="18"/>
        <v>0</v>
      </c>
      <c r="CB22" s="5">
        <v>10800</v>
      </c>
      <c r="CC22" s="5">
        <v>915.91431762000002</v>
      </c>
      <c r="CE22" s="108">
        <v>-700</v>
      </c>
      <c r="CF22" s="153">
        <f t="shared" si="19"/>
        <v>0</v>
      </c>
      <c r="CG22" s="153">
        <v>4485</v>
      </c>
      <c r="CH22" s="153">
        <f t="shared" si="19"/>
        <v>4485</v>
      </c>
      <c r="CI22" s="153">
        <v>0</v>
      </c>
      <c r="CJ22" s="153">
        <f t="shared" ref="CJ22:CL22" si="132">IF(CI22&gt;0,CI22,0)</f>
        <v>0</v>
      </c>
      <c r="CK22" s="153">
        <v>5000</v>
      </c>
      <c r="CL22" s="153">
        <f t="shared" si="132"/>
        <v>5000</v>
      </c>
      <c r="CM22" s="153">
        <v>-5300</v>
      </c>
      <c r="CN22" s="153">
        <f t="shared" ref="CN22:CP22" si="133">IF(CM22&gt;0,CM22,0)</f>
        <v>0</v>
      </c>
      <c r="CO22" s="153">
        <v>-4000</v>
      </c>
      <c r="CP22" s="153">
        <f t="shared" si="133"/>
        <v>0</v>
      </c>
      <c r="CQ22" s="153">
        <v>4504.8368282000001</v>
      </c>
      <c r="CR22" s="153">
        <f t="shared" ref="CR22:CT22" si="134">IF(CQ22&gt;0,CQ22,0)</f>
        <v>4504.8368282000001</v>
      </c>
      <c r="CS22" s="153">
        <v>18059.16525527</v>
      </c>
      <c r="CT22" s="153">
        <f t="shared" si="134"/>
        <v>18059.16525527</v>
      </c>
      <c r="CU22" s="107">
        <f t="shared" si="23"/>
        <v>32049.002083470001</v>
      </c>
      <c r="CW22" s="108">
        <v>-700</v>
      </c>
      <c r="CX22" s="153">
        <f t="shared" si="24"/>
        <v>700</v>
      </c>
      <c r="CY22" s="153">
        <v>4485</v>
      </c>
      <c r="CZ22" s="153">
        <f t="shared" si="24"/>
        <v>0</v>
      </c>
      <c r="DA22" s="153">
        <v>0</v>
      </c>
      <c r="DB22" s="153">
        <f t="shared" ref="DB22:DD22" si="135">IF(DA22&lt;0,-DA22,0)</f>
        <v>0</v>
      </c>
      <c r="DC22" s="153">
        <v>5000</v>
      </c>
      <c r="DD22" s="153">
        <f t="shared" si="135"/>
        <v>0</v>
      </c>
      <c r="DE22" s="153">
        <v>-5300</v>
      </c>
      <c r="DF22" s="153">
        <f t="shared" ref="DF22:DH22" si="136">IF(DE22&lt;0,-DE22,0)</f>
        <v>5300</v>
      </c>
      <c r="DG22" s="153">
        <v>-4000</v>
      </c>
      <c r="DH22" s="153">
        <f t="shared" si="136"/>
        <v>4000</v>
      </c>
      <c r="DI22" s="153">
        <v>4504.8368282000001</v>
      </c>
      <c r="DJ22" s="153">
        <f t="shared" ref="DJ22:DL22" si="137">IF(DI22&lt;0,-DI22,0)</f>
        <v>0</v>
      </c>
      <c r="DK22" s="153">
        <v>18059.16525527</v>
      </c>
      <c r="DL22" s="153">
        <f t="shared" si="137"/>
        <v>0</v>
      </c>
      <c r="DM22" s="107">
        <f t="shared" si="28"/>
        <v>10000</v>
      </c>
    </row>
    <row r="23" spans="4:117" s="5" customFormat="1" x14ac:dyDescent="0.35">
      <c r="M23" s="77">
        <f t="shared" si="29"/>
        <v>21</v>
      </c>
      <c r="N23" s="78">
        <v>0</v>
      </c>
      <c r="O23" s="79">
        <v>0</v>
      </c>
      <c r="P23" s="79">
        <v>0</v>
      </c>
      <c r="Q23" s="79">
        <v>41738.434000000001</v>
      </c>
      <c r="R23" s="79">
        <v>1829.2845996900001</v>
      </c>
      <c r="S23" s="79">
        <f t="shared" si="0"/>
        <v>43567.718599690001</v>
      </c>
      <c r="T23" s="78">
        <v>0</v>
      </c>
      <c r="U23" s="79">
        <v>0</v>
      </c>
      <c r="V23" s="79">
        <v>0.153</v>
      </c>
      <c r="W23" s="79">
        <v>0.114</v>
      </c>
      <c r="X23" s="79">
        <f t="shared" si="1"/>
        <v>0.26700000000000002</v>
      </c>
      <c r="Y23" s="79">
        <v>6401.134</v>
      </c>
      <c r="Z23" s="79">
        <v>122.0287234</v>
      </c>
      <c r="AA23" s="80">
        <f t="shared" si="2"/>
        <v>6523.1627233999998</v>
      </c>
      <c r="AB23" s="79"/>
      <c r="AC23" s="88">
        <v>0</v>
      </c>
      <c r="AD23" s="94">
        <f t="shared" si="3"/>
        <v>0</v>
      </c>
      <c r="AE23" s="89">
        <v>0</v>
      </c>
      <c r="AF23" s="94">
        <f t="shared" si="4"/>
        <v>0</v>
      </c>
      <c r="AG23" s="89">
        <v>0</v>
      </c>
      <c r="AH23" s="94">
        <f t="shared" si="5"/>
        <v>0</v>
      </c>
      <c r="AI23" s="89">
        <v>0</v>
      </c>
      <c r="AJ23" s="94">
        <f>AI23/$B$6</f>
        <v>0</v>
      </c>
      <c r="AK23" s="89">
        <v>0</v>
      </c>
      <c r="AL23" s="94">
        <f>AK23/$B$7</f>
        <v>0</v>
      </c>
      <c r="AM23" s="89">
        <v>0</v>
      </c>
      <c r="AN23" s="94">
        <f t="shared" si="6"/>
        <v>0</v>
      </c>
      <c r="AO23" s="89">
        <v>0</v>
      </c>
      <c r="AP23" s="94">
        <f t="shared" si="7"/>
        <v>0</v>
      </c>
      <c r="AQ23" s="79"/>
      <c r="AR23" s="88">
        <v>13883.968800000001</v>
      </c>
      <c r="AS23" s="76">
        <v>786.6</v>
      </c>
      <c r="AT23" s="88">
        <v>171</v>
      </c>
      <c r="AU23" s="100">
        <f t="shared" si="8"/>
        <v>0.156</v>
      </c>
      <c r="AV23" s="100">
        <f t="shared" si="9"/>
        <v>0.34200000000000003</v>
      </c>
      <c r="AW23" s="100">
        <f t="shared" si="10"/>
        <v>0.34200000000000003</v>
      </c>
      <c r="AX23" s="94">
        <v>98.837999999999994</v>
      </c>
      <c r="AY23" s="76">
        <v>1327.3704</v>
      </c>
      <c r="AZ23" s="100">
        <f>AX23/$B$9</f>
        <v>0.153</v>
      </c>
      <c r="BA23" s="97">
        <f>AY23/$B$8</f>
        <v>0.114</v>
      </c>
      <c r="BB23" s="88">
        <v>30551</v>
      </c>
      <c r="BC23" s="76">
        <v>19507.724999999999</v>
      </c>
      <c r="BD23" s="100">
        <f t="shared" si="11"/>
        <v>0.68500000000000005</v>
      </c>
      <c r="BE23" s="97">
        <f t="shared" si="12"/>
        <v>0.83099999999999996</v>
      </c>
      <c r="BG23" s="88">
        <v>1049.0930000000001</v>
      </c>
      <c r="BH23" s="114">
        <f>BG23/$B$10</f>
        <v>0.42599993502960221</v>
      </c>
      <c r="BI23" s="115">
        <v>872.11800000000005</v>
      </c>
      <c r="BJ23" s="114">
        <f>BI23/$B$11</f>
        <v>0.54269943995021785</v>
      </c>
      <c r="BK23" s="115">
        <v>1121.4780000000001</v>
      </c>
      <c r="BL23" s="114">
        <f t="shared" si="13"/>
        <v>0.5784392407674851</v>
      </c>
      <c r="BN23" s="111">
        <v>51358.995000000003</v>
      </c>
      <c r="BO23" s="114">
        <f t="shared" si="14"/>
        <v>0.73770491803278682</v>
      </c>
      <c r="BQ23" s="142">
        <v>5945.5720000000001</v>
      </c>
      <c r="BR23" s="131">
        <v>0</v>
      </c>
      <c r="BS23" s="143">
        <v>0</v>
      </c>
      <c r="BT23" s="105">
        <f t="shared" si="15"/>
        <v>0.18237950920245399</v>
      </c>
      <c r="BU23" s="20">
        <f t="shared" si="16"/>
        <v>0</v>
      </c>
      <c r="BV23" s="2">
        <v>0</v>
      </c>
      <c r="BW23" s="2">
        <v>0</v>
      </c>
      <c r="BX23" s="2">
        <v>0</v>
      </c>
      <c r="BY23" s="2">
        <v>1508.2539999999999</v>
      </c>
      <c r="BZ23" s="105">
        <f t="shared" si="17"/>
        <v>0.11190488202997477</v>
      </c>
      <c r="CA23" s="20">
        <f t="shared" si="18"/>
        <v>0</v>
      </c>
      <c r="CB23" s="5">
        <v>10800</v>
      </c>
      <c r="CC23" s="5">
        <v>915.26659660999997</v>
      </c>
      <c r="CE23" s="108">
        <v>-700</v>
      </c>
      <c r="CF23" s="153">
        <f t="shared" si="19"/>
        <v>0</v>
      </c>
      <c r="CG23" s="153">
        <v>4485</v>
      </c>
      <c r="CH23" s="153">
        <f t="shared" si="19"/>
        <v>4485</v>
      </c>
      <c r="CI23" s="153">
        <v>0</v>
      </c>
      <c r="CJ23" s="153">
        <f t="shared" ref="CJ23:CL23" si="138">IF(CI23&gt;0,CI23,0)</f>
        <v>0</v>
      </c>
      <c r="CK23" s="153">
        <v>5000</v>
      </c>
      <c r="CL23" s="153">
        <f t="shared" si="138"/>
        <v>5000</v>
      </c>
      <c r="CM23" s="153">
        <v>-5300</v>
      </c>
      <c r="CN23" s="153">
        <f t="shared" ref="CN23:CP23" si="139">IF(CM23&gt;0,CM23,0)</f>
        <v>0</v>
      </c>
      <c r="CO23" s="153">
        <v>-4000</v>
      </c>
      <c r="CP23" s="153">
        <f t="shared" si="139"/>
        <v>0</v>
      </c>
      <c r="CQ23" s="153">
        <v>2042.3663779999999</v>
      </c>
      <c r="CR23" s="153">
        <f t="shared" ref="CR23:CT23" si="140">IF(CQ23&gt;0,CQ23,0)</f>
        <v>2042.3663779999999</v>
      </c>
      <c r="CS23" s="153">
        <v>9657.8253464900008</v>
      </c>
      <c r="CT23" s="153">
        <f t="shared" si="140"/>
        <v>9657.8253464900008</v>
      </c>
      <c r="CU23" s="107">
        <f t="shared" si="23"/>
        <v>21185.191724490003</v>
      </c>
      <c r="CW23" s="108">
        <v>-700</v>
      </c>
      <c r="CX23" s="153">
        <f t="shared" si="24"/>
        <v>700</v>
      </c>
      <c r="CY23" s="153">
        <v>4485</v>
      </c>
      <c r="CZ23" s="153">
        <f t="shared" si="24"/>
        <v>0</v>
      </c>
      <c r="DA23" s="153">
        <v>0</v>
      </c>
      <c r="DB23" s="153">
        <f t="shared" ref="DB23:DD23" si="141">IF(DA23&lt;0,-DA23,0)</f>
        <v>0</v>
      </c>
      <c r="DC23" s="153">
        <v>5000</v>
      </c>
      <c r="DD23" s="153">
        <f t="shared" si="141"/>
        <v>0</v>
      </c>
      <c r="DE23" s="153">
        <v>-5300</v>
      </c>
      <c r="DF23" s="153">
        <f t="shared" ref="DF23:DH23" si="142">IF(DE23&lt;0,-DE23,0)</f>
        <v>5300</v>
      </c>
      <c r="DG23" s="153">
        <v>-4000</v>
      </c>
      <c r="DH23" s="153">
        <f t="shared" si="142"/>
        <v>4000</v>
      </c>
      <c r="DI23" s="153">
        <v>2042.3663779999999</v>
      </c>
      <c r="DJ23" s="153">
        <f t="shared" ref="DJ23:DL23" si="143">IF(DI23&lt;0,-DI23,0)</f>
        <v>0</v>
      </c>
      <c r="DK23" s="153">
        <v>9657.8253464900008</v>
      </c>
      <c r="DL23" s="153">
        <f t="shared" si="143"/>
        <v>0</v>
      </c>
      <c r="DM23" s="107">
        <f t="shared" si="28"/>
        <v>10000</v>
      </c>
    </row>
    <row r="24" spans="4:117" s="5" customFormat="1" x14ac:dyDescent="0.35">
      <c r="M24" s="77">
        <f t="shared" si="29"/>
        <v>22</v>
      </c>
      <c r="N24" s="78">
        <v>0</v>
      </c>
      <c r="O24" s="79">
        <v>0</v>
      </c>
      <c r="P24" s="79">
        <v>0</v>
      </c>
      <c r="Q24" s="79">
        <v>40187.006000000001</v>
      </c>
      <c r="R24" s="79">
        <v>1756.4523769</v>
      </c>
      <c r="S24" s="79">
        <f t="shared" si="0"/>
        <v>41943.458376900002</v>
      </c>
      <c r="T24" s="78">
        <v>0</v>
      </c>
      <c r="U24" s="79">
        <v>0</v>
      </c>
      <c r="V24" s="79">
        <v>0.154</v>
      </c>
      <c r="W24" s="79">
        <v>0.114</v>
      </c>
      <c r="X24" s="79">
        <f t="shared" si="1"/>
        <v>0.26800000000000002</v>
      </c>
      <c r="Y24" s="79">
        <v>6011.4380000000001</v>
      </c>
      <c r="Z24" s="79">
        <v>65.879787230000005</v>
      </c>
      <c r="AA24" s="80">
        <f t="shared" si="2"/>
        <v>6077.3177872300002</v>
      </c>
      <c r="AB24" s="79"/>
      <c r="AC24" s="88">
        <v>0</v>
      </c>
      <c r="AD24" s="94">
        <f t="shared" si="3"/>
        <v>0</v>
      </c>
      <c r="AE24" s="89">
        <v>0</v>
      </c>
      <c r="AF24" s="94">
        <f t="shared" si="4"/>
        <v>0</v>
      </c>
      <c r="AG24" s="89">
        <v>0</v>
      </c>
      <c r="AH24" s="94">
        <f t="shared" si="5"/>
        <v>0</v>
      </c>
      <c r="AI24" s="89">
        <v>0</v>
      </c>
      <c r="AJ24" s="94">
        <f>AI24/$B$6</f>
        <v>0</v>
      </c>
      <c r="AK24" s="89">
        <v>0</v>
      </c>
      <c r="AL24" s="94">
        <f>AK24/$B$7</f>
        <v>0</v>
      </c>
      <c r="AM24" s="89">
        <v>0</v>
      </c>
      <c r="AN24" s="94">
        <f t="shared" si="6"/>
        <v>0</v>
      </c>
      <c r="AO24" s="89">
        <v>0</v>
      </c>
      <c r="AP24" s="94">
        <f t="shared" si="7"/>
        <v>0</v>
      </c>
      <c r="AQ24" s="79"/>
      <c r="AR24" s="88">
        <v>14417.9676</v>
      </c>
      <c r="AS24" s="76">
        <v>765.9</v>
      </c>
      <c r="AT24" s="88">
        <v>166.5</v>
      </c>
      <c r="AU24" s="100">
        <f t="shared" si="8"/>
        <v>0.16200000000000001</v>
      </c>
      <c r="AV24" s="100">
        <f t="shared" si="9"/>
        <v>0.33299999999999996</v>
      </c>
      <c r="AW24" s="100">
        <f t="shared" si="10"/>
        <v>0.33300000000000002</v>
      </c>
      <c r="AX24" s="94">
        <v>99.483999999999995</v>
      </c>
      <c r="AY24" s="76">
        <v>1327.3704</v>
      </c>
      <c r="AZ24" s="100">
        <f>AX24/$B$9</f>
        <v>0.154</v>
      </c>
      <c r="BA24" s="97">
        <f>AY24/$B$8</f>
        <v>0.114</v>
      </c>
      <c r="BB24" s="88">
        <v>30149.599999999999</v>
      </c>
      <c r="BC24" s="76">
        <v>19202.55</v>
      </c>
      <c r="BD24" s="100">
        <f t="shared" si="11"/>
        <v>0.67599999999999993</v>
      </c>
      <c r="BE24" s="97">
        <f t="shared" si="12"/>
        <v>0.81799999999999995</v>
      </c>
      <c r="BG24" s="88">
        <v>1004.765</v>
      </c>
      <c r="BH24" s="114">
        <f>BG24/$B$10</f>
        <v>0.40799988630180378</v>
      </c>
      <c r="BI24" s="115">
        <v>872.95899999999995</v>
      </c>
      <c r="BJ24" s="114">
        <f>BI24/$B$11</f>
        <v>0.5432227753578095</v>
      </c>
      <c r="BK24" s="115">
        <v>1121.4780000000001</v>
      </c>
      <c r="BL24" s="114">
        <f t="shared" si="13"/>
        <v>0.5784392407674851</v>
      </c>
      <c r="BN24" s="111">
        <v>51358.995000000003</v>
      </c>
      <c r="BO24" s="114">
        <f t="shared" si="14"/>
        <v>0.73770491803278682</v>
      </c>
      <c r="BQ24" s="142">
        <v>6146.2820000000002</v>
      </c>
      <c r="BR24" s="131">
        <v>0</v>
      </c>
      <c r="BS24" s="143">
        <v>0</v>
      </c>
      <c r="BT24" s="105">
        <f t="shared" si="15"/>
        <v>0.18853625766871165</v>
      </c>
      <c r="BU24" s="20">
        <f t="shared" si="16"/>
        <v>0</v>
      </c>
      <c r="BV24" s="2">
        <v>0</v>
      </c>
      <c r="BW24" s="2">
        <v>0</v>
      </c>
      <c r="BX24" s="2">
        <v>0</v>
      </c>
      <c r="BY24" s="2">
        <v>1535.356</v>
      </c>
      <c r="BZ24" s="105">
        <f t="shared" si="17"/>
        <v>0.11391571449769995</v>
      </c>
      <c r="CA24" s="20">
        <f t="shared" si="18"/>
        <v>0</v>
      </c>
      <c r="CB24" s="5">
        <v>10800</v>
      </c>
      <c r="CC24" s="5">
        <v>914.61887561000003</v>
      </c>
      <c r="CE24" s="108">
        <v>-700</v>
      </c>
      <c r="CF24" s="153">
        <f t="shared" si="19"/>
        <v>0</v>
      </c>
      <c r="CG24" s="153">
        <v>4485</v>
      </c>
      <c r="CH24" s="153">
        <f t="shared" si="19"/>
        <v>4485</v>
      </c>
      <c r="CI24" s="153">
        <v>0</v>
      </c>
      <c r="CJ24" s="153">
        <f t="shared" ref="CJ24:CL24" si="144">IF(CI24&gt;0,CI24,0)</f>
        <v>0</v>
      </c>
      <c r="CK24" s="153">
        <v>5000</v>
      </c>
      <c r="CL24" s="153">
        <f t="shared" si="144"/>
        <v>5000</v>
      </c>
      <c r="CM24" s="153">
        <v>-5300</v>
      </c>
      <c r="CN24" s="153">
        <f t="shared" ref="CN24:CP24" si="145">IF(CM24&gt;0,CM24,0)</f>
        <v>0</v>
      </c>
      <c r="CO24" s="153">
        <v>-4000</v>
      </c>
      <c r="CP24" s="153">
        <f t="shared" si="145"/>
        <v>0</v>
      </c>
      <c r="CQ24" s="153">
        <v>0</v>
      </c>
      <c r="CR24" s="153">
        <f t="shared" ref="CR24:CT24" si="146">IF(CQ24&gt;0,CQ24,0)</f>
        <v>0</v>
      </c>
      <c r="CS24" s="153">
        <v>9732.1485416300002</v>
      </c>
      <c r="CT24" s="153">
        <f t="shared" si="146"/>
        <v>9732.1485416300002</v>
      </c>
      <c r="CU24" s="107">
        <f t="shared" si="23"/>
        <v>19217.148541629998</v>
      </c>
      <c r="CW24" s="108">
        <v>-700</v>
      </c>
      <c r="CX24" s="153">
        <f t="shared" si="24"/>
        <v>700</v>
      </c>
      <c r="CY24" s="153">
        <v>4485</v>
      </c>
      <c r="CZ24" s="153">
        <f t="shared" si="24"/>
        <v>0</v>
      </c>
      <c r="DA24" s="153">
        <v>0</v>
      </c>
      <c r="DB24" s="153">
        <f t="shared" ref="DB24:DD24" si="147">IF(DA24&lt;0,-DA24,0)</f>
        <v>0</v>
      </c>
      <c r="DC24" s="153">
        <v>5000</v>
      </c>
      <c r="DD24" s="153">
        <f t="shared" si="147"/>
        <v>0</v>
      </c>
      <c r="DE24" s="153">
        <v>-5300</v>
      </c>
      <c r="DF24" s="153">
        <f t="shared" ref="DF24:DH24" si="148">IF(DE24&lt;0,-DE24,0)</f>
        <v>5300</v>
      </c>
      <c r="DG24" s="153">
        <v>-4000</v>
      </c>
      <c r="DH24" s="153">
        <f t="shared" si="148"/>
        <v>4000</v>
      </c>
      <c r="DI24" s="153">
        <v>0</v>
      </c>
      <c r="DJ24" s="153">
        <f t="shared" ref="DJ24:DL24" si="149">IF(DI24&lt;0,-DI24,0)</f>
        <v>0</v>
      </c>
      <c r="DK24" s="153">
        <v>9732.1485416300002</v>
      </c>
      <c r="DL24" s="153">
        <f t="shared" si="149"/>
        <v>0</v>
      </c>
      <c r="DM24" s="107">
        <f t="shared" si="28"/>
        <v>10000</v>
      </c>
    </row>
    <row r="25" spans="4:117" s="5" customFormat="1" x14ac:dyDescent="0.35">
      <c r="M25" s="77">
        <f t="shared" si="29"/>
        <v>23</v>
      </c>
      <c r="N25" s="78">
        <v>0</v>
      </c>
      <c r="O25" s="79">
        <v>0</v>
      </c>
      <c r="P25" s="79">
        <v>0</v>
      </c>
      <c r="Q25" s="79">
        <v>37830.438000000002</v>
      </c>
      <c r="R25" s="79">
        <v>1767.06476492</v>
      </c>
      <c r="S25" s="79">
        <f t="shared" si="0"/>
        <v>39597.502764920006</v>
      </c>
      <c r="T25" s="78">
        <v>0</v>
      </c>
      <c r="U25" s="79">
        <v>0</v>
      </c>
      <c r="V25" s="79">
        <v>0.14699999999999999</v>
      </c>
      <c r="W25" s="79">
        <v>0.12799999999999997</v>
      </c>
      <c r="X25" s="79">
        <f t="shared" si="1"/>
        <v>0.27499999999999997</v>
      </c>
      <c r="Y25" s="79">
        <v>6214.9660000000003</v>
      </c>
      <c r="Z25" s="79">
        <v>233.64574468000001</v>
      </c>
      <c r="AA25" s="80">
        <f t="shared" si="2"/>
        <v>6448.6117446799999</v>
      </c>
      <c r="AB25" s="79"/>
      <c r="AC25" s="88">
        <v>0</v>
      </c>
      <c r="AD25" s="94">
        <f t="shared" si="3"/>
        <v>0</v>
      </c>
      <c r="AE25" s="89">
        <v>0</v>
      </c>
      <c r="AF25" s="94">
        <f t="shared" si="4"/>
        <v>0</v>
      </c>
      <c r="AG25" s="89">
        <v>0</v>
      </c>
      <c r="AH25" s="94">
        <f t="shared" si="5"/>
        <v>0</v>
      </c>
      <c r="AI25" s="89">
        <v>0</v>
      </c>
      <c r="AJ25" s="94">
        <f>AI25/$B$6</f>
        <v>0</v>
      </c>
      <c r="AK25" s="89">
        <v>0</v>
      </c>
      <c r="AL25" s="94">
        <f>AK25/$B$7</f>
        <v>0</v>
      </c>
      <c r="AM25" s="89">
        <v>0</v>
      </c>
      <c r="AN25" s="94">
        <f t="shared" si="6"/>
        <v>0</v>
      </c>
      <c r="AO25" s="89">
        <v>0</v>
      </c>
      <c r="AP25" s="94">
        <f t="shared" si="7"/>
        <v>0</v>
      </c>
      <c r="AQ25" s="79"/>
      <c r="AR25" s="88">
        <v>15396.965399999999</v>
      </c>
      <c r="AS25" s="76">
        <v>795.8</v>
      </c>
      <c r="AT25" s="88">
        <v>173</v>
      </c>
      <c r="AU25" s="100">
        <f t="shared" si="8"/>
        <v>0.17299999999999999</v>
      </c>
      <c r="AV25" s="100">
        <f t="shared" si="9"/>
        <v>0.34599999999999997</v>
      </c>
      <c r="AW25" s="100">
        <f t="shared" si="10"/>
        <v>0.34599999999999997</v>
      </c>
      <c r="AX25" s="94">
        <v>94.962000000000003</v>
      </c>
      <c r="AY25" s="76">
        <v>1490.3807999999999</v>
      </c>
      <c r="AZ25" s="100">
        <f>AX25/$B$9</f>
        <v>0.14699999999999999</v>
      </c>
      <c r="BA25" s="97">
        <f>AY25/$B$8</f>
        <v>0.12799999999999997</v>
      </c>
      <c r="BB25" s="88">
        <v>29569.8</v>
      </c>
      <c r="BC25" s="76">
        <v>18920.849999999999</v>
      </c>
      <c r="BD25" s="100">
        <f t="shared" si="11"/>
        <v>0.66300000000000003</v>
      </c>
      <c r="BE25" s="97">
        <f t="shared" si="12"/>
        <v>0.80599999999999994</v>
      </c>
      <c r="BG25" s="88">
        <v>1012.153</v>
      </c>
      <c r="BH25" s="114">
        <f>BG25/$B$10</f>
        <v>0.41099989442310353</v>
      </c>
      <c r="BI25" s="115">
        <v>880.58399999999995</v>
      </c>
      <c r="BJ25" s="114">
        <f>BI25/$B$11</f>
        <v>0.54796764156813937</v>
      </c>
      <c r="BK25" s="115">
        <v>1121.4780000000001</v>
      </c>
      <c r="BL25" s="114">
        <f t="shared" si="13"/>
        <v>0.5784392407674851</v>
      </c>
      <c r="BN25" s="111">
        <v>51358.995000000003</v>
      </c>
      <c r="BO25" s="114">
        <f t="shared" si="14"/>
        <v>0.73770491803278682</v>
      </c>
      <c r="BQ25" s="142">
        <v>6571.3689999999997</v>
      </c>
      <c r="BR25" s="131">
        <v>0</v>
      </c>
      <c r="BS25" s="143">
        <v>0</v>
      </c>
      <c r="BT25" s="105">
        <f t="shared" si="15"/>
        <v>0.20157573619631902</v>
      </c>
      <c r="BU25" s="20">
        <f t="shared" si="16"/>
        <v>0</v>
      </c>
      <c r="BV25" s="2">
        <v>0</v>
      </c>
      <c r="BW25" s="2">
        <v>0</v>
      </c>
      <c r="BX25" s="2">
        <v>0</v>
      </c>
      <c r="BY25" s="2">
        <v>1480.5350000000001</v>
      </c>
      <c r="BZ25" s="105">
        <f t="shared" si="17"/>
        <v>0.10984827125686304</v>
      </c>
      <c r="CA25" s="20">
        <f t="shared" si="18"/>
        <v>0</v>
      </c>
      <c r="CB25" s="5">
        <v>10800</v>
      </c>
      <c r="CC25" s="5">
        <v>913.97115460999999</v>
      </c>
      <c r="CE25" s="108">
        <v>-700</v>
      </c>
      <c r="CF25" s="153">
        <f t="shared" si="19"/>
        <v>0</v>
      </c>
      <c r="CG25" s="153">
        <v>4485</v>
      </c>
      <c r="CH25" s="153">
        <f t="shared" si="19"/>
        <v>4485</v>
      </c>
      <c r="CI25" s="153">
        <v>0</v>
      </c>
      <c r="CJ25" s="153">
        <f t="shared" ref="CJ25:CL25" si="150">IF(CI25&gt;0,CI25,0)</f>
        <v>0</v>
      </c>
      <c r="CK25" s="153">
        <v>0</v>
      </c>
      <c r="CL25" s="153">
        <f t="shared" si="150"/>
        <v>0</v>
      </c>
      <c r="CM25" s="153">
        <v>-5300</v>
      </c>
      <c r="CN25" s="153">
        <f t="shared" ref="CN25:CP25" si="151">IF(CM25&gt;0,CM25,0)</f>
        <v>0</v>
      </c>
      <c r="CO25" s="153">
        <v>-4000</v>
      </c>
      <c r="CP25" s="153">
        <f t="shared" si="151"/>
        <v>0</v>
      </c>
      <c r="CQ25" s="153">
        <v>0</v>
      </c>
      <c r="CR25" s="153">
        <f t="shared" ref="CR25:CT25" si="152">IF(CQ25&gt;0,CQ25,0)</f>
        <v>0</v>
      </c>
      <c r="CS25" s="153">
        <v>10546.37620977</v>
      </c>
      <c r="CT25" s="153">
        <f t="shared" si="152"/>
        <v>10546.37620977</v>
      </c>
      <c r="CU25" s="107">
        <f t="shared" si="23"/>
        <v>15031.37620977</v>
      </c>
      <c r="CW25" s="108">
        <v>-700</v>
      </c>
      <c r="CX25" s="153">
        <f t="shared" si="24"/>
        <v>700</v>
      </c>
      <c r="CY25" s="153">
        <v>4485</v>
      </c>
      <c r="CZ25" s="153">
        <f t="shared" si="24"/>
        <v>0</v>
      </c>
      <c r="DA25" s="153">
        <v>0</v>
      </c>
      <c r="DB25" s="153">
        <f t="shared" ref="DB25:DD25" si="153">IF(DA25&lt;0,-DA25,0)</f>
        <v>0</v>
      </c>
      <c r="DC25" s="153">
        <v>0</v>
      </c>
      <c r="DD25" s="153">
        <f t="shared" si="153"/>
        <v>0</v>
      </c>
      <c r="DE25" s="153">
        <v>-5300</v>
      </c>
      <c r="DF25" s="153">
        <f t="shared" ref="DF25:DH25" si="154">IF(DE25&lt;0,-DE25,0)</f>
        <v>5300</v>
      </c>
      <c r="DG25" s="153">
        <v>-4000</v>
      </c>
      <c r="DH25" s="153">
        <f t="shared" si="154"/>
        <v>4000</v>
      </c>
      <c r="DI25" s="153">
        <v>0</v>
      </c>
      <c r="DJ25" s="153">
        <f t="shared" ref="DJ25:DL25" si="155">IF(DI25&lt;0,-DI25,0)</f>
        <v>0</v>
      </c>
      <c r="DK25" s="153">
        <v>10546.37620977</v>
      </c>
      <c r="DL25" s="153">
        <f t="shared" si="155"/>
        <v>0</v>
      </c>
      <c r="DM25" s="107">
        <f t="shared" si="28"/>
        <v>10000</v>
      </c>
    </row>
    <row r="26" spans="4:117" s="5" customFormat="1" x14ac:dyDescent="0.35">
      <c r="M26" s="77">
        <f t="shared" si="29"/>
        <v>24</v>
      </c>
      <c r="N26" s="78">
        <v>0</v>
      </c>
      <c r="O26" s="79">
        <v>0</v>
      </c>
      <c r="P26" s="79">
        <v>0</v>
      </c>
      <c r="Q26" s="79">
        <v>35243.232000000004</v>
      </c>
      <c r="R26" s="79">
        <v>1471.6367999399999</v>
      </c>
      <c r="S26" s="79">
        <f t="shared" si="0"/>
        <v>36714.868799940006</v>
      </c>
      <c r="T26" s="78">
        <v>0</v>
      </c>
      <c r="U26" s="79">
        <v>0</v>
      </c>
      <c r="V26" s="79">
        <v>0.13699999999999998</v>
      </c>
      <c r="W26" s="79">
        <v>0.156</v>
      </c>
      <c r="X26" s="79">
        <f t="shared" si="1"/>
        <v>0.29299999999999998</v>
      </c>
      <c r="Y26" s="79">
        <v>5844.1</v>
      </c>
      <c r="Z26" s="79">
        <v>273.91840000000002</v>
      </c>
      <c r="AA26" s="80">
        <f t="shared" si="2"/>
        <v>6118.0184000000008</v>
      </c>
      <c r="AB26" s="79"/>
      <c r="AC26" s="88">
        <v>0</v>
      </c>
      <c r="AD26" s="94">
        <f t="shared" si="3"/>
        <v>0</v>
      </c>
      <c r="AE26" s="89">
        <v>0</v>
      </c>
      <c r="AF26" s="94">
        <f t="shared" si="4"/>
        <v>0</v>
      </c>
      <c r="AG26" s="89">
        <v>0</v>
      </c>
      <c r="AH26" s="94">
        <f t="shared" si="5"/>
        <v>0</v>
      </c>
      <c r="AI26" s="89">
        <v>0</v>
      </c>
      <c r="AJ26" s="94">
        <f>AI26/$B$6</f>
        <v>0</v>
      </c>
      <c r="AK26" s="89">
        <v>0</v>
      </c>
      <c r="AL26" s="94">
        <f>AK26/$B$7</f>
        <v>0</v>
      </c>
      <c r="AM26" s="89">
        <v>0</v>
      </c>
      <c r="AN26" s="94">
        <f t="shared" si="6"/>
        <v>0</v>
      </c>
      <c r="AO26" s="89">
        <v>0</v>
      </c>
      <c r="AP26" s="94">
        <f t="shared" si="7"/>
        <v>0</v>
      </c>
      <c r="AQ26" s="79"/>
      <c r="AR26" s="88">
        <v>16286.963400000001</v>
      </c>
      <c r="AS26" s="76">
        <v>811.9</v>
      </c>
      <c r="AT26" s="88">
        <v>176.5</v>
      </c>
      <c r="AU26" s="100">
        <f t="shared" si="8"/>
        <v>0.183</v>
      </c>
      <c r="AV26" s="100">
        <f t="shared" si="9"/>
        <v>0.35299999999999998</v>
      </c>
      <c r="AW26" s="100">
        <f t="shared" si="10"/>
        <v>0.35299999999999998</v>
      </c>
      <c r="AX26" s="94">
        <v>88.501999999999995</v>
      </c>
      <c r="AY26" s="76">
        <v>1816.4015999999999</v>
      </c>
      <c r="AZ26" s="100">
        <f>AX26/$B$9</f>
        <v>0.13699999999999998</v>
      </c>
      <c r="BA26" s="97">
        <f>AY26/$B$8</f>
        <v>0.156</v>
      </c>
      <c r="BB26" s="88">
        <v>29391.4</v>
      </c>
      <c r="BC26" s="76">
        <v>18897.375</v>
      </c>
      <c r="BD26" s="100">
        <f t="shared" si="11"/>
        <v>0.65900000000000003</v>
      </c>
      <c r="BE26" s="97">
        <f t="shared" si="12"/>
        <v>0.80500000000000005</v>
      </c>
      <c r="BG26" s="88">
        <v>1004.765</v>
      </c>
      <c r="BH26" s="114">
        <f>BG26/$B$10</f>
        <v>0.40799988630180378</v>
      </c>
      <c r="BI26" s="115">
        <v>890.72900000000004</v>
      </c>
      <c r="BJ26" s="114">
        <f>BI26/$B$11</f>
        <v>0.55428064716863723</v>
      </c>
      <c r="BK26" s="115">
        <v>1121.4780000000001</v>
      </c>
      <c r="BL26" s="114">
        <f t="shared" si="13"/>
        <v>0.5784392407674851</v>
      </c>
      <c r="BN26" s="111">
        <v>51358.995000000003</v>
      </c>
      <c r="BO26" s="114">
        <f t="shared" si="14"/>
        <v>0.73770491803278682</v>
      </c>
      <c r="BQ26" s="142">
        <v>6957.915</v>
      </c>
      <c r="BR26" s="131">
        <v>0</v>
      </c>
      <c r="BS26" s="143">
        <v>0</v>
      </c>
      <c r="BT26" s="105">
        <f t="shared" si="15"/>
        <v>0.21343297546012269</v>
      </c>
      <c r="BU26" s="20">
        <f t="shared" si="16"/>
        <v>0</v>
      </c>
      <c r="BV26" s="2">
        <v>0</v>
      </c>
      <c r="BW26" s="2">
        <v>0</v>
      </c>
      <c r="BX26" s="2">
        <v>0</v>
      </c>
      <c r="BY26" s="2">
        <v>1406.877</v>
      </c>
      <c r="BZ26" s="105">
        <f t="shared" si="17"/>
        <v>0.1043832170945244</v>
      </c>
      <c r="CA26" s="20">
        <f t="shared" si="18"/>
        <v>0</v>
      </c>
      <c r="CB26" s="5">
        <v>10800</v>
      </c>
      <c r="CC26" s="5">
        <v>913.97115460999999</v>
      </c>
      <c r="CE26" s="108">
        <v>-700</v>
      </c>
      <c r="CF26" s="153">
        <f t="shared" si="19"/>
        <v>0</v>
      </c>
      <c r="CG26" s="153">
        <v>4485</v>
      </c>
      <c r="CH26" s="153">
        <f t="shared" si="19"/>
        <v>4485</v>
      </c>
      <c r="CI26" s="153">
        <v>0</v>
      </c>
      <c r="CJ26" s="153">
        <f t="shared" ref="CJ26:CL26" si="156">IF(CI26&gt;0,CI26,0)</f>
        <v>0</v>
      </c>
      <c r="CK26" s="153">
        <v>-4810.0725000000002</v>
      </c>
      <c r="CL26" s="153">
        <f t="shared" si="156"/>
        <v>0</v>
      </c>
      <c r="CM26" s="153">
        <v>-5300</v>
      </c>
      <c r="CN26" s="153">
        <f t="shared" ref="CN26:CP26" si="157">IF(CM26&gt;0,CM26,0)</f>
        <v>0</v>
      </c>
      <c r="CO26" s="153">
        <v>-4000</v>
      </c>
      <c r="CP26" s="153">
        <f t="shared" si="157"/>
        <v>0</v>
      </c>
      <c r="CQ26" s="153">
        <v>-4800</v>
      </c>
      <c r="CR26" s="153">
        <f t="shared" ref="CR26:CT26" si="158">IF(CQ26&gt;0,CQ26,0)</f>
        <v>0</v>
      </c>
      <c r="CS26" s="153">
        <v>10858.56195757</v>
      </c>
      <c r="CT26" s="153">
        <f t="shared" si="158"/>
        <v>10858.56195757</v>
      </c>
      <c r="CU26" s="107">
        <f t="shared" si="23"/>
        <v>15343.56195757</v>
      </c>
      <c r="CW26" s="108">
        <v>-700</v>
      </c>
      <c r="CX26" s="153">
        <f t="shared" si="24"/>
        <v>700</v>
      </c>
      <c r="CY26" s="153">
        <v>4485</v>
      </c>
      <c r="CZ26" s="153">
        <f t="shared" si="24"/>
        <v>0</v>
      </c>
      <c r="DA26" s="153">
        <v>0</v>
      </c>
      <c r="DB26" s="153">
        <f t="shared" ref="DB26:DD26" si="159">IF(DA26&lt;0,-DA26,0)</f>
        <v>0</v>
      </c>
      <c r="DC26" s="153">
        <v>-4810.0725000000002</v>
      </c>
      <c r="DD26" s="153">
        <f t="shared" si="159"/>
        <v>4810.0725000000002</v>
      </c>
      <c r="DE26" s="153">
        <v>-5300</v>
      </c>
      <c r="DF26" s="153">
        <f t="shared" ref="DF26:DH26" si="160">IF(DE26&lt;0,-DE26,0)</f>
        <v>5300</v>
      </c>
      <c r="DG26" s="153">
        <v>-4000</v>
      </c>
      <c r="DH26" s="153">
        <f t="shared" si="160"/>
        <v>4000</v>
      </c>
      <c r="DI26" s="153">
        <v>-4800</v>
      </c>
      <c r="DJ26" s="153">
        <f t="shared" ref="DJ26:DL26" si="161">IF(DI26&lt;0,-DI26,0)</f>
        <v>4800</v>
      </c>
      <c r="DK26" s="153">
        <v>10858.56195757</v>
      </c>
      <c r="DL26" s="153">
        <f t="shared" si="161"/>
        <v>0</v>
      </c>
      <c r="DM26" s="107">
        <f t="shared" si="28"/>
        <v>19610.072500000002</v>
      </c>
    </row>
    <row r="27" spans="4:117" s="5" customFormat="1" x14ac:dyDescent="0.35">
      <c r="M27" s="77">
        <f t="shared" si="29"/>
        <v>25</v>
      </c>
      <c r="N27" s="78">
        <v>0</v>
      </c>
      <c r="O27" s="79">
        <v>0</v>
      </c>
      <c r="P27" s="79">
        <v>0</v>
      </c>
      <c r="Q27" s="79">
        <v>33915.038</v>
      </c>
      <c r="R27" s="79">
        <v>1181.2321245000001</v>
      </c>
      <c r="S27" s="79">
        <f t="shared" si="0"/>
        <v>35096.270124499999</v>
      </c>
      <c r="T27" s="78">
        <v>0</v>
      </c>
      <c r="U27" s="79">
        <v>0</v>
      </c>
      <c r="V27" s="79">
        <v>0.125</v>
      </c>
      <c r="W27" s="79">
        <v>0.17699999999999999</v>
      </c>
      <c r="X27" s="79">
        <f t="shared" si="1"/>
        <v>0.30199999999999999</v>
      </c>
      <c r="Y27" s="79">
        <v>5660.5590000000002</v>
      </c>
      <c r="Z27" s="79">
        <v>0</v>
      </c>
      <c r="AA27" s="80">
        <f t="shared" si="2"/>
        <v>5660.5590000000002</v>
      </c>
      <c r="AB27" s="79"/>
      <c r="AC27" s="88">
        <v>0</v>
      </c>
      <c r="AD27" s="94">
        <f t="shared" si="3"/>
        <v>0</v>
      </c>
      <c r="AE27" s="89">
        <v>0</v>
      </c>
      <c r="AF27" s="94">
        <f t="shared" si="4"/>
        <v>0</v>
      </c>
      <c r="AG27" s="89">
        <v>0</v>
      </c>
      <c r="AH27" s="94">
        <f t="shared" si="5"/>
        <v>0</v>
      </c>
      <c r="AI27" s="89">
        <v>0</v>
      </c>
      <c r="AJ27" s="94">
        <f>AI27/$B$6</f>
        <v>0</v>
      </c>
      <c r="AK27" s="89">
        <v>0</v>
      </c>
      <c r="AL27" s="94">
        <f>AK27/$B$7</f>
        <v>0</v>
      </c>
      <c r="AM27" s="89">
        <v>0</v>
      </c>
      <c r="AN27" s="94">
        <f t="shared" si="6"/>
        <v>0</v>
      </c>
      <c r="AO27" s="89">
        <v>0</v>
      </c>
      <c r="AP27" s="94">
        <f t="shared" si="7"/>
        <v>0</v>
      </c>
      <c r="AQ27" s="79"/>
      <c r="AR27" s="88">
        <v>16998.961800000001</v>
      </c>
      <c r="AS27" s="76">
        <v>814.2</v>
      </c>
      <c r="AT27" s="88">
        <v>177</v>
      </c>
      <c r="AU27" s="100">
        <f t="shared" si="8"/>
        <v>0.191</v>
      </c>
      <c r="AV27" s="100">
        <f t="shared" si="9"/>
        <v>0.35400000000000004</v>
      </c>
      <c r="AW27" s="100">
        <f t="shared" si="10"/>
        <v>0.35399999999999998</v>
      </c>
      <c r="AX27" s="94">
        <v>80.75</v>
      </c>
      <c r="AY27" s="76">
        <v>2060.9171999999999</v>
      </c>
      <c r="AZ27" s="100">
        <f>AX27/$B$9</f>
        <v>0.125</v>
      </c>
      <c r="BA27" s="97">
        <f>AY27/$B$8</f>
        <v>0.17699999999999999</v>
      </c>
      <c r="BB27" s="88">
        <v>28410.2</v>
      </c>
      <c r="BC27" s="76">
        <v>18967.8</v>
      </c>
      <c r="BD27" s="100">
        <f t="shared" si="11"/>
        <v>0.63700000000000001</v>
      </c>
      <c r="BE27" s="97">
        <f t="shared" si="12"/>
        <v>0.80799999999999994</v>
      </c>
      <c r="BG27" s="88">
        <v>962.9</v>
      </c>
      <c r="BH27" s="114">
        <f>BG27/$B$10</f>
        <v>0.39099997563610084</v>
      </c>
      <c r="BI27" s="115">
        <v>891.79700000000003</v>
      </c>
      <c r="BJ27" s="114">
        <f>BI27/$B$11</f>
        <v>0.55494523957685127</v>
      </c>
      <c r="BK27" s="115">
        <v>1121.4780000000001</v>
      </c>
      <c r="BL27" s="114">
        <f t="shared" si="13"/>
        <v>0.5784392407674851</v>
      </c>
      <c r="BN27" s="111">
        <v>51358.995000000003</v>
      </c>
      <c r="BO27" s="114">
        <f t="shared" si="14"/>
        <v>0.73770491803278682</v>
      </c>
      <c r="BQ27" s="142">
        <v>7269.6490000000003</v>
      </c>
      <c r="BR27" s="131">
        <v>0</v>
      </c>
      <c r="BS27" s="143">
        <v>0</v>
      </c>
      <c r="BT27" s="105">
        <f t="shared" si="15"/>
        <v>0.22299536809815951</v>
      </c>
      <c r="BU27" s="20">
        <f t="shared" si="16"/>
        <v>0</v>
      </c>
      <c r="BV27" s="2">
        <v>0</v>
      </c>
      <c r="BW27" s="2">
        <v>0</v>
      </c>
      <c r="BX27" s="2">
        <v>0</v>
      </c>
      <c r="BY27" s="2">
        <v>1319.4259999999999</v>
      </c>
      <c r="BZ27" s="105">
        <f t="shared" si="17"/>
        <v>9.7894791512093779E-2</v>
      </c>
      <c r="CA27" s="20">
        <f t="shared" si="18"/>
        <v>0</v>
      </c>
      <c r="CB27" s="5">
        <v>10800</v>
      </c>
      <c r="CC27" s="5">
        <v>913.9697658</v>
      </c>
      <c r="CE27" s="108">
        <v>-700</v>
      </c>
      <c r="CF27" s="153">
        <f t="shared" si="19"/>
        <v>0</v>
      </c>
      <c r="CG27" s="153">
        <v>4485</v>
      </c>
      <c r="CH27" s="153">
        <f t="shared" si="19"/>
        <v>4485</v>
      </c>
      <c r="CI27" s="153">
        <v>0</v>
      </c>
      <c r="CJ27" s="153">
        <f t="shared" ref="CJ27:CL27" si="162">IF(CI27&gt;0,CI27,0)</f>
        <v>0</v>
      </c>
      <c r="CK27" s="153">
        <v>-5000</v>
      </c>
      <c r="CL27" s="153">
        <f t="shared" si="162"/>
        <v>0</v>
      </c>
      <c r="CM27" s="153">
        <v>-5300</v>
      </c>
      <c r="CN27" s="153">
        <f t="shared" ref="CN27:CP27" si="163">IF(CM27&gt;0,CM27,0)</f>
        <v>0</v>
      </c>
      <c r="CO27" s="153">
        <v>-4000</v>
      </c>
      <c r="CP27" s="153">
        <f t="shared" si="163"/>
        <v>0</v>
      </c>
      <c r="CQ27" s="153">
        <v>-4800</v>
      </c>
      <c r="CR27" s="153">
        <f t="shared" ref="CR27:CT27" si="164">IF(CQ27&gt;0,CQ27,0)</f>
        <v>0</v>
      </c>
      <c r="CS27" s="153">
        <v>10465.69935228</v>
      </c>
      <c r="CT27" s="153">
        <f t="shared" si="164"/>
        <v>10465.69935228</v>
      </c>
      <c r="CU27" s="107">
        <f t="shared" si="23"/>
        <v>14950.69935228</v>
      </c>
      <c r="CW27" s="108">
        <v>-700</v>
      </c>
      <c r="CX27" s="153">
        <f t="shared" si="24"/>
        <v>700</v>
      </c>
      <c r="CY27" s="153">
        <v>4485</v>
      </c>
      <c r="CZ27" s="153">
        <f t="shared" si="24"/>
        <v>0</v>
      </c>
      <c r="DA27" s="153">
        <v>0</v>
      </c>
      <c r="DB27" s="153">
        <f t="shared" ref="DB27:DD27" si="165">IF(DA27&lt;0,-DA27,0)</f>
        <v>0</v>
      </c>
      <c r="DC27" s="153">
        <v>-5000</v>
      </c>
      <c r="DD27" s="153">
        <f t="shared" si="165"/>
        <v>5000</v>
      </c>
      <c r="DE27" s="153">
        <v>-5300</v>
      </c>
      <c r="DF27" s="153">
        <f t="shared" ref="DF27:DH27" si="166">IF(DE27&lt;0,-DE27,0)</f>
        <v>5300</v>
      </c>
      <c r="DG27" s="153">
        <v>-4000</v>
      </c>
      <c r="DH27" s="153">
        <f t="shared" si="166"/>
        <v>4000</v>
      </c>
      <c r="DI27" s="153">
        <v>-4800</v>
      </c>
      <c r="DJ27" s="153">
        <f t="shared" ref="DJ27:DL27" si="167">IF(DI27&lt;0,-DI27,0)</f>
        <v>4800</v>
      </c>
      <c r="DK27" s="153">
        <v>10465.69935228</v>
      </c>
      <c r="DL27" s="153">
        <f t="shared" si="167"/>
        <v>0</v>
      </c>
      <c r="DM27" s="107">
        <f t="shared" si="28"/>
        <v>19800</v>
      </c>
    </row>
    <row r="28" spans="4:117" s="5" customFormat="1" x14ac:dyDescent="0.35">
      <c r="M28" s="77">
        <f t="shared" si="29"/>
        <v>26</v>
      </c>
      <c r="N28" s="78">
        <v>0</v>
      </c>
      <c r="O28" s="79">
        <v>0</v>
      </c>
      <c r="P28" s="79">
        <v>0</v>
      </c>
      <c r="Q28" s="79">
        <v>32036.166489359999</v>
      </c>
      <c r="R28" s="79">
        <v>902.25761518000002</v>
      </c>
      <c r="S28" s="79">
        <f t="shared" si="0"/>
        <v>32938.424104539998</v>
      </c>
      <c r="T28" s="78">
        <v>0</v>
      </c>
      <c r="U28" s="79">
        <v>0</v>
      </c>
      <c r="V28" s="79">
        <v>0.113</v>
      </c>
      <c r="W28" s="79">
        <v>0.183</v>
      </c>
      <c r="X28" s="79">
        <f t="shared" si="1"/>
        <v>0.29599999999999999</v>
      </c>
      <c r="Y28" s="79">
        <v>5292.4740000000002</v>
      </c>
      <c r="Z28" s="79">
        <v>0</v>
      </c>
      <c r="AA28" s="80">
        <f t="shared" si="2"/>
        <v>5292.4740000000002</v>
      </c>
      <c r="AB28" s="79"/>
      <c r="AC28" s="88">
        <v>0</v>
      </c>
      <c r="AD28" s="94">
        <f t="shared" si="3"/>
        <v>0</v>
      </c>
      <c r="AE28" s="89">
        <v>0</v>
      </c>
      <c r="AF28" s="94">
        <f t="shared" si="4"/>
        <v>0</v>
      </c>
      <c r="AG28" s="89">
        <v>0</v>
      </c>
      <c r="AH28" s="94">
        <f t="shared" si="5"/>
        <v>0</v>
      </c>
      <c r="AI28" s="89">
        <v>0</v>
      </c>
      <c r="AJ28" s="94">
        <f>AI28/$B$6</f>
        <v>0</v>
      </c>
      <c r="AK28" s="89">
        <v>0</v>
      </c>
      <c r="AL28" s="94">
        <f>AK28/$B$7</f>
        <v>0</v>
      </c>
      <c r="AM28" s="89">
        <v>0</v>
      </c>
      <c r="AN28" s="94">
        <f t="shared" si="6"/>
        <v>0</v>
      </c>
      <c r="AO28" s="89">
        <v>0</v>
      </c>
      <c r="AP28" s="94">
        <f t="shared" si="7"/>
        <v>0</v>
      </c>
      <c r="AQ28" s="79"/>
      <c r="AR28" s="88">
        <v>16464.963</v>
      </c>
      <c r="AS28" s="76">
        <v>795.8</v>
      </c>
      <c r="AT28" s="88">
        <v>173</v>
      </c>
      <c r="AU28" s="100">
        <f t="shared" si="8"/>
        <v>0.185</v>
      </c>
      <c r="AV28" s="100">
        <f t="shared" si="9"/>
        <v>0.34599999999999997</v>
      </c>
      <c r="AW28" s="100">
        <f t="shared" si="10"/>
        <v>0.34599999999999997</v>
      </c>
      <c r="AX28" s="94">
        <v>72.998000000000005</v>
      </c>
      <c r="AY28" s="76">
        <v>2130.7788</v>
      </c>
      <c r="AZ28" s="100">
        <f>AX28/$B$9</f>
        <v>0.113</v>
      </c>
      <c r="BA28" s="97">
        <f>AY28/$B$8</f>
        <v>0.183</v>
      </c>
      <c r="BB28" s="88">
        <v>28544</v>
      </c>
      <c r="BC28" s="76">
        <v>19460.775000000001</v>
      </c>
      <c r="BD28" s="100">
        <f t="shared" si="11"/>
        <v>0.64</v>
      </c>
      <c r="BE28" s="97">
        <f t="shared" si="12"/>
        <v>0.82900000000000007</v>
      </c>
      <c r="BG28" s="88">
        <v>953.04899999999998</v>
      </c>
      <c r="BH28" s="114">
        <f>BG28/$B$10</f>
        <v>0.38699982945270561</v>
      </c>
      <c r="BI28" s="115">
        <v>890.97</v>
      </c>
      <c r="BJ28" s="114">
        <f>BI28/$B$11</f>
        <v>0.55443061605476041</v>
      </c>
      <c r="BK28" s="115">
        <v>1121.4780000000001</v>
      </c>
      <c r="BL28" s="114">
        <f t="shared" si="13"/>
        <v>0.5784392407674851</v>
      </c>
      <c r="BN28" s="111">
        <v>51358.995000000003</v>
      </c>
      <c r="BO28" s="114">
        <f t="shared" si="14"/>
        <v>0.73770491803278682</v>
      </c>
      <c r="BQ28" s="142">
        <v>7015.8770000000004</v>
      </c>
      <c r="BR28" s="131">
        <v>0</v>
      </c>
      <c r="BS28" s="143">
        <v>0</v>
      </c>
      <c r="BT28" s="105">
        <f t="shared" si="15"/>
        <v>0.21521095092024542</v>
      </c>
      <c r="BU28" s="20">
        <f t="shared" si="16"/>
        <v>0</v>
      </c>
      <c r="BV28" s="2">
        <v>0</v>
      </c>
      <c r="BW28" s="2">
        <v>0</v>
      </c>
      <c r="BX28" s="2">
        <v>0</v>
      </c>
      <c r="BY28" s="2">
        <v>1240.171</v>
      </c>
      <c r="BZ28" s="105">
        <f t="shared" si="17"/>
        <v>9.2014468021961712E-2</v>
      </c>
      <c r="CA28" s="20">
        <f t="shared" si="18"/>
        <v>0</v>
      </c>
      <c r="CB28" s="5">
        <v>10800</v>
      </c>
      <c r="CC28" s="5">
        <v>913.9697658</v>
      </c>
      <c r="CE28" s="108">
        <v>-700</v>
      </c>
      <c r="CF28" s="153">
        <f t="shared" si="19"/>
        <v>0</v>
      </c>
      <c r="CG28" s="153">
        <v>4485</v>
      </c>
      <c r="CH28" s="153">
        <f t="shared" si="19"/>
        <v>4485</v>
      </c>
      <c r="CI28" s="153">
        <v>0</v>
      </c>
      <c r="CJ28" s="153">
        <f t="shared" ref="CJ28:CL28" si="168">IF(CI28&gt;0,CI28,0)</f>
        <v>0</v>
      </c>
      <c r="CK28" s="153">
        <v>-5000</v>
      </c>
      <c r="CL28" s="153">
        <f t="shared" si="168"/>
        <v>0</v>
      </c>
      <c r="CM28" s="153">
        <v>-5300</v>
      </c>
      <c r="CN28" s="153">
        <f t="shared" ref="CN28:CP28" si="169">IF(CM28&gt;0,CM28,0)</f>
        <v>0</v>
      </c>
      <c r="CO28" s="153">
        <v>-4000</v>
      </c>
      <c r="CP28" s="153">
        <f t="shared" si="169"/>
        <v>0</v>
      </c>
      <c r="CQ28" s="153">
        <v>-4800</v>
      </c>
      <c r="CR28" s="153">
        <f t="shared" ref="CR28:CT28" si="170">IF(CQ28&gt;0,CQ28,0)</f>
        <v>0</v>
      </c>
      <c r="CS28" s="153">
        <v>10670.129944279999</v>
      </c>
      <c r="CT28" s="153">
        <f t="shared" si="170"/>
        <v>10670.129944279999</v>
      </c>
      <c r="CU28" s="107">
        <f t="shared" si="23"/>
        <v>15155.129944279999</v>
      </c>
      <c r="CW28" s="108">
        <v>-700</v>
      </c>
      <c r="CX28" s="153">
        <f t="shared" si="24"/>
        <v>700</v>
      </c>
      <c r="CY28" s="153">
        <v>4485</v>
      </c>
      <c r="CZ28" s="153">
        <f t="shared" si="24"/>
        <v>0</v>
      </c>
      <c r="DA28" s="153">
        <v>0</v>
      </c>
      <c r="DB28" s="153">
        <f t="shared" ref="DB28:DD28" si="171">IF(DA28&lt;0,-DA28,0)</f>
        <v>0</v>
      </c>
      <c r="DC28" s="153">
        <v>-5000</v>
      </c>
      <c r="DD28" s="153">
        <f t="shared" si="171"/>
        <v>5000</v>
      </c>
      <c r="DE28" s="153">
        <v>-5300</v>
      </c>
      <c r="DF28" s="153">
        <f t="shared" ref="DF28:DH28" si="172">IF(DE28&lt;0,-DE28,0)</f>
        <v>5300</v>
      </c>
      <c r="DG28" s="153">
        <v>-4000</v>
      </c>
      <c r="DH28" s="153">
        <f t="shared" si="172"/>
        <v>4000</v>
      </c>
      <c r="DI28" s="153">
        <v>-4800</v>
      </c>
      <c r="DJ28" s="153">
        <f t="shared" ref="DJ28:DL28" si="173">IF(DI28&lt;0,-DI28,0)</f>
        <v>4800</v>
      </c>
      <c r="DK28" s="153">
        <v>10670.129944279999</v>
      </c>
      <c r="DL28" s="153">
        <f t="shared" si="173"/>
        <v>0</v>
      </c>
      <c r="DM28" s="107">
        <f t="shared" si="28"/>
        <v>19800</v>
      </c>
    </row>
    <row r="29" spans="4:117" s="5" customFormat="1" x14ac:dyDescent="0.35">
      <c r="M29" s="77">
        <f t="shared" si="29"/>
        <v>27</v>
      </c>
      <c r="N29" s="78">
        <v>0</v>
      </c>
      <c r="O29" s="79">
        <v>0</v>
      </c>
      <c r="P29" s="79">
        <v>0</v>
      </c>
      <c r="Q29" s="79">
        <v>30970.332893620001</v>
      </c>
      <c r="R29" s="79">
        <v>1468.14928678</v>
      </c>
      <c r="S29" s="79">
        <f t="shared" si="0"/>
        <v>32438.482180400002</v>
      </c>
      <c r="T29" s="78">
        <v>0</v>
      </c>
      <c r="U29" s="79">
        <v>0</v>
      </c>
      <c r="V29" s="79">
        <v>0.10099999999999999</v>
      </c>
      <c r="W29" s="79">
        <v>0.183</v>
      </c>
      <c r="X29" s="79">
        <f t="shared" si="1"/>
        <v>0.28399999999999997</v>
      </c>
      <c r="Y29" s="79">
        <v>4865.9650000000001</v>
      </c>
      <c r="Z29" s="79">
        <v>0</v>
      </c>
      <c r="AA29" s="80">
        <f t="shared" si="2"/>
        <v>4865.9650000000001</v>
      </c>
      <c r="AB29" s="79"/>
      <c r="AC29" s="88">
        <v>0</v>
      </c>
      <c r="AD29" s="94">
        <f t="shared" si="3"/>
        <v>0</v>
      </c>
      <c r="AE29" s="89">
        <v>0</v>
      </c>
      <c r="AF29" s="94">
        <f t="shared" si="4"/>
        <v>0</v>
      </c>
      <c r="AG29" s="89">
        <v>0</v>
      </c>
      <c r="AH29" s="94">
        <f t="shared" si="5"/>
        <v>0</v>
      </c>
      <c r="AI29" s="89">
        <v>0</v>
      </c>
      <c r="AJ29" s="94">
        <f>AI29/$B$6</f>
        <v>0</v>
      </c>
      <c r="AK29" s="89">
        <v>0</v>
      </c>
      <c r="AL29" s="94">
        <f>AK29/$B$7</f>
        <v>0</v>
      </c>
      <c r="AM29" s="89">
        <v>0</v>
      </c>
      <c r="AN29" s="94">
        <f t="shared" si="6"/>
        <v>0</v>
      </c>
      <c r="AO29" s="89">
        <v>0</v>
      </c>
      <c r="AP29" s="94">
        <f t="shared" si="7"/>
        <v>0</v>
      </c>
      <c r="AQ29" s="79"/>
      <c r="AR29" s="88">
        <v>15574.965</v>
      </c>
      <c r="AS29" s="76">
        <v>763.6</v>
      </c>
      <c r="AT29" s="88">
        <v>166</v>
      </c>
      <c r="AU29" s="100">
        <f t="shared" si="8"/>
        <v>0.17499999999999999</v>
      </c>
      <c r="AV29" s="100">
        <f t="shared" si="9"/>
        <v>0.33200000000000002</v>
      </c>
      <c r="AW29" s="100">
        <f t="shared" si="10"/>
        <v>0.33200000000000002</v>
      </c>
      <c r="AX29" s="94">
        <v>65.245999999999995</v>
      </c>
      <c r="AY29" s="76">
        <v>2130.7788</v>
      </c>
      <c r="AZ29" s="100">
        <f>AX29/$B$9</f>
        <v>0.10099999999999999</v>
      </c>
      <c r="BA29" s="97">
        <f>AY29/$B$8</f>
        <v>0.183</v>
      </c>
      <c r="BB29" s="88">
        <v>28767</v>
      </c>
      <c r="BC29" s="76">
        <v>20141.55</v>
      </c>
      <c r="BD29" s="100">
        <f t="shared" si="11"/>
        <v>0.64500000000000002</v>
      </c>
      <c r="BE29" s="97">
        <f t="shared" si="12"/>
        <v>0.85799999999999998</v>
      </c>
      <c r="BG29" s="88">
        <v>953.04899999999998</v>
      </c>
      <c r="BH29" s="114">
        <f>BG29/$B$10</f>
        <v>0.38699982945270561</v>
      </c>
      <c r="BI29" s="115">
        <v>889.76499999999999</v>
      </c>
      <c r="BJ29" s="114">
        <f>BI29/$B$11</f>
        <v>0.55368077162414431</v>
      </c>
      <c r="BK29" s="115">
        <v>1121.4780000000001</v>
      </c>
      <c r="BL29" s="114">
        <f t="shared" si="13"/>
        <v>0.5784392407674851</v>
      </c>
      <c r="BN29" s="111">
        <v>51358.995000000003</v>
      </c>
      <c r="BO29" s="114">
        <f t="shared" si="14"/>
        <v>0.73770491803278682</v>
      </c>
      <c r="BQ29" s="142">
        <v>6657.67</v>
      </c>
      <c r="BR29" s="131">
        <v>0</v>
      </c>
      <c r="BS29" s="143">
        <v>0</v>
      </c>
      <c r="BT29" s="105">
        <f t="shared" si="15"/>
        <v>0.20422300613496933</v>
      </c>
      <c r="BU29" s="20">
        <f t="shared" si="16"/>
        <v>0</v>
      </c>
      <c r="BV29" s="2">
        <v>0</v>
      </c>
      <c r="BW29" s="2">
        <v>0</v>
      </c>
      <c r="BX29" s="2">
        <v>0</v>
      </c>
      <c r="BY29" s="2">
        <v>1148.8399999999999</v>
      </c>
      <c r="BZ29" s="105">
        <f t="shared" si="17"/>
        <v>8.523816589998516E-2</v>
      </c>
      <c r="CA29" s="20">
        <f t="shared" si="18"/>
        <v>0</v>
      </c>
      <c r="CB29" s="5">
        <v>10800</v>
      </c>
      <c r="CC29" s="5">
        <v>913.9697658</v>
      </c>
      <c r="CE29" s="108">
        <v>-700</v>
      </c>
      <c r="CF29" s="153">
        <f t="shared" si="19"/>
        <v>0</v>
      </c>
      <c r="CG29" s="153">
        <v>4485</v>
      </c>
      <c r="CH29" s="153">
        <f t="shared" si="19"/>
        <v>4485</v>
      </c>
      <c r="CI29" s="153">
        <v>0</v>
      </c>
      <c r="CJ29" s="153">
        <f t="shared" ref="CJ29:CL29" si="174">IF(CI29&gt;0,CI29,0)</f>
        <v>0</v>
      </c>
      <c r="CK29" s="153">
        <v>-5000</v>
      </c>
      <c r="CL29" s="153">
        <f t="shared" si="174"/>
        <v>0</v>
      </c>
      <c r="CM29" s="153">
        <v>-5300</v>
      </c>
      <c r="CN29" s="153">
        <f t="shared" ref="CN29:CP29" si="175">IF(CM29&gt;0,CM29,0)</f>
        <v>0</v>
      </c>
      <c r="CO29" s="153">
        <v>-4000</v>
      </c>
      <c r="CP29" s="153">
        <f t="shared" si="175"/>
        <v>0</v>
      </c>
      <c r="CQ29" s="153">
        <v>-4800</v>
      </c>
      <c r="CR29" s="153">
        <f t="shared" ref="CR29:CT29" si="176">IF(CQ29&gt;0,CQ29,0)</f>
        <v>0</v>
      </c>
      <c r="CS29" s="153">
        <v>9896.0287262700003</v>
      </c>
      <c r="CT29" s="153">
        <f t="shared" si="176"/>
        <v>9896.0287262700003</v>
      </c>
      <c r="CU29" s="107">
        <f t="shared" si="23"/>
        <v>14381.02872627</v>
      </c>
      <c r="CW29" s="108">
        <v>-700</v>
      </c>
      <c r="CX29" s="153">
        <f t="shared" si="24"/>
        <v>700</v>
      </c>
      <c r="CY29" s="153">
        <v>4485</v>
      </c>
      <c r="CZ29" s="153">
        <f t="shared" si="24"/>
        <v>0</v>
      </c>
      <c r="DA29" s="153">
        <v>0</v>
      </c>
      <c r="DB29" s="153">
        <f t="shared" ref="DB29:DD29" si="177">IF(DA29&lt;0,-DA29,0)</f>
        <v>0</v>
      </c>
      <c r="DC29" s="153">
        <v>-5000</v>
      </c>
      <c r="DD29" s="153">
        <f t="shared" si="177"/>
        <v>5000</v>
      </c>
      <c r="DE29" s="153">
        <v>-5300</v>
      </c>
      <c r="DF29" s="153">
        <f t="shared" ref="DF29:DH29" si="178">IF(DE29&lt;0,-DE29,0)</f>
        <v>5300</v>
      </c>
      <c r="DG29" s="153">
        <v>-4000</v>
      </c>
      <c r="DH29" s="153">
        <f t="shared" si="178"/>
        <v>4000</v>
      </c>
      <c r="DI29" s="153">
        <v>-4800</v>
      </c>
      <c r="DJ29" s="153">
        <f t="shared" ref="DJ29:DL29" si="179">IF(DI29&lt;0,-DI29,0)</f>
        <v>4800</v>
      </c>
      <c r="DK29" s="153">
        <v>9896.0287262700003</v>
      </c>
      <c r="DL29" s="153">
        <f t="shared" si="179"/>
        <v>0</v>
      </c>
      <c r="DM29" s="107">
        <f t="shared" si="28"/>
        <v>19800</v>
      </c>
    </row>
    <row r="30" spans="4:117" s="5" customFormat="1" x14ac:dyDescent="0.35">
      <c r="M30" s="77">
        <f t="shared" si="29"/>
        <v>28</v>
      </c>
      <c r="N30" s="78">
        <v>0</v>
      </c>
      <c r="O30" s="79">
        <v>0</v>
      </c>
      <c r="P30" s="79">
        <v>0</v>
      </c>
      <c r="Q30" s="79">
        <v>30609.32887234</v>
      </c>
      <c r="R30" s="79">
        <v>2313.1030811800001</v>
      </c>
      <c r="S30" s="79">
        <f t="shared" si="0"/>
        <v>32922.431953519997</v>
      </c>
      <c r="T30" s="78">
        <v>0</v>
      </c>
      <c r="U30" s="79">
        <v>0</v>
      </c>
      <c r="V30" s="79">
        <v>9.1999999999999998E-2</v>
      </c>
      <c r="W30" s="79">
        <v>0.18</v>
      </c>
      <c r="X30" s="79">
        <f t="shared" si="1"/>
        <v>0.27200000000000002</v>
      </c>
      <c r="Y30" s="79">
        <v>4748.2039999999997</v>
      </c>
      <c r="Z30" s="79">
        <v>0</v>
      </c>
      <c r="AA30" s="80">
        <f t="shared" si="2"/>
        <v>4748.2039999999997</v>
      </c>
      <c r="AB30" s="79"/>
      <c r="AC30" s="88">
        <v>0</v>
      </c>
      <c r="AD30" s="94">
        <f t="shared" si="3"/>
        <v>0</v>
      </c>
      <c r="AE30" s="89">
        <v>0</v>
      </c>
      <c r="AF30" s="94">
        <f t="shared" si="4"/>
        <v>0</v>
      </c>
      <c r="AG30" s="89">
        <v>0</v>
      </c>
      <c r="AH30" s="94">
        <f t="shared" si="5"/>
        <v>0</v>
      </c>
      <c r="AI30" s="89">
        <v>0</v>
      </c>
      <c r="AJ30" s="94">
        <f>AI30/$B$6</f>
        <v>0</v>
      </c>
      <c r="AK30" s="89">
        <v>0</v>
      </c>
      <c r="AL30" s="94">
        <f>AK30/$B$7</f>
        <v>0</v>
      </c>
      <c r="AM30" s="89">
        <v>0</v>
      </c>
      <c r="AN30" s="94">
        <f t="shared" si="6"/>
        <v>0</v>
      </c>
      <c r="AO30" s="89">
        <v>0</v>
      </c>
      <c r="AP30" s="94">
        <f t="shared" si="7"/>
        <v>0</v>
      </c>
      <c r="AQ30" s="79"/>
      <c r="AR30" s="88">
        <v>14595.967199999999</v>
      </c>
      <c r="AS30" s="76">
        <v>763.6</v>
      </c>
      <c r="AT30" s="88">
        <v>166</v>
      </c>
      <c r="AU30" s="100">
        <f t="shared" si="8"/>
        <v>0.16399999999999998</v>
      </c>
      <c r="AV30" s="100">
        <f t="shared" si="9"/>
        <v>0.33200000000000002</v>
      </c>
      <c r="AW30" s="100">
        <f t="shared" si="10"/>
        <v>0.33200000000000002</v>
      </c>
      <c r="AX30" s="94">
        <v>59.432000000000002</v>
      </c>
      <c r="AY30" s="76">
        <v>2095.848</v>
      </c>
      <c r="AZ30" s="100">
        <f>AX30/$B$9</f>
        <v>9.1999999999999998E-2</v>
      </c>
      <c r="BA30" s="97">
        <f>AY30/$B$8</f>
        <v>0.18</v>
      </c>
      <c r="BB30" s="88">
        <v>29525.200000000001</v>
      </c>
      <c r="BC30" s="76">
        <v>20892.75</v>
      </c>
      <c r="BD30" s="100">
        <f t="shared" si="11"/>
        <v>0.66200000000000003</v>
      </c>
      <c r="BE30" s="97">
        <f t="shared" si="12"/>
        <v>0.89</v>
      </c>
      <c r="BG30" s="88">
        <v>953.04899999999998</v>
      </c>
      <c r="BH30" s="114">
        <f>BG30/$B$10</f>
        <v>0.38699982945270561</v>
      </c>
      <c r="BI30" s="115">
        <v>883.24699999999996</v>
      </c>
      <c r="BJ30" s="114">
        <f>BI30/$B$11</f>
        <v>0.54962476664592408</v>
      </c>
      <c r="BK30" s="115">
        <v>1121.4780000000001</v>
      </c>
      <c r="BL30" s="114">
        <f t="shared" si="13"/>
        <v>0.5784392407674851</v>
      </c>
      <c r="BN30" s="111">
        <v>51358.995000000003</v>
      </c>
      <c r="BO30" s="114">
        <f t="shared" si="14"/>
        <v>0.73770491803278682</v>
      </c>
      <c r="BQ30" s="142">
        <v>6235.2839999999997</v>
      </c>
      <c r="BR30" s="131">
        <v>0</v>
      </c>
      <c r="BS30" s="143">
        <v>0</v>
      </c>
      <c r="BT30" s="105">
        <f t="shared" si="15"/>
        <v>0.19126638036809815</v>
      </c>
      <c r="BU30" s="20">
        <f t="shared" si="16"/>
        <v>0</v>
      </c>
      <c r="BV30" s="2">
        <v>0</v>
      </c>
      <c r="BW30" s="2">
        <v>0</v>
      </c>
      <c r="BX30" s="2">
        <v>0</v>
      </c>
      <c r="BY30" s="2">
        <v>1068.1690000000001</v>
      </c>
      <c r="BZ30" s="105">
        <f t="shared" si="17"/>
        <v>7.9252782311915723E-2</v>
      </c>
      <c r="CA30" s="20">
        <f t="shared" si="18"/>
        <v>0</v>
      </c>
      <c r="CB30" s="5">
        <v>10800</v>
      </c>
      <c r="CC30" s="5">
        <v>913.9697658</v>
      </c>
      <c r="CE30" s="108">
        <v>-700</v>
      </c>
      <c r="CF30" s="153">
        <f t="shared" si="19"/>
        <v>0</v>
      </c>
      <c r="CG30" s="153">
        <v>4485</v>
      </c>
      <c r="CH30" s="153">
        <f t="shared" si="19"/>
        <v>4485</v>
      </c>
      <c r="CI30" s="153">
        <v>0</v>
      </c>
      <c r="CJ30" s="153">
        <f t="shared" ref="CJ30:CL30" si="180">IF(CI30&gt;0,CI30,0)</f>
        <v>0</v>
      </c>
      <c r="CK30" s="153">
        <v>-5000</v>
      </c>
      <c r="CL30" s="153">
        <f t="shared" si="180"/>
        <v>0</v>
      </c>
      <c r="CM30" s="153">
        <v>-5300</v>
      </c>
      <c r="CN30" s="153">
        <f t="shared" ref="CN30:CP30" si="181">IF(CM30&gt;0,CM30,0)</f>
        <v>0</v>
      </c>
      <c r="CO30" s="153">
        <v>-4000</v>
      </c>
      <c r="CP30" s="153">
        <f t="shared" si="181"/>
        <v>0</v>
      </c>
      <c r="CQ30" s="153">
        <v>-4800</v>
      </c>
      <c r="CR30" s="153">
        <f t="shared" ref="CR30:CT30" si="182">IF(CQ30&gt;0,CQ30,0)</f>
        <v>0</v>
      </c>
      <c r="CS30" s="153">
        <v>9871.5660639800008</v>
      </c>
      <c r="CT30" s="153">
        <f t="shared" si="182"/>
        <v>9871.5660639800008</v>
      </c>
      <c r="CU30" s="107">
        <f t="shared" si="23"/>
        <v>14356.566063980001</v>
      </c>
      <c r="CW30" s="108">
        <v>-700</v>
      </c>
      <c r="CX30" s="153">
        <f t="shared" si="24"/>
        <v>700</v>
      </c>
      <c r="CY30" s="153">
        <v>4485</v>
      </c>
      <c r="CZ30" s="153">
        <f t="shared" si="24"/>
        <v>0</v>
      </c>
      <c r="DA30" s="153">
        <v>0</v>
      </c>
      <c r="DB30" s="153">
        <f t="shared" ref="DB30:DD30" si="183">IF(DA30&lt;0,-DA30,0)</f>
        <v>0</v>
      </c>
      <c r="DC30" s="153">
        <v>-5000</v>
      </c>
      <c r="DD30" s="153">
        <f t="shared" si="183"/>
        <v>5000</v>
      </c>
      <c r="DE30" s="153">
        <v>-5300</v>
      </c>
      <c r="DF30" s="153">
        <f t="shared" ref="DF30:DH30" si="184">IF(DE30&lt;0,-DE30,0)</f>
        <v>5300</v>
      </c>
      <c r="DG30" s="153">
        <v>-4000</v>
      </c>
      <c r="DH30" s="153">
        <f t="shared" si="184"/>
        <v>4000</v>
      </c>
      <c r="DI30" s="153">
        <v>-4800</v>
      </c>
      <c r="DJ30" s="153">
        <f t="shared" ref="DJ30:DL30" si="185">IF(DI30&lt;0,-DI30,0)</f>
        <v>4800</v>
      </c>
      <c r="DK30" s="153">
        <v>9871.5660639800008</v>
      </c>
      <c r="DL30" s="153">
        <f t="shared" si="185"/>
        <v>0</v>
      </c>
      <c r="DM30" s="107">
        <f t="shared" si="28"/>
        <v>19800</v>
      </c>
    </row>
    <row r="31" spans="4:117" s="5" customFormat="1" x14ac:dyDescent="0.35">
      <c r="M31" s="77">
        <f t="shared" si="29"/>
        <v>29</v>
      </c>
      <c r="N31" s="78">
        <v>0</v>
      </c>
      <c r="O31" s="79">
        <v>0</v>
      </c>
      <c r="P31" s="79">
        <v>0</v>
      </c>
      <c r="Q31" s="79">
        <v>31420.484063830001</v>
      </c>
      <c r="R31" s="79">
        <v>2597.9589715799998</v>
      </c>
      <c r="S31" s="79">
        <f t="shared" si="0"/>
        <v>34018.443035410004</v>
      </c>
      <c r="T31" s="78">
        <v>0</v>
      </c>
      <c r="U31" s="79">
        <v>0</v>
      </c>
      <c r="V31" s="79">
        <v>8.4000000000000005E-2</v>
      </c>
      <c r="W31" s="79">
        <v>0.183</v>
      </c>
      <c r="X31" s="79">
        <f t="shared" si="1"/>
        <v>0.26700000000000002</v>
      </c>
      <c r="Y31" s="79">
        <v>4751.924</v>
      </c>
      <c r="Z31" s="79">
        <v>164.99893617000001</v>
      </c>
      <c r="AA31" s="80">
        <f t="shared" si="2"/>
        <v>4916.92293617</v>
      </c>
      <c r="AB31" s="79"/>
      <c r="AC31" s="88">
        <v>0</v>
      </c>
      <c r="AD31" s="94">
        <f t="shared" si="3"/>
        <v>0</v>
      </c>
      <c r="AE31" s="89">
        <v>0</v>
      </c>
      <c r="AF31" s="94">
        <f t="shared" si="4"/>
        <v>0</v>
      </c>
      <c r="AG31" s="89">
        <v>0</v>
      </c>
      <c r="AH31" s="94">
        <f t="shared" si="5"/>
        <v>0</v>
      </c>
      <c r="AI31" s="89">
        <v>0</v>
      </c>
      <c r="AJ31" s="94">
        <f>AI31/$B$6</f>
        <v>0</v>
      </c>
      <c r="AK31" s="89">
        <v>0</v>
      </c>
      <c r="AL31" s="94">
        <f>AK31/$B$7</f>
        <v>0</v>
      </c>
      <c r="AM31" s="89">
        <v>0</v>
      </c>
      <c r="AN31" s="94">
        <f t="shared" si="6"/>
        <v>0</v>
      </c>
      <c r="AO31" s="89">
        <v>0</v>
      </c>
      <c r="AP31" s="94">
        <f t="shared" si="7"/>
        <v>0</v>
      </c>
      <c r="AQ31" s="79"/>
      <c r="AR31" s="88">
        <v>13883.968800000001</v>
      </c>
      <c r="AS31" s="76">
        <v>777.4</v>
      </c>
      <c r="AT31" s="88">
        <v>169</v>
      </c>
      <c r="AU31" s="100">
        <f t="shared" si="8"/>
        <v>0.156</v>
      </c>
      <c r="AV31" s="100">
        <f t="shared" si="9"/>
        <v>0.33799999999999997</v>
      </c>
      <c r="AW31" s="100">
        <f t="shared" si="10"/>
        <v>0.33800000000000002</v>
      </c>
      <c r="AX31" s="94">
        <v>54.264000000000003</v>
      </c>
      <c r="AY31" s="76">
        <v>2130.7788</v>
      </c>
      <c r="AZ31" s="100">
        <f>AX31/$B$9</f>
        <v>8.4000000000000005E-2</v>
      </c>
      <c r="BA31" s="97">
        <f>AY31/$B$8</f>
        <v>0.183</v>
      </c>
      <c r="BB31" s="88">
        <v>30060.400000000001</v>
      </c>
      <c r="BC31" s="76">
        <v>21057.075000000001</v>
      </c>
      <c r="BD31" s="100">
        <f t="shared" si="11"/>
        <v>0.67400000000000004</v>
      </c>
      <c r="BE31" s="97">
        <f t="shared" si="12"/>
        <v>0.89700000000000002</v>
      </c>
      <c r="BG31" s="88">
        <v>953.04899999999998</v>
      </c>
      <c r="BH31" s="114">
        <f>BG31/$B$10</f>
        <v>0.38699982945270561</v>
      </c>
      <c r="BI31" s="115">
        <v>873.60900000000004</v>
      </c>
      <c r="BJ31" s="114">
        <f>BI31/$B$11</f>
        <v>0.54362725575606718</v>
      </c>
      <c r="BK31" s="115">
        <v>1121.4780000000001</v>
      </c>
      <c r="BL31" s="114">
        <f t="shared" si="13"/>
        <v>0.5784392407674851</v>
      </c>
      <c r="BN31" s="111">
        <v>51358.995000000003</v>
      </c>
      <c r="BO31" s="114">
        <f t="shared" si="14"/>
        <v>0.73770491803278682</v>
      </c>
      <c r="BQ31" s="142">
        <v>5922.4549999999999</v>
      </c>
      <c r="BR31" s="131">
        <v>0</v>
      </c>
      <c r="BS31" s="143">
        <v>0</v>
      </c>
      <c r="BT31" s="105">
        <f t="shared" si="15"/>
        <v>0.18167039877300614</v>
      </c>
      <c r="BU31" s="20">
        <f t="shared" si="16"/>
        <v>0</v>
      </c>
      <c r="BV31" s="2">
        <v>0</v>
      </c>
      <c r="BW31" s="2">
        <v>0</v>
      </c>
      <c r="BX31" s="2">
        <v>0</v>
      </c>
      <c r="BY31" s="2">
        <v>1000.4829999999999</v>
      </c>
      <c r="BZ31" s="105">
        <f t="shared" si="17"/>
        <v>7.4230820596527677E-2</v>
      </c>
      <c r="CA31" s="20">
        <f t="shared" si="18"/>
        <v>0</v>
      </c>
      <c r="CB31" s="5">
        <v>10800</v>
      </c>
      <c r="CC31" s="5">
        <v>914.61748680999995</v>
      </c>
      <c r="CE31" s="108">
        <v>-700</v>
      </c>
      <c r="CF31" s="153">
        <f t="shared" si="19"/>
        <v>0</v>
      </c>
      <c r="CG31" s="153">
        <v>4485</v>
      </c>
      <c r="CH31" s="153">
        <f t="shared" si="19"/>
        <v>4485</v>
      </c>
      <c r="CI31" s="153">
        <v>0</v>
      </c>
      <c r="CJ31" s="153">
        <f t="shared" ref="CJ31:CL31" si="186">IF(CI31&gt;0,CI31,0)</f>
        <v>0</v>
      </c>
      <c r="CK31" s="153">
        <v>-5000</v>
      </c>
      <c r="CL31" s="153">
        <f t="shared" si="186"/>
        <v>0</v>
      </c>
      <c r="CM31" s="153">
        <v>-5300</v>
      </c>
      <c r="CN31" s="153">
        <f t="shared" ref="CN31:CP31" si="187">IF(CM31&gt;0,CM31,0)</f>
        <v>0</v>
      </c>
      <c r="CO31" s="153">
        <v>-4000</v>
      </c>
      <c r="CP31" s="153">
        <f t="shared" si="187"/>
        <v>0</v>
      </c>
      <c r="CQ31" s="153">
        <v>-4800</v>
      </c>
      <c r="CR31" s="153">
        <f t="shared" ref="CR31:CT31" si="188">IF(CQ31&gt;0,CQ31,0)</f>
        <v>0</v>
      </c>
      <c r="CS31" s="153">
        <v>13746.92164085</v>
      </c>
      <c r="CT31" s="153">
        <f t="shared" si="188"/>
        <v>13746.92164085</v>
      </c>
      <c r="CU31" s="107">
        <f t="shared" si="23"/>
        <v>18231.92164085</v>
      </c>
      <c r="CW31" s="108">
        <v>-700</v>
      </c>
      <c r="CX31" s="153">
        <f t="shared" si="24"/>
        <v>700</v>
      </c>
      <c r="CY31" s="153">
        <v>4485</v>
      </c>
      <c r="CZ31" s="153">
        <f t="shared" si="24"/>
        <v>0</v>
      </c>
      <c r="DA31" s="153">
        <v>0</v>
      </c>
      <c r="DB31" s="153">
        <f t="shared" ref="DB31:DD31" si="189">IF(DA31&lt;0,-DA31,0)</f>
        <v>0</v>
      </c>
      <c r="DC31" s="153">
        <v>-5000</v>
      </c>
      <c r="DD31" s="153">
        <f t="shared" si="189"/>
        <v>5000</v>
      </c>
      <c r="DE31" s="153">
        <v>-5300</v>
      </c>
      <c r="DF31" s="153">
        <f t="shared" ref="DF31:DH31" si="190">IF(DE31&lt;0,-DE31,0)</f>
        <v>5300</v>
      </c>
      <c r="DG31" s="153">
        <v>-4000</v>
      </c>
      <c r="DH31" s="153">
        <f t="shared" si="190"/>
        <v>4000</v>
      </c>
      <c r="DI31" s="153">
        <v>-4800</v>
      </c>
      <c r="DJ31" s="153">
        <f t="shared" ref="DJ31:DL31" si="191">IF(DI31&lt;0,-DI31,0)</f>
        <v>4800</v>
      </c>
      <c r="DK31" s="153">
        <v>13746.92164085</v>
      </c>
      <c r="DL31" s="153">
        <f t="shared" si="191"/>
        <v>0</v>
      </c>
      <c r="DM31" s="107">
        <f t="shared" si="28"/>
        <v>19800</v>
      </c>
    </row>
    <row r="32" spans="4:117" s="5" customFormat="1" x14ac:dyDescent="0.35">
      <c r="M32" s="77">
        <f t="shared" si="29"/>
        <v>30</v>
      </c>
      <c r="N32" s="78">
        <v>0</v>
      </c>
      <c r="O32" s="79">
        <v>0</v>
      </c>
      <c r="P32" s="79">
        <v>0</v>
      </c>
      <c r="Q32" s="79">
        <v>33647.227234040001</v>
      </c>
      <c r="R32" s="79">
        <v>2814.0393533400002</v>
      </c>
      <c r="S32" s="79">
        <f t="shared" si="0"/>
        <v>36461.26658738</v>
      </c>
      <c r="T32" s="78">
        <v>0</v>
      </c>
      <c r="U32" s="79">
        <v>0</v>
      </c>
      <c r="V32" s="79">
        <v>7.8E-2</v>
      </c>
      <c r="W32" s="79">
        <v>0.18499999999999997</v>
      </c>
      <c r="X32" s="79">
        <f t="shared" si="1"/>
        <v>0.26299999999999996</v>
      </c>
      <c r="Y32" s="79">
        <v>4887.5929999999998</v>
      </c>
      <c r="Z32" s="79">
        <v>99.419740000000004</v>
      </c>
      <c r="AA32" s="80">
        <f t="shared" si="2"/>
        <v>4987.0127400000001</v>
      </c>
      <c r="AB32" s="79"/>
      <c r="AC32" s="88">
        <v>0</v>
      </c>
      <c r="AD32" s="94">
        <f t="shared" si="3"/>
        <v>0</v>
      </c>
      <c r="AE32" s="89">
        <v>0</v>
      </c>
      <c r="AF32" s="94">
        <f t="shared" si="4"/>
        <v>0</v>
      </c>
      <c r="AG32" s="89">
        <v>0</v>
      </c>
      <c r="AH32" s="94">
        <f t="shared" si="5"/>
        <v>0</v>
      </c>
      <c r="AI32" s="89">
        <v>0</v>
      </c>
      <c r="AJ32" s="94">
        <f>AI32/$B$6</f>
        <v>0</v>
      </c>
      <c r="AK32" s="89">
        <v>0</v>
      </c>
      <c r="AL32" s="94">
        <f>AK32/$B$7</f>
        <v>0</v>
      </c>
      <c r="AM32" s="89">
        <v>0</v>
      </c>
      <c r="AN32" s="94">
        <f t="shared" si="6"/>
        <v>0</v>
      </c>
      <c r="AO32" s="89">
        <v>0</v>
      </c>
      <c r="AP32" s="94">
        <f t="shared" si="7"/>
        <v>0</v>
      </c>
      <c r="AQ32" s="79"/>
      <c r="AR32" s="88">
        <v>13171.9704</v>
      </c>
      <c r="AS32" s="76">
        <v>784.3</v>
      </c>
      <c r="AT32" s="88">
        <v>170.5</v>
      </c>
      <c r="AU32" s="100">
        <f t="shared" si="8"/>
        <v>0.14799999999999999</v>
      </c>
      <c r="AV32" s="100">
        <f t="shared" si="9"/>
        <v>0.34099999999999997</v>
      </c>
      <c r="AW32" s="100">
        <f t="shared" si="10"/>
        <v>0.34100000000000003</v>
      </c>
      <c r="AX32" s="94">
        <v>50.387999999999998</v>
      </c>
      <c r="AY32" s="76">
        <v>2154.0659999999998</v>
      </c>
      <c r="AZ32" s="100">
        <f>AX32/$B$9</f>
        <v>7.8E-2</v>
      </c>
      <c r="BA32" s="97">
        <f>AY32/$B$8</f>
        <v>0.18499999999999997</v>
      </c>
      <c r="BB32" s="88">
        <v>30818.6</v>
      </c>
      <c r="BC32" s="76">
        <v>21104.025000000001</v>
      </c>
      <c r="BD32" s="100">
        <f t="shared" si="11"/>
        <v>0.69099999999999995</v>
      </c>
      <c r="BE32" s="97">
        <f t="shared" si="12"/>
        <v>0.89900000000000002</v>
      </c>
      <c r="BG32" s="88">
        <v>953.04899999999998</v>
      </c>
      <c r="BH32" s="114">
        <f>BG32/$B$10</f>
        <v>0.38699982945270561</v>
      </c>
      <c r="BI32" s="115">
        <v>868.92899999999997</v>
      </c>
      <c r="BJ32" s="114">
        <f>BI32/$B$11</f>
        <v>0.54071499688861235</v>
      </c>
      <c r="BK32" s="115">
        <v>1121.4780000000001</v>
      </c>
      <c r="BL32" s="114">
        <f t="shared" si="13"/>
        <v>0.5784392407674851</v>
      </c>
      <c r="BN32" s="111">
        <v>51358.995000000003</v>
      </c>
      <c r="BO32" s="114">
        <f t="shared" si="14"/>
        <v>0.73770491803278682</v>
      </c>
      <c r="BQ32" s="142">
        <v>5629.3379999999997</v>
      </c>
      <c r="BR32" s="131">
        <v>0</v>
      </c>
      <c r="BS32" s="143">
        <v>0</v>
      </c>
      <c r="BT32" s="105">
        <f t="shared" si="15"/>
        <v>0.17267907975460123</v>
      </c>
      <c r="BU32" s="20">
        <f t="shared" si="16"/>
        <v>0</v>
      </c>
      <c r="BV32" s="2">
        <v>0</v>
      </c>
      <c r="BW32" s="2">
        <v>0</v>
      </c>
      <c r="BX32" s="2">
        <v>0</v>
      </c>
      <c r="BY32" s="2">
        <v>923.51099999999997</v>
      </c>
      <c r="BZ32" s="105">
        <f t="shared" si="17"/>
        <v>6.8519884255824309E-2</v>
      </c>
      <c r="CA32" s="20">
        <f t="shared" si="18"/>
        <v>0</v>
      </c>
      <c r="CB32" s="5">
        <v>10800</v>
      </c>
      <c r="CC32" s="5">
        <v>915.91292881000004</v>
      </c>
      <c r="CE32" s="108">
        <v>-700</v>
      </c>
      <c r="CF32" s="153">
        <f t="shared" si="19"/>
        <v>0</v>
      </c>
      <c r="CG32" s="153">
        <v>4485</v>
      </c>
      <c r="CH32" s="153">
        <f t="shared" si="19"/>
        <v>4485</v>
      </c>
      <c r="CI32" s="153">
        <v>0</v>
      </c>
      <c r="CJ32" s="153">
        <f t="shared" ref="CJ32:CL32" si="192">IF(CI32&gt;0,CI32,0)</f>
        <v>0</v>
      </c>
      <c r="CK32" s="153">
        <v>-5000</v>
      </c>
      <c r="CL32" s="153">
        <f t="shared" si="192"/>
        <v>0</v>
      </c>
      <c r="CM32" s="153">
        <v>-5300</v>
      </c>
      <c r="CN32" s="153">
        <f t="shared" ref="CN32:CP32" si="193">IF(CM32&gt;0,CM32,0)</f>
        <v>0</v>
      </c>
      <c r="CO32" s="153">
        <v>-4000</v>
      </c>
      <c r="CP32" s="153">
        <f t="shared" si="193"/>
        <v>0</v>
      </c>
      <c r="CQ32" s="153">
        <v>-4800</v>
      </c>
      <c r="CR32" s="153">
        <f t="shared" ref="CR32:CT32" si="194">IF(CQ32&gt;0,CQ32,0)</f>
        <v>0</v>
      </c>
      <c r="CS32" s="153">
        <v>11246.939181600001</v>
      </c>
      <c r="CT32" s="153">
        <f t="shared" si="194"/>
        <v>11246.939181600001</v>
      </c>
      <c r="CU32" s="107">
        <f t="shared" si="23"/>
        <v>15731.939181600001</v>
      </c>
      <c r="CW32" s="108">
        <v>-700</v>
      </c>
      <c r="CX32" s="153">
        <f t="shared" si="24"/>
        <v>700</v>
      </c>
      <c r="CY32" s="153">
        <v>4485</v>
      </c>
      <c r="CZ32" s="153">
        <f t="shared" si="24"/>
        <v>0</v>
      </c>
      <c r="DA32" s="153">
        <v>0</v>
      </c>
      <c r="DB32" s="153">
        <f t="shared" ref="DB32:DD32" si="195">IF(DA32&lt;0,-DA32,0)</f>
        <v>0</v>
      </c>
      <c r="DC32" s="153">
        <v>-5000</v>
      </c>
      <c r="DD32" s="153">
        <f t="shared" si="195"/>
        <v>5000</v>
      </c>
      <c r="DE32" s="153">
        <v>-5300</v>
      </c>
      <c r="DF32" s="153">
        <f t="shared" ref="DF32:DH32" si="196">IF(DE32&lt;0,-DE32,0)</f>
        <v>5300</v>
      </c>
      <c r="DG32" s="153">
        <v>-4000</v>
      </c>
      <c r="DH32" s="153">
        <f t="shared" si="196"/>
        <v>4000</v>
      </c>
      <c r="DI32" s="153">
        <v>-4800</v>
      </c>
      <c r="DJ32" s="153">
        <f t="shared" ref="DJ32:DL32" si="197">IF(DI32&lt;0,-DI32,0)</f>
        <v>4800</v>
      </c>
      <c r="DK32" s="153">
        <v>11246.939181600001</v>
      </c>
      <c r="DL32" s="153">
        <f t="shared" si="197"/>
        <v>0</v>
      </c>
      <c r="DM32" s="107">
        <f t="shared" si="28"/>
        <v>19800</v>
      </c>
    </row>
    <row r="33" spans="13:117" s="5" customFormat="1" x14ac:dyDescent="0.35">
      <c r="M33" s="77">
        <f t="shared" si="29"/>
        <v>31</v>
      </c>
      <c r="N33" s="78">
        <v>0</v>
      </c>
      <c r="O33" s="79">
        <v>0</v>
      </c>
      <c r="P33" s="79">
        <v>0</v>
      </c>
      <c r="Q33" s="79">
        <v>36828.191680000004</v>
      </c>
      <c r="R33" s="79">
        <v>3569.18761709</v>
      </c>
      <c r="S33" s="79">
        <f t="shared" si="0"/>
        <v>40397.379297090003</v>
      </c>
      <c r="T33" s="78">
        <v>0</v>
      </c>
      <c r="U33" s="79">
        <v>0</v>
      </c>
      <c r="V33" s="79">
        <v>7.5999999999999998E-2</v>
      </c>
      <c r="W33" s="79">
        <v>0.182</v>
      </c>
      <c r="X33" s="79">
        <f t="shared" si="1"/>
        <v>0.25800000000000001</v>
      </c>
      <c r="Y33" s="79">
        <v>5244.3310000000001</v>
      </c>
      <c r="Z33" s="79">
        <v>78.138080000000002</v>
      </c>
      <c r="AA33" s="80">
        <f t="shared" si="2"/>
        <v>5322.4690799999998</v>
      </c>
      <c r="AB33" s="79"/>
      <c r="AC33" s="88">
        <v>0</v>
      </c>
      <c r="AD33" s="94">
        <f t="shared" si="3"/>
        <v>0</v>
      </c>
      <c r="AE33" s="89">
        <v>0</v>
      </c>
      <c r="AF33" s="94">
        <f t="shared" si="4"/>
        <v>0</v>
      </c>
      <c r="AG33" s="89">
        <v>0</v>
      </c>
      <c r="AH33" s="94">
        <f t="shared" si="5"/>
        <v>0</v>
      </c>
      <c r="AI33" s="89">
        <v>0</v>
      </c>
      <c r="AJ33" s="94">
        <f>AI33/$B$6</f>
        <v>0</v>
      </c>
      <c r="AK33" s="89">
        <v>0</v>
      </c>
      <c r="AL33" s="94">
        <f>AK33/$B$7</f>
        <v>0</v>
      </c>
      <c r="AM33" s="89">
        <v>0</v>
      </c>
      <c r="AN33" s="94">
        <f t="shared" si="6"/>
        <v>0</v>
      </c>
      <c r="AO33" s="89">
        <v>0</v>
      </c>
      <c r="AP33" s="94">
        <f t="shared" si="7"/>
        <v>0</v>
      </c>
      <c r="AQ33" s="79"/>
      <c r="AR33" s="88">
        <v>11925.9732</v>
      </c>
      <c r="AS33" s="76">
        <v>802.7</v>
      </c>
      <c r="AT33" s="88">
        <v>174.5</v>
      </c>
      <c r="AU33" s="100">
        <f t="shared" si="8"/>
        <v>0.13400000000000001</v>
      </c>
      <c r="AV33" s="100">
        <f t="shared" si="9"/>
        <v>0.34900000000000003</v>
      </c>
      <c r="AW33" s="100">
        <f t="shared" si="10"/>
        <v>0.34899999999999998</v>
      </c>
      <c r="AX33" s="94">
        <v>49.095999999999997</v>
      </c>
      <c r="AY33" s="76">
        <v>2119.1352000000002</v>
      </c>
      <c r="AZ33" s="100">
        <f>AX33/$B$9</f>
        <v>7.5999999999999998E-2</v>
      </c>
      <c r="BA33" s="97">
        <f>AY33/$B$8</f>
        <v>0.182</v>
      </c>
      <c r="BB33" s="88">
        <v>31799.8</v>
      </c>
      <c r="BC33" s="76">
        <v>21268.35</v>
      </c>
      <c r="BD33" s="100">
        <f t="shared" si="11"/>
        <v>0.71299999999999997</v>
      </c>
      <c r="BE33" s="97">
        <f t="shared" si="12"/>
        <v>0.90599999999999992</v>
      </c>
      <c r="BG33" s="88">
        <v>962.9</v>
      </c>
      <c r="BH33" s="114">
        <f>BG33/$B$10</f>
        <v>0.39099997563610084</v>
      </c>
      <c r="BI33" s="115">
        <v>886.81299999999999</v>
      </c>
      <c r="BJ33" s="114">
        <f>BI33/$B$11</f>
        <v>0.55184380833851898</v>
      </c>
      <c r="BK33" s="115">
        <v>1121.4780000000001</v>
      </c>
      <c r="BL33" s="114">
        <f t="shared" si="13"/>
        <v>0.5784392407674851</v>
      </c>
      <c r="BN33" s="111">
        <v>51358.995000000003</v>
      </c>
      <c r="BO33" s="114">
        <f t="shared" si="14"/>
        <v>0.73770491803278682</v>
      </c>
      <c r="BQ33" s="142">
        <v>5083.9089999999997</v>
      </c>
      <c r="BR33" s="131">
        <v>0</v>
      </c>
      <c r="BS33" s="143">
        <v>0</v>
      </c>
      <c r="BT33" s="105">
        <f t="shared" si="15"/>
        <v>0.15594812883435583</v>
      </c>
      <c r="BU33" s="20">
        <f t="shared" si="16"/>
        <v>0</v>
      </c>
      <c r="BV33" s="2">
        <v>0</v>
      </c>
      <c r="BW33" s="2">
        <v>0</v>
      </c>
      <c r="BX33" s="2">
        <v>0</v>
      </c>
      <c r="BY33" s="2">
        <v>891.18600000000004</v>
      </c>
      <c r="BZ33" s="105">
        <f t="shared" si="17"/>
        <v>6.6121531384478419E-2</v>
      </c>
      <c r="CA33" s="20">
        <f t="shared" si="18"/>
        <v>0</v>
      </c>
      <c r="CB33" s="5">
        <v>10800</v>
      </c>
      <c r="CC33" s="5">
        <v>916.56064981999998</v>
      </c>
      <c r="CE33" s="108">
        <v>-700</v>
      </c>
      <c r="CF33" s="153">
        <f t="shared" si="19"/>
        <v>0</v>
      </c>
      <c r="CG33" s="153">
        <v>4485</v>
      </c>
      <c r="CH33" s="153">
        <f t="shared" si="19"/>
        <v>4485</v>
      </c>
      <c r="CI33" s="153">
        <v>0</v>
      </c>
      <c r="CJ33" s="153">
        <f t="shared" ref="CJ33:CL33" si="198">IF(CI33&gt;0,CI33,0)</f>
        <v>0</v>
      </c>
      <c r="CK33" s="153">
        <v>-5000</v>
      </c>
      <c r="CL33" s="153">
        <f t="shared" si="198"/>
        <v>0</v>
      </c>
      <c r="CM33" s="153">
        <v>-5300</v>
      </c>
      <c r="CN33" s="153">
        <f t="shared" ref="CN33:CP33" si="199">IF(CM33&gt;0,CM33,0)</f>
        <v>0</v>
      </c>
      <c r="CO33" s="153">
        <v>-4000</v>
      </c>
      <c r="CP33" s="153">
        <f t="shared" si="199"/>
        <v>0</v>
      </c>
      <c r="CQ33" s="153">
        <v>-4800</v>
      </c>
      <c r="CR33" s="153">
        <f t="shared" ref="CR33:CT33" si="200">IF(CQ33&gt;0,CQ33,0)</f>
        <v>0</v>
      </c>
      <c r="CS33" s="153">
        <v>9449.6360310300006</v>
      </c>
      <c r="CT33" s="153">
        <f t="shared" si="200"/>
        <v>9449.6360310300006</v>
      </c>
      <c r="CU33" s="107">
        <f t="shared" si="23"/>
        <v>13934.636031030001</v>
      </c>
      <c r="CW33" s="108">
        <v>-700</v>
      </c>
      <c r="CX33" s="153">
        <f t="shared" si="24"/>
        <v>700</v>
      </c>
      <c r="CY33" s="153">
        <v>4485</v>
      </c>
      <c r="CZ33" s="153">
        <f t="shared" si="24"/>
        <v>0</v>
      </c>
      <c r="DA33" s="153">
        <v>0</v>
      </c>
      <c r="DB33" s="153">
        <f t="shared" ref="DB33:DD33" si="201">IF(DA33&lt;0,-DA33,0)</f>
        <v>0</v>
      </c>
      <c r="DC33" s="153">
        <v>-5000</v>
      </c>
      <c r="DD33" s="153">
        <f t="shared" si="201"/>
        <v>5000</v>
      </c>
      <c r="DE33" s="153">
        <v>-5300</v>
      </c>
      <c r="DF33" s="153">
        <f t="shared" ref="DF33:DH33" si="202">IF(DE33&lt;0,-DE33,0)</f>
        <v>5300</v>
      </c>
      <c r="DG33" s="153">
        <v>-4000</v>
      </c>
      <c r="DH33" s="153">
        <f t="shared" si="202"/>
        <v>4000</v>
      </c>
      <c r="DI33" s="153">
        <v>-4800</v>
      </c>
      <c r="DJ33" s="153">
        <f t="shared" ref="DJ33:DL33" si="203">IF(DI33&lt;0,-DI33,0)</f>
        <v>4800</v>
      </c>
      <c r="DK33" s="153">
        <v>9449.6360310300006</v>
      </c>
      <c r="DL33" s="153">
        <f t="shared" si="203"/>
        <v>0</v>
      </c>
      <c r="DM33" s="107">
        <f t="shared" si="28"/>
        <v>19800</v>
      </c>
    </row>
    <row r="34" spans="13:117" s="5" customFormat="1" x14ac:dyDescent="0.35">
      <c r="M34" s="77">
        <f t="shared" si="29"/>
        <v>32</v>
      </c>
      <c r="N34" s="78">
        <v>0</v>
      </c>
      <c r="O34" s="79">
        <v>0</v>
      </c>
      <c r="P34" s="79">
        <v>0</v>
      </c>
      <c r="Q34" s="79">
        <v>39652.996679999997</v>
      </c>
      <c r="R34" s="79">
        <v>3984.4754517000001</v>
      </c>
      <c r="S34" s="79">
        <f t="shared" si="0"/>
        <v>43637.472131699993</v>
      </c>
      <c r="T34" s="78">
        <v>0</v>
      </c>
      <c r="U34" s="79">
        <v>0</v>
      </c>
      <c r="V34" s="79">
        <v>7.9000000000000001E-2</v>
      </c>
      <c r="W34" s="79">
        <v>0.16499999999999998</v>
      </c>
      <c r="X34" s="79">
        <f t="shared" si="1"/>
        <v>0.24399999999999999</v>
      </c>
      <c r="Y34" s="79">
        <v>5780.6540000000005</v>
      </c>
      <c r="Z34" s="79">
        <v>78.138080000000002</v>
      </c>
      <c r="AA34" s="80">
        <f t="shared" si="2"/>
        <v>5858.7920800000002</v>
      </c>
      <c r="AB34" s="79"/>
      <c r="AC34" s="88">
        <v>0</v>
      </c>
      <c r="AD34" s="94">
        <f t="shared" si="3"/>
        <v>0</v>
      </c>
      <c r="AE34" s="89">
        <v>0</v>
      </c>
      <c r="AF34" s="94">
        <f t="shared" si="4"/>
        <v>0</v>
      </c>
      <c r="AG34" s="89">
        <v>0</v>
      </c>
      <c r="AH34" s="94">
        <f t="shared" si="5"/>
        <v>0</v>
      </c>
      <c r="AI34" s="89">
        <v>0</v>
      </c>
      <c r="AJ34" s="94">
        <f>AI34/$B$6</f>
        <v>0</v>
      </c>
      <c r="AK34" s="89">
        <v>0</v>
      </c>
      <c r="AL34" s="94">
        <f>AK34/$B$7</f>
        <v>0</v>
      </c>
      <c r="AM34" s="89">
        <v>0</v>
      </c>
      <c r="AN34" s="94">
        <f t="shared" si="6"/>
        <v>0</v>
      </c>
      <c r="AO34" s="89">
        <v>0</v>
      </c>
      <c r="AP34" s="94">
        <f t="shared" si="7"/>
        <v>0</v>
      </c>
      <c r="AQ34" s="79"/>
      <c r="AR34" s="88">
        <v>10234.977000000001</v>
      </c>
      <c r="AS34" s="76">
        <v>816.5</v>
      </c>
      <c r="AT34" s="88">
        <v>177.5</v>
      </c>
      <c r="AU34" s="100">
        <f t="shared" si="8"/>
        <v>0.115</v>
      </c>
      <c r="AV34" s="100">
        <f t="shared" si="9"/>
        <v>0.35499999999999998</v>
      </c>
      <c r="AW34" s="100">
        <f t="shared" si="10"/>
        <v>0.35499999999999998</v>
      </c>
      <c r="AX34" s="94">
        <v>51.033999999999999</v>
      </c>
      <c r="AY34" s="76">
        <v>1921.194</v>
      </c>
      <c r="AZ34" s="100">
        <f>AX34/$B$9</f>
        <v>7.9000000000000001E-2</v>
      </c>
      <c r="BA34" s="97">
        <f>AY34/$B$8</f>
        <v>0.16499999999999998</v>
      </c>
      <c r="BB34" s="88">
        <v>32736.400000000001</v>
      </c>
      <c r="BC34" s="76">
        <v>21244.875</v>
      </c>
      <c r="BD34" s="100">
        <f t="shared" si="11"/>
        <v>0.73399999999999999</v>
      </c>
      <c r="BE34" s="97">
        <f t="shared" si="12"/>
        <v>0.90500000000000003</v>
      </c>
      <c r="BG34" s="88">
        <v>1036.78</v>
      </c>
      <c r="BH34" s="114">
        <f>BG34/$B$10</f>
        <v>0.42100005684909814</v>
      </c>
      <c r="BI34" s="115">
        <v>959.12400000000002</v>
      </c>
      <c r="BJ34" s="114">
        <f>BI34/$B$11</f>
        <v>0.59684131922837591</v>
      </c>
      <c r="BK34" s="115">
        <v>1121.4780000000001</v>
      </c>
      <c r="BL34" s="114">
        <f t="shared" si="13"/>
        <v>0.5784392407674851</v>
      </c>
      <c r="BN34" s="111">
        <v>51358.995000000003</v>
      </c>
      <c r="BO34" s="114">
        <f t="shared" si="14"/>
        <v>0.73770491803278682</v>
      </c>
      <c r="BQ34" s="142">
        <v>4379.75</v>
      </c>
      <c r="BR34" s="131">
        <v>0</v>
      </c>
      <c r="BS34" s="143">
        <v>0</v>
      </c>
      <c r="BT34" s="105">
        <f t="shared" si="15"/>
        <v>0.13434815950920245</v>
      </c>
      <c r="BU34" s="20">
        <f t="shared" si="16"/>
        <v>0</v>
      </c>
      <c r="BV34" s="2">
        <v>0</v>
      </c>
      <c r="BW34" s="2">
        <v>0</v>
      </c>
      <c r="BX34" s="2">
        <v>0</v>
      </c>
      <c r="BY34" s="2">
        <v>916.97199999999998</v>
      </c>
      <c r="BZ34" s="105">
        <f t="shared" si="17"/>
        <v>6.803472325270811E-2</v>
      </c>
      <c r="CA34" s="20">
        <f t="shared" si="18"/>
        <v>0</v>
      </c>
      <c r="CB34" s="5">
        <v>10800</v>
      </c>
      <c r="CC34" s="5">
        <v>917.20837082000003</v>
      </c>
      <c r="CE34" s="108">
        <v>-700</v>
      </c>
      <c r="CF34" s="153">
        <f t="shared" si="19"/>
        <v>0</v>
      </c>
      <c r="CG34" s="153">
        <v>4485</v>
      </c>
      <c r="CH34" s="153">
        <f t="shared" si="19"/>
        <v>4485</v>
      </c>
      <c r="CI34" s="153">
        <v>0</v>
      </c>
      <c r="CJ34" s="153">
        <f t="shared" ref="CJ34:CL34" si="204">IF(CI34&gt;0,CI34,0)</f>
        <v>0</v>
      </c>
      <c r="CK34" s="153">
        <v>-5000</v>
      </c>
      <c r="CL34" s="153">
        <f t="shared" si="204"/>
        <v>0</v>
      </c>
      <c r="CM34" s="153">
        <v>-5300</v>
      </c>
      <c r="CN34" s="153">
        <f t="shared" ref="CN34:CP34" si="205">IF(CM34&gt;0,CM34,0)</f>
        <v>0</v>
      </c>
      <c r="CO34" s="153">
        <v>-4000</v>
      </c>
      <c r="CP34" s="153">
        <f t="shared" si="205"/>
        <v>0</v>
      </c>
      <c r="CQ34" s="153">
        <v>-4800</v>
      </c>
      <c r="CR34" s="153">
        <f t="shared" ref="CR34:CT34" si="206">IF(CQ34&gt;0,CQ34,0)</f>
        <v>0</v>
      </c>
      <c r="CS34" s="153">
        <v>8886.8792674800006</v>
      </c>
      <c r="CT34" s="153">
        <f t="shared" si="206"/>
        <v>8886.8792674800006</v>
      </c>
      <c r="CU34" s="107">
        <f t="shared" si="23"/>
        <v>13371.879267480001</v>
      </c>
      <c r="CW34" s="108">
        <v>-700</v>
      </c>
      <c r="CX34" s="153">
        <f t="shared" si="24"/>
        <v>700</v>
      </c>
      <c r="CY34" s="153">
        <v>4485</v>
      </c>
      <c r="CZ34" s="153">
        <f t="shared" si="24"/>
        <v>0</v>
      </c>
      <c r="DA34" s="153">
        <v>0</v>
      </c>
      <c r="DB34" s="153">
        <f t="shared" ref="DB34:DD34" si="207">IF(DA34&lt;0,-DA34,0)</f>
        <v>0</v>
      </c>
      <c r="DC34" s="153">
        <v>-5000</v>
      </c>
      <c r="DD34" s="153">
        <f t="shared" si="207"/>
        <v>5000</v>
      </c>
      <c r="DE34" s="153">
        <v>-5300</v>
      </c>
      <c r="DF34" s="153">
        <f t="shared" ref="DF34:DH34" si="208">IF(DE34&lt;0,-DE34,0)</f>
        <v>5300</v>
      </c>
      <c r="DG34" s="153">
        <v>-4000</v>
      </c>
      <c r="DH34" s="153">
        <f t="shared" si="208"/>
        <v>4000</v>
      </c>
      <c r="DI34" s="153">
        <v>-4800</v>
      </c>
      <c r="DJ34" s="153">
        <f t="shared" ref="DJ34:DL34" si="209">IF(DI34&lt;0,-DI34,0)</f>
        <v>4800</v>
      </c>
      <c r="DK34" s="153">
        <v>8886.8792674800006</v>
      </c>
      <c r="DL34" s="153">
        <f t="shared" si="209"/>
        <v>0</v>
      </c>
      <c r="DM34" s="107">
        <f t="shared" si="28"/>
        <v>19800</v>
      </c>
    </row>
    <row r="35" spans="13:117" s="5" customFormat="1" x14ac:dyDescent="0.35">
      <c r="M35" s="77">
        <f t="shared" si="29"/>
        <v>33</v>
      </c>
      <c r="N35" s="78">
        <v>0</v>
      </c>
      <c r="O35" s="79">
        <v>0</v>
      </c>
      <c r="P35" s="79">
        <v>0</v>
      </c>
      <c r="Q35" s="79">
        <v>41504.08268</v>
      </c>
      <c r="R35" s="79">
        <v>3824.4200530399999</v>
      </c>
      <c r="S35" s="79">
        <f t="shared" si="0"/>
        <v>45328.502733039997</v>
      </c>
      <c r="T35" s="78">
        <v>0</v>
      </c>
      <c r="U35" s="79">
        <v>0</v>
      </c>
      <c r="V35" s="79">
        <v>8.1000000000000003E-2</v>
      </c>
      <c r="W35" s="79">
        <v>0.13600000000000001</v>
      </c>
      <c r="X35" s="79">
        <f t="shared" si="1"/>
        <v>0.21700000000000003</v>
      </c>
      <c r="Y35" s="79">
        <v>6278.93</v>
      </c>
      <c r="Z35" s="79">
        <v>78.138080000000002</v>
      </c>
      <c r="AA35" s="80">
        <f t="shared" si="2"/>
        <v>6357.06808</v>
      </c>
      <c r="AB35" s="79"/>
      <c r="AC35" s="88">
        <v>0</v>
      </c>
      <c r="AD35" s="94">
        <f t="shared" si="3"/>
        <v>0</v>
      </c>
      <c r="AE35" s="89">
        <v>0</v>
      </c>
      <c r="AF35" s="94">
        <f t="shared" si="4"/>
        <v>0</v>
      </c>
      <c r="AG35" s="89">
        <v>0</v>
      </c>
      <c r="AH35" s="94">
        <f t="shared" si="5"/>
        <v>0</v>
      </c>
      <c r="AI35" s="89">
        <v>0</v>
      </c>
      <c r="AJ35" s="94">
        <f>AI35/$B$6</f>
        <v>0</v>
      </c>
      <c r="AK35" s="89">
        <v>0</v>
      </c>
      <c r="AL35" s="94">
        <f>AK35/$B$7</f>
        <v>0</v>
      </c>
      <c r="AM35" s="89">
        <v>0</v>
      </c>
      <c r="AN35" s="94">
        <f t="shared" si="6"/>
        <v>0</v>
      </c>
      <c r="AO35" s="89">
        <v>0</v>
      </c>
      <c r="AP35" s="94">
        <f t="shared" si="7"/>
        <v>0</v>
      </c>
      <c r="AQ35" s="79"/>
      <c r="AR35" s="88">
        <v>10056.9774</v>
      </c>
      <c r="AS35" s="76">
        <v>823.4</v>
      </c>
      <c r="AT35" s="88">
        <v>179</v>
      </c>
      <c r="AU35" s="100">
        <f t="shared" si="8"/>
        <v>0.11299999999999999</v>
      </c>
      <c r="AV35" s="100">
        <f t="shared" si="9"/>
        <v>0.35799999999999998</v>
      </c>
      <c r="AW35" s="100">
        <f t="shared" si="10"/>
        <v>0.35799999999999998</v>
      </c>
      <c r="AX35" s="94">
        <v>52.326000000000001</v>
      </c>
      <c r="AY35" s="76">
        <v>1583.5296000000001</v>
      </c>
      <c r="AZ35" s="100">
        <f>AX35/$B$9</f>
        <v>8.1000000000000003E-2</v>
      </c>
      <c r="BA35" s="97">
        <f>AY35/$B$8</f>
        <v>0.13600000000000001</v>
      </c>
      <c r="BB35" s="88">
        <v>33271.599999999999</v>
      </c>
      <c r="BC35" s="76">
        <v>21550.05</v>
      </c>
      <c r="BD35" s="100">
        <f t="shared" si="11"/>
        <v>0.746</v>
      </c>
      <c r="BE35" s="97">
        <f t="shared" si="12"/>
        <v>0.91799999999999993</v>
      </c>
      <c r="BG35" s="88">
        <v>1086.0329999999999</v>
      </c>
      <c r="BH35" s="114">
        <f>BG35/$B$10</f>
        <v>0.44099997563610077</v>
      </c>
      <c r="BI35" s="115">
        <v>975.02</v>
      </c>
      <c r="BJ35" s="114">
        <f>BI35/$B$11</f>
        <v>0.60673304293714991</v>
      </c>
      <c r="BK35" s="115">
        <v>1121.4780000000001</v>
      </c>
      <c r="BL35" s="114">
        <f t="shared" si="13"/>
        <v>0.5784392407674851</v>
      </c>
      <c r="BN35" s="111">
        <v>51358.995000000003</v>
      </c>
      <c r="BO35" s="114">
        <f t="shared" si="14"/>
        <v>0.73770491803278682</v>
      </c>
      <c r="BQ35" s="142">
        <v>4461.4409999999998</v>
      </c>
      <c r="BR35" s="131">
        <v>0</v>
      </c>
      <c r="BS35" s="143">
        <v>0</v>
      </c>
      <c r="BT35" s="105">
        <f t="shared" si="15"/>
        <v>0.13685401840490796</v>
      </c>
      <c r="BU35" s="20">
        <f t="shared" si="16"/>
        <v>0</v>
      </c>
      <c r="BV35" s="2">
        <v>0</v>
      </c>
      <c r="BW35" s="2">
        <v>0</v>
      </c>
      <c r="BX35" s="2">
        <v>0</v>
      </c>
      <c r="BY35" s="2">
        <v>955.51400000000001</v>
      </c>
      <c r="BZ35" s="105">
        <f t="shared" si="17"/>
        <v>7.0894346342187275E-2</v>
      </c>
      <c r="CA35" s="20">
        <f t="shared" si="18"/>
        <v>0</v>
      </c>
      <c r="CB35" s="5">
        <v>10800</v>
      </c>
      <c r="CC35" s="5">
        <v>917.20837082000003</v>
      </c>
      <c r="CE35" s="108">
        <v>-700</v>
      </c>
      <c r="CF35" s="153">
        <f t="shared" si="19"/>
        <v>0</v>
      </c>
      <c r="CG35" s="153">
        <v>4485</v>
      </c>
      <c r="CH35" s="153">
        <f t="shared" si="19"/>
        <v>4485</v>
      </c>
      <c r="CI35" s="153">
        <v>0</v>
      </c>
      <c r="CJ35" s="153">
        <f t="shared" ref="CJ35:CL35" si="210">IF(CI35&gt;0,CI35,0)</f>
        <v>0</v>
      </c>
      <c r="CK35" s="153">
        <v>-5000</v>
      </c>
      <c r="CL35" s="153">
        <f t="shared" si="210"/>
        <v>0</v>
      </c>
      <c r="CM35" s="153">
        <v>-5300</v>
      </c>
      <c r="CN35" s="153">
        <f t="shared" ref="CN35:CP35" si="211">IF(CM35&gt;0,CM35,0)</f>
        <v>0</v>
      </c>
      <c r="CO35" s="153">
        <v>-4000</v>
      </c>
      <c r="CP35" s="153">
        <f t="shared" si="211"/>
        <v>0</v>
      </c>
      <c r="CQ35" s="153">
        <v>-4800</v>
      </c>
      <c r="CR35" s="153">
        <f t="shared" ref="CR35:CT35" si="212">IF(CQ35&gt;0,CQ35,0)</f>
        <v>0</v>
      </c>
      <c r="CS35" s="153">
        <v>11156.24939642</v>
      </c>
      <c r="CT35" s="153">
        <f t="shared" si="212"/>
        <v>11156.24939642</v>
      </c>
      <c r="CU35" s="107">
        <f t="shared" si="23"/>
        <v>15641.24939642</v>
      </c>
      <c r="CW35" s="108">
        <v>-700</v>
      </c>
      <c r="CX35" s="153">
        <f t="shared" si="24"/>
        <v>700</v>
      </c>
      <c r="CY35" s="153">
        <v>4485</v>
      </c>
      <c r="CZ35" s="153">
        <f t="shared" si="24"/>
        <v>0</v>
      </c>
      <c r="DA35" s="153">
        <v>0</v>
      </c>
      <c r="DB35" s="153">
        <f t="shared" ref="DB35:DD35" si="213">IF(DA35&lt;0,-DA35,0)</f>
        <v>0</v>
      </c>
      <c r="DC35" s="153">
        <v>-5000</v>
      </c>
      <c r="DD35" s="153">
        <f t="shared" si="213"/>
        <v>5000</v>
      </c>
      <c r="DE35" s="153">
        <v>-5300</v>
      </c>
      <c r="DF35" s="153">
        <f t="shared" ref="DF35:DH35" si="214">IF(DE35&lt;0,-DE35,0)</f>
        <v>5300</v>
      </c>
      <c r="DG35" s="153">
        <v>-4000</v>
      </c>
      <c r="DH35" s="153">
        <f t="shared" si="214"/>
        <v>4000</v>
      </c>
      <c r="DI35" s="153">
        <v>-4800</v>
      </c>
      <c r="DJ35" s="153">
        <f t="shared" ref="DJ35:DL35" si="215">IF(DI35&lt;0,-DI35,0)</f>
        <v>4800</v>
      </c>
      <c r="DK35" s="153">
        <v>11156.24939642</v>
      </c>
      <c r="DL35" s="153">
        <f t="shared" si="215"/>
        <v>0</v>
      </c>
      <c r="DM35" s="107">
        <f t="shared" si="28"/>
        <v>19800</v>
      </c>
    </row>
    <row r="36" spans="13:117" s="5" customFormat="1" x14ac:dyDescent="0.35">
      <c r="M36" s="77">
        <f t="shared" si="29"/>
        <v>34</v>
      </c>
      <c r="N36" s="78">
        <v>7.6999999999999999E-2</v>
      </c>
      <c r="O36" s="79">
        <v>6.6000000000000003E-2</v>
      </c>
      <c r="P36" s="79">
        <v>0.113</v>
      </c>
      <c r="Q36" s="79">
        <v>42690.08668</v>
      </c>
      <c r="R36" s="79">
        <v>2379.3491193099999</v>
      </c>
      <c r="S36" s="79">
        <f t="shared" si="0"/>
        <v>45069.435799309998</v>
      </c>
      <c r="T36" s="78">
        <v>0</v>
      </c>
      <c r="U36" s="79">
        <v>0</v>
      </c>
      <c r="V36" s="79">
        <v>8.1000000000000003E-2</v>
      </c>
      <c r="W36" s="79">
        <v>0.108</v>
      </c>
      <c r="X36" s="79">
        <f t="shared" si="1"/>
        <v>0.189</v>
      </c>
      <c r="Y36" s="79">
        <v>6491.9089999999997</v>
      </c>
      <c r="Z36" s="79">
        <v>0</v>
      </c>
      <c r="AA36" s="80">
        <f t="shared" si="2"/>
        <v>6491.9089999999997</v>
      </c>
      <c r="AB36" s="79"/>
      <c r="AC36" s="88">
        <v>8881</v>
      </c>
      <c r="AD36" s="94">
        <f t="shared" si="3"/>
        <v>0.107</v>
      </c>
      <c r="AE36" s="89">
        <v>317.13</v>
      </c>
      <c r="AF36" s="94">
        <f t="shared" si="4"/>
        <v>6.6000000000000003E-2</v>
      </c>
      <c r="AG36" s="89">
        <v>3390</v>
      </c>
      <c r="AH36" s="94">
        <f t="shared" si="5"/>
        <v>0.113</v>
      </c>
      <c r="AI36" s="89">
        <v>963.33939999999996</v>
      </c>
      <c r="AJ36" s="94">
        <f>AI36/$B$6</f>
        <v>6.699999999999999E-2</v>
      </c>
      <c r="AK36" s="89">
        <v>357.41629999999998</v>
      </c>
      <c r="AL36" s="94">
        <f>AK36/$B$7</f>
        <v>3.6999999999999998E-2</v>
      </c>
      <c r="AM36" s="89">
        <v>1645.44</v>
      </c>
      <c r="AN36" s="94">
        <f t="shared" si="6"/>
        <v>3.2000000000000001E-2</v>
      </c>
      <c r="AO36" s="89">
        <v>1250.6615999999999</v>
      </c>
      <c r="AP36" s="94">
        <f t="shared" si="7"/>
        <v>2.6999999999999996E-2</v>
      </c>
      <c r="AQ36" s="79"/>
      <c r="AR36" s="88">
        <v>9166.9794000000002</v>
      </c>
      <c r="AS36" s="76">
        <v>832.6</v>
      </c>
      <c r="AT36" s="88">
        <v>181</v>
      </c>
      <c r="AU36" s="100">
        <f t="shared" si="8"/>
        <v>0.10299999999999999</v>
      </c>
      <c r="AV36" s="100">
        <f t="shared" si="9"/>
        <v>0.36199999999999999</v>
      </c>
      <c r="AW36" s="100">
        <f t="shared" si="10"/>
        <v>0.36199999999999999</v>
      </c>
      <c r="AX36" s="94">
        <v>52.326000000000001</v>
      </c>
      <c r="AY36" s="76">
        <v>1257.5088000000001</v>
      </c>
      <c r="AZ36" s="100">
        <f>AX36/$B$9</f>
        <v>8.1000000000000003E-2</v>
      </c>
      <c r="BA36" s="97">
        <f>AY36/$B$8</f>
        <v>0.108</v>
      </c>
      <c r="BB36" s="88">
        <v>31532.2</v>
      </c>
      <c r="BC36" s="76">
        <v>21643.95</v>
      </c>
      <c r="BD36" s="100">
        <f t="shared" si="11"/>
        <v>0.70699999999999996</v>
      </c>
      <c r="BE36" s="97">
        <f t="shared" si="12"/>
        <v>0.92200000000000004</v>
      </c>
      <c r="BG36" s="88">
        <v>1081.1079999999999</v>
      </c>
      <c r="BH36" s="114">
        <f>BG36/$B$10</f>
        <v>0.4390001055768965</v>
      </c>
      <c r="BI36" s="115">
        <v>987.63599999999997</v>
      </c>
      <c r="BJ36" s="114">
        <f>BI36/$B$11</f>
        <v>0.61458369632856247</v>
      </c>
      <c r="BK36" s="115">
        <v>1121.4780000000001</v>
      </c>
      <c r="BL36" s="114">
        <f t="shared" si="13"/>
        <v>0.5784392407674851</v>
      </c>
      <c r="BN36" s="111">
        <v>51358.995000000003</v>
      </c>
      <c r="BO36" s="114">
        <f t="shared" si="14"/>
        <v>0.73770491803278682</v>
      </c>
      <c r="BQ36" s="142">
        <v>8092.74</v>
      </c>
      <c r="BR36" s="131">
        <v>0</v>
      </c>
      <c r="BS36" s="143">
        <v>0</v>
      </c>
      <c r="BT36" s="105">
        <f t="shared" si="15"/>
        <v>0.24824355828220859</v>
      </c>
      <c r="BU36" s="20">
        <f t="shared" si="16"/>
        <v>0</v>
      </c>
      <c r="BV36" s="2">
        <v>0</v>
      </c>
      <c r="BW36" s="2">
        <v>0</v>
      </c>
      <c r="BX36" s="2">
        <v>0</v>
      </c>
      <c r="BY36" s="2">
        <v>1626.269</v>
      </c>
      <c r="BZ36" s="105">
        <f t="shared" si="17"/>
        <v>0.12066100311618935</v>
      </c>
      <c r="CA36" s="20">
        <f t="shared" si="18"/>
        <v>0</v>
      </c>
      <c r="CB36" s="5">
        <v>10800</v>
      </c>
      <c r="CC36" s="5">
        <v>917.20837082000003</v>
      </c>
      <c r="CE36" s="108">
        <v>-700</v>
      </c>
      <c r="CF36" s="153">
        <f t="shared" si="19"/>
        <v>0</v>
      </c>
      <c r="CG36" s="153">
        <v>4485</v>
      </c>
      <c r="CH36" s="153">
        <f t="shared" si="19"/>
        <v>4485</v>
      </c>
      <c r="CI36" s="153">
        <v>0</v>
      </c>
      <c r="CJ36" s="153">
        <f t="shared" ref="CJ36:CL36" si="216">IF(CI36&gt;0,CI36,0)</f>
        <v>0</v>
      </c>
      <c r="CK36" s="153">
        <v>-5000</v>
      </c>
      <c r="CL36" s="153">
        <f t="shared" si="216"/>
        <v>0</v>
      </c>
      <c r="CM36" s="153">
        <v>-5300</v>
      </c>
      <c r="CN36" s="153">
        <f t="shared" ref="CN36:CP36" si="217">IF(CM36&gt;0,CM36,0)</f>
        <v>0</v>
      </c>
      <c r="CO36" s="153">
        <v>-4000</v>
      </c>
      <c r="CP36" s="153">
        <f t="shared" si="217"/>
        <v>0</v>
      </c>
      <c r="CQ36" s="153">
        <v>-4800</v>
      </c>
      <c r="CR36" s="153">
        <f t="shared" ref="CR36:CT36" si="218">IF(CQ36&gt;0,CQ36,0)</f>
        <v>0</v>
      </c>
      <c r="CS36" s="153">
        <v>11343.861214209999</v>
      </c>
      <c r="CT36" s="153">
        <f t="shared" si="218"/>
        <v>11343.861214209999</v>
      </c>
      <c r="CU36" s="107">
        <f t="shared" si="23"/>
        <v>15828.861214209999</v>
      </c>
      <c r="CW36" s="108">
        <v>-700</v>
      </c>
      <c r="CX36" s="153">
        <f t="shared" si="24"/>
        <v>700</v>
      </c>
      <c r="CY36" s="153">
        <v>4485</v>
      </c>
      <c r="CZ36" s="153">
        <f t="shared" si="24"/>
        <v>0</v>
      </c>
      <c r="DA36" s="153">
        <v>0</v>
      </c>
      <c r="DB36" s="153">
        <f t="shared" ref="DB36:DD36" si="219">IF(DA36&lt;0,-DA36,0)</f>
        <v>0</v>
      </c>
      <c r="DC36" s="153">
        <v>-5000</v>
      </c>
      <c r="DD36" s="153">
        <f t="shared" si="219"/>
        <v>5000</v>
      </c>
      <c r="DE36" s="153">
        <v>-5300</v>
      </c>
      <c r="DF36" s="153">
        <f t="shared" ref="DF36:DH36" si="220">IF(DE36&lt;0,-DE36,0)</f>
        <v>5300</v>
      </c>
      <c r="DG36" s="153">
        <v>-4000</v>
      </c>
      <c r="DH36" s="153">
        <f t="shared" si="220"/>
        <v>4000</v>
      </c>
      <c r="DI36" s="153">
        <v>-4800</v>
      </c>
      <c r="DJ36" s="153">
        <f t="shared" ref="DJ36:DL36" si="221">IF(DI36&lt;0,-DI36,0)</f>
        <v>4800</v>
      </c>
      <c r="DK36" s="153">
        <v>11343.861214209999</v>
      </c>
      <c r="DL36" s="153">
        <f t="shared" si="221"/>
        <v>0</v>
      </c>
      <c r="DM36" s="107">
        <f t="shared" si="28"/>
        <v>19800</v>
      </c>
    </row>
    <row r="37" spans="13:117" s="5" customFormat="1" x14ac:dyDescent="0.35">
      <c r="M37" s="77">
        <f t="shared" si="29"/>
        <v>35</v>
      </c>
      <c r="N37" s="78">
        <v>0.22</v>
      </c>
      <c r="O37" s="79">
        <v>0.17</v>
      </c>
      <c r="P37" s="79">
        <v>0.27399999999999997</v>
      </c>
      <c r="Q37" s="79">
        <v>42575.571000000004</v>
      </c>
      <c r="R37" s="79">
        <v>1880.30818144</v>
      </c>
      <c r="S37" s="79">
        <f t="shared" si="0"/>
        <v>44455.879181440003</v>
      </c>
      <c r="T37" s="78">
        <v>0</v>
      </c>
      <c r="U37" s="79">
        <v>0</v>
      </c>
      <c r="V37" s="79">
        <v>7.8E-2</v>
      </c>
      <c r="W37" s="79">
        <v>6.7000000000000004E-2</v>
      </c>
      <c r="X37" s="79">
        <f t="shared" si="1"/>
        <v>0.14500000000000002</v>
      </c>
      <c r="Y37" s="79">
        <v>6381.1840000000002</v>
      </c>
      <c r="Z37" s="79">
        <v>0</v>
      </c>
      <c r="AA37" s="80">
        <f t="shared" si="2"/>
        <v>6381.1840000000002</v>
      </c>
      <c r="AB37" s="79"/>
      <c r="AC37" s="88">
        <v>23323</v>
      </c>
      <c r="AD37" s="94">
        <f t="shared" si="3"/>
        <v>0.28100000000000003</v>
      </c>
      <c r="AE37" s="89">
        <v>816.85</v>
      </c>
      <c r="AF37" s="94">
        <f t="shared" si="4"/>
        <v>0.17</v>
      </c>
      <c r="AG37" s="89">
        <v>8220</v>
      </c>
      <c r="AH37" s="94">
        <f t="shared" si="5"/>
        <v>0.27400000000000002</v>
      </c>
      <c r="AI37" s="89">
        <v>3508.2808</v>
      </c>
      <c r="AJ37" s="94">
        <f>AI37/$B$6</f>
        <v>0.24399999999999999</v>
      </c>
      <c r="AK37" s="89">
        <v>1362.0459000000001</v>
      </c>
      <c r="AL37" s="94">
        <f>AK37/$B$7</f>
        <v>0.14100000000000001</v>
      </c>
      <c r="AM37" s="89">
        <v>4113.6000000000004</v>
      </c>
      <c r="AN37" s="94">
        <f t="shared" si="6"/>
        <v>0.08</v>
      </c>
      <c r="AO37" s="89">
        <v>3149.8144000000002</v>
      </c>
      <c r="AP37" s="94">
        <f t="shared" si="7"/>
        <v>6.8000000000000005E-2</v>
      </c>
      <c r="AQ37" s="79"/>
      <c r="AR37" s="88">
        <v>7742.9826000000003</v>
      </c>
      <c r="AS37" s="76">
        <v>864.8</v>
      </c>
      <c r="AT37" s="88">
        <v>188</v>
      </c>
      <c r="AU37" s="100">
        <f t="shared" si="8"/>
        <v>8.6999999999999994E-2</v>
      </c>
      <c r="AV37" s="100">
        <f t="shared" si="9"/>
        <v>0.376</v>
      </c>
      <c r="AW37" s="100">
        <f t="shared" si="10"/>
        <v>0.376</v>
      </c>
      <c r="AX37" s="94">
        <v>50.387999999999998</v>
      </c>
      <c r="AY37" s="76">
        <v>780.12120000000004</v>
      </c>
      <c r="AZ37" s="100">
        <f>AX37/$B$9</f>
        <v>7.8E-2</v>
      </c>
      <c r="BA37" s="97">
        <f>AY37/$B$8</f>
        <v>6.7000000000000004E-2</v>
      </c>
      <c r="BB37" s="88">
        <v>29614.400000000001</v>
      </c>
      <c r="BC37" s="76">
        <v>21597</v>
      </c>
      <c r="BD37" s="100">
        <f t="shared" si="11"/>
        <v>0.66400000000000003</v>
      </c>
      <c r="BE37" s="97">
        <f t="shared" si="12"/>
        <v>0.92</v>
      </c>
      <c r="BG37" s="88">
        <v>1051.556</v>
      </c>
      <c r="BH37" s="114">
        <f>BG37/$B$10</f>
        <v>0.42700007309169763</v>
      </c>
      <c r="BI37" s="115">
        <v>988.90899999999999</v>
      </c>
      <c r="BJ37" s="114">
        <f>BI37/$B$11</f>
        <v>0.61537585563161168</v>
      </c>
      <c r="BK37" s="115">
        <v>1121.4780000000001</v>
      </c>
      <c r="BL37" s="114">
        <f t="shared" si="13"/>
        <v>0.5784392407674851</v>
      </c>
      <c r="BN37" s="111">
        <v>51358.995000000003</v>
      </c>
      <c r="BO37" s="114">
        <f t="shared" si="14"/>
        <v>0.73770491803278682</v>
      </c>
      <c r="BQ37" s="142">
        <v>13819.949000000001</v>
      </c>
      <c r="BR37" s="131">
        <v>0</v>
      </c>
      <c r="BS37" s="143">
        <v>0</v>
      </c>
      <c r="BT37" s="105">
        <f t="shared" si="15"/>
        <v>0.42392481595092024</v>
      </c>
      <c r="BU37" s="20">
        <f t="shared" si="16"/>
        <v>0</v>
      </c>
      <c r="BV37" s="2">
        <v>0</v>
      </c>
      <c r="BW37" s="2">
        <v>0</v>
      </c>
      <c r="BX37" s="2">
        <v>0</v>
      </c>
      <c r="BY37" s="2">
        <v>3362.8589999999999</v>
      </c>
      <c r="BZ37" s="105">
        <f t="shared" si="17"/>
        <v>0.24950727110847307</v>
      </c>
      <c r="CA37" s="20">
        <f t="shared" si="18"/>
        <v>0</v>
      </c>
      <c r="CB37" s="5">
        <v>10800</v>
      </c>
      <c r="CC37" s="5">
        <v>917.20837082000003</v>
      </c>
      <c r="CE37" s="108">
        <v>-700</v>
      </c>
      <c r="CF37" s="153">
        <f t="shared" si="19"/>
        <v>0</v>
      </c>
      <c r="CG37" s="153">
        <v>4485</v>
      </c>
      <c r="CH37" s="153">
        <f t="shared" si="19"/>
        <v>4485</v>
      </c>
      <c r="CI37" s="153">
        <v>0</v>
      </c>
      <c r="CJ37" s="153">
        <f t="shared" ref="CJ37:CL37" si="222">IF(CI37&gt;0,CI37,0)</f>
        <v>0</v>
      </c>
      <c r="CK37" s="153">
        <v>-5000</v>
      </c>
      <c r="CL37" s="153">
        <f t="shared" si="222"/>
        <v>0</v>
      </c>
      <c r="CM37" s="153">
        <v>-5300</v>
      </c>
      <c r="CN37" s="153">
        <f t="shared" ref="CN37:CP37" si="223">IF(CM37&gt;0,CM37,0)</f>
        <v>0</v>
      </c>
      <c r="CO37" s="153">
        <v>-4000</v>
      </c>
      <c r="CP37" s="153">
        <f t="shared" si="223"/>
        <v>0</v>
      </c>
      <c r="CQ37" s="153">
        <v>-4800</v>
      </c>
      <c r="CR37" s="153">
        <f t="shared" ref="CR37:CT37" si="224">IF(CQ37&gt;0,CQ37,0)</f>
        <v>0</v>
      </c>
      <c r="CS37" s="153">
        <v>8984.4408632199993</v>
      </c>
      <c r="CT37" s="153">
        <f t="shared" si="224"/>
        <v>8984.4408632199993</v>
      </c>
      <c r="CU37" s="107">
        <f t="shared" si="23"/>
        <v>13469.440863219999</v>
      </c>
      <c r="CW37" s="108">
        <v>-700</v>
      </c>
      <c r="CX37" s="153">
        <f t="shared" si="24"/>
        <v>700</v>
      </c>
      <c r="CY37" s="153">
        <v>4485</v>
      </c>
      <c r="CZ37" s="153">
        <f t="shared" si="24"/>
        <v>0</v>
      </c>
      <c r="DA37" s="153">
        <v>0</v>
      </c>
      <c r="DB37" s="153">
        <f t="shared" ref="DB37:DD37" si="225">IF(DA37&lt;0,-DA37,0)</f>
        <v>0</v>
      </c>
      <c r="DC37" s="153">
        <v>-5000</v>
      </c>
      <c r="DD37" s="153">
        <f t="shared" si="225"/>
        <v>5000</v>
      </c>
      <c r="DE37" s="153">
        <v>-5300</v>
      </c>
      <c r="DF37" s="153">
        <f t="shared" ref="DF37:DH37" si="226">IF(DE37&lt;0,-DE37,0)</f>
        <v>5300</v>
      </c>
      <c r="DG37" s="153">
        <v>-4000</v>
      </c>
      <c r="DH37" s="153">
        <f t="shared" si="226"/>
        <v>4000</v>
      </c>
      <c r="DI37" s="153">
        <v>-4800</v>
      </c>
      <c r="DJ37" s="153">
        <f t="shared" ref="DJ37:DL37" si="227">IF(DI37&lt;0,-DI37,0)</f>
        <v>4800</v>
      </c>
      <c r="DK37" s="153">
        <v>8984.4408632199993</v>
      </c>
      <c r="DL37" s="153">
        <f t="shared" si="227"/>
        <v>0</v>
      </c>
      <c r="DM37" s="107">
        <f t="shared" si="28"/>
        <v>19800</v>
      </c>
    </row>
    <row r="38" spans="13:117" s="5" customFormat="1" x14ac:dyDescent="0.35">
      <c r="M38" s="77">
        <f t="shared" si="29"/>
        <v>36</v>
      </c>
      <c r="N38" s="78">
        <v>0.28399999999999997</v>
      </c>
      <c r="O38" s="79">
        <v>0.28299999999999903</v>
      </c>
      <c r="P38" s="79">
        <v>0.40600000000000003</v>
      </c>
      <c r="Q38" s="79">
        <v>42837.446000000004</v>
      </c>
      <c r="R38" s="79">
        <v>2343.1471163800002</v>
      </c>
      <c r="S38" s="79">
        <f t="shared" si="0"/>
        <v>45180.593116380005</v>
      </c>
      <c r="T38" s="78">
        <v>1.09999999999999E-2</v>
      </c>
      <c r="U38" s="79">
        <v>1.2E-2</v>
      </c>
      <c r="V38" s="79">
        <v>7.1999999999999995E-2</v>
      </c>
      <c r="W38" s="79">
        <v>4.1000000000000002E-2</v>
      </c>
      <c r="X38" s="79">
        <f t="shared" si="1"/>
        <v>0.11299999999999999</v>
      </c>
      <c r="Y38" s="79">
        <v>6459.91</v>
      </c>
      <c r="Z38" s="79">
        <v>0</v>
      </c>
      <c r="AA38" s="80">
        <f t="shared" si="2"/>
        <v>6459.91</v>
      </c>
      <c r="AB38" s="79"/>
      <c r="AC38" s="88">
        <v>29216</v>
      </c>
      <c r="AD38" s="94">
        <f t="shared" si="3"/>
        <v>0.35199999999999998</v>
      </c>
      <c r="AE38" s="89">
        <v>1359.8150000000001</v>
      </c>
      <c r="AF38" s="94">
        <f t="shared" si="4"/>
        <v>0.28300000000000003</v>
      </c>
      <c r="AG38" s="89">
        <v>12180</v>
      </c>
      <c r="AH38" s="94">
        <f t="shared" si="5"/>
        <v>0.40600000000000003</v>
      </c>
      <c r="AI38" s="89">
        <v>5938.1966000000002</v>
      </c>
      <c r="AJ38" s="94">
        <f>AI38/$B$6</f>
        <v>0.41299999999999998</v>
      </c>
      <c r="AK38" s="89">
        <v>2414.9749999999999</v>
      </c>
      <c r="AL38" s="94">
        <f>AK38/$B$7</f>
        <v>0.25</v>
      </c>
      <c r="AM38" s="89">
        <v>6427.5</v>
      </c>
      <c r="AN38" s="94">
        <f t="shared" si="6"/>
        <v>0.125</v>
      </c>
      <c r="AO38" s="89">
        <v>4863.6840000000002</v>
      </c>
      <c r="AP38" s="94">
        <f t="shared" si="7"/>
        <v>0.105</v>
      </c>
      <c r="AQ38" s="79"/>
      <c r="AR38" s="88">
        <v>7297.9835999999996</v>
      </c>
      <c r="AS38" s="76">
        <v>883.2</v>
      </c>
      <c r="AT38" s="88">
        <v>192</v>
      </c>
      <c r="AU38" s="100">
        <f t="shared" si="8"/>
        <v>8.199999999999999E-2</v>
      </c>
      <c r="AV38" s="100">
        <f t="shared" si="9"/>
        <v>0.38400000000000001</v>
      </c>
      <c r="AW38" s="100">
        <f t="shared" si="10"/>
        <v>0.38400000000000001</v>
      </c>
      <c r="AX38" s="94">
        <v>46.512</v>
      </c>
      <c r="AY38" s="76">
        <v>477.38760000000002</v>
      </c>
      <c r="AZ38" s="100">
        <f>AX38/$B$9</f>
        <v>7.1999999999999995E-2</v>
      </c>
      <c r="BA38" s="97">
        <f>AY38/$B$8</f>
        <v>4.1000000000000002E-2</v>
      </c>
      <c r="BB38" s="88">
        <v>26715.4</v>
      </c>
      <c r="BC38" s="76">
        <v>21550.05</v>
      </c>
      <c r="BD38" s="100">
        <f t="shared" si="11"/>
        <v>0.59900000000000009</v>
      </c>
      <c r="BE38" s="97">
        <f t="shared" si="12"/>
        <v>0.91799999999999993</v>
      </c>
      <c r="BG38" s="88">
        <v>1046.6300000000001</v>
      </c>
      <c r="BH38" s="114">
        <f>BG38/$B$10</f>
        <v>0.42499979696750673</v>
      </c>
      <c r="BI38" s="115">
        <v>984.81100000000004</v>
      </c>
      <c r="BJ38" s="114">
        <f>BI38/$B$11</f>
        <v>0.61282576228998131</v>
      </c>
      <c r="BK38" s="115">
        <v>1121.4780000000001</v>
      </c>
      <c r="BL38" s="114">
        <f t="shared" si="13"/>
        <v>0.5784392407674851</v>
      </c>
      <c r="BN38" s="111">
        <v>51358.995000000003</v>
      </c>
      <c r="BO38" s="114">
        <f t="shared" si="14"/>
        <v>0.73770491803278682</v>
      </c>
      <c r="BQ38" s="142">
        <v>17503.446</v>
      </c>
      <c r="BR38" s="131">
        <v>0</v>
      </c>
      <c r="BS38" s="143">
        <v>0</v>
      </c>
      <c r="BT38" s="105">
        <f t="shared" si="15"/>
        <v>0.53691552147239263</v>
      </c>
      <c r="BU38" s="20">
        <f t="shared" si="16"/>
        <v>0</v>
      </c>
      <c r="BV38" s="2">
        <v>0</v>
      </c>
      <c r="BW38" s="2">
        <v>0</v>
      </c>
      <c r="BX38" s="2">
        <v>0</v>
      </c>
      <c r="BY38" s="2">
        <v>5007.1940000000004</v>
      </c>
      <c r="BZ38" s="105">
        <f t="shared" si="17"/>
        <v>0.37150868081317706</v>
      </c>
      <c r="CA38" s="20">
        <f t="shared" si="18"/>
        <v>0</v>
      </c>
      <c r="CB38" s="5">
        <v>10800</v>
      </c>
      <c r="CC38" s="5">
        <v>916.56064981999998</v>
      </c>
      <c r="CE38" s="108">
        <v>-700</v>
      </c>
      <c r="CF38" s="153">
        <f t="shared" si="19"/>
        <v>0</v>
      </c>
      <c r="CG38" s="153">
        <v>4485</v>
      </c>
      <c r="CH38" s="153">
        <f t="shared" si="19"/>
        <v>4485</v>
      </c>
      <c r="CI38" s="153">
        <v>0</v>
      </c>
      <c r="CJ38" s="153">
        <f t="shared" ref="CJ38:CL38" si="228">IF(CI38&gt;0,CI38,0)</f>
        <v>0</v>
      </c>
      <c r="CK38" s="153">
        <v>-5000</v>
      </c>
      <c r="CL38" s="153">
        <f t="shared" si="228"/>
        <v>0</v>
      </c>
      <c r="CM38" s="153">
        <v>-5300</v>
      </c>
      <c r="CN38" s="153">
        <f t="shared" ref="CN38:CP38" si="229">IF(CM38&gt;0,CM38,0)</f>
        <v>0</v>
      </c>
      <c r="CO38" s="153">
        <v>-4000</v>
      </c>
      <c r="CP38" s="153">
        <f t="shared" si="229"/>
        <v>0</v>
      </c>
      <c r="CQ38" s="153">
        <v>-4800</v>
      </c>
      <c r="CR38" s="153">
        <f t="shared" ref="CR38:CT38" si="230">IF(CQ38&gt;0,CQ38,0)</f>
        <v>0</v>
      </c>
      <c r="CS38" s="153">
        <v>9837.3151799700008</v>
      </c>
      <c r="CT38" s="153">
        <f t="shared" si="230"/>
        <v>9837.3151799700008</v>
      </c>
      <c r="CU38" s="107">
        <f t="shared" si="23"/>
        <v>14322.315179970001</v>
      </c>
      <c r="CW38" s="108">
        <v>-700</v>
      </c>
      <c r="CX38" s="153">
        <f t="shared" si="24"/>
        <v>700</v>
      </c>
      <c r="CY38" s="153">
        <v>4485</v>
      </c>
      <c r="CZ38" s="153">
        <f t="shared" si="24"/>
        <v>0</v>
      </c>
      <c r="DA38" s="153">
        <v>0</v>
      </c>
      <c r="DB38" s="153">
        <f t="shared" ref="DB38:DD38" si="231">IF(DA38&lt;0,-DA38,0)</f>
        <v>0</v>
      </c>
      <c r="DC38" s="153">
        <v>-5000</v>
      </c>
      <c r="DD38" s="153">
        <f t="shared" si="231"/>
        <v>5000</v>
      </c>
      <c r="DE38" s="153">
        <v>-5300</v>
      </c>
      <c r="DF38" s="153">
        <f t="shared" ref="DF38:DH38" si="232">IF(DE38&lt;0,-DE38,0)</f>
        <v>5300</v>
      </c>
      <c r="DG38" s="153">
        <v>-4000</v>
      </c>
      <c r="DH38" s="153">
        <f t="shared" si="232"/>
        <v>4000</v>
      </c>
      <c r="DI38" s="153">
        <v>-4800</v>
      </c>
      <c r="DJ38" s="153">
        <f t="shared" ref="DJ38:DL38" si="233">IF(DI38&lt;0,-DI38,0)</f>
        <v>4800</v>
      </c>
      <c r="DK38" s="153">
        <v>9837.3151799700008</v>
      </c>
      <c r="DL38" s="153">
        <f t="shared" si="233"/>
        <v>0</v>
      </c>
      <c r="DM38" s="107">
        <f t="shared" si="28"/>
        <v>19800</v>
      </c>
    </row>
    <row r="39" spans="13:117" s="5" customFormat="1" x14ac:dyDescent="0.35">
      <c r="M39" s="77">
        <f t="shared" si="29"/>
        <v>37</v>
      </c>
      <c r="N39" s="78">
        <v>0.26</v>
      </c>
      <c r="O39" s="79">
        <v>0.36899999999999999</v>
      </c>
      <c r="P39" s="79">
        <v>0.49</v>
      </c>
      <c r="Q39" s="79">
        <v>43054.642</v>
      </c>
      <c r="R39" s="79">
        <v>2542.0386568700001</v>
      </c>
      <c r="S39" s="79">
        <f t="shared" si="0"/>
        <v>45596.680656869998</v>
      </c>
      <c r="T39" s="78">
        <v>1.4999999999999999E-2</v>
      </c>
      <c r="U39" s="79">
        <v>1.3999999999999999E-2</v>
      </c>
      <c r="V39" s="79">
        <v>6.2E-2</v>
      </c>
      <c r="W39" s="79">
        <v>3.3000000000000002E-2</v>
      </c>
      <c r="X39" s="79">
        <f t="shared" si="1"/>
        <v>9.5000000000000001E-2</v>
      </c>
      <c r="Y39" s="79">
        <v>6512.3739999999998</v>
      </c>
      <c r="Z39" s="79">
        <v>0</v>
      </c>
      <c r="AA39" s="80">
        <f t="shared" si="2"/>
        <v>6512.3739999999998</v>
      </c>
      <c r="AB39" s="79"/>
      <c r="AC39" s="88">
        <v>31789</v>
      </c>
      <c r="AD39" s="94">
        <f t="shared" si="3"/>
        <v>0.38300000000000001</v>
      </c>
      <c r="AE39" s="89">
        <v>1773.0450000000001</v>
      </c>
      <c r="AF39" s="94">
        <f t="shared" si="4"/>
        <v>0.36899999999999999</v>
      </c>
      <c r="AG39" s="89">
        <v>14700</v>
      </c>
      <c r="AH39" s="94">
        <f t="shared" si="5"/>
        <v>0.49</v>
      </c>
      <c r="AI39" s="89">
        <v>7577.3113999999996</v>
      </c>
      <c r="AJ39" s="94">
        <f>AI39/$B$6</f>
        <v>0.52699999999999991</v>
      </c>
      <c r="AK39" s="89">
        <v>3197.4268999999999</v>
      </c>
      <c r="AL39" s="94">
        <f>AK39/$B$7</f>
        <v>0.33100000000000002</v>
      </c>
      <c r="AM39" s="89">
        <v>8124.36</v>
      </c>
      <c r="AN39" s="94">
        <f t="shared" si="6"/>
        <v>0.158</v>
      </c>
      <c r="AO39" s="89">
        <v>6160.6664000000001</v>
      </c>
      <c r="AP39" s="94">
        <f t="shared" si="7"/>
        <v>0.13299999999999998</v>
      </c>
      <c r="AQ39" s="79"/>
      <c r="AR39" s="88">
        <v>7742.9826000000003</v>
      </c>
      <c r="AS39" s="76">
        <v>901.6</v>
      </c>
      <c r="AT39" s="88">
        <v>196</v>
      </c>
      <c r="AU39" s="100">
        <f t="shared" si="8"/>
        <v>8.6999999999999994E-2</v>
      </c>
      <c r="AV39" s="100">
        <f t="shared" si="9"/>
        <v>0.39200000000000002</v>
      </c>
      <c r="AW39" s="100">
        <f t="shared" si="10"/>
        <v>0.39200000000000002</v>
      </c>
      <c r="AX39" s="94">
        <v>40.052</v>
      </c>
      <c r="AY39" s="76">
        <v>384.23880000000003</v>
      </c>
      <c r="AZ39" s="100">
        <f>AX39/$B$9</f>
        <v>6.2E-2</v>
      </c>
      <c r="BA39" s="97">
        <f>AY39/$B$8</f>
        <v>3.3000000000000002E-2</v>
      </c>
      <c r="BB39" s="88">
        <v>26670.799999999999</v>
      </c>
      <c r="BC39" s="76">
        <v>21550.05</v>
      </c>
      <c r="BD39" s="100">
        <f t="shared" si="11"/>
        <v>0.59799999999999998</v>
      </c>
      <c r="BE39" s="97">
        <f t="shared" si="12"/>
        <v>0.91799999999999993</v>
      </c>
      <c r="BG39" s="88">
        <v>1022.004</v>
      </c>
      <c r="BH39" s="114">
        <f>BG39/$B$10</f>
        <v>0.4150000406064987</v>
      </c>
      <c r="BI39" s="115">
        <v>987.846</v>
      </c>
      <c r="BJ39" s="114">
        <f>BI39/$B$11</f>
        <v>0.61471437461107659</v>
      </c>
      <c r="BK39" s="115">
        <v>1121.4780000000001</v>
      </c>
      <c r="BL39" s="114">
        <f t="shared" si="13"/>
        <v>0.5784392407674851</v>
      </c>
      <c r="BN39" s="111">
        <v>51358.995000000003</v>
      </c>
      <c r="BO39" s="114">
        <f t="shared" si="14"/>
        <v>0.73770491803278682</v>
      </c>
      <c r="BQ39" s="142">
        <v>19904.739000000001</v>
      </c>
      <c r="BR39" s="131">
        <v>0</v>
      </c>
      <c r="BS39" s="143">
        <v>0</v>
      </c>
      <c r="BT39" s="105">
        <f t="shared" si="15"/>
        <v>0.61057481595092034</v>
      </c>
      <c r="BU39" s="20">
        <f t="shared" si="16"/>
        <v>0</v>
      </c>
      <c r="BV39" s="2">
        <v>0</v>
      </c>
      <c r="BW39" s="2">
        <v>0</v>
      </c>
      <c r="BX39" s="2">
        <v>0</v>
      </c>
      <c r="BY39" s="2">
        <v>6083.3549999999996</v>
      </c>
      <c r="BZ39" s="105">
        <f t="shared" si="17"/>
        <v>0.4513544294405698</v>
      </c>
      <c r="CA39" s="20">
        <f t="shared" si="18"/>
        <v>0</v>
      </c>
      <c r="CB39" s="5">
        <v>10800</v>
      </c>
      <c r="CC39" s="5">
        <v>0</v>
      </c>
      <c r="CE39" s="108">
        <v>-700</v>
      </c>
      <c r="CF39" s="153">
        <f t="shared" si="19"/>
        <v>0</v>
      </c>
      <c r="CG39" s="153">
        <v>4485</v>
      </c>
      <c r="CH39" s="153">
        <f t="shared" si="19"/>
        <v>4485</v>
      </c>
      <c r="CI39" s="153">
        <v>0</v>
      </c>
      <c r="CJ39" s="153">
        <f t="shared" ref="CJ39:CL39" si="234">IF(CI39&gt;0,CI39,0)</f>
        <v>0</v>
      </c>
      <c r="CK39" s="153">
        <v>-5000</v>
      </c>
      <c r="CL39" s="153">
        <f t="shared" si="234"/>
        <v>0</v>
      </c>
      <c r="CM39" s="153">
        <v>-5300</v>
      </c>
      <c r="CN39" s="153">
        <f t="shared" ref="CN39:CP39" si="235">IF(CM39&gt;0,CM39,0)</f>
        <v>0</v>
      </c>
      <c r="CO39" s="153">
        <v>-4000</v>
      </c>
      <c r="CP39" s="153">
        <f t="shared" si="235"/>
        <v>0</v>
      </c>
      <c r="CQ39" s="153">
        <v>-4800</v>
      </c>
      <c r="CR39" s="153">
        <f t="shared" ref="CR39:CT39" si="236">IF(CQ39&gt;0,CQ39,0)</f>
        <v>0</v>
      </c>
      <c r="CS39" s="153">
        <v>10267.1362993</v>
      </c>
      <c r="CT39" s="153">
        <f t="shared" si="236"/>
        <v>10267.1362993</v>
      </c>
      <c r="CU39" s="107">
        <f t="shared" si="23"/>
        <v>14752.1362993</v>
      </c>
      <c r="CW39" s="108">
        <v>-700</v>
      </c>
      <c r="CX39" s="153">
        <f t="shared" si="24"/>
        <v>700</v>
      </c>
      <c r="CY39" s="153">
        <v>4485</v>
      </c>
      <c r="CZ39" s="153">
        <f t="shared" si="24"/>
        <v>0</v>
      </c>
      <c r="DA39" s="153">
        <v>0</v>
      </c>
      <c r="DB39" s="153">
        <f t="shared" ref="DB39:DD39" si="237">IF(DA39&lt;0,-DA39,0)</f>
        <v>0</v>
      </c>
      <c r="DC39" s="153">
        <v>-5000</v>
      </c>
      <c r="DD39" s="153">
        <f t="shared" si="237"/>
        <v>5000</v>
      </c>
      <c r="DE39" s="153">
        <v>-5300</v>
      </c>
      <c r="DF39" s="153">
        <f t="shared" ref="DF39:DH39" si="238">IF(DE39&lt;0,-DE39,0)</f>
        <v>5300</v>
      </c>
      <c r="DG39" s="153">
        <v>-4000</v>
      </c>
      <c r="DH39" s="153">
        <f t="shared" si="238"/>
        <v>4000</v>
      </c>
      <c r="DI39" s="153">
        <v>-4800</v>
      </c>
      <c r="DJ39" s="153">
        <f t="shared" ref="DJ39:DL39" si="239">IF(DI39&lt;0,-DI39,0)</f>
        <v>4800</v>
      </c>
      <c r="DK39" s="153">
        <v>10267.1362993</v>
      </c>
      <c r="DL39" s="153">
        <f t="shared" si="239"/>
        <v>0</v>
      </c>
      <c r="DM39" s="107">
        <f t="shared" si="28"/>
        <v>19800</v>
      </c>
    </row>
    <row r="40" spans="13:117" s="5" customFormat="1" x14ac:dyDescent="0.35">
      <c r="M40" s="77">
        <f t="shared" si="29"/>
        <v>38</v>
      </c>
      <c r="N40" s="78">
        <v>0.18</v>
      </c>
      <c r="O40" s="79">
        <v>0.4</v>
      </c>
      <c r="P40" s="79">
        <v>0.51100000000000001</v>
      </c>
      <c r="Q40" s="79">
        <v>42919.839</v>
      </c>
      <c r="R40" s="79">
        <v>2244.6574105499999</v>
      </c>
      <c r="S40" s="79">
        <f t="shared" si="0"/>
        <v>45164.496410549997</v>
      </c>
      <c r="T40" s="78">
        <v>1.09999999999999E-2</v>
      </c>
      <c r="U40" s="79">
        <v>1.2E-2</v>
      </c>
      <c r="V40" s="79">
        <v>5.3999999999999999E-2</v>
      </c>
      <c r="W40" s="79">
        <v>2.4999999999999998E-2</v>
      </c>
      <c r="X40" s="79">
        <f t="shared" si="1"/>
        <v>7.9000000000000001E-2</v>
      </c>
      <c r="Y40" s="79">
        <v>6237.08</v>
      </c>
      <c r="Z40" s="79">
        <v>0</v>
      </c>
      <c r="AA40" s="80">
        <f t="shared" si="2"/>
        <v>6237.08</v>
      </c>
      <c r="AB40" s="79"/>
      <c r="AC40" s="88">
        <v>32702</v>
      </c>
      <c r="AD40" s="94">
        <f t="shared" si="3"/>
        <v>0.39400000000000002</v>
      </c>
      <c r="AE40" s="89">
        <v>1922</v>
      </c>
      <c r="AF40" s="94">
        <f t="shared" si="4"/>
        <v>0.4</v>
      </c>
      <c r="AG40" s="89">
        <v>15330</v>
      </c>
      <c r="AH40" s="94">
        <f t="shared" si="5"/>
        <v>0.51100000000000001</v>
      </c>
      <c r="AI40" s="89">
        <v>8224.3304000000007</v>
      </c>
      <c r="AJ40" s="94">
        <f>AI40/$B$6</f>
        <v>0.57200000000000006</v>
      </c>
      <c r="AK40" s="89">
        <v>3516.2035999999998</v>
      </c>
      <c r="AL40" s="94">
        <f>AK40/$B$7</f>
        <v>0.36399999999999999</v>
      </c>
      <c r="AM40" s="89">
        <v>8741.4</v>
      </c>
      <c r="AN40" s="94">
        <f t="shared" si="6"/>
        <v>0.16999999999999998</v>
      </c>
      <c r="AO40" s="89">
        <v>6577.5536000000002</v>
      </c>
      <c r="AP40" s="94">
        <f t="shared" si="7"/>
        <v>0.14199999999999999</v>
      </c>
      <c r="AQ40" s="79"/>
      <c r="AR40" s="88">
        <v>7920.9822000000004</v>
      </c>
      <c r="AS40" s="76">
        <v>917.7</v>
      </c>
      <c r="AT40" s="88">
        <v>199.5</v>
      </c>
      <c r="AU40" s="100">
        <f t="shared" si="8"/>
        <v>8.8999999999999996E-2</v>
      </c>
      <c r="AV40" s="100">
        <f t="shared" si="9"/>
        <v>0.39900000000000002</v>
      </c>
      <c r="AW40" s="100">
        <f t="shared" si="10"/>
        <v>0.39900000000000002</v>
      </c>
      <c r="AX40" s="94">
        <v>34.884</v>
      </c>
      <c r="AY40" s="76">
        <v>291.08999999999997</v>
      </c>
      <c r="AZ40" s="100">
        <f>AX40/$B$9</f>
        <v>5.3999999999999999E-2</v>
      </c>
      <c r="BA40" s="97">
        <f>AY40/$B$8</f>
        <v>2.4999999999999998E-2</v>
      </c>
      <c r="BB40" s="88">
        <v>27964.2</v>
      </c>
      <c r="BC40" s="76">
        <v>21573.525000000001</v>
      </c>
      <c r="BD40" s="100">
        <f t="shared" si="11"/>
        <v>0.627</v>
      </c>
      <c r="BE40" s="97">
        <f t="shared" si="12"/>
        <v>0.91900000000000004</v>
      </c>
      <c r="BG40" s="88">
        <v>1029.3920000000001</v>
      </c>
      <c r="BH40" s="114">
        <f>BG40/$B$10</f>
        <v>0.41800004872779845</v>
      </c>
      <c r="BI40" s="115">
        <v>987.125</v>
      </c>
      <c r="BJ40" s="114">
        <f>BI40/$B$11</f>
        <v>0.61426571250777851</v>
      </c>
      <c r="BK40" s="115">
        <v>1121.4780000000001</v>
      </c>
      <c r="BL40" s="114">
        <f t="shared" si="13"/>
        <v>0.5784392407674851</v>
      </c>
      <c r="BN40" s="111">
        <v>51358.995000000003</v>
      </c>
      <c r="BO40" s="114">
        <f t="shared" si="14"/>
        <v>0.73770491803278682</v>
      </c>
      <c r="BQ40" s="142">
        <v>20607.505000000001</v>
      </c>
      <c r="BR40" s="131">
        <v>0</v>
      </c>
      <c r="BS40" s="143">
        <v>0</v>
      </c>
      <c r="BT40" s="105">
        <f t="shared" si="15"/>
        <v>0.63213205521472393</v>
      </c>
      <c r="BU40" s="20">
        <f t="shared" si="16"/>
        <v>0</v>
      </c>
      <c r="BV40" s="2">
        <v>0</v>
      </c>
      <c r="BW40" s="2">
        <v>0</v>
      </c>
      <c r="BX40" s="2">
        <v>0</v>
      </c>
      <c r="BY40" s="2">
        <v>6456.473</v>
      </c>
      <c r="BZ40" s="105">
        <f t="shared" si="17"/>
        <v>0.47903791363703813</v>
      </c>
      <c r="CA40" s="20">
        <f t="shared" si="18"/>
        <v>0</v>
      </c>
      <c r="CB40" s="5">
        <v>10800</v>
      </c>
      <c r="CC40" s="5">
        <v>0</v>
      </c>
      <c r="CE40" s="108">
        <v>-700</v>
      </c>
      <c r="CF40" s="153">
        <f t="shared" si="19"/>
        <v>0</v>
      </c>
      <c r="CG40" s="153">
        <v>4485</v>
      </c>
      <c r="CH40" s="153">
        <f t="shared" si="19"/>
        <v>4485</v>
      </c>
      <c r="CI40" s="153">
        <v>0</v>
      </c>
      <c r="CJ40" s="153">
        <f t="shared" ref="CJ40:CL40" si="240">IF(CI40&gt;0,CI40,0)</f>
        <v>0</v>
      </c>
      <c r="CK40" s="153">
        <v>-5000</v>
      </c>
      <c r="CL40" s="153">
        <f t="shared" si="240"/>
        <v>0</v>
      </c>
      <c r="CM40" s="153">
        <v>-5300</v>
      </c>
      <c r="CN40" s="153">
        <f t="shared" ref="CN40:CP40" si="241">IF(CM40&gt;0,CM40,0)</f>
        <v>0</v>
      </c>
      <c r="CO40" s="153">
        <v>-4000</v>
      </c>
      <c r="CP40" s="153">
        <f t="shared" si="241"/>
        <v>0</v>
      </c>
      <c r="CQ40" s="153">
        <v>-4800</v>
      </c>
      <c r="CR40" s="153">
        <f t="shared" ref="CR40:CT40" si="242">IF(CQ40&gt;0,CQ40,0)</f>
        <v>0</v>
      </c>
      <c r="CS40" s="153">
        <v>12505.57106643</v>
      </c>
      <c r="CT40" s="153">
        <f t="shared" si="242"/>
        <v>12505.57106643</v>
      </c>
      <c r="CU40" s="107">
        <f t="shared" si="23"/>
        <v>16990.571066429999</v>
      </c>
      <c r="CW40" s="108">
        <v>-700</v>
      </c>
      <c r="CX40" s="153">
        <f t="shared" si="24"/>
        <v>700</v>
      </c>
      <c r="CY40" s="153">
        <v>4485</v>
      </c>
      <c r="CZ40" s="153">
        <f t="shared" si="24"/>
        <v>0</v>
      </c>
      <c r="DA40" s="153">
        <v>0</v>
      </c>
      <c r="DB40" s="153">
        <f t="shared" ref="DB40:DD40" si="243">IF(DA40&lt;0,-DA40,0)</f>
        <v>0</v>
      </c>
      <c r="DC40" s="153">
        <v>-5000</v>
      </c>
      <c r="DD40" s="153">
        <f t="shared" si="243"/>
        <v>5000</v>
      </c>
      <c r="DE40" s="153">
        <v>-5300</v>
      </c>
      <c r="DF40" s="153">
        <f t="shared" ref="DF40:DH40" si="244">IF(DE40&lt;0,-DE40,0)</f>
        <v>5300</v>
      </c>
      <c r="DG40" s="153">
        <v>-4000</v>
      </c>
      <c r="DH40" s="153">
        <f t="shared" si="244"/>
        <v>4000</v>
      </c>
      <c r="DI40" s="153">
        <v>-4800</v>
      </c>
      <c r="DJ40" s="153">
        <f t="shared" ref="DJ40:DL40" si="245">IF(DI40&lt;0,-DI40,0)</f>
        <v>4800</v>
      </c>
      <c r="DK40" s="153">
        <v>12505.57106643</v>
      </c>
      <c r="DL40" s="153">
        <f t="shared" si="245"/>
        <v>0</v>
      </c>
      <c r="DM40" s="107">
        <f t="shared" si="28"/>
        <v>19800</v>
      </c>
    </row>
    <row r="41" spans="13:117" s="5" customFormat="1" x14ac:dyDescent="0.35">
      <c r="M41" s="77">
        <f t="shared" si="29"/>
        <v>39</v>
      </c>
      <c r="N41" s="78">
        <v>6.7000000000000004E-2</v>
      </c>
      <c r="O41" s="79">
        <v>0.36299999999999999</v>
      </c>
      <c r="P41" s="79">
        <v>0.47</v>
      </c>
      <c r="Q41" s="79">
        <v>42174.105000000003</v>
      </c>
      <c r="R41" s="79">
        <v>1668.47794946</v>
      </c>
      <c r="S41" s="79">
        <f t="shared" si="0"/>
        <v>43842.582949460004</v>
      </c>
      <c r="T41" s="78">
        <v>0</v>
      </c>
      <c r="U41" s="79">
        <v>0</v>
      </c>
      <c r="V41" s="79">
        <v>4.9999999999999996E-2</v>
      </c>
      <c r="W41" s="79">
        <v>2.1000000000000001E-2</v>
      </c>
      <c r="X41" s="79">
        <f t="shared" si="1"/>
        <v>7.0999999999999994E-2</v>
      </c>
      <c r="Y41" s="79">
        <v>6179.3860000000004</v>
      </c>
      <c r="Z41" s="79">
        <v>0</v>
      </c>
      <c r="AA41" s="80">
        <f t="shared" si="2"/>
        <v>6179.3860000000004</v>
      </c>
      <c r="AB41" s="79"/>
      <c r="AC41" s="88">
        <v>33034</v>
      </c>
      <c r="AD41" s="94">
        <f t="shared" si="3"/>
        <v>0.39800000000000002</v>
      </c>
      <c r="AE41" s="89">
        <v>1744.2149999999999</v>
      </c>
      <c r="AF41" s="94">
        <f t="shared" si="4"/>
        <v>0.36299999999999999</v>
      </c>
      <c r="AG41" s="89">
        <v>14100</v>
      </c>
      <c r="AH41" s="94">
        <f t="shared" si="5"/>
        <v>0.47</v>
      </c>
      <c r="AI41" s="89">
        <v>7821.7407999999996</v>
      </c>
      <c r="AJ41" s="94">
        <f>AI41/$B$6</f>
        <v>0.54399999999999993</v>
      </c>
      <c r="AK41" s="89">
        <v>3313.3456999999999</v>
      </c>
      <c r="AL41" s="94">
        <f>AK41/$B$7</f>
        <v>0.34299999999999997</v>
      </c>
      <c r="AM41" s="89">
        <v>7970.1</v>
      </c>
      <c r="AN41" s="94">
        <f t="shared" si="6"/>
        <v>0.155</v>
      </c>
      <c r="AO41" s="89">
        <v>5882.7416000000003</v>
      </c>
      <c r="AP41" s="94">
        <f t="shared" si="7"/>
        <v>0.127</v>
      </c>
      <c r="AQ41" s="79"/>
      <c r="AR41" s="88">
        <v>7475.9831999999997</v>
      </c>
      <c r="AS41" s="76">
        <v>913.1</v>
      </c>
      <c r="AT41" s="88">
        <v>198.5</v>
      </c>
      <c r="AU41" s="100">
        <f t="shared" si="8"/>
        <v>8.3999999999999991E-2</v>
      </c>
      <c r="AV41" s="100">
        <f t="shared" si="9"/>
        <v>0.39700000000000002</v>
      </c>
      <c r="AW41" s="100">
        <f t="shared" si="10"/>
        <v>0.39700000000000002</v>
      </c>
      <c r="AX41" s="94">
        <v>32.299999999999997</v>
      </c>
      <c r="AY41" s="76">
        <v>244.51560000000001</v>
      </c>
      <c r="AZ41" s="100">
        <f>AX41/$B$9</f>
        <v>4.9999999999999996E-2</v>
      </c>
      <c r="BA41" s="97">
        <f>AY41/$B$8</f>
        <v>2.1000000000000001E-2</v>
      </c>
      <c r="BB41" s="88">
        <v>30417.200000000001</v>
      </c>
      <c r="BC41" s="76">
        <v>21690.9</v>
      </c>
      <c r="BD41" s="100">
        <f t="shared" si="11"/>
        <v>0.68200000000000005</v>
      </c>
      <c r="BE41" s="97">
        <f t="shared" si="12"/>
        <v>0.92400000000000004</v>
      </c>
      <c r="BG41" s="88">
        <v>1058.944</v>
      </c>
      <c r="BH41" s="114">
        <f>BG41/$B$10</f>
        <v>0.43000008121299732</v>
      </c>
      <c r="BI41" s="115">
        <v>974.24900000000002</v>
      </c>
      <c r="BJ41" s="114">
        <f>BI41/$B$11</f>
        <v>0.60625326695706283</v>
      </c>
      <c r="BK41" s="115">
        <v>1121.4780000000001</v>
      </c>
      <c r="BL41" s="114">
        <f t="shared" si="13"/>
        <v>0.5784392407674851</v>
      </c>
      <c r="BN41" s="111">
        <v>51358.995000000003</v>
      </c>
      <c r="BO41" s="114">
        <f t="shared" si="14"/>
        <v>0.73770491803278682</v>
      </c>
      <c r="BQ41" s="142">
        <v>19682.165000000001</v>
      </c>
      <c r="BR41" s="131">
        <v>0</v>
      </c>
      <c r="BS41" s="143">
        <v>0</v>
      </c>
      <c r="BT41" s="105">
        <f t="shared" si="15"/>
        <v>0.60374739263803678</v>
      </c>
      <c r="BU41" s="20">
        <f t="shared" si="16"/>
        <v>0</v>
      </c>
      <c r="BV41" s="2">
        <v>0</v>
      </c>
      <c r="BW41" s="2">
        <v>0</v>
      </c>
      <c r="BX41" s="2">
        <v>0</v>
      </c>
      <c r="BY41" s="2">
        <v>6120.7479999999996</v>
      </c>
      <c r="BZ41" s="105">
        <f t="shared" si="17"/>
        <v>0.45412880249295146</v>
      </c>
      <c r="CA41" s="20">
        <f t="shared" si="18"/>
        <v>0</v>
      </c>
      <c r="CB41" s="5">
        <v>10800</v>
      </c>
      <c r="CC41" s="5">
        <v>0</v>
      </c>
      <c r="CE41" s="108">
        <v>-700</v>
      </c>
      <c r="CF41" s="153">
        <f t="shared" si="19"/>
        <v>0</v>
      </c>
      <c r="CG41" s="153">
        <v>4485</v>
      </c>
      <c r="CH41" s="153">
        <f t="shared" si="19"/>
        <v>4485</v>
      </c>
      <c r="CI41" s="153">
        <v>0</v>
      </c>
      <c r="CJ41" s="153">
        <f t="shared" ref="CJ41:CL41" si="246">IF(CI41&gt;0,CI41,0)</f>
        <v>0</v>
      </c>
      <c r="CK41" s="153">
        <v>-5000</v>
      </c>
      <c r="CL41" s="153">
        <f t="shared" si="246"/>
        <v>0</v>
      </c>
      <c r="CM41" s="153">
        <v>-5300</v>
      </c>
      <c r="CN41" s="153">
        <f t="shared" ref="CN41:CP41" si="247">IF(CM41&gt;0,CM41,0)</f>
        <v>0</v>
      </c>
      <c r="CO41" s="153">
        <v>-4000</v>
      </c>
      <c r="CP41" s="153">
        <f t="shared" si="247"/>
        <v>0</v>
      </c>
      <c r="CQ41" s="153">
        <v>-4800</v>
      </c>
      <c r="CR41" s="153">
        <f t="shared" ref="CR41:CT41" si="248">IF(CQ41&gt;0,CQ41,0)</f>
        <v>0</v>
      </c>
      <c r="CS41" s="153">
        <v>12019.00884916</v>
      </c>
      <c r="CT41" s="153">
        <f t="shared" si="248"/>
        <v>12019.00884916</v>
      </c>
      <c r="CU41" s="107">
        <f t="shared" si="23"/>
        <v>16504.00884916</v>
      </c>
      <c r="CW41" s="108">
        <v>-700</v>
      </c>
      <c r="CX41" s="153">
        <f t="shared" si="24"/>
        <v>700</v>
      </c>
      <c r="CY41" s="153">
        <v>4485</v>
      </c>
      <c r="CZ41" s="153">
        <f t="shared" si="24"/>
        <v>0</v>
      </c>
      <c r="DA41" s="153">
        <v>0</v>
      </c>
      <c r="DB41" s="153">
        <f t="shared" ref="DB41:DD41" si="249">IF(DA41&lt;0,-DA41,0)</f>
        <v>0</v>
      </c>
      <c r="DC41" s="153">
        <v>-5000</v>
      </c>
      <c r="DD41" s="153">
        <f t="shared" si="249"/>
        <v>5000</v>
      </c>
      <c r="DE41" s="153">
        <v>-5300</v>
      </c>
      <c r="DF41" s="153">
        <f t="shared" ref="DF41:DH41" si="250">IF(DE41&lt;0,-DE41,0)</f>
        <v>5300</v>
      </c>
      <c r="DG41" s="153">
        <v>-4000</v>
      </c>
      <c r="DH41" s="153">
        <f t="shared" si="250"/>
        <v>4000</v>
      </c>
      <c r="DI41" s="153">
        <v>-4800</v>
      </c>
      <c r="DJ41" s="153">
        <f t="shared" ref="DJ41:DL41" si="251">IF(DI41&lt;0,-DI41,0)</f>
        <v>4800</v>
      </c>
      <c r="DK41" s="153">
        <v>12019.00884916</v>
      </c>
      <c r="DL41" s="153">
        <f t="shared" si="251"/>
        <v>0</v>
      </c>
      <c r="DM41" s="107">
        <f t="shared" si="28"/>
        <v>19800</v>
      </c>
    </row>
    <row r="42" spans="13:117" s="5" customFormat="1" x14ac:dyDescent="0.35">
      <c r="M42" s="77">
        <f t="shared" si="29"/>
        <v>40</v>
      </c>
      <c r="N42" s="78">
        <v>2.6000000000000002E-2</v>
      </c>
      <c r="O42" s="79">
        <v>0.26500000000000001</v>
      </c>
      <c r="P42" s="79">
        <v>0.36199999999999904</v>
      </c>
      <c r="Q42" s="79">
        <v>42199.495000000003</v>
      </c>
      <c r="R42" s="79">
        <v>1405.1539164799999</v>
      </c>
      <c r="S42" s="79">
        <f t="shared" si="0"/>
        <v>43604.64891648</v>
      </c>
      <c r="T42" s="78">
        <v>0</v>
      </c>
      <c r="U42" s="79">
        <v>0</v>
      </c>
      <c r="V42" s="79">
        <v>5.0999999999999997E-2</v>
      </c>
      <c r="W42" s="79">
        <v>2.3E-2</v>
      </c>
      <c r="X42" s="79">
        <f t="shared" si="1"/>
        <v>7.3999999999999996E-2</v>
      </c>
      <c r="Y42" s="79">
        <v>6194.5559999999996</v>
      </c>
      <c r="Z42" s="79">
        <v>0</v>
      </c>
      <c r="AA42" s="80">
        <f t="shared" si="2"/>
        <v>6194.5559999999996</v>
      </c>
      <c r="AB42" s="79"/>
      <c r="AC42" s="88">
        <v>31125</v>
      </c>
      <c r="AD42" s="94">
        <f t="shared" si="3"/>
        <v>0.375</v>
      </c>
      <c r="AE42" s="89">
        <v>1273.325</v>
      </c>
      <c r="AF42" s="94">
        <f t="shared" si="4"/>
        <v>0.26500000000000001</v>
      </c>
      <c r="AG42" s="89">
        <v>10860</v>
      </c>
      <c r="AH42" s="94">
        <f t="shared" si="5"/>
        <v>0.36199999999999999</v>
      </c>
      <c r="AI42" s="89">
        <v>6427.0554000000002</v>
      </c>
      <c r="AJ42" s="94">
        <f>AI42/$B$6</f>
        <v>0.44700000000000001</v>
      </c>
      <c r="AK42" s="89">
        <v>2608.1729999999998</v>
      </c>
      <c r="AL42" s="94">
        <f>AK42/$B$7</f>
        <v>0.26999999999999996</v>
      </c>
      <c r="AM42" s="89">
        <v>5296.26</v>
      </c>
      <c r="AN42" s="94">
        <f t="shared" si="6"/>
        <v>0.10300000000000001</v>
      </c>
      <c r="AO42" s="89">
        <v>3798.3056000000001</v>
      </c>
      <c r="AP42" s="94">
        <f t="shared" si="7"/>
        <v>8.2000000000000003E-2</v>
      </c>
      <c r="AQ42" s="79"/>
      <c r="AR42" s="88">
        <v>7030.9841999999999</v>
      </c>
      <c r="AS42" s="76">
        <v>899.3</v>
      </c>
      <c r="AT42" s="88">
        <v>195.5</v>
      </c>
      <c r="AU42" s="100">
        <f t="shared" si="8"/>
        <v>7.9000000000000001E-2</v>
      </c>
      <c r="AV42" s="100">
        <f t="shared" si="9"/>
        <v>0.39099999999999996</v>
      </c>
      <c r="AW42" s="100">
        <f t="shared" si="10"/>
        <v>0.39100000000000001</v>
      </c>
      <c r="AX42" s="94">
        <v>32.945999999999998</v>
      </c>
      <c r="AY42" s="76">
        <v>267.80279999999999</v>
      </c>
      <c r="AZ42" s="100">
        <f>AX42/$B$9</f>
        <v>5.0999999999999997E-2</v>
      </c>
      <c r="BA42" s="97">
        <f>AY42/$B$8</f>
        <v>2.3E-2</v>
      </c>
      <c r="BB42" s="88">
        <v>33896</v>
      </c>
      <c r="BC42" s="76">
        <v>21690.9</v>
      </c>
      <c r="BD42" s="100">
        <f t="shared" si="11"/>
        <v>0.76</v>
      </c>
      <c r="BE42" s="97">
        <f t="shared" si="12"/>
        <v>0.92400000000000004</v>
      </c>
      <c r="BG42" s="88">
        <v>1049.0930000000001</v>
      </c>
      <c r="BH42" s="114">
        <f>BG42/$B$10</f>
        <v>0.42599993502960221</v>
      </c>
      <c r="BI42" s="115">
        <v>966.42200000000003</v>
      </c>
      <c r="BJ42" s="114">
        <f>BI42/$B$11</f>
        <v>0.60138270068450528</v>
      </c>
      <c r="BK42" s="115">
        <v>1121.4780000000001</v>
      </c>
      <c r="BL42" s="114">
        <f t="shared" si="13"/>
        <v>0.5784392407674851</v>
      </c>
      <c r="BN42" s="111">
        <v>51358.995000000003</v>
      </c>
      <c r="BO42" s="114">
        <f t="shared" si="14"/>
        <v>0.73770491803278682</v>
      </c>
      <c r="BQ42" s="142">
        <v>16983.482</v>
      </c>
      <c r="BR42" s="131">
        <v>0</v>
      </c>
      <c r="BS42" s="143">
        <v>0</v>
      </c>
      <c r="BT42" s="105">
        <f t="shared" si="15"/>
        <v>0.52096570552147237</v>
      </c>
      <c r="BU42" s="20">
        <f t="shared" si="16"/>
        <v>0</v>
      </c>
      <c r="BV42" s="2">
        <v>0</v>
      </c>
      <c r="BW42" s="2">
        <v>0</v>
      </c>
      <c r="BX42" s="2">
        <v>0</v>
      </c>
      <c r="BY42" s="2">
        <v>5074.6880000000001</v>
      </c>
      <c r="BZ42" s="105">
        <f t="shared" si="17"/>
        <v>0.3765163970915566</v>
      </c>
      <c r="CA42" s="20">
        <f t="shared" si="18"/>
        <v>0</v>
      </c>
      <c r="CB42" s="5">
        <v>10800</v>
      </c>
      <c r="CC42" s="5">
        <v>0</v>
      </c>
      <c r="CE42" s="108">
        <v>-700</v>
      </c>
      <c r="CF42" s="153">
        <f t="shared" si="19"/>
        <v>0</v>
      </c>
      <c r="CG42" s="153">
        <v>4485</v>
      </c>
      <c r="CH42" s="153">
        <f t="shared" si="19"/>
        <v>4485</v>
      </c>
      <c r="CI42" s="153">
        <v>0</v>
      </c>
      <c r="CJ42" s="153">
        <f t="shared" ref="CJ42:CL42" si="252">IF(CI42&gt;0,CI42,0)</f>
        <v>0</v>
      </c>
      <c r="CK42" s="153">
        <v>-5000</v>
      </c>
      <c r="CL42" s="153">
        <f t="shared" si="252"/>
        <v>0</v>
      </c>
      <c r="CM42" s="153">
        <v>-4449.9860174400001</v>
      </c>
      <c r="CN42" s="153">
        <f t="shared" ref="CN42:CP42" si="253">IF(CM42&gt;0,CM42,0)</f>
        <v>0</v>
      </c>
      <c r="CO42" s="153">
        <v>-4000</v>
      </c>
      <c r="CP42" s="153">
        <f t="shared" si="253"/>
        <v>0</v>
      </c>
      <c r="CQ42" s="153">
        <v>-4800</v>
      </c>
      <c r="CR42" s="153">
        <f t="shared" ref="CR42:CT42" si="254">IF(CQ42&gt;0,CQ42,0)</f>
        <v>0</v>
      </c>
      <c r="CS42" s="153">
        <v>12049.859515669999</v>
      </c>
      <c r="CT42" s="153">
        <f t="shared" si="254"/>
        <v>12049.859515669999</v>
      </c>
      <c r="CU42" s="107">
        <f t="shared" si="23"/>
        <v>16534.859515669999</v>
      </c>
      <c r="CW42" s="108">
        <v>-700</v>
      </c>
      <c r="CX42" s="153">
        <f t="shared" si="24"/>
        <v>700</v>
      </c>
      <c r="CY42" s="153">
        <v>4485</v>
      </c>
      <c r="CZ42" s="153">
        <f t="shared" si="24"/>
        <v>0</v>
      </c>
      <c r="DA42" s="153">
        <v>0</v>
      </c>
      <c r="DB42" s="153">
        <f t="shared" ref="DB42:DD42" si="255">IF(DA42&lt;0,-DA42,0)</f>
        <v>0</v>
      </c>
      <c r="DC42" s="153">
        <v>-5000</v>
      </c>
      <c r="DD42" s="153">
        <f t="shared" si="255"/>
        <v>5000</v>
      </c>
      <c r="DE42" s="153">
        <v>-4449.9860174400001</v>
      </c>
      <c r="DF42" s="153">
        <f t="shared" ref="DF42:DH42" si="256">IF(DE42&lt;0,-DE42,0)</f>
        <v>4449.9860174400001</v>
      </c>
      <c r="DG42" s="153">
        <v>-4000</v>
      </c>
      <c r="DH42" s="153">
        <f t="shared" si="256"/>
        <v>4000</v>
      </c>
      <c r="DI42" s="153">
        <v>-4800</v>
      </c>
      <c r="DJ42" s="153">
        <f t="shared" ref="DJ42:DL42" si="257">IF(DI42&lt;0,-DI42,0)</f>
        <v>4800</v>
      </c>
      <c r="DK42" s="153">
        <v>12049.859515669999</v>
      </c>
      <c r="DL42" s="153">
        <f t="shared" si="257"/>
        <v>0</v>
      </c>
      <c r="DM42" s="107">
        <f t="shared" si="28"/>
        <v>18949.986017440002</v>
      </c>
    </row>
    <row r="43" spans="13:117" s="5" customFormat="1" x14ac:dyDescent="0.35">
      <c r="M43" s="77">
        <f t="shared" si="29"/>
        <v>41</v>
      </c>
      <c r="N43" s="78">
        <v>0</v>
      </c>
      <c r="O43" s="79">
        <v>0.13300000000000001</v>
      </c>
      <c r="P43" s="79">
        <v>0.21299999999999999</v>
      </c>
      <c r="Q43" s="79">
        <v>42908.385000000002</v>
      </c>
      <c r="R43" s="79">
        <v>1406.3396975200001</v>
      </c>
      <c r="S43" s="79">
        <f t="shared" si="0"/>
        <v>44314.724697520003</v>
      </c>
      <c r="T43" s="78">
        <v>0</v>
      </c>
      <c r="U43" s="79">
        <v>0</v>
      </c>
      <c r="V43" s="79">
        <v>6.0999999999999999E-2</v>
      </c>
      <c r="W43" s="79">
        <v>3.3000000000000002E-2</v>
      </c>
      <c r="X43" s="79">
        <f t="shared" si="1"/>
        <v>9.4E-2</v>
      </c>
      <c r="Y43" s="79">
        <v>6425.3190000000004</v>
      </c>
      <c r="Z43" s="79">
        <v>0</v>
      </c>
      <c r="AA43" s="80">
        <f t="shared" si="2"/>
        <v>6425.3190000000004</v>
      </c>
      <c r="AB43" s="79"/>
      <c r="AC43" s="88">
        <v>21912</v>
      </c>
      <c r="AD43" s="94">
        <f t="shared" si="3"/>
        <v>0.26400000000000001</v>
      </c>
      <c r="AE43" s="89">
        <v>639.06500000000005</v>
      </c>
      <c r="AF43" s="94">
        <f t="shared" si="4"/>
        <v>0.13300000000000001</v>
      </c>
      <c r="AG43" s="89">
        <v>6390</v>
      </c>
      <c r="AH43" s="94">
        <f t="shared" si="5"/>
        <v>0.21299999999999999</v>
      </c>
      <c r="AI43" s="89">
        <v>4327.8382000000001</v>
      </c>
      <c r="AJ43" s="94">
        <f>AI43/$B$6</f>
        <v>0.30099999999999999</v>
      </c>
      <c r="AK43" s="89">
        <v>1603.5434</v>
      </c>
      <c r="AL43" s="94">
        <f>AK43/$B$7</f>
        <v>0.16600000000000001</v>
      </c>
      <c r="AM43" s="89">
        <v>2211.06</v>
      </c>
      <c r="AN43" s="94">
        <f t="shared" si="6"/>
        <v>4.2999999999999997E-2</v>
      </c>
      <c r="AO43" s="89">
        <v>1482.2655999999999</v>
      </c>
      <c r="AP43" s="94">
        <f t="shared" si="7"/>
        <v>3.1999999999999994E-2</v>
      </c>
      <c r="AQ43" s="79"/>
      <c r="AR43" s="88">
        <v>6496.9853999999996</v>
      </c>
      <c r="AS43" s="76">
        <v>864.8</v>
      </c>
      <c r="AT43" s="88">
        <v>188</v>
      </c>
      <c r="AU43" s="100">
        <f t="shared" si="8"/>
        <v>7.2999999999999995E-2</v>
      </c>
      <c r="AV43" s="100">
        <f t="shared" si="9"/>
        <v>0.376</v>
      </c>
      <c r="AW43" s="100">
        <f t="shared" si="10"/>
        <v>0.376</v>
      </c>
      <c r="AX43" s="94">
        <v>39.405999999999999</v>
      </c>
      <c r="AY43" s="76">
        <v>384.23880000000003</v>
      </c>
      <c r="AZ43" s="100">
        <f>AX43/$B$9</f>
        <v>6.0999999999999999E-2</v>
      </c>
      <c r="BA43" s="97">
        <f>AY43/$B$8</f>
        <v>3.3000000000000002E-2</v>
      </c>
      <c r="BB43" s="88">
        <v>37151.800000000003</v>
      </c>
      <c r="BC43" s="76">
        <v>21714.375</v>
      </c>
      <c r="BD43" s="100">
        <f t="shared" si="11"/>
        <v>0.83300000000000007</v>
      </c>
      <c r="BE43" s="97">
        <f t="shared" si="12"/>
        <v>0.92500000000000004</v>
      </c>
      <c r="BG43" s="88">
        <v>1046.6300000000001</v>
      </c>
      <c r="BH43" s="114">
        <f>BG43/$B$10</f>
        <v>0.42499979696750673</v>
      </c>
      <c r="BI43" s="115">
        <v>965.43600000000004</v>
      </c>
      <c r="BJ43" s="114">
        <f>BI43/$B$11</f>
        <v>0.60076913503422524</v>
      </c>
      <c r="BK43" s="115">
        <v>1121.4780000000001</v>
      </c>
      <c r="BL43" s="114">
        <f t="shared" si="13"/>
        <v>0.5784392407674851</v>
      </c>
      <c r="BN43" s="111">
        <v>51358.995000000003</v>
      </c>
      <c r="BO43" s="114">
        <f t="shared" si="14"/>
        <v>0.73770491803278682</v>
      </c>
      <c r="BQ43" s="142">
        <v>11819.388999999999</v>
      </c>
      <c r="BR43" s="131">
        <v>0</v>
      </c>
      <c r="BS43" s="143">
        <v>0</v>
      </c>
      <c r="BT43" s="105">
        <f t="shared" si="15"/>
        <v>0.36255794478527603</v>
      </c>
      <c r="BU43" s="20">
        <f t="shared" si="16"/>
        <v>0</v>
      </c>
      <c r="BV43" s="2">
        <v>0</v>
      </c>
      <c r="BW43" s="2">
        <v>0</v>
      </c>
      <c r="BX43" s="2">
        <v>0</v>
      </c>
      <c r="BY43" s="2">
        <v>3671.6370000000002</v>
      </c>
      <c r="BZ43" s="105">
        <f t="shared" si="17"/>
        <v>0.2724170500074195</v>
      </c>
      <c r="CA43" s="20">
        <f t="shared" si="18"/>
        <v>0</v>
      </c>
      <c r="CB43" s="5">
        <v>10800</v>
      </c>
      <c r="CC43" s="5">
        <v>917.20837082000003</v>
      </c>
      <c r="CE43" s="108">
        <v>-700</v>
      </c>
      <c r="CF43" s="153">
        <f t="shared" si="19"/>
        <v>0</v>
      </c>
      <c r="CG43" s="153">
        <v>4485</v>
      </c>
      <c r="CH43" s="153">
        <f t="shared" si="19"/>
        <v>4485</v>
      </c>
      <c r="CI43" s="153">
        <v>0</v>
      </c>
      <c r="CJ43" s="153">
        <f t="shared" ref="CJ43:CL43" si="258">IF(CI43&gt;0,CI43,0)</f>
        <v>0</v>
      </c>
      <c r="CK43" s="153">
        <v>-5000</v>
      </c>
      <c r="CL43" s="153">
        <f t="shared" si="258"/>
        <v>0</v>
      </c>
      <c r="CM43" s="153">
        <v>-4887.5468975900003</v>
      </c>
      <c r="CN43" s="153">
        <f t="shared" ref="CN43:CP43" si="259">IF(CM43&gt;0,CM43,0)</f>
        <v>0</v>
      </c>
      <c r="CO43" s="153">
        <v>-4000</v>
      </c>
      <c r="CP43" s="153">
        <f t="shared" si="259"/>
        <v>0</v>
      </c>
      <c r="CQ43" s="153">
        <v>-4800</v>
      </c>
      <c r="CR43" s="153">
        <f t="shared" ref="CR43:CT43" si="260">IF(CQ43&gt;0,CQ43,0)</f>
        <v>0</v>
      </c>
      <c r="CS43" s="153">
        <v>11975.54459292</v>
      </c>
      <c r="CT43" s="153">
        <f t="shared" si="260"/>
        <v>11975.54459292</v>
      </c>
      <c r="CU43" s="107">
        <f t="shared" si="23"/>
        <v>16460.54459292</v>
      </c>
      <c r="CW43" s="108">
        <v>-700</v>
      </c>
      <c r="CX43" s="153">
        <f t="shared" si="24"/>
        <v>700</v>
      </c>
      <c r="CY43" s="153">
        <v>4485</v>
      </c>
      <c r="CZ43" s="153">
        <f t="shared" si="24"/>
        <v>0</v>
      </c>
      <c r="DA43" s="153">
        <v>0</v>
      </c>
      <c r="DB43" s="153">
        <f t="shared" ref="DB43:DD43" si="261">IF(DA43&lt;0,-DA43,0)</f>
        <v>0</v>
      </c>
      <c r="DC43" s="153">
        <v>-5000</v>
      </c>
      <c r="DD43" s="153">
        <f t="shared" si="261"/>
        <v>5000</v>
      </c>
      <c r="DE43" s="153">
        <v>-4887.5468975900003</v>
      </c>
      <c r="DF43" s="153">
        <f t="shared" ref="DF43:DH43" si="262">IF(DE43&lt;0,-DE43,0)</f>
        <v>4887.5468975900003</v>
      </c>
      <c r="DG43" s="153">
        <v>-4000</v>
      </c>
      <c r="DH43" s="153">
        <f t="shared" si="262"/>
        <v>4000</v>
      </c>
      <c r="DI43" s="153">
        <v>-4800</v>
      </c>
      <c r="DJ43" s="153">
        <f t="shared" ref="DJ43:DL43" si="263">IF(DI43&lt;0,-DI43,0)</f>
        <v>4800</v>
      </c>
      <c r="DK43" s="153">
        <v>11975.54459292</v>
      </c>
      <c r="DL43" s="153">
        <f t="shared" si="263"/>
        <v>0</v>
      </c>
      <c r="DM43" s="107">
        <f t="shared" si="28"/>
        <v>19387.54689759</v>
      </c>
    </row>
    <row r="44" spans="13:117" s="5" customFormat="1" x14ac:dyDescent="0.35">
      <c r="M44" s="77">
        <f t="shared" si="29"/>
        <v>42</v>
      </c>
      <c r="N44" s="78">
        <v>0</v>
      </c>
      <c r="O44" s="79">
        <v>1.3000000000000001E-2</v>
      </c>
      <c r="P44" s="79">
        <v>5.4000000000000006E-2</v>
      </c>
      <c r="Q44" s="79">
        <v>45150.703999999998</v>
      </c>
      <c r="R44" s="79">
        <v>2605.3519441799999</v>
      </c>
      <c r="S44" s="79">
        <f t="shared" si="0"/>
        <v>47756.05594418</v>
      </c>
      <c r="T44" s="78">
        <v>0</v>
      </c>
      <c r="U44" s="79">
        <v>0</v>
      </c>
      <c r="V44" s="79">
        <v>8.1000000000000003E-2</v>
      </c>
      <c r="W44" s="79">
        <v>5.8999999999999997E-2</v>
      </c>
      <c r="X44" s="79">
        <f t="shared" si="1"/>
        <v>0.14000000000000001</v>
      </c>
      <c r="Y44" s="79">
        <v>6957.1009999999997</v>
      </c>
      <c r="Z44" s="79">
        <v>0</v>
      </c>
      <c r="AA44" s="80">
        <f t="shared" si="2"/>
        <v>6957.1009999999997</v>
      </c>
      <c r="AB44" s="79"/>
      <c r="AC44" s="88">
        <v>4814</v>
      </c>
      <c r="AD44" s="94">
        <f t="shared" si="3"/>
        <v>5.8000000000000003E-2</v>
      </c>
      <c r="AE44" s="89">
        <v>62.465000000000003</v>
      </c>
      <c r="AF44" s="94">
        <f t="shared" si="4"/>
        <v>1.3000000000000001E-2</v>
      </c>
      <c r="AG44" s="89">
        <v>1620</v>
      </c>
      <c r="AH44" s="94">
        <f t="shared" si="5"/>
        <v>5.3999999999999999E-2</v>
      </c>
      <c r="AI44" s="89">
        <v>1811.6532</v>
      </c>
      <c r="AJ44" s="94">
        <f>AI44/$B$6</f>
        <v>0.126</v>
      </c>
      <c r="AK44" s="89">
        <v>579.59400000000005</v>
      </c>
      <c r="AL44" s="94">
        <f>AK44/$B$7</f>
        <v>6.0000000000000005E-2</v>
      </c>
      <c r="AM44" s="89">
        <v>0</v>
      </c>
      <c r="AN44" s="94">
        <f t="shared" si="6"/>
        <v>0</v>
      </c>
      <c r="AO44" s="89">
        <v>0</v>
      </c>
      <c r="AP44" s="94">
        <f t="shared" si="7"/>
        <v>0</v>
      </c>
      <c r="AQ44" s="79"/>
      <c r="AR44" s="88">
        <v>6496.9853999999996</v>
      </c>
      <c r="AS44" s="76">
        <v>832.6</v>
      </c>
      <c r="AT44" s="88">
        <v>181</v>
      </c>
      <c r="AU44" s="100">
        <f t="shared" si="8"/>
        <v>7.2999999999999995E-2</v>
      </c>
      <c r="AV44" s="100">
        <f t="shared" si="9"/>
        <v>0.36199999999999999</v>
      </c>
      <c r="AW44" s="100">
        <f t="shared" si="10"/>
        <v>0.36199999999999999</v>
      </c>
      <c r="AX44" s="94">
        <v>52.326000000000001</v>
      </c>
      <c r="AY44" s="76">
        <v>686.97239999999999</v>
      </c>
      <c r="AZ44" s="100">
        <f>AX44/$B$9</f>
        <v>8.1000000000000003E-2</v>
      </c>
      <c r="BA44" s="97">
        <f>AY44/$B$8</f>
        <v>5.8999999999999997E-2</v>
      </c>
      <c r="BB44" s="88">
        <v>37999.199999999997</v>
      </c>
      <c r="BC44" s="76">
        <v>21761.325000000001</v>
      </c>
      <c r="BD44" s="100">
        <f t="shared" si="11"/>
        <v>0.85199999999999998</v>
      </c>
      <c r="BE44" s="97">
        <f t="shared" si="12"/>
        <v>0.92700000000000005</v>
      </c>
      <c r="BG44" s="88">
        <v>1058.944</v>
      </c>
      <c r="BH44" s="114">
        <f>BG44/$B$10</f>
        <v>0.43000008121299732</v>
      </c>
      <c r="BI44" s="115">
        <v>969.31399999999996</v>
      </c>
      <c r="BJ44" s="114">
        <f>BI44/$B$11</f>
        <v>0.60318232731798382</v>
      </c>
      <c r="BK44" s="115">
        <v>1121.4780000000001</v>
      </c>
      <c r="BL44" s="114">
        <f t="shared" si="13"/>
        <v>0.5784392407674851</v>
      </c>
      <c r="BN44" s="111">
        <v>51358.995000000003</v>
      </c>
      <c r="BO44" s="114">
        <f t="shared" si="14"/>
        <v>0.73770491803278682</v>
      </c>
      <c r="BQ44" s="142">
        <v>4914.8729999999996</v>
      </c>
      <c r="BR44" s="131">
        <v>0</v>
      </c>
      <c r="BS44" s="143">
        <v>0</v>
      </c>
      <c r="BT44" s="105">
        <f t="shared" si="15"/>
        <v>0.15076297546012268</v>
      </c>
      <c r="BU44" s="20">
        <f t="shared" si="16"/>
        <v>0</v>
      </c>
      <c r="BV44" s="2">
        <v>0</v>
      </c>
      <c r="BW44" s="2">
        <v>0</v>
      </c>
      <c r="BX44" s="2">
        <v>0</v>
      </c>
      <c r="BY44" s="2">
        <v>2193.4050000000002</v>
      </c>
      <c r="BZ44" s="105">
        <f t="shared" si="17"/>
        <v>0.16273964979967356</v>
      </c>
      <c r="CA44" s="20">
        <f t="shared" si="18"/>
        <v>0</v>
      </c>
      <c r="CB44" s="5">
        <v>10800</v>
      </c>
      <c r="CC44" s="5">
        <v>917.20837082000003</v>
      </c>
      <c r="CE44" s="108">
        <v>-700</v>
      </c>
      <c r="CF44" s="153">
        <f t="shared" si="19"/>
        <v>0</v>
      </c>
      <c r="CG44" s="153">
        <v>4485</v>
      </c>
      <c r="CH44" s="153">
        <f t="shared" si="19"/>
        <v>4485</v>
      </c>
      <c r="CI44" s="153">
        <v>0</v>
      </c>
      <c r="CJ44" s="153">
        <f t="shared" ref="CJ44:CL44" si="264">IF(CI44&gt;0,CI44,0)</f>
        <v>0</v>
      </c>
      <c r="CK44" s="153">
        <v>-5000</v>
      </c>
      <c r="CL44" s="153">
        <f t="shared" si="264"/>
        <v>0</v>
      </c>
      <c r="CM44" s="153">
        <v>-5300</v>
      </c>
      <c r="CN44" s="153">
        <f t="shared" ref="CN44:CP44" si="265">IF(CM44&gt;0,CM44,0)</f>
        <v>0</v>
      </c>
      <c r="CO44" s="153">
        <v>-4000</v>
      </c>
      <c r="CP44" s="153">
        <f t="shared" si="265"/>
        <v>0</v>
      </c>
      <c r="CQ44" s="153">
        <v>0</v>
      </c>
      <c r="CR44" s="153">
        <f t="shared" ref="CR44:CT44" si="266">IF(CQ44&gt;0,CQ44,0)</f>
        <v>0</v>
      </c>
      <c r="CS44" s="153">
        <v>8835.4331314200008</v>
      </c>
      <c r="CT44" s="153">
        <f t="shared" si="266"/>
        <v>8835.4331314200008</v>
      </c>
      <c r="CU44" s="107">
        <f t="shared" si="23"/>
        <v>13320.433131420001</v>
      </c>
      <c r="CW44" s="108">
        <v>-700</v>
      </c>
      <c r="CX44" s="153">
        <f t="shared" si="24"/>
        <v>700</v>
      </c>
      <c r="CY44" s="153">
        <v>4485</v>
      </c>
      <c r="CZ44" s="153">
        <f t="shared" si="24"/>
        <v>0</v>
      </c>
      <c r="DA44" s="153">
        <v>0</v>
      </c>
      <c r="DB44" s="153">
        <f t="shared" ref="DB44:DD44" si="267">IF(DA44&lt;0,-DA44,0)</f>
        <v>0</v>
      </c>
      <c r="DC44" s="153">
        <v>-5000</v>
      </c>
      <c r="DD44" s="153">
        <f t="shared" si="267"/>
        <v>5000</v>
      </c>
      <c r="DE44" s="153">
        <v>-5300</v>
      </c>
      <c r="DF44" s="153">
        <f t="shared" ref="DF44:DH44" si="268">IF(DE44&lt;0,-DE44,0)</f>
        <v>5300</v>
      </c>
      <c r="DG44" s="153">
        <v>-4000</v>
      </c>
      <c r="DH44" s="153">
        <f t="shared" si="268"/>
        <v>4000</v>
      </c>
      <c r="DI44" s="153">
        <v>0</v>
      </c>
      <c r="DJ44" s="153">
        <f t="shared" ref="DJ44:DL44" si="269">IF(DI44&lt;0,-DI44,0)</f>
        <v>0</v>
      </c>
      <c r="DK44" s="153">
        <v>8835.4331314200008</v>
      </c>
      <c r="DL44" s="153">
        <f t="shared" si="269"/>
        <v>0</v>
      </c>
      <c r="DM44" s="107">
        <f t="shared" si="28"/>
        <v>15000</v>
      </c>
    </row>
    <row r="45" spans="13:117" s="5" customFormat="1" x14ac:dyDescent="0.35">
      <c r="M45" s="77">
        <f t="shared" si="29"/>
        <v>43</v>
      </c>
      <c r="N45" s="78">
        <v>0</v>
      </c>
      <c r="O45" s="79">
        <v>0</v>
      </c>
      <c r="P45" s="79">
        <v>0</v>
      </c>
      <c r="Q45" s="79">
        <v>46500.607000000004</v>
      </c>
      <c r="R45" s="79">
        <v>2788.4537903999999</v>
      </c>
      <c r="S45" s="79">
        <f t="shared" si="0"/>
        <v>49289.060790400006</v>
      </c>
      <c r="T45" s="78">
        <v>0</v>
      </c>
      <c r="U45" s="79">
        <v>0</v>
      </c>
      <c r="V45" s="79">
        <v>0.106</v>
      </c>
      <c r="W45" s="79">
        <v>0.159</v>
      </c>
      <c r="X45" s="79">
        <f t="shared" si="1"/>
        <v>0.26500000000000001</v>
      </c>
      <c r="Y45" s="79">
        <v>7451.1549999999997</v>
      </c>
      <c r="Z45" s="79">
        <v>239.70212766</v>
      </c>
      <c r="AA45" s="80">
        <f t="shared" si="2"/>
        <v>7690.8571276599996</v>
      </c>
      <c r="AB45" s="79"/>
      <c r="AC45" s="88">
        <v>0</v>
      </c>
      <c r="AD45" s="94">
        <f t="shared" si="3"/>
        <v>0</v>
      </c>
      <c r="AE45" s="89">
        <v>0</v>
      </c>
      <c r="AF45" s="94">
        <f t="shared" si="4"/>
        <v>0</v>
      </c>
      <c r="AG45" s="89">
        <v>0</v>
      </c>
      <c r="AH45" s="94">
        <f t="shared" si="5"/>
        <v>0</v>
      </c>
      <c r="AI45" s="89">
        <v>0</v>
      </c>
      <c r="AJ45" s="94">
        <f>AI45/$B$6</f>
        <v>0</v>
      </c>
      <c r="AK45" s="89">
        <v>0</v>
      </c>
      <c r="AL45" s="94">
        <f>AK45/$B$7</f>
        <v>0</v>
      </c>
      <c r="AM45" s="89">
        <v>0</v>
      </c>
      <c r="AN45" s="94">
        <f t="shared" si="6"/>
        <v>0</v>
      </c>
      <c r="AO45" s="89">
        <v>0</v>
      </c>
      <c r="AP45" s="94">
        <f t="shared" si="7"/>
        <v>0</v>
      </c>
      <c r="AQ45" s="79"/>
      <c r="AR45" s="88">
        <v>10323.9768</v>
      </c>
      <c r="AS45" s="76">
        <v>784.3</v>
      </c>
      <c r="AT45" s="88">
        <v>170.5</v>
      </c>
      <c r="AU45" s="100">
        <f t="shared" si="8"/>
        <v>0.11600000000000001</v>
      </c>
      <c r="AV45" s="100">
        <f t="shared" si="9"/>
        <v>0.34099999999999997</v>
      </c>
      <c r="AW45" s="100">
        <f t="shared" si="10"/>
        <v>0.34100000000000003</v>
      </c>
      <c r="AX45" s="94">
        <v>68.475999999999999</v>
      </c>
      <c r="AY45" s="76">
        <v>1851.3324</v>
      </c>
      <c r="AZ45" s="100">
        <f>AX45/$B$9</f>
        <v>0.106</v>
      </c>
      <c r="BA45" s="97">
        <f>AY45/$B$8</f>
        <v>0.159</v>
      </c>
      <c r="BB45" s="88">
        <v>38133</v>
      </c>
      <c r="BC45" s="76">
        <v>21784.799999999999</v>
      </c>
      <c r="BD45" s="100">
        <f t="shared" si="11"/>
        <v>0.85499999999999998</v>
      </c>
      <c r="BE45" s="97">
        <f t="shared" si="12"/>
        <v>0.92799999999999994</v>
      </c>
      <c r="BG45" s="88">
        <v>1073.72</v>
      </c>
      <c r="BH45" s="114">
        <f>BG45/$B$10</f>
        <v>0.43600009745559681</v>
      </c>
      <c r="BI45" s="115">
        <v>973.96</v>
      </c>
      <c r="BJ45" s="114">
        <f>BI45/$B$11</f>
        <v>0.60607342874922221</v>
      </c>
      <c r="BK45" s="115">
        <v>1121.4780000000001</v>
      </c>
      <c r="BL45" s="114">
        <f t="shared" si="13"/>
        <v>0.5784392407674851</v>
      </c>
      <c r="BN45" s="111">
        <v>51358.995000000003</v>
      </c>
      <c r="BO45" s="114">
        <f t="shared" si="14"/>
        <v>0.73770491803278682</v>
      </c>
      <c r="BQ45" s="142">
        <v>4393.4989999999998</v>
      </c>
      <c r="BR45" s="131">
        <v>0</v>
      </c>
      <c r="BS45" s="143">
        <v>0</v>
      </c>
      <c r="BT45" s="105">
        <f t="shared" si="15"/>
        <v>0.13476990797546012</v>
      </c>
      <c r="BU45" s="20">
        <f t="shared" si="16"/>
        <v>0</v>
      </c>
      <c r="BV45" s="2">
        <v>0</v>
      </c>
      <c r="BW45" s="2">
        <v>0</v>
      </c>
      <c r="BX45" s="2">
        <v>0</v>
      </c>
      <c r="BY45" s="2">
        <v>1356.009</v>
      </c>
      <c r="BZ45" s="105">
        <f t="shared" si="17"/>
        <v>0.10060906662709601</v>
      </c>
      <c r="CA45" s="20">
        <f t="shared" si="18"/>
        <v>0</v>
      </c>
      <c r="CB45" s="5">
        <v>10800</v>
      </c>
      <c r="CC45" s="5">
        <v>916.56064981999998</v>
      </c>
      <c r="CE45" s="108">
        <v>-700</v>
      </c>
      <c r="CF45" s="153">
        <f t="shared" si="19"/>
        <v>0</v>
      </c>
      <c r="CG45" s="153">
        <v>4485</v>
      </c>
      <c r="CH45" s="153">
        <f t="shared" si="19"/>
        <v>4485</v>
      </c>
      <c r="CI45" s="153">
        <v>0</v>
      </c>
      <c r="CJ45" s="153">
        <f t="shared" ref="CJ45:CL45" si="270">IF(CI45&gt;0,CI45,0)</f>
        <v>0</v>
      </c>
      <c r="CK45" s="153">
        <v>-5000</v>
      </c>
      <c r="CL45" s="153">
        <f t="shared" si="270"/>
        <v>0</v>
      </c>
      <c r="CM45" s="153">
        <v>-5300</v>
      </c>
      <c r="CN45" s="153">
        <f t="shared" ref="CN45:CP45" si="271">IF(CM45&gt;0,CM45,0)</f>
        <v>0</v>
      </c>
      <c r="CO45" s="153">
        <v>-4000</v>
      </c>
      <c r="CP45" s="153">
        <f t="shared" si="271"/>
        <v>0</v>
      </c>
      <c r="CQ45" s="153">
        <v>4012.47714365</v>
      </c>
      <c r="CR45" s="153">
        <f t="shared" ref="CR45:CT45" si="272">IF(CQ45&gt;0,CQ45,0)</f>
        <v>4012.47714365</v>
      </c>
      <c r="CS45" s="153">
        <v>9159.1316540600001</v>
      </c>
      <c r="CT45" s="153">
        <f t="shared" si="272"/>
        <v>9159.1316540600001</v>
      </c>
      <c r="CU45" s="107">
        <f t="shared" si="23"/>
        <v>17656.60879771</v>
      </c>
      <c r="CW45" s="108">
        <v>-700</v>
      </c>
      <c r="CX45" s="153">
        <f t="shared" si="24"/>
        <v>700</v>
      </c>
      <c r="CY45" s="153">
        <v>4485</v>
      </c>
      <c r="CZ45" s="153">
        <f t="shared" si="24"/>
        <v>0</v>
      </c>
      <c r="DA45" s="153">
        <v>0</v>
      </c>
      <c r="DB45" s="153">
        <f t="shared" ref="DB45:DD45" si="273">IF(DA45&lt;0,-DA45,0)</f>
        <v>0</v>
      </c>
      <c r="DC45" s="153">
        <v>-5000</v>
      </c>
      <c r="DD45" s="153">
        <f t="shared" si="273"/>
        <v>5000</v>
      </c>
      <c r="DE45" s="153">
        <v>-5300</v>
      </c>
      <c r="DF45" s="153">
        <f t="shared" ref="DF45:DH45" si="274">IF(DE45&lt;0,-DE45,0)</f>
        <v>5300</v>
      </c>
      <c r="DG45" s="153">
        <v>-4000</v>
      </c>
      <c r="DH45" s="153">
        <f t="shared" si="274"/>
        <v>4000</v>
      </c>
      <c r="DI45" s="153">
        <v>4012.47714365</v>
      </c>
      <c r="DJ45" s="153">
        <f t="shared" ref="DJ45:DL45" si="275">IF(DI45&lt;0,-DI45,0)</f>
        <v>0</v>
      </c>
      <c r="DK45" s="153">
        <v>9159.1316540600001</v>
      </c>
      <c r="DL45" s="153">
        <f t="shared" si="275"/>
        <v>0</v>
      </c>
      <c r="DM45" s="107">
        <f t="shared" si="28"/>
        <v>15000</v>
      </c>
    </row>
    <row r="46" spans="13:117" s="5" customFormat="1" x14ac:dyDescent="0.35">
      <c r="M46" s="77">
        <f t="shared" si="29"/>
        <v>44</v>
      </c>
      <c r="N46" s="78">
        <v>0</v>
      </c>
      <c r="O46" s="79">
        <v>0</v>
      </c>
      <c r="P46" s="79">
        <v>0</v>
      </c>
      <c r="Q46" s="79">
        <v>46170.290999999997</v>
      </c>
      <c r="R46" s="79">
        <v>2607.1684842300001</v>
      </c>
      <c r="S46" s="79">
        <f t="shared" si="0"/>
        <v>48777.459484229999</v>
      </c>
      <c r="T46" s="78">
        <v>0</v>
      </c>
      <c r="U46" s="79">
        <v>0</v>
      </c>
      <c r="V46" s="79">
        <v>0.124</v>
      </c>
      <c r="W46" s="79">
        <v>0.22199999999999998</v>
      </c>
      <c r="X46" s="79">
        <f t="shared" si="1"/>
        <v>0.34599999999999997</v>
      </c>
      <c r="Y46" s="79">
        <v>7554.1670000000004</v>
      </c>
      <c r="Z46" s="79">
        <v>199.60531915000001</v>
      </c>
      <c r="AA46" s="80">
        <f t="shared" si="2"/>
        <v>7753.7723191500008</v>
      </c>
      <c r="AB46" s="79"/>
      <c r="AC46" s="88">
        <v>0</v>
      </c>
      <c r="AD46" s="94">
        <f t="shared" si="3"/>
        <v>0</v>
      </c>
      <c r="AE46" s="89">
        <v>0</v>
      </c>
      <c r="AF46" s="94">
        <f t="shared" si="4"/>
        <v>0</v>
      </c>
      <c r="AG46" s="89">
        <v>0</v>
      </c>
      <c r="AH46" s="94">
        <f t="shared" si="5"/>
        <v>0</v>
      </c>
      <c r="AI46" s="89">
        <v>0</v>
      </c>
      <c r="AJ46" s="94">
        <f>AI46/$B$6</f>
        <v>0</v>
      </c>
      <c r="AK46" s="89">
        <v>0</v>
      </c>
      <c r="AL46" s="94">
        <f>AK46/$B$7</f>
        <v>0</v>
      </c>
      <c r="AM46" s="89">
        <v>0</v>
      </c>
      <c r="AN46" s="94">
        <f t="shared" si="6"/>
        <v>0</v>
      </c>
      <c r="AO46" s="89">
        <v>0</v>
      </c>
      <c r="AP46" s="94">
        <f t="shared" si="7"/>
        <v>0</v>
      </c>
      <c r="AQ46" s="79"/>
      <c r="AR46" s="88">
        <v>12281.972400000001</v>
      </c>
      <c r="AS46" s="76">
        <v>710.7</v>
      </c>
      <c r="AT46" s="88">
        <v>154.5</v>
      </c>
      <c r="AU46" s="100">
        <f t="shared" si="8"/>
        <v>0.13800000000000001</v>
      </c>
      <c r="AV46" s="100">
        <f t="shared" si="9"/>
        <v>0.309</v>
      </c>
      <c r="AW46" s="100">
        <f t="shared" si="10"/>
        <v>0.309</v>
      </c>
      <c r="AX46" s="94">
        <v>80.103999999999999</v>
      </c>
      <c r="AY46" s="76">
        <v>2584.8791999999999</v>
      </c>
      <c r="AZ46" s="100">
        <f>AX46/$B$9</f>
        <v>0.124</v>
      </c>
      <c r="BA46" s="97">
        <f>AY46/$B$8</f>
        <v>0.22199999999999998</v>
      </c>
      <c r="BB46" s="88">
        <v>38311.4</v>
      </c>
      <c r="BC46" s="76">
        <v>21878.7</v>
      </c>
      <c r="BD46" s="100">
        <f t="shared" si="11"/>
        <v>0.85899999999999999</v>
      </c>
      <c r="BE46" s="97">
        <f t="shared" si="12"/>
        <v>0.93200000000000005</v>
      </c>
      <c r="BG46" s="88">
        <v>1090.9580000000001</v>
      </c>
      <c r="BH46" s="114">
        <f>BG46/$B$10</f>
        <v>0.44299984569530515</v>
      </c>
      <c r="BI46" s="115">
        <v>982.16099999999994</v>
      </c>
      <c r="BJ46" s="114">
        <f>BI46/$B$11</f>
        <v>0.61117672682016178</v>
      </c>
      <c r="BK46" s="115">
        <v>1121.4780000000001</v>
      </c>
      <c r="BL46" s="114">
        <f t="shared" si="13"/>
        <v>0.5784392407674851</v>
      </c>
      <c r="BN46" s="111">
        <v>51358.995000000003</v>
      </c>
      <c r="BO46" s="114">
        <f t="shared" si="14"/>
        <v>0.73770491803278682</v>
      </c>
      <c r="BQ46" s="142">
        <v>5254.4669999999996</v>
      </c>
      <c r="BR46" s="131">
        <v>0</v>
      </c>
      <c r="BS46" s="143">
        <v>0</v>
      </c>
      <c r="BT46" s="105">
        <f t="shared" si="15"/>
        <v>0.16117996932515335</v>
      </c>
      <c r="BU46" s="20">
        <f t="shared" si="16"/>
        <v>0</v>
      </c>
      <c r="BV46" s="2">
        <v>0</v>
      </c>
      <c r="BW46" s="2">
        <v>0</v>
      </c>
      <c r="BX46" s="2">
        <v>0</v>
      </c>
      <c r="BY46" s="2">
        <v>1553.8810000000001</v>
      </c>
      <c r="BZ46" s="105">
        <f t="shared" si="17"/>
        <v>0.11529017658406292</v>
      </c>
      <c r="CA46" s="20">
        <f t="shared" si="18"/>
        <v>0</v>
      </c>
      <c r="CB46" s="5">
        <v>10800</v>
      </c>
      <c r="CC46" s="5">
        <v>915.91292881000004</v>
      </c>
      <c r="CE46" s="108">
        <v>-700</v>
      </c>
      <c r="CF46" s="153">
        <f t="shared" si="19"/>
        <v>0</v>
      </c>
      <c r="CG46" s="153">
        <v>4485</v>
      </c>
      <c r="CH46" s="153">
        <f t="shared" si="19"/>
        <v>4485</v>
      </c>
      <c r="CI46" s="153">
        <v>0</v>
      </c>
      <c r="CJ46" s="153">
        <f t="shared" ref="CJ46:CL46" si="276">IF(CI46&gt;0,CI46,0)</f>
        <v>0</v>
      </c>
      <c r="CK46" s="153">
        <v>-5000</v>
      </c>
      <c r="CL46" s="153">
        <f t="shared" si="276"/>
        <v>0</v>
      </c>
      <c r="CM46" s="153">
        <v>-5300</v>
      </c>
      <c r="CN46" s="153">
        <f t="shared" ref="CN46:CP46" si="277">IF(CM46&gt;0,CM46,0)</f>
        <v>0</v>
      </c>
      <c r="CO46" s="153">
        <v>-4000</v>
      </c>
      <c r="CP46" s="153">
        <f t="shared" si="277"/>
        <v>0</v>
      </c>
      <c r="CQ46" s="153">
        <v>4800</v>
      </c>
      <c r="CR46" s="153">
        <f t="shared" ref="CR46:CT46" si="278">IF(CQ46&gt;0,CQ46,0)</f>
        <v>4800</v>
      </c>
      <c r="CS46" s="153">
        <v>9240.3965691899994</v>
      </c>
      <c r="CT46" s="153">
        <f t="shared" si="278"/>
        <v>9240.3965691899994</v>
      </c>
      <c r="CU46" s="107">
        <f t="shared" si="23"/>
        <v>18525.396569190001</v>
      </c>
      <c r="CW46" s="108">
        <v>-700</v>
      </c>
      <c r="CX46" s="153">
        <f t="shared" si="24"/>
        <v>700</v>
      </c>
      <c r="CY46" s="153">
        <v>4485</v>
      </c>
      <c r="CZ46" s="153">
        <f t="shared" si="24"/>
        <v>0</v>
      </c>
      <c r="DA46" s="153">
        <v>0</v>
      </c>
      <c r="DB46" s="153">
        <f t="shared" ref="DB46:DD46" si="279">IF(DA46&lt;0,-DA46,0)</f>
        <v>0</v>
      </c>
      <c r="DC46" s="153">
        <v>-5000</v>
      </c>
      <c r="DD46" s="153">
        <f t="shared" si="279"/>
        <v>5000</v>
      </c>
      <c r="DE46" s="153">
        <v>-5300</v>
      </c>
      <c r="DF46" s="153">
        <f t="shared" ref="DF46:DH46" si="280">IF(DE46&lt;0,-DE46,0)</f>
        <v>5300</v>
      </c>
      <c r="DG46" s="153">
        <v>-4000</v>
      </c>
      <c r="DH46" s="153">
        <f t="shared" si="280"/>
        <v>4000</v>
      </c>
      <c r="DI46" s="153">
        <v>4800</v>
      </c>
      <c r="DJ46" s="153">
        <f t="shared" ref="DJ46:DL46" si="281">IF(DI46&lt;0,-DI46,0)</f>
        <v>0</v>
      </c>
      <c r="DK46" s="153">
        <v>9240.3965691899994</v>
      </c>
      <c r="DL46" s="153">
        <f t="shared" si="281"/>
        <v>0</v>
      </c>
      <c r="DM46" s="107">
        <f t="shared" si="28"/>
        <v>15000</v>
      </c>
    </row>
    <row r="47" spans="13:117" s="5" customFormat="1" x14ac:dyDescent="0.35">
      <c r="M47" s="77">
        <f t="shared" si="29"/>
        <v>45</v>
      </c>
      <c r="N47" s="78">
        <v>0</v>
      </c>
      <c r="O47" s="79">
        <v>0</v>
      </c>
      <c r="P47" s="79">
        <v>0</v>
      </c>
      <c r="Q47" s="79">
        <v>44560.091</v>
      </c>
      <c r="R47" s="79">
        <v>2325.4370553099998</v>
      </c>
      <c r="S47" s="79">
        <f t="shared" si="0"/>
        <v>46885.528055310002</v>
      </c>
      <c r="T47" s="78">
        <v>0</v>
      </c>
      <c r="U47" s="79">
        <v>0</v>
      </c>
      <c r="V47" s="79">
        <v>0.13100000000000001</v>
      </c>
      <c r="W47" s="79">
        <v>0.223</v>
      </c>
      <c r="X47" s="79">
        <f t="shared" si="1"/>
        <v>0.35399999999999998</v>
      </c>
      <c r="Y47" s="79">
        <v>7289.6319999999996</v>
      </c>
      <c r="Z47" s="79">
        <v>122.0287234</v>
      </c>
      <c r="AA47" s="80">
        <f t="shared" si="2"/>
        <v>7411.6607233999994</v>
      </c>
      <c r="AB47" s="79"/>
      <c r="AC47" s="88">
        <v>0</v>
      </c>
      <c r="AD47" s="94">
        <f t="shared" si="3"/>
        <v>0</v>
      </c>
      <c r="AE47" s="89">
        <v>0</v>
      </c>
      <c r="AF47" s="94">
        <f t="shared" si="4"/>
        <v>0</v>
      </c>
      <c r="AG47" s="89">
        <v>0</v>
      </c>
      <c r="AH47" s="94">
        <f t="shared" si="5"/>
        <v>0</v>
      </c>
      <c r="AI47" s="89">
        <v>0</v>
      </c>
      <c r="AJ47" s="94">
        <f>AI47/$B$6</f>
        <v>0</v>
      </c>
      <c r="AK47" s="89">
        <v>0</v>
      </c>
      <c r="AL47" s="94">
        <f>AK47/$B$7</f>
        <v>0</v>
      </c>
      <c r="AM47" s="89">
        <v>0</v>
      </c>
      <c r="AN47" s="94">
        <f t="shared" si="6"/>
        <v>0</v>
      </c>
      <c r="AO47" s="89">
        <v>0</v>
      </c>
      <c r="AP47" s="94">
        <f t="shared" si="7"/>
        <v>0</v>
      </c>
      <c r="AQ47" s="79"/>
      <c r="AR47" s="88">
        <v>11658.9738</v>
      </c>
      <c r="AS47" s="76">
        <v>637.1</v>
      </c>
      <c r="AT47" s="88">
        <v>138.5</v>
      </c>
      <c r="AU47" s="100">
        <f t="shared" si="8"/>
        <v>0.13100000000000001</v>
      </c>
      <c r="AV47" s="100">
        <f t="shared" si="9"/>
        <v>0.27700000000000002</v>
      </c>
      <c r="AW47" s="100">
        <f t="shared" si="10"/>
        <v>0.27700000000000002</v>
      </c>
      <c r="AX47" s="94">
        <v>84.626000000000005</v>
      </c>
      <c r="AY47" s="76">
        <v>2596.5228000000002</v>
      </c>
      <c r="AZ47" s="100">
        <f>AX47/$B$9</f>
        <v>0.13100000000000001</v>
      </c>
      <c r="BA47" s="97">
        <f>AY47/$B$8</f>
        <v>0.223</v>
      </c>
      <c r="BB47" s="88">
        <v>38445.199999999997</v>
      </c>
      <c r="BC47" s="76">
        <v>21949.125</v>
      </c>
      <c r="BD47" s="100">
        <f t="shared" si="11"/>
        <v>0.86199999999999999</v>
      </c>
      <c r="BE47" s="97">
        <f t="shared" si="12"/>
        <v>0.93500000000000005</v>
      </c>
      <c r="BG47" s="88">
        <v>1113.1220000000001</v>
      </c>
      <c r="BH47" s="114">
        <f>BG47/$B$10</f>
        <v>0.45199987005920433</v>
      </c>
      <c r="BI47" s="115">
        <v>986.38400000000001</v>
      </c>
      <c r="BJ47" s="114">
        <f>BI47/$B$11</f>
        <v>0.61380460485376476</v>
      </c>
      <c r="BK47" s="115">
        <v>1121.4780000000001</v>
      </c>
      <c r="BL47" s="114">
        <f t="shared" si="13"/>
        <v>0.5784392407674851</v>
      </c>
      <c r="BN47" s="111">
        <v>51358.995000000003</v>
      </c>
      <c r="BO47" s="114">
        <f t="shared" si="14"/>
        <v>0.73770491803278682</v>
      </c>
      <c r="BQ47" s="142">
        <v>4963.4319999999998</v>
      </c>
      <c r="BR47" s="131">
        <v>0</v>
      </c>
      <c r="BS47" s="143">
        <v>0</v>
      </c>
      <c r="BT47" s="105">
        <f t="shared" si="15"/>
        <v>0.15225251533742332</v>
      </c>
      <c r="BU47" s="20">
        <f t="shared" si="16"/>
        <v>0</v>
      </c>
      <c r="BV47" s="2">
        <v>0</v>
      </c>
      <c r="BW47" s="2">
        <v>0</v>
      </c>
      <c r="BX47" s="2">
        <v>0</v>
      </c>
      <c r="BY47" s="2">
        <v>1627.6849999999999</v>
      </c>
      <c r="BZ47" s="105">
        <f t="shared" si="17"/>
        <v>0.12076606321412672</v>
      </c>
      <c r="CA47" s="20">
        <f t="shared" si="18"/>
        <v>0</v>
      </c>
      <c r="CB47" s="5">
        <v>10800</v>
      </c>
      <c r="CC47" s="5">
        <v>915.26520780999999</v>
      </c>
      <c r="CE47" s="108">
        <v>-700</v>
      </c>
      <c r="CF47" s="153">
        <f t="shared" si="19"/>
        <v>0</v>
      </c>
      <c r="CG47" s="153">
        <v>4485</v>
      </c>
      <c r="CH47" s="153">
        <f t="shared" si="19"/>
        <v>4485</v>
      </c>
      <c r="CI47" s="153">
        <v>0</v>
      </c>
      <c r="CJ47" s="153">
        <f t="shared" ref="CJ47:CL47" si="282">IF(CI47&gt;0,CI47,0)</f>
        <v>0</v>
      </c>
      <c r="CK47" s="153">
        <v>-5000</v>
      </c>
      <c r="CL47" s="153">
        <f t="shared" si="282"/>
        <v>0</v>
      </c>
      <c r="CM47" s="153">
        <v>-5300</v>
      </c>
      <c r="CN47" s="153">
        <f t="shared" ref="CN47:CP47" si="283">IF(CM47&gt;0,CM47,0)</f>
        <v>0</v>
      </c>
      <c r="CO47" s="153">
        <v>-4000</v>
      </c>
      <c r="CP47" s="153">
        <f t="shared" si="283"/>
        <v>0</v>
      </c>
      <c r="CQ47" s="153">
        <v>4800</v>
      </c>
      <c r="CR47" s="153">
        <f t="shared" ref="CR47:CT47" si="284">IF(CQ47&gt;0,CQ47,0)</f>
        <v>4800</v>
      </c>
      <c r="CS47" s="153">
        <v>12748.31583474</v>
      </c>
      <c r="CT47" s="153">
        <f t="shared" si="284"/>
        <v>12748.31583474</v>
      </c>
      <c r="CU47" s="107">
        <f t="shared" si="23"/>
        <v>22033.315834740002</v>
      </c>
      <c r="CW47" s="108">
        <v>-700</v>
      </c>
      <c r="CX47" s="153">
        <f t="shared" si="24"/>
        <v>700</v>
      </c>
      <c r="CY47" s="153">
        <v>4485</v>
      </c>
      <c r="CZ47" s="153">
        <f t="shared" si="24"/>
        <v>0</v>
      </c>
      <c r="DA47" s="153">
        <v>0</v>
      </c>
      <c r="DB47" s="153">
        <f t="shared" ref="DB47:DD47" si="285">IF(DA47&lt;0,-DA47,0)</f>
        <v>0</v>
      </c>
      <c r="DC47" s="153">
        <v>-5000</v>
      </c>
      <c r="DD47" s="153">
        <f t="shared" si="285"/>
        <v>5000</v>
      </c>
      <c r="DE47" s="153">
        <v>-5300</v>
      </c>
      <c r="DF47" s="153">
        <f t="shared" ref="DF47:DH47" si="286">IF(DE47&lt;0,-DE47,0)</f>
        <v>5300</v>
      </c>
      <c r="DG47" s="153">
        <v>-4000</v>
      </c>
      <c r="DH47" s="153">
        <f t="shared" si="286"/>
        <v>4000</v>
      </c>
      <c r="DI47" s="153">
        <v>4800</v>
      </c>
      <c r="DJ47" s="153">
        <f t="shared" ref="DJ47:DL47" si="287">IF(DI47&lt;0,-DI47,0)</f>
        <v>0</v>
      </c>
      <c r="DK47" s="153">
        <v>12748.31583474</v>
      </c>
      <c r="DL47" s="153">
        <f t="shared" si="287"/>
        <v>0</v>
      </c>
      <c r="DM47" s="107">
        <f t="shared" si="28"/>
        <v>15000</v>
      </c>
    </row>
    <row r="48" spans="13:117" s="5" customFormat="1" x14ac:dyDescent="0.35">
      <c r="M48" s="77">
        <f t="shared" si="29"/>
        <v>46</v>
      </c>
      <c r="N48" s="78">
        <v>0</v>
      </c>
      <c r="O48" s="79">
        <v>0</v>
      </c>
      <c r="P48" s="79">
        <v>0</v>
      </c>
      <c r="Q48" s="79">
        <v>41967.483</v>
      </c>
      <c r="R48" s="79">
        <v>2062.1821264099999</v>
      </c>
      <c r="S48" s="79">
        <f t="shared" si="0"/>
        <v>44029.66512641</v>
      </c>
      <c r="T48" s="78">
        <v>0</v>
      </c>
      <c r="U48" s="79">
        <v>0</v>
      </c>
      <c r="V48" s="79">
        <v>0.13</v>
      </c>
      <c r="W48" s="79">
        <v>0.20699999999999999</v>
      </c>
      <c r="X48" s="79">
        <f t="shared" si="1"/>
        <v>0.33699999999999997</v>
      </c>
      <c r="Y48" s="79">
        <v>6840.52</v>
      </c>
      <c r="Z48" s="79">
        <v>65.879787230000005</v>
      </c>
      <c r="AA48" s="80">
        <f t="shared" si="2"/>
        <v>6906.3997872300006</v>
      </c>
      <c r="AB48" s="79"/>
      <c r="AC48" s="88">
        <v>0</v>
      </c>
      <c r="AD48" s="94">
        <f t="shared" si="3"/>
        <v>0</v>
      </c>
      <c r="AE48" s="89">
        <v>0</v>
      </c>
      <c r="AF48" s="94">
        <f t="shared" si="4"/>
        <v>0</v>
      </c>
      <c r="AG48" s="89">
        <v>0</v>
      </c>
      <c r="AH48" s="94">
        <f t="shared" si="5"/>
        <v>0</v>
      </c>
      <c r="AI48" s="89">
        <v>0</v>
      </c>
      <c r="AJ48" s="94">
        <f>AI48/$B$6</f>
        <v>0</v>
      </c>
      <c r="AK48" s="89">
        <v>0</v>
      </c>
      <c r="AL48" s="94">
        <f>AK48/$B$7</f>
        <v>0</v>
      </c>
      <c r="AM48" s="89">
        <v>0</v>
      </c>
      <c r="AN48" s="94">
        <f t="shared" si="6"/>
        <v>0</v>
      </c>
      <c r="AO48" s="89">
        <v>0</v>
      </c>
      <c r="AP48" s="94">
        <f t="shared" si="7"/>
        <v>0</v>
      </c>
      <c r="AQ48" s="79"/>
      <c r="AR48" s="88">
        <v>10145.977199999999</v>
      </c>
      <c r="AS48" s="76">
        <v>535.9</v>
      </c>
      <c r="AT48" s="88">
        <v>116.5</v>
      </c>
      <c r="AU48" s="100">
        <f t="shared" si="8"/>
        <v>0.11399999999999999</v>
      </c>
      <c r="AV48" s="100">
        <f t="shared" si="9"/>
        <v>0.23299999999999998</v>
      </c>
      <c r="AW48" s="100">
        <f t="shared" si="10"/>
        <v>0.23300000000000001</v>
      </c>
      <c r="AX48" s="94">
        <v>83.98</v>
      </c>
      <c r="AY48" s="76">
        <v>2410.2251999999999</v>
      </c>
      <c r="AZ48" s="100">
        <f>AX48/$B$9</f>
        <v>0.13</v>
      </c>
      <c r="BA48" s="97">
        <f>AY48/$B$8</f>
        <v>0.20699999999999999</v>
      </c>
      <c r="BB48" s="88">
        <v>38579</v>
      </c>
      <c r="BC48" s="76">
        <v>21949.125</v>
      </c>
      <c r="BD48" s="100">
        <f t="shared" si="11"/>
        <v>0.86499999999999999</v>
      </c>
      <c r="BE48" s="97">
        <f t="shared" si="12"/>
        <v>0.93500000000000005</v>
      </c>
      <c r="BG48" s="88">
        <v>1108.1969999999999</v>
      </c>
      <c r="BH48" s="114">
        <f>BG48/$B$10</f>
        <v>0.44999999999999996</v>
      </c>
      <c r="BI48" s="115">
        <v>981.60900000000004</v>
      </c>
      <c r="BJ48" s="114">
        <f>BI48/$B$11</f>
        <v>0.61083322962041076</v>
      </c>
      <c r="BK48" s="115">
        <v>1121.4780000000001</v>
      </c>
      <c r="BL48" s="114">
        <f t="shared" si="13"/>
        <v>0.5784392407674851</v>
      </c>
      <c r="BN48" s="111">
        <v>51358.995000000003</v>
      </c>
      <c r="BO48" s="114">
        <f t="shared" si="14"/>
        <v>0.73770491803278682</v>
      </c>
      <c r="BQ48" s="142">
        <v>4333.1279999999997</v>
      </c>
      <c r="BR48" s="131">
        <v>0</v>
      </c>
      <c r="BS48" s="143">
        <v>0</v>
      </c>
      <c r="BT48" s="105">
        <f t="shared" si="15"/>
        <v>0.13291803680981595</v>
      </c>
      <c r="BU48" s="20">
        <f t="shared" si="16"/>
        <v>0</v>
      </c>
      <c r="BV48" s="2">
        <v>0</v>
      </c>
      <c r="BW48" s="2">
        <v>0</v>
      </c>
      <c r="BX48" s="2">
        <v>0</v>
      </c>
      <c r="BY48" s="2">
        <v>1641.162</v>
      </c>
      <c r="BZ48" s="105">
        <f t="shared" si="17"/>
        <v>0.1217659890191423</v>
      </c>
      <c r="CA48" s="20">
        <f t="shared" si="18"/>
        <v>0</v>
      </c>
      <c r="CB48" s="5">
        <v>10800</v>
      </c>
      <c r="CC48" s="5">
        <v>914.61748680999995</v>
      </c>
      <c r="CE48" s="108">
        <v>-700</v>
      </c>
      <c r="CF48" s="153">
        <f t="shared" si="19"/>
        <v>0</v>
      </c>
      <c r="CG48" s="153">
        <v>4485</v>
      </c>
      <c r="CH48" s="153">
        <f t="shared" si="19"/>
        <v>4485</v>
      </c>
      <c r="CI48" s="153">
        <v>0</v>
      </c>
      <c r="CJ48" s="153">
        <f t="shared" ref="CJ48:CL48" si="288">IF(CI48&gt;0,CI48,0)</f>
        <v>0</v>
      </c>
      <c r="CK48" s="153">
        <v>-5000</v>
      </c>
      <c r="CL48" s="153">
        <f t="shared" si="288"/>
        <v>0</v>
      </c>
      <c r="CM48" s="153">
        <v>-5300</v>
      </c>
      <c r="CN48" s="153">
        <f t="shared" ref="CN48:CP48" si="289">IF(CM48&gt;0,CM48,0)</f>
        <v>0</v>
      </c>
      <c r="CO48" s="153">
        <v>-4000</v>
      </c>
      <c r="CP48" s="153">
        <f t="shared" si="289"/>
        <v>0</v>
      </c>
      <c r="CQ48" s="153">
        <v>4800</v>
      </c>
      <c r="CR48" s="153">
        <f t="shared" ref="CR48:CT48" si="290">IF(CQ48&gt;0,CQ48,0)</f>
        <v>4800</v>
      </c>
      <c r="CS48" s="153">
        <v>15369.85930043</v>
      </c>
      <c r="CT48" s="153">
        <f t="shared" si="290"/>
        <v>15369.85930043</v>
      </c>
      <c r="CU48" s="107">
        <f t="shared" si="23"/>
        <v>24654.859300429998</v>
      </c>
      <c r="CW48" s="108">
        <v>-700</v>
      </c>
      <c r="CX48" s="153">
        <f t="shared" si="24"/>
        <v>700</v>
      </c>
      <c r="CY48" s="153">
        <v>4485</v>
      </c>
      <c r="CZ48" s="153">
        <f t="shared" si="24"/>
        <v>0</v>
      </c>
      <c r="DA48" s="153">
        <v>0</v>
      </c>
      <c r="DB48" s="153">
        <f t="shared" ref="DB48:DD48" si="291">IF(DA48&lt;0,-DA48,0)</f>
        <v>0</v>
      </c>
      <c r="DC48" s="153">
        <v>-5000</v>
      </c>
      <c r="DD48" s="153">
        <f t="shared" si="291"/>
        <v>5000</v>
      </c>
      <c r="DE48" s="153">
        <v>-5300</v>
      </c>
      <c r="DF48" s="153">
        <f t="shared" ref="DF48:DH48" si="292">IF(DE48&lt;0,-DE48,0)</f>
        <v>5300</v>
      </c>
      <c r="DG48" s="153">
        <v>-4000</v>
      </c>
      <c r="DH48" s="153">
        <f t="shared" si="292"/>
        <v>4000</v>
      </c>
      <c r="DI48" s="153">
        <v>4800</v>
      </c>
      <c r="DJ48" s="153">
        <f t="shared" ref="DJ48:DL48" si="293">IF(DI48&lt;0,-DI48,0)</f>
        <v>0</v>
      </c>
      <c r="DK48" s="153">
        <v>15369.85930043</v>
      </c>
      <c r="DL48" s="153">
        <f t="shared" si="293"/>
        <v>0</v>
      </c>
      <c r="DM48" s="107">
        <f t="shared" si="28"/>
        <v>15000</v>
      </c>
    </row>
    <row r="49" spans="13:117" s="5" customFormat="1" x14ac:dyDescent="0.35">
      <c r="M49" s="77">
        <f t="shared" si="29"/>
        <v>47</v>
      </c>
      <c r="N49" s="78">
        <v>0</v>
      </c>
      <c r="O49" s="79">
        <v>0</v>
      </c>
      <c r="P49" s="79">
        <v>0</v>
      </c>
      <c r="Q49" s="79">
        <v>39356.019</v>
      </c>
      <c r="R49" s="79">
        <v>2047.4172926900001</v>
      </c>
      <c r="S49" s="79">
        <f t="shared" si="0"/>
        <v>41403.436292689999</v>
      </c>
      <c r="T49" s="78">
        <v>0</v>
      </c>
      <c r="U49" s="79">
        <v>0</v>
      </c>
      <c r="V49" s="79">
        <v>0.127</v>
      </c>
      <c r="W49" s="79">
        <v>0.20299999999999999</v>
      </c>
      <c r="X49" s="79">
        <f t="shared" si="1"/>
        <v>0.32999999999999996</v>
      </c>
      <c r="Y49" s="79">
        <v>6945.6790000000001</v>
      </c>
      <c r="Z49" s="79">
        <v>233.64574468000001</v>
      </c>
      <c r="AA49" s="80">
        <f t="shared" si="2"/>
        <v>7179.3247446799996</v>
      </c>
      <c r="AB49" s="79"/>
      <c r="AC49" s="88">
        <v>0</v>
      </c>
      <c r="AD49" s="94">
        <f t="shared" si="3"/>
        <v>0</v>
      </c>
      <c r="AE49" s="89">
        <v>0</v>
      </c>
      <c r="AF49" s="94">
        <f t="shared" si="4"/>
        <v>0</v>
      </c>
      <c r="AG49" s="89">
        <v>0</v>
      </c>
      <c r="AH49" s="94">
        <f t="shared" si="5"/>
        <v>0</v>
      </c>
      <c r="AI49" s="89">
        <v>0</v>
      </c>
      <c r="AJ49" s="94">
        <f>AI49/$B$6</f>
        <v>0</v>
      </c>
      <c r="AK49" s="89">
        <v>0</v>
      </c>
      <c r="AL49" s="94">
        <f>AK49/$B$7</f>
        <v>0</v>
      </c>
      <c r="AM49" s="89">
        <v>0</v>
      </c>
      <c r="AN49" s="94">
        <f t="shared" si="6"/>
        <v>0</v>
      </c>
      <c r="AO49" s="89">
        <v>0</v>
      </c>
      <c r="AP49" s="94">
        <f t="shared" si="7"/>
        <v>0</v>
      </c>
      <c r="AQ49" s="79"/>
      <c r="AR49" s="88">
        <v>9522.9786000000004</v>
      </c>
      <c r="AS49" s="76">
        <v>487.6</v>
      </c>
      <c r="AT49" s="88">
        <v>106</v>
      </c>
      <c r="AU49" s="100">
        <f t="shared" si="8"/>
        <v>0.107</v>
      </c>
      <c r="AV49" s="100">
        <f t="shared" si="9"/>
        <v>0.21200000000000002</v>
      </c>
      <c r="AW49" s="100">
        <f t="shared" si="10"/>
        <v>0.21199999999999999</v>
      </c>
      <c r="AX49" s="94">
        <v>82.042000000000002</v>
      </c>
      <c r="AY49" s="76">
        <v>2363.6507999999999</v>
      </c>
      <c r="AZ49" s="100">
        <f>AX49/$B$9</f>
        <v>0.127</v>
      </c>
      <c r="BA49" s="97">
        <f>AY49/$B$8</f>
        <v>0.20299999999999999</v>
      </c>
      <c r="BB49" s="88">
        <v>38534.400000000001</v>
      </c>
      <c r="BC49" s="76">
        <v>21902.174999999999</v>
      </c>
      <c r="BD49" s="100">
        <f t="shared" si="11"/>
        <v>0.86399999999999999</v>
      </c>
      <c r="BE49" s="97">
        <f t="shared" si="12"/>
        <v>0.93299999999999994</v>
      </c>
      <c r="BG49" s="88">
        <v>1098.346</v>
      </c>
      <c r="BH49" s="114">
        <f>BG49/$B$10</f>
        <v>0.44599985381660484</v>
      </c>
      <c r="BI49" s="115">
        <v>982.87699999999995</v>
      </c>
      <c r="BJ49" s="114">
        <f>BI49/$B$11</f>
        <v>0.61162227753578091</v>
      </c>
      <c r="BK49" s="115">
        <v>1121.4780000000001</v>
      </c>
      <c r="BL49" s="114">
        <f t="shared" si="13"/>
        <v>0.5784392407674851</v>
      </c>
      <c r="BN49" s="111">
        <v>51358.995000000003</v>
      </c>
      <c r="BO49" s="114">
        <f t="shared" si="14"/>
        <v>0.73770491803278682</v>
      </c>
      <c r="BQ49" s="142">
        <v>4080.9690000000001</v>
      </c>
      <c r="BR49" s="131">
        <v>0</v>
      </c>
      <c r="BS49" s="143">
        <v>0</v>
      </c>
      <c r="BT49" s="105">
        <f t="shared" si="15"/>
        <v>0.1251830981595092</v>
      </c>
      <c r="BU49" s="20">
        <f t="shared" si="16"/>
        <v>0</v>
      </c>
      <c r="BV49" s="2">
        <v>0</v>
      </c>
      <c r="BW49" s="2">
        <v>0</v>
      </c>
      <c r="BX49" s="2">
        <v>0</v>
      </c>
      <c r="BY49" s="2">
        <v>1657.6010000000001</v>
      </c>
      <c r="BZ49" s="105">
        <f t="shared" si="17"/>
        <v>0.12298568036800712</v>
      </c>
      <c r="CA49" s="20">
        <f t="shared" si="18"/>
        <v>0</v>
      </c>
      <c r="CB49" s="5">
        <v>10800</v>
      </c>
      <c r="CC49" s="5">
        <v>913.9697658</v>
      </c>
      <c r="CE49" s="108">
        <v>-700</v>
      </c>
      <c r="CF49" s="153">
        <f t="shared" si="19"/>
        <v>0</v>
      </c>
      <c r="CG49" s="153">
        <v>4485</v>
      </c>
      <c r="CH49" s="153">
        <f t="shared" si="19"/>
        <v>4485</v>
      </c>
      <c r="CI49" s="153">
        <v>0</v>
      </c>
      <c r="CJ49" s="153">
        <f t="shared" ref="CJ49:CL49" si="294">IF(CI49&gt;0,CI49,0)</f>
        <v>0</v>
      </c>
      <c r="CK49" s="153">
        <v>-5000</v>
      </c>
      <c r="CL49" s="153">
        <f t="shared" si="294"/>
        <v>0</v>
      </c>
      <c r="CM49" s="153">
        <v>-5300</v>
      </c>
      <c r="CN49" s="153">
        <f t="shared" ref="CN49:CP49" si="295">IF(CM49&gt;0,CM49,0)</f>
        <v>0</v>
      </c>
      <c r="CO49" s="153">
        <v>-4000</v>
      </c>
      <c r="CP49" s="153">
        <f t="shared" si="295"/>
        <v>0</v>
      </c>
      <c r="CQ49" s="153">
        <v>4800</v>
      </c>
      <c r="CR49" s="153">
        <f t="shared" ref="CR49:CT49" si="296">IF(CQ49&gt;0,CQ49,0)</f>
        <v>4800</v>
      </c>
      <c r="CS49" s="153">
        <v>15231.701702279999</v>
      </c>
      <c r="CT49" s="153">
        <f t="shared" si="296"/>
        <v>15231.701702279999</v>
      </c>
      <c r="CU49" s="107">
        <f t="shared" si="23"/>
        <v>24516.701702279999</v>
      </c>
      <c r="CW49" s="108">
        <v>-700</v>
      </c>
      <c r="CX49" s="153">
        <f t="shared" si="24"/>
        <v>700</v>
      </c>
      <c r="CY49" s="153">
        <v>4485</v>
      </c>
      <c r="CZ49" s="153">
        <f t="shared" si="24"/>
        <v>0</v>
      </c>
      <c r="DA49" s="153">
        <v>0</v>
      </c>
      <c r="DB49" s="153">
        <f t="shared" ref="DB49:DD49" si="297">IF(DA49&lt;0,-DA49,0)</f>
        <v>0</v>
      </c>
      <c r="DC49" s="153">
        <v>-5000</v>
      </c>
      <c r="DD49" s="153">
        <f t="shared" si="297"/>
        <v>5000</v>
      </c>
      <c r="DE49" s="153">
        <v>-5300</v>
      </c>
      <c r="DF49" s="153">
        <f t="shared" ref="DF49:DH49" si="298">IF(DE49&lt;0,-DE49,0)</f>
        <v>5300</v>
      </c>
      <c r="DG49" s="153">
        <v>-4000</v>
      </c>
      <c r="DH49" s="153">
        <f t="shared" si="298"/>
        <v>4000</v>
      </c>
      <c r="DI49" s="153">
        <v>4800</v>
      </c>
      <c r="DJ49" s="153">
        <f t="shared" ref="DJ49:DL49" si="299">IF(DI49&lt;0,-DI49,0)</f>
        <v>0</v>
      </c>
      <c r="DK49" s="153">
        <v>15231.701702279999</v>
      </c>
      <c r="DL49" s="153">
        <f t="shared" si="299"/>
        <v>0</v>
      </c>
      <c r="DM49" s="107">
        <f t="shared" si="28"/>
        <v>15000</v>
      </c>
    </row>
    <row r="50" spans="13:117" s="5" customFormat="1" x14ac:dyDescent="0.35">
      <c r="M50" s="77">
        <f t="shared" si="29"/>
        <v>48</v>
      </c>
      <c r="N50" s="78">
        <v>0</v>
      </c>
      <c r="O50" s="79">
        <v>0</v>
      </c>
      <c r="P50" s="79">
        <v>0</v>
      </c>
      <c r="Q50" s="79">
        <v>36872.559000000001</v>
      </c>
      <c r="R50" s="79">
        <v>1731.3661337599999</v>
      </c>
      <c r="S50" s="79">
        <f t="shared" si="0"/>
        <v>38603.92513376</v>
      </c>
      <c r="T50" s="78">
        <v>0</v>
      </c>
      <c r="U50" s="79">
        <v>0</v>
      </c>
      <c r="V50" s="79">
        <v>0.11600000000000001</v>
      </c>
      <c r="W50" s="79">
        <v>0.21499999999999997</v>
      </c>
      <c r="X50" s="79">
        <f t="shared" si="1"/>
        <v>0.33099999999999996</v>
      </c>
      <c r="Y50" s="79">
        <v>6440.0559999999996</v>
      </c>
      <c r="Z50" s="79">
        <v>304.68297871999999</v>
      </c>
      <c r="AA50" s="80">
        <f t="shared" si="2"/>
        <v>6744.73897872</v>
      </c>
      <c r="AB50" s="79"/>
      <c r="AC50" s="88">
        <v>0</v>
      </c>
      <c r="AD50" s="94">
        <f t="shared" si="3"/>
        <v>0</v>
      </c>
      <c r="AE50" s="89">
        <v>0</v>
      </c>
      <c r="AF50" s="94">
        <f t="shared" si="4"/>
        <v>0</v>
      </c>
      <c r="AG50" s="89">
        <v>0</v>
      </c>
      <c r="AH50" s="94">
        <f t="shared" si="5"/>
        <v>0</v>
      </c>
      <c r="AI50" s="89">
        <v>0</v>
      </c>
      <c r="AJ50" s="94">
        <f>AI50/$B$6</f>
        <v>0</v>
      </c>
      <c r="AK50" s="89">
        <v>0</v>
      </c>
      <c r="AL50" s="94">
        <f>AK50/$B$7</f>
        <v>0</v>
      </c>
      <c r="AM50" s="89">
        <v>0</v>
      </c>
      <c r="AN50" s="94">
        <f t="shared" si="6"/>
        <v>0</v>
      </c>
      <c r="AO50" s="89">
        <v>0</v>
      </c>
      <c r="AP50" s="94">
        <f t="shared" si="7"/>
        <v>0</v>
      </c>
      <c r="AQ50" s="79"/>
      <c r="AR50" s="88">
        <v>9166.9794000000002</v>
      </c>
      <c r="AS50" s="76">
        <v>443.9</v>
      </c>
      <c r="AT50" s="88">
        <v>96.5</v>
      </c>
      <c r="AU50" s="100">
        <f t="shared" si="8"/>
        <v>0.10299999999999999</v>
      </c>
      <c r="AV50" s="100">
        <f t="shared" si="9"/>
        <v>0.19299999999999998</v>
      </c>
      <c r="AW50" s="100">
        <f t="shared" si="10"/>
        <v>0.193</v>
      </c>
      <c r="AX50" s="94">
        <v>74.936000000000007</v>
      </c>
      <c r="AY50" s="76">
        <v>2503.3739999999998</v>
      </c>
      <c r="AZ50" s="100">
        <f>AX50/$B$9</f>
        <v>0.11600000000000001</v>
      </c>
      <c r="BA50" s="97">
        <f>AY50/$B$8</f>
        <v>0.21499999999999997</v>
      </c>
      <c r="BB50" s="88">
        <v>38445.199999999997</v>
      </c>
      <c r="BC50" s="76">
        <v>21949.125</v>
      </c>
      <c r="BD50" s="100">
        <f t="shared" si="11"/>
        <v>0.86199999999999999</v>
      </c>
      <c r="BE50" s="97">
        <f t="shared" si="12"/>
        <v>0.93500000000000005</v>
      </c>
      <c r="BG50" s="88">
        <v>1098.346</v>
      </c>
      <c r="BH50" s="114">
        <f>BG50/$B$10</f>
        <v>0.44599985381660484</v>
      </c>
      <c r="BI50" s="115">
        <v>974.91899999999998</v>
      </c>
      <c r="BJ50" s="114">
        <f>BI50/$B$11</f>
        <v>0.60667019290603608</v>
      </c>
      <c r="BK50" s="115">
        <v>1121.4780000000001</v>
      </c>
      <c r="BL50" s="114">
        <f t="shared" si="13"/>
        <v>0.5784392407674851</v>
      </c>
      <c r="BN50" s="111">
        <v>51358.995000000003</v>
      </c>
      <c r="BO50" s="114">
        <f t="shared" si="14"/>
        <v>0.73770491803278682</v>
      </c>
      <c r="BQ50" s="142">
        <v>3930.1149999999998</v>
      </c>
      <c r="BR50" s="131">
        <v>0</v>
      </c>
      <c r="BS50" s="143">
        <v>0</v>
      </c>
      <c r="BT50" s="105">
        <f t="shared" si="15"/>
        <v>0.12055567484662576</v>
      </c>
      <c r="BU50" s="20">
        <f t="shared" si="16"/>
        <v>0</v>
      </c>
      <c r="BV50" s="2">
        <v>0</v>
      </c>
      <c r="BW50" s="2">
        <v>0</v>
      </c>
      <c r="BX50" s="2">
        <v>0</v>
      </c>
      <c r="BY50" s="2">
        <v>1584.8920000000001</v>
      </c>
      <c r="BZ50" s="105">
        <f t="shared" si="17"/>
        <v>0.11759103724588219</v>
      </c>
      <c r="CA50" s="20">
        <f t="shared" si="18"/>
        <v>0</v>
      </c>
      <c r="CB50" s="5">
        <v>10800</v>
      </c>
      <c r="CC50" s="5">
        <v>913.9697658</v>
      </c>
      <c r="CE50" s="108">
        <v>-700</v>
      </c>
      <c r="CF50" s="153">
        <f t="shared" si="19"/>
        <v>0</v>
      </c>
      <c r="CG50" s="153">
        <v>4485</v>
      </c>
      <c r="CH50" s="153">
        <f t="shared" si="19"/>
        <v>4485</v>
      </c>
      <c r="CI50" s="153">
        <v>0</v>
      </c>
      <c r="CJ50" s="153">
        <f t="shared" ref="CJ50:CL50" si="300">IF(CI50&gt;0,CI50,0)</f>
        <v>0</v>
      </c>
      <c r="CK50" s="153">
        <v>-5000</v>
      </c>
      <c r="CL50" s="153">
        <f t="shared" si="300"/>
        <v>0</v>
      </c>
      <c r="CM50" s="153">
        <v>-5300</v>
      </c>
      <c r="CN50" s="153">
        <f t="shared" ref="CN50:CP50" si="301">IF(CM50&gt;0,CM50,0)</f>
        <v>0</v>
      </c>
      <c r="CO50" s="153">
        <v>-4000</v>
      </c>
      <c r="CP50" s="153">
        <f t="shared" si="301"/>
        <v>0</v>
      </c>
      <c r="CQ50" s="153">
        <v>4800</v>
      </c>
      <c r="CR50" s="153">
        <f t="shared" ref="CR50:CT50" si="302">IF(CQ50&gt;0,CQ50,0)</f>
        <v>4800</v>
      </c>
      <c r="CS50" s="153">
        <v>19917.952738119999</v>
      </c>
      <c r="CT50" s="153">
        <f t="shared" si="302"/>
        <v>19917.952738119999</v>
      </c>
      <c r="CU50" s="107">
        <f t="shared" si="23"/>
        <v>29202.952738119999</v>
      </c>
      <c r="CW50" s="108">
        <v>-700</v>
      </c>
      <c r="CX50" s="153">
        <f t="shared" si="24"/>
        <v>700</v>
      </c>
      <c r="CY50" s="153">
        <v>4485</v>
      </c>
      <c r="CZ50" s="153">
        <f t="shared" si="24"/>
        <v>0</v>
      </c>
      <c r="DA50" s="153">
        <v>0</v>
      </c>
      <c r="DB50" s="153">
        <f t="shared" ref="DB50:DD50" si="303">IF(DA50&lt;0,-DA50,0)</f>
        <v>0</v>
      </c>
      <c r="DC50" s="153">
        <v>-5000</v>
      </c>
      <c r="DD50" s="153">
        <f t="shared" si="303"/>
        <v>5000</v>
      </c>
      <c r="DE50" s="153">
        <v>-5300</v>
      </c>
      <c r="DF50" s="153">
        <f t="shared" ref="DF50:DH50" si="304">IF(DE50&lt;0,-DE50,0)</f>
        <v>5300</v>
      </c>
      <c r="DG50" s="153">
        <v>-4000</v>
      </c>
      <c r="DH50" s="153">
        <f t="shared" si="304"/>
        <v>4000</v>
      </c>
      <c r="DI50" s="153">
        <v>4800</v>
      </c>
      <c r="DJ50" s="153">
        <f t="shared" ref="DJ50:DL50" si="305">IF(DI50&lt;0,-DI50,0)</f>
        <v>0</v>
      </c>
      <c r="DK50" s="153">
        <v>19917.952738119999</v>
      </c>
      <c r="DL50" s="153">
        <f t="shared" si="305"/>
        <v>0</v>
      </c>
      <c r="DM50" s="107">
        <f t="shared" si="28"/>
        <v>15000</v>
      </c>
    </row>
    <row r="51" spans="13:117" s="5" customFormat="1" x14ac:dyDescent="0.35">
      <c r="M51" s="77">
        <f t="shared" si="29"/>
        <v>49</v>
      </c>
      <c r="N51" s="78">
        <v>0</v>
      </c>
      <c r="O51" s="79">
        <v>0</v>
      </c>
      <c r="P51" s="79">
        <v>0</v>
      </c>
      <c r="Q51" s="79">
        <v>34091.993000000002</v>
      </c>
      <c r="R51" s="79">
        <v>1350.0807294900001</v>
      </c>
      <c r="S51" s="79">
        <f t="shared" si="0"/>
        <v>35442.073729490003</v>
      </c>
      <c r="T51" s="78">
        <v>0</v>
      </c>
      <c r="U51" s="79">
        <v>0</v>
      </c>
      <c r="V51" s="79">
        <v>0.11</v>
      </c>
      <c r="W51" s="79">
        <v>0.23500000000000001</v>
      </c>
      <c r="X51" s="79">
        <f t="shared" si="1"/>
        <v>0.34500000000000003</v>
      </c>
      <c r="Y51" s="79">
        <v>5690.9629999999997</v>
      </c>
      <c r="Z51" s="79">
        <v>246.98723404</v>
      </c>
      <c r="AA51" s="80">
        <f t="shared" si="2"/>
        <v>5937.9502340399995</v>
      </c>
      <c r="AB51" s="79"/>
      <c r="AC51" s="88">
        <v>0</v>
      </c>
      <c r="AD51" s="94">
        <f t="shared" si="3"/>
        <v>0</v>
      </c>
      <c r="AE51" s="89">
        <v>0</v>
      </c>
      <c r="AF51" s="94">
        <f t="shared" si="4"/>
        <v>0</v>
      </c>
      <c r="AG51" s="89">
        <v>0</v>
      </c>
      <c r="AH51" s="94">
        <f t="shared" si="5"/>
        <v>0</v>
      </c>
      <c r="AI51" s="89">
        <v>0</v>
      </c>
      <c r="AJ51" s="94">
        <f>AI51/$B$6</f>
        <v>0</v>
      </c>
      <c r="AK51" s="89">
        <v>0</v>
      </c>
      <c r="AL51" s="94">
        <f>AK51/$B$7</f>
        <v>0</v>
      </c>
      <c r="AM51" s="89">
        <v>0</v>
      </c>
      <c r="AN51" s="94">
        <f t="shared" si="6"/>
        <v>0</v>
      </c>
      <c r="AO51" s="89">
        <v>0</v>
      </c>
      <c r="AP51" s="94">
        <f t="shared" si="7"/>
        <v>0</v>
      </c>
      <c r="AQ51" s="79"/>
      <c r="AR51" s="88">
        <v>9611.9784</v>
      </c>
      <c r="AS51" s="76">
        <v>420.9</v>
      </c>
      <c r="AT51" s="88">
        <v>91.5</v>
      </c>
      <c r="AU51" s="100">
        <f t="shared" si="8"/>
        <v>0.108</v>
      </c>
      <c r="AV51" s="100">
        <f t="shared" si="9"/>
        <v>0.183</v>
      </c>
      <c r="AW51" s="100">
        <f t="shared" si="10"/>
        <v>0.183</v>
      </c>
      <c r="AX51" s="94">
        <v>71.06</v>
      </c>
      <c r="AY51" s="76">
        <v>2736.2460000000001</v>
      </c>
      <c r="AZ51" s="100">
        <f>AX51/$B$9</f>
        <v>0.11</v>
      </c>
      <c r="BA51" s="97">
        <f>AY51/$B$8</f>
        <v>0.23500000000000001</v>
      </c>
      <c r="BB51" s="88">
        <v>38222.199999999997</v>
      </c>
      <c r="BC51" s="76">
        <v>21855.224999999999</v>
      </c>
      <c r="BD51" s="100">
        <f t="shared" si="11"/>
        <v>0.85699999999999998</v>
      </c>
      <c r="BE51" s="97">
        <f t="shared" si="12"/>
        <v>0.93099999999999994</v>
      </c>
      <c r="BG51" s="88">
        <v>1068.7940000000001</v>
      </c>
      <c r="BH51" s="114">
        <f>BG51/$B$10</f>
        <v>0.43399982133140597</v>
      </c>
      <c r="BI51" s="115">
        <v>895.11</v>
      </c>
      <c r="BJ51" s="114">
        <f>BI51/$B$11</f>
        <v>0.55700684505289355</v>
      </c>
      <c r="BK51" s="115">
        <v>1121.4780000000001</v>
      </c>
      <c r="BL51" s="114">
        <f t="shared" si="13"/>
        <v>0.5784392407674851</v>
      </c>
      <c r="BN51" s="111">
        <v>51358.995000000003</v>
      </c>
      <c r="BO51" s="114">
        <f t="shared" si="14"/>
        <v>0.73770491803278682</v>
      </c>
      <c r="BQ51" s="142">
        <v>4094.4569999999999</v>
      </c>
      <c r="BR51" s="131">
        <v>0</v>
      </c>
      <c r="BS51" s="143">
        <v>0</v>
      </c>
      <c r="BT51" s="105">
        <f t="shared" si="15"/>
        <v>0.12559684049079753</v>
      </c>
      <c r="BU51" s="20">
        <f t="shared" si="16"/>
        <v>0</v>
      </c>
      <c r="BV51" s="2">
        <v>0</v>
      </c>
      <c r="BW51" s="2">
        <v>0</v>
      </c>
      <c r="BX51" s="2">
        <v>0</v>
      </c>
      <c r="BY51" s="2">
        <v>1524.271</v>
      </c>
      <c r="BZ51" s="105">
        <f t="shared" si="17"/>
        <v>0.11309326309541474</v>
      </c>
      <c r="CA51" s="20">
        <f t="shared" si="18"/>
        <v>0</v>
      </c>
      <c r="CB51" s="5">
        <v>10800</v>
      </c>
      <c r="CC51" s="5">
        <v>913.96837700000003</v>
      </c>
      <c r="CE51" s="108">
        <v>-700</v>
      </c>
      <c r="CF51" s="153">
        <f t="shared" si="19"/>
        <v>0</v>
      </c>
      <c r="CG51" s="153">
        <v>4485</v>
      </c>
      <c r="CH51" s="153">
        <f t="shared" si="19"/>
        <v>4485</v>
      </c>
      <c r="CI51" s="153">
        <v>0</v>
      </c>
      <c r="CJ51" s="153">
        <f t="shared" ref="CJ51:CL51" si="306">IF(CI51&gt;0,CI51,0)</f>
        <v>0</v>
      </c>
      <c r="CK51" s="153">
        <v>-5000</v>
      </c>
      <c r="CL51" s="153">
        <f t="shared" si="306"/>
        <v>0</v>
      </c>
      <c r="CM51" s="153">
        <v>-1860.1406385299999</v>
      </c>
      <c r="CN51" s="153">
        <f t="shared" ref="CN51:CP51" si="307">IF(CM51&gt;0,CM51,0)</f>
        <v>0</v>
      </c>
      <c r="CO51" s="153">
        <v>-4000</v>
      </c>
      <c r="CP51" s="153">
        <f t="shared" si="307"/>
        <v>0</v>
      </c>
      <c r="CQ51" s="153">
        <v>4800</v>
      </c>
      <c r="CR51" s="153">
        <f t="shared" ref="CR51:CT51" si="308">IF(CQ51&gt;0,CQ51,0)</f>
        <v>4800</v>
      </c>
      <c r="CS51" s="153">
        <v>23388.955005749998</v>
      </c>
      <c r="CT51" s="153">
        <f t="shared" si="308"/>
        <v>23388.955005749998</v>
      </c>
      <c r="CU51" s="107">
        <f t="shared" si="23"/>
        <v>32673.955005749998</v>
      </c>
      <c r="CW51" s="108">
        <v>-700</v>
      </c>
      <c r="CX51" s="153">
        <f t="shared" si="24"/>
        <v>700</v>
      </c>
      <c r="CY51" s="153">
        <v>4485</v>
      </c>
      <c r="CZ51" s="153">
        <f t="shared" si="24"/>
        <v>0</v>
      </c>
      <c r="DA51" s="153">
        <v>0</v>
      </c>
      <c r="DB51" s="153">
        <f t="shared" ref="DB51:DD51" si="309">IF(DA51&lt;0,-DA51,0)</f>
        <v>0</v>
      </c>
      <c r="DC51" s="153">
        <v>-5000</v>
      </c>
      <c r="DD51" s="153">
        <f t="shared" si="309"/>
        <v>5000</v>
      </c>
      <c r="DE51" s="153">
        <v>-1860.1406385299999</v>
      </c>
      <c r="DF51" s="153">
        <f t="shared" ref="DF51:DH51" si="310">IF(DE51&lt;0,-DE51,0)</f>
        <v>1860.1406385299999</v>
      </c>
      <c r="DG51" s="153">
        <v>-4000</v>
      </c>
      <c r="DH51" s="153">
        <f t="shared" si="310"/>
        <v>4000</v>
      </c>
      <c r="DI51" s="153">
        <v>4800</v>
      </c>
      <c r="DJ51" s="153">
        <f t="shared" ref="DJ51:DL51" si="311">IF(DI51&lt;0,-DI51,0)</f>
        <v>0</v>
      </c>
      <c r="DK51" s="153">
        <v>23388.955005749998</v>
      </c>
      <c r="DL51" s="153">
        <f t="shared" si="311"/>
        <v>0</v>
      </c>
      <c r="DM51" s="107">
        <f t="shared" si="28"/>
        <v>11560.14063853</v>
      </c>
    </row>
    <row r="52" spans="13:117" s="5" customFormat="1" x14ac:dyDescent="0.35">
      <c r="M52" s="77">
        <f t="shared" si="29"/>
        <v>50</v>
      </c>
      <c r="N52" s="78">
        <v>0</v>
      </c>
      <c r="O52" s="79">
        <v>0</v>
      </c>
      <c r="P52" s="79">
        <v>0</v>
      </c>
      <c r="Q52" s="79">
        <v>32214.328489359999</v>
      </c>
      <c r="R52" s="79">
        <v>900.23500904000002</v>
      </c>
      <c r="S52" s="79">
        <f t="shared" si="0"/>
        <v>33114.563498399999</v>
      </c>
      <c r="T52" s="78">
        <v>0</v>
      </c>
      <c r="U52" s="79">
        <v>0</v>
      </c>
      <c r="V52" s="79">
        <v>0.106</v>
      </c>
      <c r="W52" s="79">
        <v>0.247</v>
      </c>
      <c r="X52" s="79">
        <f t="shared" si="1"/>
        <v>0.35299999999999998</v>
      </c>
      <c r="Y52" s="79">
        <v>5321.1009999999997</v>
      </c>
      <c r="Z52" s="79">
        <v>103.29766454999999</v>
      </c>
      <c r="AA52" s="80">
        <f t="shared" si="2"/>
        <v>5424.3986645499999</v>
      </c>
      <c r="AB52" s="79"/>
      <c r="AC52" s="88">
        <v>0</v>
      </c>
      <c r="AD52" s="94">
        <f t="shared" si="3"/>
        <v>0</v>
      </c>
      <c r="AE52" s="89">
        <v>0</v>
      </c>
      <c r="AF52" s="94">
        <f t="shared" si="4"/>
        <v>0</v>
      </c>
      <c r="AG52" s="89">
        <v>0</v>
      </c>
      <c r="AH52" s="94">
        <f t="shared" si="5"/>
        <v>0</v>
      </c>
      <c r="AI52" s="89">
        <v>0</v>
      </c>
      <c r="AJ52" s="94">
        <f>AI52/$B$6</f>
        <v>0</v>
      </c>
      <c r="AK52" s="89">
        <v>0</v>
      </c>
      <c r="AL52" s="94">
        <f>AK52/$B$7</f>
        <v>0</v>
      </c>
      <c r="AM52" s="89">
        <v>0</v>
      </c>
      <c r="AN52" s="94">
        <f t="shared" si="6"/>
        <v>0</v>
      </c>
      <c r="AO52" s="89">
        <v>0</v>
      </c>
      <c r="AP52" s="94">
        <f t="shared" si="7"/>
        <v>0</v>
      </c>
      <c r="AQ52" s="79"/>
      <c r="AR52" s="88">
        <v>9878.9778000000006</v>
      </c>
      <c r="AS52" s="76">
        <v>409.4</v>
      </c>
      <c r="AT52" s="88">
        <v>89</v>
      </c>
      <c r="AU52" s="100">
        <f t="shared" si="8"/>
        <v>0.111</v>
      </c>
      <c r="AV52" s="100">
        <f t="shared" si="9"/>
        <v>0.17799999999999999</v>
      </c>
      <c r="AW52" s="100">
        <f t="shared" si="10"/>
        <v>0.17799999999999999</v>
      </c>
      <c r="AX52" s="94">
        <v>68.475999999999999</v>
      </c>
      <c r="AY52" s="76">
        <v>2875.9692</v>
      </c>
      <c r="AZ52" s="100">
        <f>AX52/$B$9</f>
        <v>0.106</v>
      </c>
      <c r="BA52" s="97">
        <f>AY52/$B$8</f>
        <v>0.247</v>
      </c>
      <c r="BB52" s="88">
        <v>37954.6</v>
      </c>
      <c r="BC52" s="76">
        <v>21456.15</v>
      </c>
      <c r="BD52" s="100">
        <f t="shared" si="11"/>
        <v>0.85099999999999998</v>
      </c>
      <c r="BE52" s="97">
        <f t="shared" si="12"/>
        <v>0.91400000000000003</v>
      </c>
      <c r="BG52" s="88">
        <v>1058.944</v>
      </c>
      <c r="BH52" s="114">
        <f>BG52/$B$10</f>
        <v>0.43000008121299732</v>
      </c>
      <c r="BI52" s="115">
        <v>888.40899999999999</v>
      </c>
      <c r="BJ52" s="114">
        <f>BI52/$B$11</f>
        <v>0.55283696328562537</v>
      </c>
      <c r="BK52" s="115">
        <v>1121.4780000000001</v>
      </c>
      <c r="BL52" s="114">
        <f t="shared" si="13"/>
        <v>0.5784392407674851</v>
      </c>
      <c r="BN52" s="111">
        <v>52500.305999999997</v>
      </c>
      <c r="BO52" s="114">
        <f t="shared" si="14"/>
        <v>0.75409836065573765</v>
      </c>
      <c r="BQ52" s="142">
        <v>4236.8320000000003</v>
      </c>
      <c r="BR52" s="131">
        <v>0</v>
      </c>
      <c r="BS52" s="143">
        <v>0</v>
      </c>
      <c r="BT52" s="105">
        <f t="shared" si="15"/>
        <v>0.1299641717791411</v>
      </c>
      <c r="BU52" s="20">
        <f t="shared" si="16"/>
        <v>0</v>
      </c>
      <c r="BV52" s="2">
        <v>0</v>
      </c>
      <c r="BW52" s="2">
        <v>0</v>
      </c>
      <c r="BX52" s="2">
        <v>0</v>
      </c>
      <c r="BY52" s="2">
        <v>1510.5139999999999</v>
      </c>
      <c r="BZ52" s="105">
        <f t="shared" si="17"/>
        <v>0.11207256269476183</v>
      </c>
      <c r="CA52" s="20">
        <f t="shared" si="18"/>
        <v>0</v>
      </c>
      <c r="CB52" s="5">
        <v>10800</v>
      </c>
      <c r="CC52" s="5">
        <v>913.96837700000003</v>
      </c>
      <c r="CE52" s="108">
        <v>-700</v>
      </c>
      <c r="CF52" s="153">
        <f t="shared" si="19"/>
        <v>0</v>
      </c>
      <c r="CG52" s="153">
        <v>4485</v>
      </c>
      <c r="CH52" s="153">
        <f t="shared" si="19"/>
        <v>4485</v>
      </c>
      <c r="CI52" s="153">
        <v>0</v>
      </c>
      <c r="CJ52" s="153">
        <f t="shared" ref="CJ52:CL52" si="312">IF(CI52&gt;0,CI52,0)</f>
        <v>0</v>
      </c>
      <c r="CK52" s="153">
        <v>-5000</v>
      </c>
      <c r="CL52" s="153">
        <f t="shared" si="312"/>
        <v>0</v>
      </c>
      <c r="CM52" s="153">
        <v>-2919.8455569900002</v>
      </c>
      <c r="CN52" s="153">
        <f t="shared" ref="CN52:CP52" si="313">IF(CM52&gt;0,CM52,0)</f>
        <v>0</v>
      </c>
      <c r="CO52" s="153">
        <v>-4000</v>
      </c>
      <c r="CP52" s="153">
        <f t="shared" si="313"/>
        <v>0</v>
      </c>
      <c r="CQ52" s="153">
        <v>4800</v>
      </c>
      <c r="CR52" s="153">
        <f t="shared" ref="CR52:CT52" si="314">IF(CQ52&gt;0,CQ52,0)</f>
        <v>4800</v>
      </c>
      <c r="CS52" s="153">
        <v>23867.5006192</v>
      </c>
      <c r="CT52" s="153">
        <f t="shared" si="314"/>
        <v>23867.5006192</v>
      </c>
      <c r="CU52" s="107">
        <f t="shared" si="23"/>
        <v>33152.5006192</v>
      </c>
      <c r="CW52" s="108">
        <v>-700</v>
      </c>
      <c r="CX52" s="153">
        <f t="shared" si="24"/>
        <v>700</v>
      </c>
      <c r="CY52" s="153">
        <v>4485</v>
      </c>
      <c r="CZ52" s="153">
        <f t="shared" si="24"/>
        <v>0</v>
      </c>
      <c r="DA52" s="153">
        <v>0</v>
      </c>
      <c r="DB52" s="153">
        <f t="shared" ref="DB52:DD52" si="315">IF(DA52&lt;0,-DA52,0)</f>
        <v>0</v>
      </c>
      <c r="DC52" s="153">
        <v>-5000</v>
      </c>
      <c r="DD52" s="153">
        <f t="shared" si="315"/>
        <v>5000</v>
      </c>
      <c r="DE52" s="153">
        <v>-2919.8455569900002</v>
      </c>
      <c r="DF52" s="153">
        <f t="shared" ref="DF52:DH52" si="316">IF(DE52&lt;0,-DE52,0)</f>
        <v>2919.8455569900002</v>
      </c>
      <c r="DG52" s="153">
        <v>-4000</v>
      </c>
      <c r="DH52" s="153">
        <f t="shared" si="316"/>
        <v>4000</v>
      </c>
      <c r="DI52" s="153">
        <v>4800</v>
      </c>
      <c r="DJ52" s="153">
        <f t="shared" ref="DJ52:DL52" si="317">IF(DI52&lt;0,-DI52,0)</f>
        <v>0</v>
      </c>
      <c r="DK52" s="153">
        <v>23867.5006192</v>
      </c>
      <c r="DL52" s="153">
        <f t="shared" si="317"/>
        <v>0</v>
      </c>
      <c r="DM52" s="107">
        <f t="shared" si="28"/>
        <v>12619.84555699</v>
      </c>
    </row>
    <row r="53" spans="13:117" s="5" customFormat="1" x14ac:dyDescent="0.35">
      <c r="M53" s="77">
        <f t="shared" si="29"/>
        <v>51</v>
      </c>
      <c r="N53" s="78">
        <v>0</v>
      </c>
      <c r="O53" s="79">
        <v>0</v>
      </c>
      <c r="P53" s="79">
        <v>0</v>
      </c>
      <c r="Q53" s="79">
        <v>31152.763893619998</v>
      </c>
      <c r="R53" s="79">
        <v>1494.0810072700001</v>
      </c>
      <c r="S53" s="79">
        <f t="shared" si="0"/>
        <v>32646.844900889999</v>
      </c>
      <c r="T53" s="78">
        <v>0</v>
      </c>
      <c r="U53" s="79">
        <v>0</v>
      </c>
      <c r="V53" s="79">
        <v>0.11</v>
      </c>
      <c r="W53" s="79">
        <v>0.255</v>
      </c>
      <c r="X53" s="79">
        <f t="shared" si="1"/>
        <v>0.36499999999999999</v>
      </c>
      <c r="Y53" s="79">
        <v>4892.9080000000004</v>
      </c>
      <c r="Z53" s="79">
        <v>177.81170212999999</v>
      </c>
      <c r="AA53" s="80">
        <f t="shared" si="2"/>
        <v>5070.7197021300008</v>
      </c>
      <c r="AB53" s="79"/>
      <c r="AC53" s="88">
        <v>0</v>
      </c>
      <c r="AD53" s="94">
        <f t="shared" si="3"/>
        <v>0</v>
      </c>
      <c r="AE53" s="89">
        <v>0</v>
      </c>
      <c r="AF53" s="94">
        <f t="shared" si="4"/>
        <v>0</v>
      </c>
      <c r="AG53" s="89">
        <v>0</v>
      </c>
      <c r="AH53" s="94">
        <f t="shared" si="5"/>
        <v>0</v>
      </c>
      <c r="AI53" s="89">
        <v>0</v>
      </c>
      <c r="AJ53" s="94">
        <f>AI53/$B$6</f>
        <v>0</v>
      </c>
      <c r="AK53" s="89">
        <v>0</v>
      </c>
      <c r="AL53" s="94">
        <f>AK53/$B$7</f>
        <v>0</v>
      </c>
      <c r="AM53" s="89">
        <v>0</v>
      </c>
      <c r="AN53" s="94">
        <f t="shared" si="6"/>
        <v>0</v>
      </c>
      <c r="AO53" s="89">
        <v>0</v>
      </c>
      <c r="AP53" s="94">
        <f t="shared" si="7"/>
        <v>0</v>
      </c>
      <c r="AQ53" s="79"/>
      <c r="AR53" s="88">
        <v>10145.977199999999</v>
      </c>
      <c r="AS53" s="76">
        <v>391</v>
      </c>
      <c r="AT53" s="88">
        <v>85</v>
      </c>
      <c r="AU53" s="100">
        <f t="shared" si="8"/>
        <v>0.11399999999999999</v>
      </c>
      <c r="AV53" s="100">
        <f t="shared" si="9"/>
        <v>0.17</v>
      </c>
      <c r="AW53" s="100">
        <f t="shared" si="10"/>
        <v>0.17</v>
      </c>
      <c r="AX53" s="94">
        <v>71.06</v>
      </c>
      <c r="AY53" s="76">
        <v>2969.1179999999999</v>
      </c>
      <c r="AZ53" s="100">
        <f>AX53/$B$9</f>
        <v>0.11</v>
      </c>
      <c r="BA53" s="97">
        <f>AY53/$B$8</f>
        <v>0.255</v>
      </c>
      <c r="BB53" s="88">
        <v>37330.199999999997</v>
      </c>
      <c r="BC53" s="76">
        <v>20916.224999999999</v>
      </c>
      <c r="BD53" s="100">
        <f t="shared" si="11"/>
        <v>0.83699999999999997</v>
      </c>
      <c r="BE53" s="97">
        <f t="shared" si="12"/>
        <v>0.8909999999999999</v>
      </c>
      <c r="BG53" s="88">
        <v>1039.2429999999999</v>
      </c>
      <c r="BH53" s="114">
        <f>BG53/$B$10</f>
        <v>0.42200019491119356</v>
      </c>
      <c r="BI53" s="115">
        <v>887.54899999999998</v>
      </c>
      <c r="BJ53" s="114">
        <f>BI53/$B$11</f>
        <v>0.55230180460485379</v>
      </c>
      <c r="BK53" s="115">
        <v>1121.4780000000001</v>
      </c>
      <c r="BL53" s="114">
        <f t="shared" si="13"/>
        <v>0.5784392407674851</v>
      </c>
      <c r="BN53" s="111">
        <v>52500.305999999997</v>
      </c>
      <c r="BO53" s="114">
        <f t="shared" si="14"/>
        <v>0.75409836065573765</v>
      </c>
      <c r="BQ53" s="142">
        <v>4313.2849999999999</v>
      </c>
      <c r="BR53" s="131">
        <v>0</v>
      </c>
      <c r="BS53" s="143">
        <v>0</v>
      </c>
      <c r="BT53" s="105">
        <f t="shared" si="15"/>
        <v>0.13230935582822084</v>
      </c>
      <c r="BU53" s="20">
        <f t="shared" si="16"/>
        <v>0</v>
      </c>
      <c r="BV53" s="2">
        <v>0</v>
      </c>
      <c r="BW53" s="2">
        <v>0</v>
      </c>
      <c r="BX53" s="2">
        <v>0</v>
      </c>
      <c r="BY53" s="2">
        <v>1564.1980000000001</v>
      </c>
      <c r="BZ53" s="105">
        <f t="shared" si="17"/>
        <v>0.1160556462383143</v>
      </c>
      <c r="CA53" s="20">
        <f t="shared" si="18"/>
        <v>0</v>
      </c>
      <c r="CB53" s="5">
        <v>10800</v>
      </c>
      <c r="CC53" s="5">
        <v>913.96837700000003</v>
      </c>
      <c r="CE53" s="108">
        <v>-700</v>
      </c>
      <c r="CF53" s="153">
        <f t="shared" si="19"/>
        <v>0</v>
      </c>
      <c r="CG53" s="153">
        <v>4485</v>
      </c>
      <c r="CH53" s="153">
        <f t="shared" si="19"/>
        <v>4485</v>
      </c>
      <c r="CI53" s="153">
        <v>0</v>
      </c>
      <c r="CJ53" s="153">
        <f t="shared" ref="CJ53:CL53" si="318">IF(CI53&gt;0,CI53,0)</f>
        <v>0</v>
      </c>
      <c r="CK53" s="153">
        <v>-5000</v>
      </c>
      <c r="CL53" s="153">
        <f t="shared" si="318"/>
        <v>0</v>
      </c>
      <c r="CM53" s="153">
        <v>-5300</v>
      </c>
      <c r="CN53" s="153">
        <f t="shared" ref="CN53:CP53" si="319">IF(CM53&gt;0,CM53,0)</f>
        <v>0</v>
      </c>
      <c r="CO53" s="153">
        <v>-4000</v>
      </c>
      <c r="CP53" s="153">
        <f t="shared" si="319"/>
        <v>0</v>
      </c>
      <c r="CQ53" s="153">
        <v>4800</v>
      </c>
      <c r="CR53" s="153">
        <f t="shared" ref="CR53:CT53" si="320">IF(CQ53&gt;0,CQ53,0)</f>
        <v>4800</v>
      </c>
      <c r="CS53" s="153">
        <v>23671.04245279</v>
      </c>
      <c r="CT53" s="153">
        <f t="shared" si="320"/>
        <v>23671.04245279</v>
      </c>
      <c r="CU53" s="107">
        <f t="shared" si="23"/>
        <v>32956.042452790003</v>
      </c>
      <c r="CW53" s="108">
        <v>-700</v>
      </c>
      <c r="CX53" s="153">
        <f t="shared" si="24"/>
        <v>700</v>
      </c>
      <c r="CY53" s="153">
        <v>4485</v>
      </c>
      <c r="CZ53" s="153">
        <f t="shared" si="24"/>
        <v>0</v>
      </c>
      <c r="DA53" s="153">
        <v>0</v>
      </c>
      <c r="DB53" s="153">
        <f t="shared" ref="DB53:DD53" si="321">IF(DA53&lt;0,-DA53,0)</f>
        <v>0</v>
      </c>
      <c r="DC53" s="153">
        <v>-5000</v>
      </c>
      <c r="DD53" s="153">
        <f t="shared" si="321"/>
        <v>5000</v>
      </c>
      <c r="DE53" s="153">
        <v>-5300</v>
      </c>
      <c r="DF53" s="153">
        <f t="shared" ref="DF53:DH53" si="322">IF(DE53&lt;0,-DE53,0)</f>
        <v>5300</v>
      </c>
      <c r="DG53" s="153">
        <v>-4000</v>
      </c>
      <c r="DH53" s="153">
        <f t="shared" si="322"/>
        <v>4000</v>
      </c>
      <c r="DI53" s="153">
        <v>4800</v>
      </c>
      <c r="DJ53" s="153">
        <f t="shared" ref="DJ53:DL53" si="323">IF(DI53&lt;0,-DI53,0)</f>
        <v>0</v>
      </c>
      <c r="DK53" s="153">
        <v>23671.04245279</v>
      </c>
      <c r="DL53" s="153">
        <f t="shared" si="323"/>
        <v>0</v>
      </c>
      <c r="DM53" s="107">
        <f t="shared" si="28"/>
        <v>15000</v>
      </c>
    </row>
    <row r="54" spans="13:117" s="5" customFormat="1" x14ac:dyDescent="0.35">
      <c r="M54" s="77">
        <f t="shared" si="29"/>
        <v>52</v>
      </c>
      <c r="N54" s="78">
        <v>0</v>
      </c>
      <c r="O54" s="79">
        <v>0</v>
      </c>
      <c r="P54" s="79">
        <v>0</v>
      </c>
      <c r="Q54" s="79">
        <v>30795.38287234</v>
      </c>
      <c r="R54" s="79">
        <v>2326.8062958999999</v>
      </c>
      <c r="S54" s="79">
        <f t="shared" si="0"/>
        <v>33122.189168240002</v>
      </c>
      <c r="T54" s="78">
        <v>0</v>
      </c>
      <c r="U54" s="79">
        <v>0</v>
      </c>
      <c r="V54" s="79">
        <v>0.111</v>
      </c>
      <c r="W54" s="79">
        <v>0.254</v>
      </c>
      <c r="X54" s="79">
        <f t="shared" si="1"/>
        <v>0.36499999999999999</v>
      </c>
      <c r="Y54" s="79">
        <v>4771.9589999999998</v>
      </c>
      <c r="Z54" s="79">
        <v>161.65531915</v>
      </c>
      <c r="AA54" s="80">
        <f t="shared" si="2"/>
        <v>4933.6143191499996</v>
      </c>
      <c r="AB54" s="79"/>
      <c r="AC54" s="88">
        <v>0</v>
      </c>
      <c r="AD54" s="94">
        <f t="shared" si="3"/>
        <v>0</v>
      </c>
      <c r="AE54" s="89">
        <v>0</v>
      </c>
      <c r="AF54" s="94">
        <f t="shared" si="4"/>
        <v>0</v>
      </c>
      <c r="AG54" s="89">
        <v>0</v>
      </c>
      <c r="AH54" s="94">
        <f t="shared" si="5"/>
        <v>0</v>
      </c>
      <c r="AI54" s="89">
        <v>0</v>
      </c>
      <c r="AJ54" s="94">
        <f>AI54/$B$6</f>
        <v>0</v>
      </c>
      <c r="AK54" s="89">
        <v>0</v>
      </c>
      <c r="AL54" s="94">
        <f>AK54/$B$7</f>
        <v>0</v>
      </c>
      <c r="AM54" s="89">
        <v>0</v>
      </c>
      <c r="AN54" s="94">
        <f t="shared" si="6"/>
        <v>0</v>
      </c>
      <c r="AO54" s="89">
        <v>0</v>
      </c>
      <c r="AP54" s="94">
        <f t="shared" si="7"/>
        <v>0</v>
      </c>
      <c r="AQ54" s="79"/>
      <c r="AR54" s="88">
        <v>9700.9781999999996</v>
      </c>
      <c r="AS54" s="76">
        <v>377.2</v>
      </c>
      <c r="AT54" s="88">
        <v>82</v>
      </c>
      <c r="AU54" s="100">
        <f t="shared" si="8"/>
        <v>0.10899999999999999</v>
      </c>
      <c r="AV54" s="100">
        <f t="shared" si="9"/>
        <v>0.16400000000000001</v>
      </c>
      <c r="AW54" s="100">
        <f t="shared" si="10"/>
        <v>0.16400000000000001</v>
      </c>
      <c r="AX54" s="94">
        <v>71.706000000000003</v>
      </c>
      <c r="AY54" s="76">
        <v>2957.4744000000001</v>
      </c>
      <c r="AZ54" s="100">
        <f>AX54/$B$9</f>
        <v>0.111</v>
      </c>
      <c r="BA54" s="97">
        <f>AY54/$B$8</f>
        <v>0.254</v>
      </c>
      <c r="BB54" s="88">
        <v>36304.400000000001</v>
      </c>
      <c r="BC54" s="76">
        <v>20094.599999999999</v>
      </c>
      <c r="BD54" s="100">
        <f t="shared" si="11"/>
        <v>0.81400000000000006</v>
      </c>
      <c r="BE54" s="97">
        <f t="shared" si="12"/>
        <v>0.85599999999999998</v>
      </c>
      <c r="BG54" s="88">
        <v>1026.9290000000001</v>
      </c>
      <c r="BH54" s="114">
        <f>BG54/$B$10</f>
        <v>0.41699991066570302</v>
      </c>
      <c r="BI54" s="115">
        <v>878.93799999999999</v>
      </c>
      <c r="BJ54" s="114">
        <f>BI54/$B$11</f>
        <v>0.54694337274424387</v>
      </c>
      <c r="BK54" s="115">
        <v>1121.4780000000001</v>
      </c>
      <c r="BL54" s="114">
        <f t="shared" si="13"/>
        <v>0.5784392407674851</v>
      </c>
      <c r="BN54" s="111">
        <v>51358.995000000003</v>
      </c>
      <c r="BO54" s="114">
        <f t="shared" si="14"/>
        <v>0.73770491803278682</v>
      </c>
      <c r="BQ54" s="142">
        <v>4148.1620000000003</v>
      </c>
      <c r="BR54" s="131">
        <v>0</v>
      </c>
      <c r="BS54" s="143">
        <v>0</v>
      </c>
      <c r="BT54" s="105">
        <f t="shared" si="15"/>
        <v>0.12724423312883437</v>
      </c>
      <c r="BU54" s="20">
        <f t="shared" si="16"/>
        <v>0</v>
      </c>
      <c r="BV54" s="2">
        <v>0</v>
      </c>
      <c r="BW54" s="2">
        <v>0</v>
      </c>
      <c r="BX54" s="2">
        <v>0</v>
      </c>
      <c r="BY54" s="2">
        <v>1595.614</v>
      </c>
      <c r="BZ54" s="105">
        <f t="shared" si="17"/>
        <v>0.11838655586882327</v>
      </c>
      <c r="CA54" s="20">
        <f t="shared" si="18"/>
        <v>0</v>
      </c>
      <c r="CB54" s="5">
        <v>10800</v>
      </c>
      <c r="CC54" s="5">
        <v>913.96837700000003</v>
      </c>
      <c r="CE54" s="108">
        <v>-700</v>
      </c>
      <c r="CF54" s="153">
        <f t="shared" si="19"/>
        <v>0</v>
      </c>
      <c r="CG54" s="153">
        <v>4485</v>
      </c>
      <c r="CH54" s="153">
        <f t="shared" si="19"/>
        <v>4485</v>
      </c>
      <c r="CI54" s="153">
        <v>0</v>
      </c>
      <c r="CJ54" s="153">
        <f t="shared" ref="CJ54:CL54" si="324">IF(CI54&gt;0,CI54,0)</f>
        <v>0</v>
      </c>
      <c r="CK54" s="153">
        <v>-5000</v>
      </c>
      <c r="CL54" s="153">
        <f t="shared" si="324"/>
        <v>0</v>
      </c>
      <c r="CM54" s="153">
        <v>-2434.5453135500002</v>
      </c>
      <c r="CN54" s="153">
        <f t="shared" ref="CN54:CP54" si="325">IF(CM54&gt;0,CM54,0)</f>
        <v>0</v>
      </c>
      <c r="CO54" s="153">
        <v>-4000</v>
      </c>
      <c r="CP54" s="153">
        <f t="shared" si="325"/>
        <v>0</v>
      </c>
      <c r="CQ54" s="153">
        <v>4800</v>
      </c>
      <c r="CR54" s="153">
        <f t="shared" ref="CR54:CT54" si="326">IF(CQ54&gt;0,CQ54,0)</f>
        <v>4800</v>
      </c>
      <c r="CS54" s="153">
        <v>26375.625330729999</v>
      </c>
      <c r="CT54" s="153">
        <f t="shared" si="326"/>
        <v>26375.625330729999</v>
      </c>
      <c r="CU54" s="107">
        <f t="shared" si="23"/>
        <v>35660.625330729999</v>
      </c>
      <c r="CW54" s="108">
        <v>-700</v>
      </c>
      <c r="CX54" s="153">
        <f t="shared" si="24"/>
        <v>700</v>
      </c>
      <c r="CY54" s="153">
        <v>4485</v>
      </c>
      <c r="CZ54" s="153">
        <f t="shared" si="24"/>
        <v>0</v>
      </c>
      <c r="DA54" s="153">
        <v>0</v>
      </c>
      <c r="DB54" s="153">
        <f t="shared" ref="DB54:DD54" si="327">IF(DA54&lt;0,-DA54,0)</f>
        <v>0</v>
      </c>
      <c r="DC54" s="153">
        <v>-5000</v>
      </c>
      <c r="DD54" s="153">
        <f t="shared" si="327"/>
        <v>5000</v>
      </c>
      <c r="DE54" s="153">
        <v>-2434.5453135500002</v>
      </c>
      <c r="DF54" s="153">
        <f t="shared" ref="DF54:DH54" si="328">IF(DE54&lt;0,-DE54,0)</f>
        <v>2434.5453135500002</v>
      </c>
      <c r="DG54" s="153">
        <v>-4000</v>
      </c>
      <c r="DH54" s="153">
        <f t="shared" si="328"/>
        <v>4000</v>
      </c>
      <c r="DI54" s="153">
        <v>4800</v>
      </c>
      <c r="DJ54" s="153">
        <f t="shared" ref="DJ54:DL54" si="329">IF(DI54&lt;0,-DI54,0)</f>
        <v>0</v>
      </c>
      <c r="DK54" s="153">
        <v>26375.625330729999</v>
      </c>
      <c r="DL54" s="153">
        <f t="shared" si="329"/>
        <v>0</v>
      </c>
      <c r="DM54" s="107">
        <f t="shared" si="28"/>
        <v>12134.545313549999</v>
      </c>
    </row>
    <row r="55" spans="13:117" s="5" customFormat="1" x14ac:dyDescent="0.35">
      <c r="M55" s="77">
        <f t="shared" si="29"/>
        <v>53</v>
      </c>
      <c r="N55" s="78">
        <v>0</v>
      </c>
      <c r="O55" s="79">
        <v>0</v>
      </c>
      <c r="P55" s="79">
        <v>0</v>
      </c>
      <c r="Q55" s="79">
        <v>31572.450063830001</v>
      </c>
      <c r="R55" s="79">
        <v>2612.1293219499998</v>
      </c>
      <c r="S55" s="79">
        <f t="shared" si="0"/>
        <v>34184.579385780002</v>
      </c>
      <c r="T55" s="78">
        <v>0</v>
      </c>
      <c r="U55" s="79">
        <v>0</v>
      </c>
      <c r="V55" s="79">
        <v>0.112</v>
      </c>
      <c r="W55" s="79">
        <v>0.25</v>
      </c>
      <c r="X55" s="79">
        <f t="shared" si="1"/>
        <v>0.36199999999999999</v>
      </c>
      <c r="Y55" s="79">
        <v>4773.7979999999998</v>
      </c>
      <c r="Z55" s="79">
        <v>164.99893617000001</v>
      </c>
      <c r="AA55" s="80">
        <f t="shared" si="2"/>
        <v>4938.7969361699998</v>
      </c>
      <c r="AB55" s="79"/>
      <c r="AC55" s="88">
        <v>0</v>
      </c>
      <c r="AD55" s="94">
        <f t="shared" si="3"/>
        <v>0</v>
      </c>
      <c r="AE55" s="89">
        <v>0</v>
      </c>
      <c r="AF55" s="94">
        <f t="shared" si="4"/>
        <v>0</v>
      </c>
      <c r="AG55" s="89">
        <v>0</v>
      </c>
      <c r="AH55" s="94">
        <f t="shared" si="5"/>
        <v>0</v>
      </c>
      <c r="AI55" s="89">
        <v>0</v>
      </c>
      <c r="AJ55" s="94">
        <f>AI55/$B$6</f>
        <v>0</v>
      </c>
      <c r="AK55" s="89">
        <v>0</v>
      </c>
      <c r="AL55" s="94">
        <f>AK55/$B$7</f>
        <v>0</v>
      </c>
      <c r="AM55" s="89">
        <v>0</v>
      </c>
      <c r="AN55" s="94">
        <f t="shared" si="6"/>
        <v>0</v>
      </c>
      <c r="AO55" s="89">
        <v>0</v>
      </c>
      <c r="AP55" s="94">
        <f t="shared" si="7"/>
        <v>0</v>
      </c>
      <c r="AQ55" s="79"/>
      <c r="AR55" s="88">
        <v>9344.9789999999994</v>
      </c>
      <c r="AS55" s="76">
        <v>370.3</v>
      </c>
      <c r="AT55" s="88">
        <v>80.5</v>
      </c>
      <c r="AU55" s="100">
        <f t="shared" si="8"/>
        <v>0.105</v>
      </c>
      <c r="AV55" s="100">
        <f t="shared" si="9"/>
        <v>0.161</v>
      </c>
      <c r="AW55" s="100">
        <f t="shared" si="10"/>
        <v>0.161</v>
      </c>
      <c r="AX55" s="94">
        <v>72.352000000000004</v>
      </c>
      <c r="AY55" s="76">
        <v>2910.9</v>
      </c>
      <c r="AZ55" s="100">
        <f>AX55/$B$9</f>
        <v>0.112</v>
      </c>
      <c r="BA55" s="97">
        <f>AY55/$B$8</f>
        <v>0.25</v>
      </c>
      <c r="BB55" s="88">
        <v>35323.199999999997</v>
      </c>
      <c r="BC55" s="76">
        <v>19390.349999999999</v>
      </c>
      <c r="BD55" s="100">
        <f t="shared" si="11"/>
        <v>0.79199999999999993</v>
      </c>
      <c r="BE55" s="97">
        <f t="shared" si="12"/>
        <v>0.82599999999999996</v>
      </c>
      <c r="BG55" s="88">
        <v>1022.004</v>
      </c>
      <c r="BH55" s="114">
        <f>BG55/$B$10</f>
        <v>0.4150000406064987</v>
      </c>
      <c r="BI55" s="115">
        <v>864.82</v>
      </c>
      <c r="BJ55" s="114">
        <f>BI55/$B$11</f>
        <v>0.53815805849408838</v>
      </c>
      <c r="BK55" s="115">
        <v>1121.4780000000001</v>
      </c>
      <c r="BL55" s="114">
        <f t="shared" si="13"/>
        <v>0.5784392407674851</v>
      </c>
      <c r="BN55" s="111">
        <v>51358.995000000003</v>
      </c>
      <c r="BO55" s="114">
        <f t="shared" si="14"/>
        <v>0.73770491803278682</v>
      </c>
      <c r="BQ55" s="142">
        <v>3980.1759999999999</v>
      </c>
      <c r="BR55" s="131">
        <v>0</v>
      </c>
      <c r="BS55" s="143">
        <v>0</v>
      </c>
      <c r="BT55" s="105">
        <f t="shared" si="15"/>
        <v>0.12209128834355829</v>
      </c>
      <c r="BU55" s="20">
        <f t="shared" si="16"/>
        <v>0</v>
      </c>
      <c r="BV55" s="2">
        <v>0</v>
      </c>
      <c r="BW55" s="2">
        <v>0</v>
      </c>
      <c r="BX55" s="2">
        <v>0</v>
      </c>
      <c r="BY55" s="2">
        <v>1609.566</v>
      </c>
      <c r="BZ55" s="105">
        <f t="shared" si="17"/>
        <v>0.11942172429143789</v>
      </c>
      <c r="CA55" s="20">
        <f t="shared" si="18"/>
        <v>0</v>
      </c>
      <c r="CB55" s="5">
        <v>10800</v>
      </c>
      <c r="CC55" s="5">
        <v>914.61609799999997</v>
      </c>
      <c r="CE55" s="108">
        <v>-700</v>
      </c>
      <c r="CF55" s="153">
        <f t="shared" si="19"/>
        <v>0</v>
      </c>
      <c r="CG55" s="153">
        <v>4485</v>
      </c>
      <c r="CH55" s="153">
        <f t="shared" si="19"/>
        <v>4485</v>
      </c>
      <c r="CI55" s="153">
        <v>0</v>
      </c>
      <c r="CJ55" s="153">
        <f t="shared" ref="CJ55:CL55" si="330">IF(CI55&gt;0,CI55,0)</f>
        <v>0</v>
      </c>
      <c r="CK55" s="153">
        <v>-5000</v>
      </c>
      <c r="CL55" s="153">
        <f t="shared" si="330"/>
        <v>0</v>
      </c>
      <c r="CM55" s="153">
        <v>-3097.5111114599999</v>
      </c>
      <c r="CN55" s="153">
        <f t="shared" ref="CN55:CP55" si="331">IF(CM55&gt;0,CM55,0)</f>
        <v>0</v>
      </c>
      <c r="CO55" s="153">
        <v>-4000</v>
      </c>
      <c r="CP55" s="153">
        <f t="shared" si="331"/>
        <v>0</v>
      </c>
      <c r="CQ55" s="153">
        <v>4800</v>
      </c>
      <c r="CR55" s="153">
        <f t="shared" ref="CR55:CT55" si="332">IF(CQ55&gt;0,CQ55,0)</f>
        <v>4800</v>
      </c>
      <c r="CS55" s="153">
        <v>23505.721386280002</v>
      </c>
      <c r="CT55" s="153">
        <f t="shared" si="332"/>
        <v>23505.721386280002</v>
      </c>
      <c r="CU55" s="107">
        <f t="shared" si="23"/>
        <v>32790.721386279998</v>
      </c>
      <c r="CW55" s="108">
        <v>-700</v>
      </c>
      <c r="CX55" s="153">
        <f t="shared" si="24"/>
        <v>700</v>
      </c>
      <c r="CY55" s="153">
        <v>4485</v>
      </c>
      <c r="CZ55" s="153">
        <f t="shared" si="24"/>
        <v>0</v>
      </c>
      <c r="DA55" s="153">
        <v>0</v>
      </c>
      <c r="DB55" s="153">
        <f t="shared" ref="DB55:DD55" si="333">IF(DA55&lt;0,-DA55,0)</f>
        <v>0</v>
      </c>
      <c r="DC55" s="153">
        <v>-5000</v>
      </c>
      <c r="DD55" s="153">
        <f t="shared" si="333"/>
        <v>5000</v>
      </c>
      <c r="DE55" s="153">
        <v>-3097.5111114599999</v>
      </c>
      <c r="DF55" s="153">
        <f t="shared" ref="DF55:DH55" si="334">IF(DE55&lt;0,-DE55,0)</f>
        <v>3097.5111114599999</v>
      </c>
      <c r="DG55" s="153">
        <v>-4000</v>
      </c>
      <c r="DH55" s="153">
        <f t="shared" si="334"/>
        <v>4000</v>
      </c>
      <c r="DI55" s="153">
        <v>4800</v>
      </c>
      <c r="DJ55" s="153">
        <f t="shared" ref="DJ55:DL55" si="335">IF(DI55&lt;0,-DI55,0)</f>
        <v>0</v>
      </c>
      <c r="DK55" s="153">
        <v>23505.721386280002</v>
      </c>
      <c r="DL55" s="153">
        <f t="shared" si="335"/>
        <v>0</v>
      </c>
      <c r="DM55" s="107">
        <f t="shared" si="28"/>
        <v>12797.51111146</v>
      </c>
    </row>
    <row r="56" spans="13:117" s="5" customFormat="1" x14ac:dyDescent="0.35">
      <c r="M56" s="77">
        <f t="shared" si="29"/>
        <v>54</v>
      </c>
      <c r="N56" s="78">
        <v>0</v>
      </c>
      <c r="O56" s="79">
        <v>0</v>
      </c>
      <c r="P56" s="79">
        <v>0</v>
      </c>
      <c r="Q56" s="79">
        <v>33783.608234040003</v>
      </c>
      <c r="R56" s="79">
        <v>2862.9311442500002</v>
      </c>
      <c r="S56" s="79">
        <f t="shared" si="0"/>
        <v>36646.539378290006</v>
      </c>
      <c r="T56" s="78">
        <v>0</v>
      </c>
      <c r="U56" s="79">
        <v>0</v>
      </c>
      <c r="V56" s="79">
        <v>0.11</v>
      </c>
      <c r="W56" s="79">
        <v>0.26100000000000001</v>
      </c>
      <c r="X56" s="79">
        <f t="shared" si="1"/>
        <v>0.371</v>
      </c>
      <c r="Y56" s="79">
        <v>4910.6890000000003</v>
      </c>
      <c r="Z56" s="79">
        <v>99.419740000000004</v>
      </c>
      <c r="AA56" s="80">
        <f t="shared" si="2"/>
        <v>5010.1087400000006</v>
      </c>
      <c r="AB56" s="79"/>
      <c r="AC56" s="88">
        <v>0</v>
      </c>
      <c r="AD56" s="94">
        <f t="shared" si="3"/>
        <v>0</v>
      </c>
      <c r="AE56" s="89">
        <v>0</v>
      </c>
      <c r="AF56" s="94">
        <f t="shared" si="4"/>
        <v>0</v>
      </c>
      <c r="AG56" s="89">
        <v>0</v>
      </c>
      <c r="AH56" s="94">
        <f t="shared" si="5"/>
        <v>0</v>
      </c>
      <c r="AI56" s="89">
        <v>0</v>
      </c>
      <c r="AJ56" s="94">
        <f>AI56/$B$6</f>
        <v>0</v>
      </c>
      <c r="AK56" s="89">
        <v>0</v>
      </c>
      <c r="AL56" s="94">
        <f>AK56/$B$7</f>
        <v>0</v>
      </c>
      <c r="AM56" s="89">
        <v>0</v>
      </c>
      <c r="AN56" s="94">
        <f t="shared" si="6"/>
        <v>0</v>
      </c>
      <c r="AO56" s="89">
        <v>0</v>
      </c>
      <c r="AP56" s="94">
        <f t="shared" si="7"/>
        <v>0</v>
      </c>
      <c r="AQ56" s="79"/>
      <c r="AR56" s="88">
        <v>8988.9797999999992</v>
      </c>
      <c r="AS56" s="76">
        <v>347.3</v>
      </c>
      <c r="AT56" s="88">
        <v>75.5</v>
      </c>
      <c r="AU56" s="100">
        <f t="shared" si="8"/>
        <v>0.10099999999999999</v>
      </c>
      <c r="AV56" s="100">
        <f t="shared" si="9"/>
        <v>0.151</v>
      </c>
      <c r="AW56" s="100">
        <f t="shared" si="10"/>
        <v>0.151</v>
      </c>
      <c r="AX56" s="94">
        <v>71.06</v>
      </c>
      <c r="AY56" s="76">
        <v>3038.9796000000001</v>
      </c>
      <c r="AZ56" s="100">
        <f>AX56/$B$9</f>
        <v>0.11</v>
      </c>
      <c r="BA56" s="97">
        <f>AY56/$B$8</f>
        <v>0.26100000000000001</v>
      </c>
      <c r="BB56" s="88">
        <v>34163.599999999999</v>
      </c>
      <c r="BC56" s="76">
        <v>18287.025000000001</v>
      </c>
      <c r="BD56" s="100">
        <f t="shared" si="11"/>
        <v>0.76600000000000001</v>
      </c>
      <c r="BE56" s="97">
        <f t="shared" si="12"/>
        <v>0.77900000000000003</v>
      </c>
      <c r="BG56" s="88">
        <v>1024.4670000000001</v>
      </c>
      <c r="BH56" s="114">
        <f>BG56/$B$10</f>
        <v>0.41600017866859418</v>
      </c>
      <c r="BI56" s="115">
        <v>859.74699999999996</v>
      </c>
      <c r="BJ56" s="114">
        <f>BI56/$B$11</f>
        <v>0.53500124455507159</v>
      </c>
      <c r="BK56" s="115">
        <v>1121.4780000000001</v>
      </c>
      <c r="BL56" s="114">
        <f t="shared" si="13"/>
        <v>0.5784392407674851</v>
      </c>
      <c r="BN56" s="111">
        <v>51358.995000000003</v>
      </c>
      <c r="BO56" s="114">
        <f t="shared" si="14"/>
        <v>0.73770491803278682</v>
      </c>
      <c r="BQ56" s="142">
        <v>3850.7159999999999</v>
      </c>
      <c r="BR56" s="131">
        <v>0</v>
      </c>
      <c r="BS56" s="143">
        <v>0</v>
      </c>
      <c r="BT56" s="105">
        <f t="shared" si="15"/>
        <v>0.1181201226993865</v>
      </c>
      <c r="BU56" s="20">
        <f t="shared" si="16"/>
        <v>0</v>
      </c>
      <c r="BV56" s="2">
        <v>0</v>
      </c>
      <c r="BW56" s="2">
        <v>0</v>
      </c>
      <c r="BX56" s="2">
        <v>0</v>
      </c>
      <c r="BY56" s="2">
        <v>1631.971</v>
      </c>
      <c r="BZ56" s="105">
        <f t="shared" si="17"/>
        <v>0.12108406291734679</v>
      </c>
      <c r="CA56" s="20">
        <f t="shared" si="18"/>
        <v>0</v>
      </c>
      <c r="CB56" s="5">
        <v>10800</v>
      </c>
      <c r="CC56" s="5">
        <v>915.91154000999995</v>
      </c>
      <c r="CE56" s="108">
        <v>-700</v>
      </c>
      <c r="CF56" s="153">
        <f t="shared" si="19"/>
        <v>0</v>
      </c>
      <c r="CG56" s="153">
        <v>4485</v>
      </c>
      <c r="CH56" s="153">
        <f t="shared" si="19"/>
        <v>4485</v>
      </c>
      <c r="CI56" s="153">
        <v>0</v>
      </c>
      <c r="CJ56" s="153">
        <f t="shared" ref="CJ56:CL56" si="336">IF(CI56&gt;0,CI56,0)</f>
        <v>0</v>
      </c>
      <c r="CK56" s="153">
        <v>-5000</v>
      </c>
      <c r="CL56" s="153">
        <f t="shared" si="336"/>
        <v>0</v>
      </c>
      <c r="CM56" s="153">
        <v>-1133.3135701599999</v>
      </c>
      <c r="CN56" s="153">
        <f t="shared" ref="CN56:CP56" si="337">IF(CM56&gt;0,CM56,0)</f>
        <v>0</v>
      </c>
      <c r="CO56" s="153">
        <v>-4000</v>
      </c>
      <c r="CP56" s="153">
        <f t="shared" si="337"/>
        <v>0</v>
      </c>
      <c r="CQ56" s="153">
        <v>4800</v>
      </c>
      <c r="CR56" s="153">
        <f t="shared" ref="CR56:CT56" si="338">IF(CQ56&gt;0,CQ56,0)</f>
        <v>4800</v>
      </c>
      <c r="CS56" s="153">
        <v>15639.05192863</v>
      </c>
      <c r="CT56" s="153">
        <f t="shared" si="338"/>
        <v>15639.05192863</v>
      </c>
      <c r="CU56" s="107">
        <f t="shared" si="23"/>
        <v>24924.05192863</v>
      </c>
      <c r="CW56" s="108">
        <v>-700</v>
      </c>
      <c r="CX56" s="153">
        <f t="shared" si="24"/>
        <v>700</v>
      </c>
      <c r="CY56" s="153">
        <v>4485</v>
      </c>
      <c r="CZ56" s="153">
        <f t="shared" si="24"/>
        <v>0</v>
      </c>
      <c r="DA56" s="153">
        <v>0</v>
      </c>
      <c r="DB56" s="153">
        <f t="shared" ref="DB56:DD56" si="339">IF(DA56&lt;0,-DA56,0)</f>
        <v>0</v>
      </c>
      <c r="DC56" s="153">
        <v>-5000</v>
      </c>
      <c r="DD56" s="153">
        <f t="shared" si="339"/>
        <v>5000</v>
      </c>
      <c r="DE56" s="153">
        <v>-1133.3135701599999</v>
      </c>
      <c r="DF56" s="153">
        <f t="shared" ref="DF56:DH56" si="340">IF(DE56&lt;0,-DE56,0)</f>
        <v>1133.3135701599999</v>
      </c>
      <c r="DG56" s="153">
        <v>-4000</v>
      </c>
      <c r="DH56" s="153">
        <f t="shared" si="340"/>
        <v>4000</v>
      </c>
      <c r="DI56" s="153">
        <v>4800</v>
      </c>
      <c r="DJ56" s="153">
        <f t="shared" ref="DJ56:DL56" si="341">IF(DI56&lt;0,-DI56,0)</f>
        <v>0</v>
      </c>
      <c r="DK56" s="153">
        <v>15639.05192863</v>
      </c>
      <c r="DL56" s="153">
        <f t="shared" si="341"/>
        <v>0</v>
      </c>
      <c r="DM56" s="107">
        <f t="shared" si="28"/>
        <v>10833.31357016</v>
      </c>
    </row>
    <row r="57" spans="13:117" s="5" customFormat="1" x14ac:dyDescent="0.35">
      <c r="M57" s="77">
        <f t="shared" si="29"/>
        <v>55</v>
      </c>
      <c r="N57" s="78">
        <v>0</v>
      </c>
      <c r="O57" s="79">
        <v>0</v>
      </c>
      <c r="P57" s="79">
        <v>0</v>
      </c>
      <c r="Q57" s="79">
        <v>36932.321680000001</v>
      </c>
      <c r="R57" s="79">
        <v>3745.2898985900001</v>
      </c>
      <c r="S57" s="79">
        <f t="shared" si="0"/>
        <v>40677.611578590004</v>
      </c>
      <c r="T57" s="78">
        <v>0</v>
      </c>
      <c r="U57" s="79">
        <v>0</v>
      </c>
      <c r="V57" s="79">
        <v>0.104</v>
      </c>
      <c r="W57" s="79">
        <v>0.26100000000000001</v>
      </c>
      <c r="X57" s="79">
        <f t="shared" si="1"/>
        <v>0.36499999999999999</v>
      </c>
      <c r="Y57" s="79">
        <v>5273.5649999999996</v>
      </c>
      <c r="Z57" s="79">
        <v>78.138080000000002</v>
      </c>
      <c r="AA57" s="80">
        <f t="shared" si="2"/>
        <v>5351.7030799999993</v>
      </c>
      <c r="AB57" s="79"/>
      <c r="AC57" s="88">
        <v>0</v>
      </c>
      <c r="AD57" s="94">
        <f t="shared" si="3"/>
        <v>0</v>
      </c>
      <c r="AE57" s="89">
        <v>0</v>
      </c>
      <c r="AF57" s="94">
        <f t="shared" si="4"/>
        <v>0</v>
      </c>
      <c r="AG57" s="89">
        <v>0</v>
      </c>
      <c r="AH57" s="94">
        <f t="shared" si="5"/>
        <v>0</v>
      </c>
      <c r="AI57" s="89">
        <v>0</v>
      </c>
      <c r="AJ57" s="94">
        <f>AI57/$B$6</f>
        <v>0</v>
      </c>
      <c r="AK57" s="89">
        <v>0</v>
      </c>
      <c r="AL57" s="94">
        <f>AK57/$B$7</f>
        <v>0</v>
      </c>
      <c r="AM57" s="89">
        <v>0</v>
      </c>
      <c r="AN57" s="94">
        <f t="shared" si="6"/>
        <v>0</v>
      </c>
      <c r="AO57" s="89">
        <v>0</v>
      </c>
      <c r="AP57" s="94">
        <f t="shared" si="7"/>
        <v>0</v>
      </c>
      <c r="AQ57" s="79"/>
      <c r="AR57" s="88">
        <v>8365.9812000000002</v>
      </c>
      <c r="AS57" s="76">
        <v>324.3</v>
      </c>
      <c r="AT57" s="88">
        <v>70.5</v>
      </c>
      <c r="AU57" s="100">
        <f t="shared" si="8"/>
        <v>9.4E-2</v>
      </c>
      <c r="AV57" s="100">
        <f t="shared" si="9"/>
        <v>0.14100000000000001</v>
      </c>
      <c r="AW57" s="100">
        <f t="shared" si="10"/>
        <v>0.14099999999999999</v>
      </c>
      <c r="AX57" s="94">
        <v>67.183999999999997</v>
      </c>
      <c r="AY57" s="76">
        <v>3038.9796000000001</v>
      </c>
      <c r="AZ57" s="100">
        <f>AX57/$B$9</f>
        <v>0.104</v>
      </c>
      <c r="BA57" s="97">
        <f>AY57/$B$8</f>
        <v>0.26100000000000001</v>
      </c>
      <c r="BB57" s="88">
        <v>32513.4</v>
      </c>
      <c r="BC57" s="76">
        <v>17160.224999999999</v>
      </c>
      <c r="BD57" s="100">
        <f t="shared" si="11"/>
        <v>0.72899999999999998</v>
      </c>
      <c r="BE57" s="97">
        <f t="shared" si="12"/>
        <v>0.73099999999999998</v>
      </c>
      <c r="BG57" s="88">
        <v>1031.855</v>
      </c>
      <c r="BH57" s="114">
        <f>BG57/$B$10</f>
        <v>0.41900018678989387</v>
      </c>
      <c r="BI57" s="115">
        <v>855.15300000000002</v>
      </c>
      <c r="BJ57" s="114">
        <f>BI57/$B$11</f>
        <v>0.53214250155569387</v>
      </c>
      <c r="BK57" s="115">
        <v>1121.4780000000001</v>
      </c>
      <c r="BL57" s="114">
        <f t="shared" si="13"/>
        <v>0.5784392407674851</v>
      </c>
      <c r="BN57" s="111">
        <v>51358.995000000003</v>
      </c>
      <c r="BO57" s="114">
        <f t="shared" si="14"/>
        <v>0.73770491803278682</v>
      </c>
      <c r="BQ57" s="142">
        <v>3557.7820000000002</v>
      </c>
      <c r="BR57" s="131">
        <v>0</v>
      </c>
      <c r="BS57" s="143">
        <v>0</v>
      </c>
      <c r="BT57" s="105">
        <f t="shared" si="15"/>
        <v>0.10913441717791411</v>
      </c>
      <c r="BU57" s="20">
        <f t="shared" si="16"/>
        <v>0</v>
      </c>
      <c r="BV57" s="2">
        <v>0</v>
      </c>
      <c r="BW57" s="2">
        <v>0</v>
      </c>
      <c r="BX57" s="2">
        <v>0</v>
      </c>
      <c r="BY57" s="2">
        <v>1606.819</v>
      </c>
      <c r="BZ57" s="105">
        <f t="shared" si="17"/>
        <v>0.11921791066923876</v>
      </c>
      <c r="CA57" s="20">
        <f t="shared" si="18"/>
        <v>0</v>
      </c>
      <c r="CB57" s="5">
        <v>10800</v>
      </c>
      <c r="CC57" s="5">
        <v>1302.7870924900001</v>
      </c>
      <c r="CE57" s="108">
        <v>-700</v>
      </c>
      <c r="CF57" s="153">
        <f t="shared" si="19"/>
        <v>0</v>
      </c>
      <c r="CG57" s="153">
        <v>4485</v>
      </c>
      <c r="CH57" s="153">
        <f t="shared" si="19"/>
        <v>4485</v>
      </c>
      <c r="CI57" s="153">
        <v>0</v>
      </c>
      <c r="CJ57" s="153">
        <f t="shared" ref="CJ57:CL57" si="342">IF(CI57&gt;0,CI57,0)</f>
        <v>0</v>
      </c>
      <c r="CK57" s="153">
        <v>-5000</v>
      </c>
      <c r="CL57" s="153">
        <f t="shared" si="342"/>
        <v>0</v>
      </c>
      <c r="CM57" s="153">
        <v>-96.341859439999993</v>
      </c>
      <c r="CN57" s="153">
        <f t="shared" ref="CN57:CP57" si="343">IF(CM57&gt;0,CM57,0)</f>
        <v>0</v>
      </c>
      <c r="CO57" s="153">
        <v>-4000</v>
      </c>
      <c r="CP57" s="153">
        <f t="shared" si="343"/>
        <v>0</v>
      </c>
      <c r="CQ57" s="153">
        <v>4800</v>
      </c>
      <c r="CR57" s="153">
        <f t="shared" ref="CR57:CT57" si="344">IF(CQ57&gt;0,CQ57,0)</f>
        <v>4800</v>
      </c>
      <c r="CS57" s="153">
        <v>9659.8746438199996</v>
      </c>
      <c r="CT57" s="153">
        <f t="shared" si="344"/>
        <v>9659.8746438199996</v>
      </c>
      <c r="CU57" s="107">
        <f t="shared" si="23"/>
        <v>18944.87464382</v>
      </c>
      <c r="CW57" s="108">
        <v>-700</v>
      </c>
      <c r="CX57" s="153">
        <f t="shared" si="24"/>
        <v>700</v>
      </c>
      <c r="CY57" s="153">
        <v>4485</v>
      </c>
      <c r="CZ57" s="153">
        <f t="shared" si="24"/>
        <v>0</v>
      </c>
      <c r="DA57" s="153">
        <v>0</v>
      </c>
      <c r="DB57" s="153">
        <f t="shared" ref="DB57:DD57" si="345">IF(DA57&lt;0,-DA57,0)</f>
        <v>0</v>
      </c>
      <c r="DC57" s="153">
        <v>-5000</v>
      </c>
      <c r="DD57" s="153">
        <f t="shared" si="345"/>
        <v>5000</v>
      </c>
      <c r="DE57" s="153">
        <v>-96.341859439999993</v>
      </c>
      <c r="DF57" s="153">
        <f t="shared" ref="DF57:DH57" si="346">IF(DE57&lt;0,-DE57,0)</f>
        <v>96.341859439999993</v>
      </c>
      <c r="DG57" s="153">
        <v>-4000</v>
      </c>
      <c r="DH57" s="153">
        <f t="shared" si="346"/>
        <v>4000</v>
      </c>
      <c r="DI57" s="153">
        <v>4800</v>
      </c>
      <c r="DJ57" s="153">
        <f t="shared" ref="DJ57:DL57" si="347">IF(DI57&lt;0,-DI57,0)</f>
        <v>0</v>
      </c>
      <c r="DK57" s="153">
        <v>9659.8746438199996</v>
      </c>
      <c r="DL57" s="153">
        <f t="shared" si="347"/>
        <v>0</v>
      </c>
      <c r="DM57" s="107">
        <f t="shared" si="28"/>
        <v>9796.3418594399991</v>
      </c>
    </row>
    <row r="58" spans="13:117" s="5" customFormat="1" x14ac:dyDescent="0.35">
      <c r="M58" s="77">
        <f t="shared" si="29"/>
        <v>56</v>
      </c>
      <c r="N58" s="78">
        <v>0</v>
      </c>
      <c r="O58" s="79">
        <v>0</v>
      </c>
      <c r="P58" s="79">
        <v>0</v>
      </c>
      <c r="Q58" s="79">
        <v>39744.099679999999</v>
      </c>
      <c r="R58" s="79">
        <v>4243.4760168900002</v>
      </c>
      <c r="S58" s="79">
        <f t="shared" si="0"/>
        <v>43987.575696890002</v>
      </c>
      <c r="T58" s="78">
        <v>0</v>
      </c>
      <c r="U58" s="79">
        <v>0</v>
      </c>
      <c r="V58" s="79">
        <v>9.5000000000000001E-2</v>
      </c>
      <c r="W58" s="79">
        <v>0.24299999999999999</v>
      </c>
      <c r="X58" s="79">
        <f t="shared" si="1"/>
        <v>0.33799999999999997</v>
      </c>
      <c r="Y58" s="79">
        <v>5811.9470000000001</v>
      </c>
      <c r="Z58" s="79">
        <v>78.138080000000002</v>
      </c>
      <c r="AA58" s="80">
        <f t="shared" si="2"/>
        <v>5890.0850799999998</v>
      </c>
      <c r="AB58" s="79"/>
      <c r="AC58" s="88">
        <v>0</v>
      </c>
      <c r="AD58" s="94">
        <f t="shared" si="3"/>
        <v>0</v>
      </c>
      <c r="AE58" s="89">
        <v>0</v>
      </c>
      <c r="AF58" s="94">
        <f t="shared" si="4"/>
        <v>0</v>
      </c>
      <c r="AG58" s="89">
        <v>0</v>
      </c>
      <c r="AH58" s="94">
        <f t="shared" si="5"/>
        <v>0</v>
      </c>
      <c r="AI58" s="89">
        <v>0</v>
      </c>
      <c r="AJ58" s="94">
        <f>AI58/$B$6</f>
        <v>0</v>
      </c>
      <c r="AK58" s="89">
        <v>0</v>
      </c>
      <c r="AL58" s="94">
        <f>AK58/$B$7</f>
        <v>0</v>
      </c>
      <c r="AM58" s="89">
        <v>0</v>
      </c>
      <c r="AN58" s="94">
        <f t="shared" si="6"/>
        <v>0</v>
      </c>
      <c r="AO58" s="89">
        <v>0</v>
      </c>
      <c r="AP58" s="94">
        <f t="shared" si="7"/>
        <v>0</v>
      </c>
      <c r="AQ58" s="79"/>
      <c r="AR58" s="88">
        <v>7208.9838</v>
      </c>
      <c r="AS58" s="76">
        <v>310.5</v>
      </c>
      <c r="AT58" s="88">
        <v>67.5</v>
      </c>
      <c r="AU58" s="100">
        <f t="shared" si="8"/>
        <v>8.1000000000000003E-2</v>
      </c>
      <c r="AV58" s="100">
        <f t="shared" si="9"/>
        <v>0.13500000000000001</v>
      </c>
      <c r="AW58" s="100">
        <f t="shared" si="10"/>
        <v>0.13500000000000001</v>
      </c>
      <c r="AX58" s="94">
        <v>61.37</v>
      </c>
      <c r="AY58" s="76">
        <v>2829.3948</v>
      </c>
      <c r="AZ58" s="100">
        <f>AX58/$B$9</f>
        <v>9.5000000000000001E-2</v>
      </c>
      <c r="BA58" s="97">
        <f>AY58/$B$8</f>
        <v>0.24299999999999999</v>
      </c>
      <c r="BB58" s="88">
        <v>29480.6</v>
      </c>
      <c r="BC58" s="76">
        <v>16385.55</v>
      </c>
      <c r="BD58" s="100">
        <f t="shared" si="11"/>
        <v>0.66099999999999992</v>
      </c>
      <c r="BE58" s="97">
        <f t="shared" si="12"/>
        <v>0.69799999999999995</v>
      </c>
      <c r="BG58" s="88">
        <v>1039.2429999999999</v>
      </c>
      <c r="BH58" s="114">
        <f>BG58/$B$10</f>
        <v>0.42200019491119356</v>
      </c>
      <c r="BI58" s="115">
        <v>922.66399999999999</v>
      </c>
      <c r="BJ58" s="114">
        <f>BI58/$B$11</f>
        <v>0.57415308027380207</v>
      </c>
      <c r="BK58" s="115">
        <v>1121.4780000000001</v>
      </c>
      <c r="BL58" s="114">
        <f t="shared" si="13"/>
        <v>0.5784392407674851</v>
      </c>
      <c r="BN58" s="111">
        <v>51358.995000000003</v>
      </c>
      <c r="BO58" s="114">
        <f t="shared" si="14"/>
        <v>0.73770491803278682</v>
      </c>
      <c r="BQ58" s="142">
        <v>3059.6610000000001</v>
      </c>
      <c r="BR58" s="131">
        <v>0</v>
      </c>
      <c r="BS58" s="143">
        <v>0</v>
      </c>
      <c r="BT58" s="105">
        <f t="shared" si="15"/>
        <v>9.3854631901840499E-2</v>
      </c>
      <c r="BU58" s="20">
        <f t="shared" si="16"/>
        <v>0</v>
      </c>
      <c r="BV58" s="2">
        <v>0</v>
      </c>
      <c r="BW58" s="2">
        <v>0</v>
      </c>
      <c r="BX58" s="2">
        <v>0</v>
      </c>
      <c r="BY58" s="2">
        <v>1535.393</v>
      </c>
      <c r="BZ58" s="105">
        <f t="shared" si="17"/>
        <v>0.11391845971212346</v>
      </c>
      <c r="CA58" s="20">
        <f t="shared" si="18"/>
        <v>0</v>
      </c>
      <c r="CB58" s="5">
        <v>10800</v>
      </c>
      <c r="CC58" s="5">
        <v>917.20698202000005</v>
      </c>
      <c r="CE58" s="108">
        <v>-700</v>
      </c>
      <c r="CF58" s="153">
        <f t="shared" si="19"/>
        <v>0</v>
      </c>
      <c r="CG58" s="153">
        <v>4485</v>
      </c>
      <c r="CH58" s="153">
        <f t="shared" si="19"/>
        <v>4485</v>
      </c>
      <c r="CI58" s="153">
        <v>0</v>
      </c>
      <c r="CJ58" s="153">
        <f t="shared" ref="CJ58:CL58" si="348">IF(CI58&gt;0,CI58,0)</f>
        <v>0</v>
      </c>
      <c r="CK58" s="153">
        <v>-5000</v>
      </c>
      <c r="CL58" s="153">
        <f t="shared" si="348"/>
        <v>0</v>
      </c>
      <c r="CM58" s="153">
        <v>-1657.6910026099999</v>
      </c>
      <c r="CN58" s="153">
        <f t="shared" ref="CN58:CP58" si="349">IF(CM58&gt;0,CM58,0)</f>
        <v>0</v>
      </c>
      <c r="CO58" s="153">
        <v>-4000</v>
      </c>
      <c r="CP58" s="153">
        <f t="shared" si="349"/>
        <v>0</v>
      </c>
      <c r="CQ58" s="153">
        <v>4800</v>
      </c>
      <c r="CR58" s="153">
        <f t="shared" ref="CR58:CT58" si="350">IF(CQ58&gt;0,CQ58,0)</f>
        <v>4800</v>
      </c>
      <c r="CS58" s="153">
        <v>10135.77507096</v>
      </c>
      <c r="CT58" s="153">
        <f t="shared" si="350"/>
        <v>10135.77507096</v>
      </c>
      <c r="CU58" s="107">
        <f t="shared" si="23"/>
        <v>19420.77507096</v>
      </c>
      <c r="CW58" s="108">
        <v>-700</v>
      </c>
      <c r="CX58" s="153">
        <f t="shared" si="24"/>
        <v>700</v>
      </c>
      <c r="CY58" s="153">
        <v>4485</v>
      </c>
      <c r="CZ58" s="153">
        <f t="shared" si="24"/>
        <v>0</v>
      </c>
      <c r="DA58" s="153">
        <v>0</v>
      </c>
      <c r="DB58" s="153">
        <f t="shared" ref="DB58:DD58" si="351">IF(DA58&lt;0,-DA58,0)</f>
        <v>0</v>
      </c>
      <c r="DC58" s="153">
        <v>-5000</v>
      </c>
      <c r="DD58" s="153">
        <f t="shared" si="351"/>
        <v>5000</v>
      </c>
      <c r="DE58" s="153">
        <v>-1657.6910026099999</v>
      </c>
      <c r="DF58" s="153">
        <f t="shared" ref="DF58:DH58" si="352">IF(DE58&lt;0,-DE58,0)</f>
        <v>1657.6910026099999</v>
      </c>
      <c r="DG58" s="153">
        <v>-4000</v>
      </c>
      <c r="DH58" s="153">
        <f t="shared" si="352"/>
        <v>4000</v>
      </c>
      <c r="DI58" s="153">
        <v>4800</v>
      </c>
      <c r="DJ58" s="153">
        <f t="shared" ref="DJ58:DL58" si="353">IF(DI58&lt;0,-DI58,0)</f>
        <v>0</v>
      </c>
      <c r="DK58" s="153">
        <v>10135.77507096</v>
      </c>
      <c r="DL58" s="153">
        <f t="shared" si="353"/>
        <v>0</v>
      </c>
      <c r="DM58" s="107">
        <f t="shared" si="28"/>
        <v>11357.691002609999</v>
      </c>
    </row>
    <row r="59" spans="13:117" s="5" customFormat="1" x14ac:dyDescent="0.35">
      <c r="M59" s="77">
        <f t="shared" si="29"/>
        <v>57</v>
      </c>
      <c r="N59" s="78">
        <v>0</v>
      </c>
      <c r="O59" s="79">
        <v>0</v>
      </c>
      <c r="P59" s="79">
        <v>0</v>
      </c>
      <c r="Q59" s="79">
        <v>41669.138679999996</v>
      </c>
      <c r="R59" s="79">
        <v>4096.7091115900002</v>
      </c>
      <c r="S59" s="79">
        <f t="shared" si="0"/>
        <v>45765.84779159</v>
      </c>
      <c r="T59" s="78">
        <v>0</v>
      </c>
      <c r="U59" s="79">
        <v>0</v>
      </c>
      <c r="V59" s="79">
        <v>8.5999999999999993E-2</v>
      </c>
      <c r="W59" s="79">
        <v>0.19199999999999998</v>
      </c>
      <c r="X59" s="79">
        <f t="shared" si="1"/>
        <v>0.27799999999999997</v>
      </c>
      <c r="Y59" s="79">
        <v>6314.1130000000003</v>
      </c>
      <c r="Z59" s="79">
        <v>78.138080000000002</v>
      </c>
      <c r="AA59" s="80">
        <f t="shared" si="2"/>
        <v>6392.25108</v>
      </c>
      <c r="AB59" s="79"/>
      <c r="AC59" s="88">
        <v>0</v>
      </c>
      <c r="AD59" s="94">
        <f t="shared" si="3"/>
        <v>0</v>
      </c>
      <c r="AE59" s="89">
        <v>0</v>
      </c>
      <c r="AF59" s="94">
        <f t="shared" si="4"/>
        <v>0</v>
      </c>
      <c r="AG59" s="89">
        <v>0</v>
      </c>
      <c r="AH59" s="94">
        <f t="shared" si="5"/>
        <v>0</v>
      </c>
      <c r="AI59" s="89">
        <v>0</v>
      </c>
      <c r="AJ59" s="94">
        <f>AI59/$B$6</f>
        <v>0</v>
      </c>
      <c r="AK59" s="89">
        <v>0</v>
      </c>
      <c r="AL59" s="94">
        <f>AK59/$B$7</f>
        <v>0</v>
      </c>
      <c r="AM59" s="89">
        <v>0</v>
      </c>
      <c r="AN59" s="94">
        <f t="shared" si="6"/>
        <v>0</v>
      </c>
      <c r="AO59" s="89">
        <v>0</v>
      </c>
      <c r="AP59" s="94">
        <f t="shared" si="7"/>
        <v>0</v>
      </c>
      <c r="AQ59" s="79"/>
      <c r="AR59" s="88">
        <v>6852.9845999999998</v>
      </c>
      <c r="AS59" s="76">
        <v>292.10000000000002</v>
      </c>
      <c r="AT59" s="88">
        <v>63.5</v>
      </c>
      <c r="AU59" s="100">
        <f t="shared" si="8"/>
        <v>7.6999999999999999E-2</v>
      </c>
      <c r="AV59" s="100">
        <f t="shared" si="9"/>
        <v>0.127</v>
      </c>
      <c r="AW59" s="100">
        <f t="shared" si="10"/>
        <v>0.127</v>
      </c>
      <c r="AX59" s="94">
        <v>55.555999999999997</v>
      </c>
      <c r="AY59" s="76">
        <v>2235.5711999999999</v>
      </c>
      <c r="AZ59" s="100">
        <f>AX59/$B$9</f>
        <v>8.5999999999999993E-2</v>
      </c>
      <c r="BA59" s="97">
        <f>AY59/$B$8</f>
        <v>0.19199999999999998</v>
      </c>
      <c r="BB59" s="88">
        <v>25511.200000000001</v>
      </c>
      <c r="BC59" s="76">
        <v>15704.775</v>
      </c>
      <c r="BD59" s="100">
        <f t="shared" si="11"/>
        <v>0.57200000000000006</v>
      </c>
      <c r="BE59" s="97">
        <f t="shared" si="12"/>
        <v>0.66900000000000004</v>
      </c>
      <c r="BG59" s="88">
        <v>1063.8689999999999</v>
      </c>
      <c r="BH59" s="114">
        <f>BG59/$B$10</f>
        <v>0.43199995127220159</v>
      </c>
      <c r="BI59" s="115">
        <v>934.76599999999996</v>
      </c>
      <c r="BJ59" s="114">
        <f>BI59/$B$11</f>
        <v>0.58168388301182328</v>
      </c>
      <c r="BK59" s="115">
        <v>1121.4780000000001</v>
      </c>
      <c r="BL59" s="114">
        <f t="shared" si="13"/>
        <v>0.5784392407674851</v>
      </c>
      <c r="BN59" s="111">
        <v>51358.995000000003</v>
      </c>
      <c r="BO59" s="114">
        <f t="shared" si="14"/>
        <v>0.73770491803278682</v>
      </c>
      <c r="BQ59" s="142">
        <v>3125.047</v>
      </c>
      <c r="BR59" s="131">
        <v>0</v>
      </c>
      <c r="BS59" s="143">
        <v>0</v>
      </c>
      <c r="BT59" s="105">
        <f t="shared" si="15"/>
        <v>9.5860337423312889E-2</v>
      </c>
      <c r="BU59" s="20">
        <f t="shared" si="16"/>
        <v>0</v>
      </c>
      <c r="BV59" s="2">
        <v>0</v>
      </c>
      <c r="BW59" s="2">
        <v>0</v>
      </c>
      <c r="BX59" s="2">
        <v>0</v>
      </c>
      <c r="BY59" s="2">
        <v>1426.3820000000001</v>
      </c>
      <c r="BZ59" s="105">
        <f t="shared" si="17"/>
        <v>0.10583039026561805</v>
      </c>
      <c r="CA59" s="20">
        <f t="shared" si="18"/>
        <v>0</v>
      </c>
      <c r="CB59" s="5">
        <v>10800</v>
      </c>
      <c r="CC59" s="5">
        <v>917.20698202000005</v>
      </c>
      <c r="CE59" s="108">
        <v>-700</v>
      </c>
      <c r="CF59" s="153">
        <f t="shared" si="19"/>
        <v>0</v>
      </c>
      <c r="CG59" s="153">
        <v>4485</v>
      </c>
      <c r="CH59" s="153">
        <f t="shared" si="19"/>
        <v>4485</v>
      </c>
      <c r="CI59" s="153">
        <v>0</v>
      </c>
      <c r="CJ59" s="153">
        <f t="shared" ref="CJ59:CL59" si="354">IF(CI59&gt;0,CI59,0)</f>
        <v>0</v>
      </c>
      <c r="CK59" s="153">
        <v>-5000</v>
      </c>
      <c r="CL59" s="153">
        <f t="shared" si="354"/>
        <v>0</v>
      </c>
      <c r="CM59" s="153">
        <v>-1362.3429118900001</v>
      </c>
      <c r="CN59" s="153">
        <f t="shared" ref="CN59:CP59" si="355">IF(CM59&gt;0,CM59,0)</f>
        <v>0</v>
      </c>
      <c r="CO59" s="153">
        <v>-4000</v>
      </c>
      <c r="CP59" s="153">
        <f t="shared" si="355"/>
        <v>0</v>
      </c>
      <c r="CQ59" s="153">
        <v>4800</v>
      </c>
      <c r="CR59" s="153">
        <f t="shared" ref="CR59:CT59" si="356">IF(CQ59&gt;0,CQ59,0)</f>
        <v>4800</v>
      </c>
      <c r="CS59" s="153">
        <v>7691.09409813</v>
      </c>
      <c r="CT59" s="153">
        <f t="shared" si="356"/>
        <v>7691.09409813</v>
      </c>
      <c r="CU59" s="107">
        <f t="shared" si="23"/>
        <v>16976.094098130001</v>
      </c>
      <c r="CW59" s="108">
        <v>-700</v>
      </c>
      <c r="CX59" s="153">
        <f t="shared" si="24"/>
        <v>700</v>
      </c>
      <c r="CY59" s="153">
        <v>4485</v>
      </c>
      <c r="CZ59" s="153">
        <f t="shared" si="24"/>
        <v>0</v>
      </c>
      <c r="DA59" s="153">
        <v>0</v>
      </c>
      <c r="DB59" s="153">
        <f t="shared" ref="DB59:DD59" si="357">IF(DA59&lt;0,-DA59,0)</f>
        <v>0</v>
      </c>
      <c r="DC59" s="153">
        <v>-5000</v>
      </c>
      <c r="DD59" s="153">
        <f t="shared" si="357"/>
        <v>5000</v>
      </c>
      <c r="DE59" s="153">
        <v>-1362.3429118900001</v>
      </c>
      <c r="DF59" s="153">
        <f t="shared" ref="DF59:DH59" si="358">IF(DE59&lt;0,-DE59,0)</f>
        <v>1362.3429118900001</v>
      </c>
      <c r="DG59" s="153">
        <v>-4000</v>
      </c>
      <c r="DH59" s="153">
        <f t="shared" si="358"/>
        <v>4000</v>
      </c>
      <c r="DI59" s="153">
        <v>4800</v>
      </c>
      <c r="DJ59" s="153">
        <f t="shared" ref="DJ59:DL59" si="359">IF(DI59&lt;0,-DI59,0)</f>
        <v>0</v>
      </c>
      <c r="DK59" s="153">
        <v>7691.09409813</v>
      </c>
      <c r="DL59" s="153">
        <f t="shared" si="359"/>
        <v>0</v>
      </c>
      <c r="DM59" s="107">
        <f t="shared" si="28"/>
        <v>11062.34291189</v>
      </c>
    </row>
    <row r="60" spans="13:117" s="5" customFormat="1" x14ac:dyDescent="0.35">
      <c r="M60" s="77">
        <f t="shared" si="29"/>
        <v>58</v>
      </c>
      <c r="N60" s="78">
        <v>4.8000000000000001E-2</v>
      </c>
      <c r="O60" s="79">
        <v>6.5000000000000002E-2</v>
      </c>
      <c r="P60" s="79">
        <v>0.128</v>
      </c>
      <c r="Q60" s="79">
        <v>43050.735679999998</v>
      </c>
      <c r="R60" s="79">
        <v>2406.5811843299998</v>
      </c>
      <c r="S60" s="79">
        <f t="shared" si="0"/>
        <v>45457.316864330001</v>
      </c>
      <c r="T60" s="78">
        <v>2.1999999999999898E-2</v>
      </c>
      <c r="U60" s="79">
        <v>2.6000000000000002E-2</v>
      </c>
      <c r="V60" s="79">
        <v>7.5999999999999998E-2</v>
      </c>
      <c r="W60" s="79">
        <v>0.12999999999999998</v>
      </c>
      <c r="X60" s="79">
        <f t="shared" si="1"/>
        <v>0.20599999999999996</v>
      </c>
      <c r="Y60" s="79">
        <v>6535.6229999999996</v>
      </c>
      <c r="Z60" s="79">
        <v>0</v>
      </c>
      <c r="AA60" s="80">
        <f t="shared" si="2"/>
        <v>6535.6229999999996</v>
      </c>
      <c r="AB60" s="79"/>
      <c r="AC60" s="88">
        <v>9379</v>
      </c>
      <c r="AD60" s="94">
        <f t="shared" si="3"/>
        <v>0.113</v>
      </c>
      <c r="AE60" s="89">
        <v>312.32499999999999</v>
      </c>
      <c r="AF60" s="94">
        <f t="shared" si="4"/>
        <v>6.5000000000000002E-2</v>
      </c>
      <c r="AG60" s="89">
        <v>3840</v>
      </c>
      <c r="AH60" s="94">
        <f t="shared" si="5"/>
        <v>0.128</v>
      </c>
      <c r="AI60" s="89">
        <v>776.42280000000005</v>
      </c>
      <c r="AJ60" s="94">
        <f>AI60/$B$6</f>
        <v>5.3999999999999999E-2</v>
      </c>
      <c r="AK60" s="89">
        <v>338.09649999999999</v>
      </c>
      <c r="AL60" s="94">
        <f>AK60/$B$7</f>
        <v>3.5000000000000003E-2</v>
      </c>
      <c r="AM60" s="89">
        <v>3085.2</v>
      </c>
      <c r="AN60" s="94">
        <f t="shared" si="6"/>
        <v>0.06</v>
      </c>
      <c r="AO60" s="89">
        <v>2223.3984</v>
      </c>
      <c r="AP60" s="94">
        <f t="shared" si="7"/>
        <v>4.8000000000000001E-2</v>
      </c>
      <c r="AQ60" s="79"/>
      <c r="AR60" s="88">
        <v>5695.9871999999996</v>
      </c>
      <c r="AS60" s="76">
        <v>278.3</v>
      </c>
      <c r="AT60" s="88">
        <v>60.5</v>
      </c>
      <c r="AU60" s="100">
        <f t="shared" si="8"/>
        <v>6.3999999999999987E-2</v>
      </c>
      <c r="AV60" s="100">
        <f t="shared" si="9"/>
        <v>0.12100000000000001</v>
      </c>
      <c r="AW60" s="100">
        <f t="shared" si="10"/>
        <v>0.121</v>
      </c>
      <c r="AX60" s="94">
        <v>49.095999999999997</v>
      </c>
      <c r="AY60" s="76">
        <v>1513.6679999999999</v>
      </c>
      <c r="AZ60" s="100">
        <f>AX60/$B$9</f>
        <v>7.5999999999999998E-2</v>
      </c>
      <c r="BA60" s="97">
        <f>AY60/$B$8</f>
        <v>0.12999999999999998</v>
      </c>
      <c r="BB60" s="88">
        <v>21229.599999999999</v>
      </c>
      <c r="BC60" s="76">
        <v>14906.625</v>
      </c>
      <c r="BD60" s="100">
        <f t="shared" si="11"/>
        <v>0.47599999999999998</v>
      </c>
      <c r="BE60" s="97">
        <f t="shared" si="12"/>
        <v>0.63500000000000001</v>
      </c>
      <c r="BG60" s="88">
        <v>1090.9580000000001</v>
      </c>
      <c r="BH60" s="114">
        <f>BG60/$B$10</f>
        <v>0.44299984569530515</v>
      </c>
      <c r="BI60" s="115">
        <v>945.37199999999996</v>
      </c>
      <c r="BJ60" s="114">
        <f>BI60/$B$11</f>
        <v>0.58828375855631609</v>
      </c>
      <c r="BK60" s="115">
        <v>1121.4780000000001</v>
      </c>
      <c r="BL60" s="114">
        <f t="shared" si="13"/>
        <v>0.5784392407674851</v>
      </c>
      <c r="BN60" s="111">
        <v>51358.995000000003</v>
      </c>
      <c r="BO60" s="114">
        <f t="shared" si="14"/>
        <v>0.73770491803278682</v>
      </c>
      <c r="BQ60" s="142">
        <v>6991.3990000000003</v>
      </c>
      <c r="BR60" s="131">
        <v>0</v>
      </c>
      <c r="BS60" s="143">
        <v>0</v>
      </c>
      <c r="BT60" s="105">
        <f t="shared" si="15"/>
        <v>0.21446009202453989</v>
      </c>
      <c r="BU60" s="20">
        <f t="shared" si="16"/>
        <v>0</v>
      </c>
      <c r="BV60" s="2">
        <v>0</v>
      </c>
      <c r="BW60" s="2">
        <v>0</v>
      </c>
      <c r="BX60" s="2">
        <v>0</v>
      </c>
      <c r="BY60" s="2">
        <v>1863.12</v>
      </c>
      <c r="BZ60" s="105">
        <f t="shared" si="17"/>
        <v>0.13823415937082653</v>
      </c>
      <c r="CA60" s="20">
        <f t="shared" si="18"/>
        <v>0</v>
      </c>
      <c r="CB60" s="5">
        <v>10800</v>
      </c>
      <c r="CC60" s="5">
        <v>917.20698202000005</v>
      </c>
      <c r="CE60" s="108">
        <v>-700</v>
      </c>
      <c r="CF60" s="153">
        <f t="shared" si="19"/>
        <v>0</v>
      </c>
      <c r="CG60" s="153">
        <v>4485</v>
      </c>
      <c r="CH60" s="153">
        <f t="shared" si="19"/>
        <v>4485</v>
      </c>
      <c r="CI60" s="153">
        <v>0</v>
      </c>
      <c r="CJ60" s="153">
        <f t="shared" ref="CJ60:CL60" si="360">IF(CI60&gt;0,CI60,0)</f>
        <v>0</v>
      </c>
      <c r="CK60" s="153">
        <v>-5000</v>
      </c>
      <c r="CL60" s="153">
        <f t="shared" si="360"/>
        <v>0</v>
      </c>
      <c r="CM60" s="153">
        <v>-1734.6834531699999</v>
      </c>
      <c r="CN60" s="153">
        <f t="shared" ref="CN60:CP60" si="361">IF(CM60&gt;0,CM60,0)</f>
        <v>0</v>
      </c>
      <c r="CO60" s="153">
        <v>-4000</v>
      </c>
      <c r="CP60" s="153">
        <f t="shared" si="361"/>
        <v>0</v>
      </c>
      <c r="CQ60" s="153">
        <v>4800</v>
      </c>
      <c r="CR60" s="153">
        <f t="shared" ref="CR60:CT60" si="362">IF(CQ60&gt;0,CQ60,0)</f>
        <v>4800</v>
      </c>
      <c r="CS60" s="153">
        <v>7103.4015826300001</v>
      </c>
      <c r="CT60" s="153">
        <f t="shared" si="362"/>
        <v>7103.4015826300001</v>
      </c>
      <c r="CU60" s="107">
        <f t="shared" si="23"/>
        <v>16388.401582630002</v>
      </c>
      <c r="CW60" s="108">
        <v>-700</v>
      </c>
      <c r="CX60" s="153">
        <f t="shared" si="24"/>
        <v>700</v>
      </c>
      <c r="CY60" s="153">
        <v>4485</v>
      </c>
      <c r="CZ60" s="153">
        <f t="shared" si="24"/>
        <v>0</v>
      </c>
      <c r="DA60" s="153">
        <v>0</v>
      </c>
      <c r="DB60" s="153">
        <f t="shared" ref="DB60:DD60" si="363">IF(DA60&lt;0,-DA60,0)</f>
        <v>0</v>
      </c>
      <c r="DC60" s="153">
        <v>-5000</v>
      </c>
      <c r="DD60" s="153">
        <f t="shared" si="363"/>
        <v>5000</v>
      </c>
      <c r="DE60" s="153">
        <v>-1734.6834531699999</v>
      </c>
      <c r="DF60" s="153">
        <f t="shared" ref="DF60:DH60" si="364">IF(DE60&lt;0,-DE60,0)</f>
        <v>1734.6834531699999</v>
      </c>
      <c r="DG60" s="153">
        <v>-4000</v>
      </c>
      <c r="DH60" s="153">
        <f t="shared" si="364"/>
        <v>4000</v>
      </c>
      <c r="DI60" s="153">
        <v>4800</v>
      </c>
      <c r="DJ60" s="153">
        <f t="shared" ref="DJ60:DL60" si="365">IF(DI60&lt;0,-DI60,0)</f>
        <v>0</v>
      </c>
      <c r="DK60" s="153">
        <v>7103.4015826300001</v>
      </c>
      <c r="DL60" s="153">
        <f t="shared" si="365"/>
        <v>0</v>
      </c>
      <c r="DM60" s="107">
        <f t="shared" si="28"/>
        <v>11434.683453170001</v>
      </c>
    </row>
    <row r="61" spans="13:117" s="5" customFormat="1" x14ac:dyDescent="0.35">
      <c r="M61" s="77">
        <f t="shared" si="29"/>
        <v>59</v>
      </c>
      <c r="N61" s="78">
        <v>0.16300000000000001</v>
      </c>
      <c r="O61" s="79">
        <v>0.16800000000000001</v>
      </c>
      <c r="P61" s="79">
        <v>0.29099999999999898</v>
      </c>
      <c r="Q61" s="79">
        <v>42980.409</v>
      </c>
      <c r="R61" s="79">
        <v>1892.06315967</v>
      </c>
      <c r="S61" s="79">
        <f t="shared" si="0"/>
        <v>44872.472159669996</v>
      </c>
      <c r="T61" s="78">
        <v>9.8000000000000004E-2</v>
      </c>
      <c r="U61" s="79">
        <v>0.10400000000000001</v>
      </c>
      <c r="V61" s="79">
        <v>6.3E-2</v>
      </c>
      <c r="W61" s="79">
        <v>6.4999999999999988E-2</v>
      </c>
      <c r="X61" s="79">
        <f t="shared" si="1"/>
        <v>0.128</v>
      </c>
      <c r="Y61" s="79">
        <v>6439.6170000000002</v>
      </c>
      <c r="Z61" s="79">
        <v>0</v>
      </c>
      <c r="AA61" s="80">
        <f t="shared" si="2"/>
        <v>6439.6170000000002</v>
      </c>
      <c r="AB61" s="79"/>
      <c r="AC61" s="88">
        <v>23240</v>
      </c>
      <c r="AD61" s="94">
        <f t="shared" si="3"/>
        <v>0.28000000000000003</v>
      </c>
      <c r="AE61" s="89">
        <v>807.24</v>
      </c>
      <c r="AF61" s="94">
        <f t="shared" si="4"/>
        <v>0.16800000000000001</v>
      </c>
      <c r="AG61" s="89">
        <v>8730</v>
      </c>
      <c r="AH61" s="94">
        <f t="shared" si="5"/>
        <v>0.29099999999999998</v>
      </c>
      <c r="AI61" s="89">
        <v>3033.8002000000001</v>
      </c>
      <c r="AJ61" s="94">
        <f>AI61/$B$6</f>
        <v>0.21099999999999999</v>
      </c>
      <c r="AK61" s="89">
        <v>1342.7261000000001</v>
      </c>
      <c r="AL61" s="94">
        <f>AK61/$B$7</f>
        <v>0.13900000000000001</v>
      </c>
      <c r="AM61" s="89">
        <v>7507.32</v>
      </c>
      <c r="AN61" s="94">
        <f t="shared" si="6"/>
        <v>0.14599999999999999</v>
      </c>
      <c r="AO61" s="89">
        <v>5558.4960000000001</v>
      </c>
      <c r="AP61" s="94">
        <f t="shared" si="7"/>
        <v>0.12</v>
      </c>
      <c r="AQ61" s="79"/>
      <c r="AR61" s="88">
        <v>2847.9935999999998</v>
      </c>
      <c r="AS61" s="76">
        <v>273.7</v>
      </c>
      <c r="AT61" s="88">
        <v>59.5</v>
      </c>
      <c r="AU61" s="100">
        <f t="shared" si="8"/>
        <v>3.1999999999999994E-2</v>
      </c>
      <c r="AV61" s="100">
        <f t="shared" si="9"/>
        <v>0.11899999999999999</v>
      </c>
      <c r="AW61" s="100">
        <f t="shared" si="10"/>
        <v>0.11899999999999999</v>
      </c>
      <c r="AX61" s="94">
        <v>40.698</v>
      </c>
      <c r="AY61" s="76">
        <v>756.83399999999995</v>
      </c>
      <c r="AZ61" s="100">
        <f>AX61/$B$9</f>
        <v>6.3E-2</v>
      </c>
      <c r="BA61" s="97">
        <f>AY61/$B$8</f>
        <v>6.4999999999999988E-2</v>
      </c>
      <c r="BB61" s="88">
        <v>19579.400000000001</v>
      </c>
      <c r="BC61" s="76">
        <v>14178.9</v>
      </c>
      <c r="BD61" s="100">
        <f t="shared" si="11"/>
        <v>0.43900000000000006</v>
      </c>
      <c r="BE61" s="97">
        <f t="shared" si="12"/>
        <v>0.60399999999999998</v>
      </c>
      <c r="BG61" s="88">
        <v>1095.884</v>
      </c>
      <c r="BH61" s="114">
        <f>BG61/$B$10</f>
        <v>0.445000121819496</v>
      </c>
      <c r="BI61" s="115">
        <v>949.03599999999994</v>
      </c>
      <c r="BJ61" s="114">
        <f>BI61/$B$11</f>
        <v>0.59056378344741756</v>
      </c>
      <c r="BK61" s="115">
        <v>1121.4780000000001</v>
      </c>
      <c r="BL61" s="114">
        <f t="shared" si="13"/>
        <v>0.5784392407674851</v>
      </c>
      <c r="BN61" s="111">
        <v>51358.995000000003</v>
      </c>
      <c r="BO61" s="114">
        <f t="shared" si="14"/>
        <v>0.73770491803278682</v>
      </c>
      <c r="BQ61" s="142">
        <v>12061.620999999999</v>
      </c>
      <c r="BR61" s="131">
        <v>0</v>
      </c>
      <c r="BS61" s="143">
        <v>0</v>
      </c>
      <c r="BT61" s="105">
        <f t="shared" si="15"/>
        <v>0.3699883742331288</v>
      </c>
      <c r="BU61" s="20">
        <f t="shared" si="16"/>
        <v>0</v>
      </c>
      <c r="BV61" s="2">
        <v>0</v>
      </c>
      <c r="BW61" s="2">
        <v>0</v>
      </c>
      <c r="BX61" s="2">
        <v>0</v>
      </c>
      <c r="BY61" s="2">
        <v>3369.8330000000001</v>
      </c>
      <c r="BZ61" s="105">
        <f t="shared" si="17"/>
        <v>0.25002470692981155</v>
      </c>
      <c r="CA61" s="20">
        <f t="shared" si="18"/>
        <v>0</v>
      </c>
      <c r="CB61" s="5">
        <v>10800</v>
      </c>
      <c r="CC61" s="5">
        <v>917.20698202000005</v>
      </c>
      <c r="CE61" s="108">
        <v>-700</v>
      </c>
      <c r="CF61" s="153">
        <f t="shared" si="19"/>
        <v>0</v>
      </c>
      <c r="CG61" s="153">
        <v>4485</v>
      </c>
      <c r="CH61" s="153">
        <f t="shared" si="19"/>
        <v>4485</v>
      </c>
      <c r="CI61" s="153">
        <v>0</v>
      </c>
      <c r="CJ61" s="153">
        <f t="shared" ref="CJ61:CL61" si="366">IF(CI61&gt;0,CI61,0)</f>
        <v>0</v>
      </c>
      <c r="CK61" s="153">
        <v>-5000</v>
      </c>
      <c r="CL61" s="153">
        <f t="shared" si="366"/>
        <v>0</v>
      </c>
      <c r="CM61" s="153">
        <v>903.51395279999997</v>
      </c>
      <c r="CN61" s="153">
        <f t="shared" ref="CN61:CP61" si="367">IF(CM61&gt;0,CM61,0)</f>
        <v>903.51395279999997</v>
      </c>
      <c r="CO61" s="153">
        <v>-4000</v>
      </c>
      <c r="CP61" s="153">
        <f t="shared" si="367"/>
        <v>0</v>
      </c>
      <c r="CQ61" s="153">
        <v>4800</v>
      </c>
      <c r="CR61" s="153">
        <f t="shared" ref="CR61:CT61" si="368">IF(CQ61&gt;0,CQ61,0)</f>
        <v>4800</v>
      </c>
      <c r="CS61" s="153">
        <v>7627.5549282299999</v>
      </c>
      <c r="CT61" s="153">
        <f t="shared" si="368"/>
        <v>7627.5549282299999</v>
      </c>
      <c r="CU61" s="107">
        <f t="shared" si="23"/>
        <v>17816.068881029998</v>
      </c>
      <c r="CW61" s="108">
        <v>-700</v>
      </c>
      <c r="CX61" s="153">
        <f t="shared" si="24"/>
        <v>700</v>
      </c>
      <c r="CY61" s="153">
        <v>4485</v>
      </c>
      <c r="CZ61" s="153">
        <f t="shared" si="24"/>
        <v>0</v>
      </c>
      <c r="DA61" s="153">
        <v>0</v>
      </c>
      <c r="DB61" s="153">
        <f t="shared" ref="DB61:DD61" si="369">IF(DA61&lt;0,-DA61,0)</f>
        <v>0</v>
      </c>
      <c r="DC61" s="153">
        <v>-5000</v>
      </c>
      <c r="DD61" s="153">
        <f t="shared" si="369"/>
        <v>5000</v>
      </c>
      <c r="DE61" s="153">
        <v>903.51395279999997</v>
      </c>
      <c r="DF61" s="153">
        <f t="shared" ref="DF61:DH61" si="370">IF(DE61&lt;0,-DE61,0)</f>
        <v>0</v>
      </c>
      <c r="DG61" s="153">
        <v>-4000</v>
      </c>
      <c r="DH61" s="153">
        <f t="shared" si="370"/>
        <v>4000</v>
      </c>
      <c r="DI61" s="153">
        <v>4800</v>
      </c>
      <c r="DJ61" s="153">
        <f t="shared" ref="DJ61:DL61" si="371">IF(DI61&lt;0,-DI61,0)</f>
        <v>0</v>
      </c>
      <c r="DK61" s="153">
        <v>7627.5549282299999</v>
      </c>
      <c r="DL61" s="153">
        <f t="shared" si="371"/>
        <v>0</v>
      </c>
      <c r="DM61" s="107">
        <f t="shared" si="28"/>
        <v>9700</v>
      </c>
    </row>
    <row r="62" spans="13:117" s="5" customFormat="1" x14ac:dyDescent="0.35">
      <c r="M62" s="77">
        <f t="shared" si="29"/>
        <v>60</v>
      </c>
      <c r="N62" s="78">
        <v>0.23</v>
      </c>
      <c r="O62" s="79">
        <v>0.27399999999999997</v>
      </c>
      <c r="P62" s="79">
        <v>0.41799999999999998</v>
      </c>
      <c r="Q62" s="79">
        <v>42961.798999999999</v>
      </c>
      <c r="R62" s="79">
        <v>2331.6311476800001</v>
      </c>
      <c r="S62" s="79">
        <f t="shared" si="0"/>
        <v>45293.430147680003</v>
      </c>
      <c r="T62" s="78">
        <v>0.129</v>
      </c>
      <c r="U62" s="79">
        <v>0.17599999999999899</v>
      </c>
      <c r="V62" s="79">
        <v>5.3999999999999999E-2</v>
      </c>
      <c r="W62" s="79">
        <v>0.03</v>
      </c>
      <c r="X62" s="79">
        <f t="shared" si="1"/>
        <v>8.3999999999999991E-2</v>
      </c>
      <c r="Y62" s="79">
        <v>6528.7719999999999</v>
      </c>
      <c r="Z62" s="79">
        <v>0</v>
      </c>
      <c r="AA62" s="80">
        <f t="shared" si="2"/>
        <v>6528.7719999999999</v>
      </c>
      <c r="AB62" s="79"/>
      <c r="AC62" s="88">
        <v>28718</v>
      </c>
      <c r="AD62" s="94">
        <f t="shared" si="3"/>
        <v>0.34599999999999997</v>
      </c>
      <c r="AE62" s="89">
        <v>1316.57</v>
      </c>
      <c r="AF62" s="94">
        <f t="shared" si="4"/>
        <v>0.27399999999999997</v>
      </c>
      <c r="AG62" s="89">
        <v>12540</v>
      </c>
      <c r="AH62" s="94">
        <f t="shared" si="5"/>
        <v>0.41799999999999998</v>
      </c>
      <c r="AI62" s="89">
        <v>5276.7993999999999</v>
      </c>
      <c r="AJ62" s="94">
        <f>AI62/$B$6</f>
        <v>0.36699999999999999</v>
      </c>
      <c r="AK62" s="89">
        <v>2414.9749999999999</v>
      </c>
      <c r="AL62" s="94">
        <f>AK62/$B$7</f>
        <v>0.25</v>
      </c>
      <c r="AM62" s="89">
        <v>11569.5</v>
      </c>
      <c r="AN62" s="94">
        <f t="shared" si="6"/>
        <v>0.22500000000000001</v>
      </c>
      <c r="AO62" s="89">
        <v>8569.348</v>
      </c>
      <c r="AP62" s="94">
        <f t="shared" si="7"/>
        <v>0.185</v>
      </c>
      <c r="AQ62" s="79"/>
      <c r="AR62" s="88">
        <v>1334.9970000000001</v>
      </c>
      <c r="AS62" s="76">
        <v>262.2</v>
      </c>
      <c r="AT62" s="88">
        <v>57</v>
      </c>
      <c r="AU62" s="100">
        <f t="shared" si="8"/>
        <v>1.4999999999999999E-2</v>
      </c>
      <c r="AV62" s="100">
        <f t="shared" si="9"/>
        <v>0.11399999999999999</v>
      </c>
      <c r="AW62" s="100">
        <f t="shared" si="10"/>
        <v>0.114</v>
      </c>
      <c r="AX62" s="94">
        <v>34.884</v>
      </c>
      <c r="AY62" s="76">
        <v>349.30799999999999</v>
      </c>
      <c r="AZ62" s="100">
        <f>AX62/$B$9</f>
        <v>5.3999999999999999E-2</v>
      </c>
      <c r="BA62" s="97">
        <f>AY62/$B$8</f>
        <v>0.03</v>
      </c>
      <c r="BB62" s="88">
        <v>19178</v>
      </c>
      <c r="BC62" s="76">
        <v>13404.225</v>
      </c>
      <c r="BD62" s="100">
        <f t="shared" si="11"/>
        <v>0.43</v>
      </c>
      <c r="BE62" s="97">
        <f t="shared" si="12"/>
        <v>0.57100000000000006</v>
      </c>
      <c r="BG62" s="88">
        <v>1054.018</v>
      </c>
      <c r="BH62" s="114">
        <f>BG62/$B$10</f>
        <v>0.42799980508880647</v>
      </c>
      <c r="BI62" s="115">
        <v>946.38800000000003</v>
      </c>
      <c r="BJ62" s="114">
        <f>BI62/$B$11</f>
        <v>0.58891599253266957</v>
      </c>
      <c r="BK62" s="115">
        <v>1121.4780000000001</v>
      </c>
      <c r="BL62" s="114">
        <f t="shared" si="13"/>
        <v>0.5784392407674851</v>
      </c>
      <c r="BN62" s="111">
        <v>51358.995000000003</v>
      </c>
      <c r="BO62" s="114">
        <f t="shared" si="14"/>
        <v>0.73770491803278682</v>
      </c>
      <c r="BQ62" s="142">
        <v>15103.945</v>
      </c>
      <c r="BR62" s="131">
        <v>0</v>
      </c>
      <c r="BS62" s="143">
        <v>0</v>
      </c>
      <c r="BT62" s="105">
        <f t="shared" si="15"/>
        <v>0.4633111963190184</v>
      </c>
      <c r="BU62" s="20">
        <f t="shared" si="16"/>
        <v>0</v>
      </c>
      <c r="BV62" s="2">
        <v>0</v>
      </c>
      <c r="BW62" s="2">
        <v>0</v>
      </c>
      <c r="BX62" s="2">
        <v>0</v>
      </c>
      <c r="BY62" s="2">
        <v>4921.4520000000002</v>
      </c>
      <c r="BZ62" s="105">
        <f t="shared" si="17"/>
        <v>0.3651470544591186</v>
      </c>
      <c r="CA62" s="20">
        <f t="shared" si="18"/>
        <v>0</v>
      </c>
      <c r="CB62" s="5">
        <v>10800</v>
      </c>
      <c r="CC62" s="5">
        <v>683.45413575999999</v>
      </c>
      <c r="CE62" s="108">
        <v>-700</v>
      </c>
      <c r="CF62" s="153">
        <f t="shared" si="19"/>
        <v>0</v>
      </c>
      <c r="CG62" s="153">
        <v>4485</v>
      </c>
      <c r="CH62" s="153">
        <f t="shared" si="19"/>
        <v>4485</v>
      </c>
      <c r="CI62" s="153">
        <v>0</v>
      </c>
      <c r="CJ62" s="153">
        <f t="shared" ref="CJ62:CL62" si="372">IF(CI62&gt;0,CI62,0)</f>
        <v>0</v>
      </c>
      <c r="CK62" s="153">
        <v>-5000</v>
      </c>
      <c r="CL62" s="153">
        <f t="shared" si="372"/>
        <v>0</v>
      </c>
      <c r="CM62" s="153">
        <v>2304.0527207599998</v>
      </c>
      <c r="CN62" s="153">
        <f t="shared" ref="CN62:CP62" si="373">IF(CM62&gt;0,CM62,0)</f>
        <v>2304.0527207599998</v>
      </c>
      <c r="CO62" s="153">
        <v>-4000</v>
      </c>
      <c r="CP62" s="153">
        <f t="shared" si="373"/>
        <v>0</v>
      </c>
      <c r="CQ62" s="153">
        <v>4800</v>
      </c>
      <c r="CR62" s="153">
        <f t="shared" ref="CR62:CT62" si="374">IF(CQ62&gt;0,CQ62,0)</f>
        <v>4800</v>
      </c>
      <c r="CS62" s="153">
        <v>7784.1574998899996</v>
      </c>
      <c r="CT62" s="153">
        <f t="shared" si="374"/>
        <v>7784.1574998899996</v>
      </c>
      <c r="CU62" s="107">
        <f t="shared" si="23"/>
        <v>19373.210220649999</v>
      </c>
      <c r="CW62" s="108">
        <v>-700</v>
      </c>
      <c r="CX62" s="153">
        <f t="shared" si="24"/>
        <v>700</v>
      </c>
      <c r="CY62" s="153">
        <v>4485</v>
      </c>
      <c r="CZ62" s="153">
        <f t="shared" si="24"/>
        <v>0</v>
      </c>
      <c r="DA62" s="153">
        <v>0</v>
      </c>
      <c r="DB62" s="153">
        <f t="shared" ref="DB62:DD62" si="375">IF(DA62&lt;0,-DA62,0)</f>
        <v>0</v>
      </c>
      <c r="DC62" s="153">
        <v>-5000</v>
      </c>
      <c r="DD62" s="153">
        <f t="shared" si="375"/>
        <v>5000</v>
      </c>
      <c r="DE62" s="153">
        <v>2304.0527207599998</v>
      </c>
      <c r="DF62" s="153">
        <f t="shared" ref="DF62:DH62" si="376">IF(DE62&lt;0,-DE62,0)</f>
        <v>0</v>
      </c>
      <c r="DG62" s="153">
        <v>-4000</v>
      </c>
      <c r="DH62" s="153">
        <f t="shared" si="376"/>
        <v>4000</v>
      </c>
      <c r="DI62" s="153">
        <v>4800</v>
      </c>
      <c r="DJ62" s="153">
        <f t="shared" ref="DJ62:DL62" si="377">IF(DI62&lt;0,-DI62,0)</f>
        <v>0</v>
      </c>
      <c r="DK62" s="153">
        <v>7784.1574998899996</v>
      </c>
      <c r="DL62" s="153">
        <f t="shared" si="377"/>
        <v>0</v>
      </c>
      <c r="DM62" s="107">
        <f t="shared" si="28"/>
        <v>9700</v>
      </c>
    </row>
    <row r="63" spans="13:117" s="5" customFormat="1" x14ac:dyDescent="0.35">
      <c r="M63" s="77">
        <f t="shared" si="29"/>
        <v>61</v>
      </c>
      <c r="N63" s="78">
        <v>0.22600000000000001</v>
      </c>
      <c r="O63" s="79">
        <v>0.34299999999999997</v>
      </c>
      <c r="P63" s="79">
        <v>0.48899999999999999</v>
      </c>
      <c r="Q63" s="79">
        <v>43064.267999999996</v>
      </c>
      <c r="R63" s="79">
        <v>2513.3795602300002</v>
      </c>
      <c r="S63" s="79">
        <f t="shared" si="0"/>
        <v>45577.647560229998</v>
      </c>
      <c r="T63" s="78">
        <v>0.13100000000000001</v>
      </c>
      <c r="U63" s="79">
        <v>0.223</v>
      </c>
      <c r="V63" s="79">
        <v>4.5999999999999999E-2</v>
      </c>
      <c r="W63" s="79">
        <v>1.9E-2</v>
      </c>
      <c r="X63" s="79">
        <f t="shared" si="1"/>
        <v>6.5000000000000002E-2</v>
      </c>
      <c r="Y63" s="79">
        <v>6583.1930000000002</v>
      </c>
      <c r="Z63" s="79">
        <v>0</v>
      </c>
      <c r="AA63" s="80">
        <f t="shared" si="2"/>
        <v>6583.1930000000002</v>
      </c>
      <c r="AB63" s="79"/>
      <c r="AC63" s="88">
        <v>30793</v>
      </c>
      <c r="AD63" s="94">
        <f t="shared" si="3"/>
        <v>0.371</v>
      </c>
      <c r="AE63" s="89">
        <v>1648.115</v>
      </c>
      <c r="AF63" s="94">
        <f t="shared" si="4"/>
        <v>0.34300000000000003</v>
      </c>
      <c r="AG63" s="89">
        <v>14670</v>
      </c>
      <c r="AH63" s="94">
        <f t="shared" si="5"/>
        <v>0.48899999999999999</v>
      </c>
      <c r="AI63" s="89">
        <v>6815.2668000000003</v>
      </c>
      <c r="AJ63" s="94">
        <f>AI63/$B$6</f>
        <v>0.47399999999999998</v>
      </c>
      <c r="AK63" s="89">
        <v>3178.1071000000002</v>
      </c>
      <c r="AL63" s="94">
        <f>AK63/$B$7</f>
        <v>0.32900000000000001</v>
      </c>
      <c r="AM63" s="89">
        <v>13523.46</v>
      </c>
      <c r="AN63" s="94">
        <f t="shared" si="6"/>
        <v>0.26299999999999996</v>
      </c>
      <c r="AO63" s="89">
        <v>10051.613600000001</v>
      </c>
      <c r="AP63" s="94">
        <f t="shared" si="7"/>
        <v>0.217</v>
      </c>
      <c r="AQ63" s="79"/>
      <c r="AR63" s="88">
        <v>978.99779999999998</v>
      </c>
      <c r="AS63" s="76">
        <v>269.10000000000002</v>
      </c>
      <c r="AT63" s="88">
        <v>58.5</v>
      </c>
      <c r="AU63" s="100">
        <f t="shared" si="8"/>
        <v>1.0999999999999999E-2</v>
      </c>
      <c r="AV63" s="100">
        <f t="shared" si="9"/>
        <v>0.11700000000000001</v>
      </c>
      <c r="AW63" s="100">
        <f t="shared" si="10"/>
        <v>0.11700000000000001</v>
      </c>
      <c r="AX63" s="94">
        <v>29.716000000000001</v>
      </c>
      <c r="AY63" s="76">
        <v>221.22839999999999</v>
      </c>
      <c r="AZ63" s="100">
        <f>AX63/$B$9</f>
        <v>4.5999999999999999E-2</v>
      </c>
      <c r="BA63" s="97">
        <f>AY63/$B$8</f>
        <v>1.9E-2</v>
      </c>
      <c r="BB63" s="88">
        <v>19980.8</v>
      </c>
      <c r="BC63" s="76">
        <v>12911.25</v>
      </c>
      <c r="BD63" s="100">
        <f t="shared" si="11"/>
        <v>0.44800000000000001</v>
      </c>
      <c r="BE63" s="97">
        <f t="shared" si="12"/>
        <v>0.55000000000000004</v>
      </c>
      <c r="BG63" s="88">
        <v>1046.6300000000001</v>
      </c>
      <c r="BH63" s="114">
        <f>BG63/$B$10</f>
        <v>0.42499979696750673</v>
      </c>
      <c r="BI63" s="115">
        <v>944.37</v>
      </c>
      <c r="BJ63" s="114">
        <f>BI63/$B$11</f>
        <v>0.58766023646546361</v>
      </c>
      <c r="BK63" s="115">
        <v>1121.4780000000001</v>
      </c>
      <c r="BL63" s="114">
        <f t="shared" si="13"/>
        <v>0.5784392407674851</v>
      </c>
      <c r="BN63" s="111">
        <v>51358.995000000003</v>
      </c>
      <c r="BO63" s="114">
        <f t="shared" si="14"/>
        <v>0.73770491803278682</v>
      </c>
      <c r="BQ63" s="142">
        <v>16784.896000000001</v>
      </c>
      <c r="BR63" s="131">
        <v>0</v>
      </c>
      <c r="BS63" s="143">
        <v>0</v>
      </c>
      <c r="BT63" s="105">
        <f t="shared" si="15"/>
        <v>0.51487411042944786</v>
      </c>
      <c r="BU63" s="20">
        <f t="shared" si="16"/>
        <v>0</v>
      </c>
      <c r="BV63" s="2">
        <v>0</v>
      </c>
      <c r="BW63" s="2">
        <v>0</v>
      </c>
      <c r="BX63" s="2">
        <v>0</v>
      </c>
      <c r="BY63" s="2">
        <v>5987.5630000000001</v>
      </c>
      <c r="BZ63" s="105">
        <f t="shared" si="17"/>
        <v>0.44424714349309985</v>
      </c>
      <c r="CA63" s="20">
        <f t="shared" si="18"/>
        <v>0</v>
      </c>
      <c r="CB63" s="5">
        <v>10800</v>
      </c>
      <c r="CC63" s="5">
        <v>0</v>
      </c>
      <c r="CE63" s="108">
        <v>-700</v>
      </c>
      <c r="CF63" s="153">
        <f t="shared" si="19"/>
        <v>0</v>
      </c>
      <c r="CG63" s="153">
        <v>4485</v>
      </c>
      <c r="CH63" s="153">
        <f t="shared" si="19"/>
        <v>4485</v>
      </c>
      <c r="CI63" s="153">
        <v>0</v>
      </c>
      <c r="CJ63" s="153">
        <f t="shared" ref="CJ63:CL63" si="378">IF(CI63&gt;0,CI63,0)</f>
        <v>0</v>
      </c>
      <c r="CK63" s="153">
        <v>-5000</v>
      </c>
      <c r="CL63" s="153">
        <f t="shared" si="378"/>
        <v>0</v>
      </c>
      <c r="CM63" s="153">
        <v>2731.3758492299999</v>
      </c>
      <c r="CN63" s="153">
        <f t="shared" ref="CN63:CP63" si="379">IF(CM63&gt;0,CM63,0)</f>
        <v>2731.3758492299999</v>
      </c>
      <c r="CO63" s="153">
        <v>-4000</v>
      </c>
      <c r="CP63" s="153">
        <f t="shared" si="379"/>
        <v>0</v>
      </c>
      <c r="CQ63" s="153">
        <v>4800</v>
      </c>
      <c r="CR63" s="153">
        <f t="shared" ref="CR63:CT63" si="380">IF(CQ63&gt;0,CQ63,0)</f>
        <v>4800</v>
      </c>
      <c r="CS63" s="153">
        <v>7687.1621045499996</v>
      </c>
      <c r="CT63" s="153">
        <f t="shared" si="380"/>
        <v>7687.1621045499996</v>
      </c>
      <c r="CU63" s="107">
        <f t="shared" si="23"/>
        <v>19703.53795378</v>
      </c>
      <c r="CW63" s="108">
        <v>-700</v>
      </c>
      <c r="CX63" s="153">
        <f t="shared" si="24"/>
        <v>700</v>
      </c>
      <c r="CY63" s="153">
        <v>4485</v>
      </c>
      <c r="CZ63" s="153">
        <f t="shared" si="24"/>
        <v>0</v>
      </c>
      <c r="DA63" s="153">
        <v>0</v>
      </c>
      <c r="DB63" s="153">
        <f t="shared" ref="DB63:DD63" si="381">IF(DA63&lt;0,-DA63,0)</f>
        <v>0</v>
      </c>
      <c r="DC63" s="153">
        <v>-5000</v>
      </c>
      <c r="DD63" s="153">
        <f t="shared" si="381"/>
        <v>5000</v>
      </c>
      <c r="DE63" s="153">
        <v>2731.3758492299999</v>
      </c>
      <c r="DF63" s="153">
        <f t="shared" ref="DF63:DH63" si="382">IF(DE63&lt;0,-DE63,0)</f>
        <v>0</v>
      </c>
      <c r="DG63" s="153">
        <v>-4000</v>
      </c>
      <c r="DH63" s="153">
        <f t="shared" si="382"/>
        <v>4000</v>
      </c>
      <c r="DI63" s="153">
        <v>4800</v>
      </c>
      <c r="DJ63" s="153">
        <f t="shared" ref="DJ63:DL63" si="383">IF(DI63&lt;0,-DI63,0)</f>
        <v>0</v>
      </c>
      <c r="DK63" s="153">
        <v>7687.1621045499996</v>
      </c>
      <c r="DL63" s="153">
        <f t="shared" si="383"/>
        <v>0</v>
      </c>
      <c r="DM63" s="107">
        <f t="shared" si="28"/>
        <v>9700</v>
      </c>
    </row>
    <row r="64" spans="13:117" s="5" customFormat="1" x14ac:dyDescent="0.35">
      <c r="M64" s="77">
        <f t="shared" si="29"/>
        <v>62</v>
      </c>
      <c r="N64" s="78">
        <v>0.19600000000000001</v>
      </c>
      <c r="O64" s="79">
        <v>0.35299999999999998</v>
      </c>
      <c r="P64" s="79">
        <v>0.498</v>
      </c>
      <c r="Q64" s="79">
        <v>42777.860999999997</v>
      </c>
      <c r="R64" s="79">
        <v>2222.8491306199999</v>
      </c>
      <c r="S64" s="79">
        <f t="shared" si="0"/>
        <v>45000.710130619998</v>
      </c>
      <c r="T64" s="78">
        <v>0.151</v>
      </c>
      <c r="U64" s="79">
        <v>0.22899999999999998</v>
      </c>
      <c r="V64" s="79">
        <v>4.4999999999999998E-2</v>
      </c>
      <c r="W64" s="79">
        <v>1.3000000000000001E-2</v>
      </c>
      <c r="X64" s="79">
        <f t="shared" si="1"/>
        <v>5.7999999999999996E-2</v>
      </c>
      <c r="Y64" s="79">
        <v>6305.54</v>
      </c>
      <c r="Z64" s="79">
        <v>0</v>
      </c>
      <c r="AA64" s="80">
        <f t="shared" si="2"/>
        <v>6305.54</v>
      </c>
      <c r="AB64" s="79"/>
      <c r="AC64" s="88">
        <v>31374</v>
      </c>
      <c r="AD64" s="94">
        <f t="shared" si="3"/>
        <v>0.378</v>
      </c>
      <c r="AE64" s="89">
        <v>1696.165</v>
      </c>
      <c r="AF64" s="94">
        <f t="shared" si="4"/>
        <v>0.35299999999999998</v>
      </c>
      <c r="AG64" s="89">
        <v>14940</v>
      </c>
      <c r="AH64" s="94">
        <f t="shared" si="5"/>
        <v>0.498</v>
      </c>
      <c r="AI64" s="89">
        <v>7447.9075999999995</v>
      </c>
      <c r="AJ64" s="94">
        <f>AI64/$B$6</f>
        <v>0.5179999999999999</v>
      </c>
      <c r="AK64" s="89">
        <v>3487.2239</v>
      </c>
      <c r="AL64" s="94">
        <f>AK64/$B$7</f>
        <v>0.36099999999999999</v>
      </c>
      <c r="AM64" s="89">
        <v>13472.04</v>
      </c>
      <c r="AN64" s="94">
        <f t="shared" si="6"/>
        <v>0.26200000000000001</v>
      </c>
      <c r="AO64" s="89">
        <v>9958.9719999999998</v>
      </c>
      <c r="AP64" s="94">
        <f t="shared" si="7"/>
        <v>0.21499999999999997</v>
      </c>
      <c r="AQ64" s="79"/>
      <c r="AR64" s="88">
        <v>889.99800000000005</v>
      </c>
      <c r="AS64" s="76">
        <v>278.3</v>
      </c>
      <c r="AT64" s="88">
        <v>60.5</v>
      </c>
      <c r="AU64" s="100">
        <f t="shared" si="8"/>
        <v>0.01</v>
      </c>
      <c r="AV64" s="100">
        <f t="shared" si="9"/>
        <v>0.12100000000000001</v>
      </c>
      <c r="AW64" s="100">
        <f t="shared" si="10"/>
        <v>0.121</v>
      </c>
      <c r="AX64" s="94">
        <v>29.07</v>
      </c>
      <c r="AY64" s="76">
        <v>151.36680000000001</v>
      </c>
      <c r="AZ64" s="100">
        <f>AX64/$B$9</f>
        <v>4.4999999999999998E-2</v>
      </c>
      <c r="BA64" s="97">
        <f>AY64/$B$8</f>
        <v>1.3000000000000001E-2</v>
      </c>
      <c r="BB64" s="88">
        <v>19088.8</v>
      </c>
      <c r="BC64" s="76">
        <v>12653.025</v>
      </c>
      <c r="BD64" s="100">
        <f t="shared" si="11"/>
        <v>0.42799999999999999</v>
      </c>
      <c r="BE64" s="97">
        <f t="shared" si="12"/>
        <v>0.53900000000000003</v>
      </c>
      <c r="BG64" s="88">
        <v>1051.556</v>
      </c>
      <c r="BH64" s="114">
        <f>BG64/$B$10</f>
        <v>0.42700007309169763</v>
      </c>
      <c r="BI64" s="115">
        <v>945.005</v>
      </c>
      <c r="BJ64" s="114">
        <f>BI64/$B$11</f>
        <v>0.58805538270068447</v>
      </c>
      <c r="BK64" s="115">
        <v>1121.4780000000001</v>
      </c>
      <c r="BL64" s="114">
        <f t="shared" si="13"/>
        <v>0.5784392407674851</v>
      </c>
      <c r="BN64" s="111">
        <v>51358.995000000003</v>
      </c>
      <c r="BO64" s="114">
        <f t="shared" si="14"/>
        <v>0.73770491803278682</v>
      </c>
      <c r="BQ64" s="142">
        <v>17020.629000000001</v>
      </c>
      <c r="BR64" s="131">
        <v>0</v>
      </c>
      <c r="BS64" s="143">
        <v>0</v>
      </c>
      <c r="BT64" s="105">
        <f t="shared" si="15"/>
        <v>0.5221051840490798</v>
      </c>
      <c r="BU64" s="20">
        <f t="shared" si="16"/>
        <v>0</v>
      </c>
      <c r="BV64" s="2">
        <v>0</v>
      </c>
      <c r="BW64" s="2">
        <v>0</v>
      </c>
      <c r="BX64" s="2">
        <v>0</v>
      </c>
      <c r="BY64" s="2">
        <v>6418.5349999999999</v>
      </c>
      <c r="BZ64" s="105">
        <f t="shared" si="17"/>
        <v>0.47622310431814807</v>
      </c>
      <c r="CA64" s="20">
        <f t="shared" si="18"/>
        <v>0</v>
      </c>
      <c r="CB64" s="5">
        <v>10800</v>
      </c>
      <c r="CC64" s="5">
        <v>0</v>
      </c>
      <c r="CE64" s="108">
        <v>-700</v>
      </c>
      <c r="CF64" s="153">
        <f t="shared" si="19"/>
        <v>0</v>
      </c>
      <c r="CG64" s="153">
        <v>4485</v>
      </c>
      <c r="CH64" s="153">
        <f t="shared" si="19"/>
        <v>4485</v>
      </c>
      <c r="CI64" s="153">
        <v>0</v>
      </c>
      <c r="CJ64" s="153">
        <f t="shared" ref="CJ64:CL64" si="384">IF(CI64&gt;0,CI64,0)</f>
        <v>0</v>
      </c>
      <c r="CK64" s="153">
        <v>-5000</v>
      </c>
      <c r="CL64" s="153">
        <f t="shared" si="384"/>
        <v>0</v>
      </c>
      <c r="CM64" s="153">
        <v>2682.4424395999999</v>
      </c>
      <c r="CN64" s="153">
        <f t="shared" ref="CN64:CP64" si="385">IF(CM64&gt;0,CM64,0)</f>
        <v>2682.4424395999999</v>
      </c>
      <c r="CO64" s="153">
        <v>-4000</v>
      </c>
      <c r="CP64" s="153">
        <f t="shared" si="385"/>
        <v>0</v>
      </c>
      <c r="CQ64" s="153">
        <v>4800</v>
      </c>
      <c r="CR64" s="153">
        <f t="shared" ref="CR64:CT64" si="386">IF(CQ64&gt;0,CQ64,0)</f>
        <v>4800</v>
      </c>
      <c r="CS64" s="153">
        <v>8357.5496819700002</v>
      </c>
      <c r="CT64" s="153">
        <f t="shared" si="386"/>
        <v>8357.5496819700002</v>
      </c>
      <c r="CU64" s="107">
        <f t="shared" si="23"/>
        <v>20324.992121570001</v>
      </c>
      <c r="CW64" s="108">
        <v>-700</v>
      </c>
      <c r="CX64" s="153">
        <f t="shared" si="24"/>
        <v>700</v>
      </c>
      <c r="CY64" s="153">
        <v>4485</v>
      </c>
      <c r="CZ64" s="153">
        <f t="shared" si="24"/>
        <v>0</v>
      </c>
      <c r="DA64" s="153">
        <v>0</v>
      </c>
      <c r="DB64" s="153">
        <f t="shared" ref="DB64:DD64" si="387">IF(DA64&lt;0,-DA64,0)</f>
        <v>0</v>
      </c>
      <c r="DC64" s="153">
        <v>-5000</v>
      </c>
      <c r="DD64" s="153">
        <f t="shared" si="387"/>
        <v>5000</v>
      </c>
      <c r="DE64" s="153">
        <v>2682.4424395999999</v>
      </c>
      <c r="DF64" s="153">
        <f t="shared" ref="DF64:DH64" si="388">IF(DE64&lt;0,-DE64,0)</f>
        <v>0</v>
      </c>
      <c r="DG64" s="153">
        <v>-4000</v>
      </c>
      <c r="DH64" s="153">
        <f t="shared" si="388"/>
        <v>4000</v>
      </c>
      <c r="DI64" s="153">
        <v>4800</v>
      </c>
      <c r="DJ64" s="153">
        <f t="shared" ref="DJ64:DL64" si="389">IF(DI64&lt;0,-DI64,0)</f>
        <v>0</v>
      </c>
      <c r="DK64" s="153">
        <v>8357.5496819700002</v>
      </c>
      <c r="DL64" s="153">
        <f t="shared" si="389"/>
        <v>0</v>
      </c>
      <c r="DM64" s="107">
        <f t="shared" si="28"/>
        <v>9700</v>
      </c>
    </row>
    <row r="65" spans="13:117" s="5" customFormat="1" x14ac:dyDescent="0.35">
      <c r="M65" s="77">
        <f t="shared" si="29"/>
        <v>63</v>
      </c>
      <c r="N65" s="78">
        <v>0.125</v>
      </c>
      <c r="O65" s="79">
        <v>0.30399999999999999</v>
      </c>
      <c r="P65" s="79">
        <v>0.44700000000000001</v>
      </c>
      <c r="Q65" s="79">
        <v>42145.586000000003</v>
      </c>
      <c r="R65" s="79">
        <v>1662.0000772000001</v>
      </c>
      <c r="S65" s="79">
        <f t="shared" si="0"/>
        <v>43807.586077200001</v>
      </c>
      <c r="T65" s="78">
        <v>0.188</v>
      </c>
      <c r="U65" s="79">
        <v>0.193</v>
      </c>
      <c r="V65" s="79">
        <v>5.1999999999999998E-2</v>
      </c>
      <c r="W65" s="79">
        <v>1.1999999999999999E-2</v>
      </c>
      <c r="X65" s="79">
        <f t="shared" si="1"/>
        <v>6.4000000000000001E-2</v>
      </c>
      <c r="Y65" s="79">
        <v>6245.7089999999998</v>
      </c>
      <c r="Z65" s="79">
        <v>0</v>
      </c>
      <c r="AA65" s="80">
        <f t="shared" si="2"/>
        <v>6245.7089999999998</v>
      </c>
      <c r="AB65" s="79"/>
      <c r="AC65" s="88">
        <v>30876</v>
      </c>
      <c r="AD65" s="94">
        <f t="shared" si="3"/>
        <v>0.372</v>
      </c>
      <c r="AE65" s="89">
        <v>1460.72</v>
      </c>
      <c r="AF65" s="94">
        <f t="shared" si="4"/>
        <v>0.30399999999999999</v>
      </c>
      <c r="AG65" s="89">
        <v>13410</v>
      </c>
      <c r="AH65" s="94">
        <f t="shared" si="5"/>
        <v>0.44700000000000001</v>
      </c>
      <c r="AI65" s="89">
        <v>7074.0744000000004</v>
      </c>
      <c r="AJ65" s="94">
        <f>AI65/$B$6</f>
        <v>0.49199999999999999</v>
      </c>
      <c r="AK65" s="89">
        <v>3265.0462000000002</v>
      </c>
      <c r="AL65" s="94">
        <f>AK65/$B$7</f>
        <v>0.33800000000000002</v>
      </c>
      <c r="AM65" s="89">
        <v>11363.82</v>
      </c>
      <c r="AN65" s="94">
        <f t="shared" si="6"/>
        <v>0.221</v>
      </c>
      <c r="AO65" s="89">
        <v>8291.4231999999993</v>
      </c>
      <c r="AP65" s="94">
        <f t="shared" si="7"/>
        <v>0.17899999999999996</v>
      </c>
      <c r="AQ65" s="79"/>
      <c r="AR65" s="88">
        <v>889.99800000000005</v>
      </c>
      <c r="AS65" s="76">
        <v>280.60000000000002</v>
      </c>
      <c r="AT65" s="88">
        <v>61</v>
      </c>
      <c r="AU65" s="100">
        <f t="shared" si="8"/>
        <v>0.01</v>
      </c>
      <c r="AV65" s="100">
        <f t="shared" si="9"/>
        <v>0.12200000000000001</v>
      </c>
      <c r="AW65" s="100">
        <f t="shared" si="10"/>
        <v>0.122</v>
      </c>
      <c r="AX65" s="94">
        <v>33.591999999999999</v>
      </c>
      <c r="AY65" s="76">
        <v>139.72319999999999</v>
      </c>
      <c r="AZ65" s="100">
        <f>AX65/$B$9</f>
        <v>5.1999999999999998E-2</v>
      </c>
      <c r="BA65" s="97">
        <f>AY65/$B$8</f>
        <v>1.1999999999999999E-2</v>
      </c>
      <c r="BB65" s="88">
        <v>17037.2</v>
      </c>
      <c r="BC65" s="76">
        <v>12699.975</v>
      </c>
      <c r="BD65" s="100">
        <f t="shared" si="11"/>
        <v>0.38200000000000001</v>
      </c>
      <c r="BE65" s="97">
        <f t="shared" si="12"/>
        <v>0.54100000000000004</v>
      </c>
      <c r="BG65" s="88">
        <v>1046.6300000000001</v>
      </c>
      <c r="BH65" s="114">
        <f>BG65/$B$10</f>
        <v>0.42499979696750673</v>
      </c>
      <c r="BI65" s="115">
        <v>937.21799999999996</v>
      </c>
      <c r="BJ65" s="114">
        <f>BI65/$B$11</f>
        <v>0.58320970752955814</v>
      </c>
      <c r="BK65" s="115">
        <v>1121.4780000000001</v>
      </c>
      <c r="BL65" s="114">
        <f t="shared" si="13"/>
        <v>0.5784392407674851</v>
      </c>
      <c r="BN65" s="111">
        <v>51358.995000000003</v>
      </c>
      <c r="BO65" s="114">
        <f t="shared" si="14"/>
        <v>0.73770491803278682</v>
      </c>
      <c r="BQ65" s="142">
        <v>15938.634</v>
      </c>
      <c r="BR65" s="131">
        <v>0</v>
      </c>
      <c r="BS65" s="143">
        <v>0</v>
      </c>
      <c r="BT65" s="105">
        <f t="shared" si="15"/>
        <v>0.48891515337423314</v>
      </c>
      <c r="BU65" s="20">
        <f t="shared" si="16"/>
        <v>0</v>
      </c>
      <c r="BV65" s="2">
        <v>0</v>
      </c>
      <c r="BW65" s="2">
        <v>0</v>
      </c>
      <c r="BX65" s="2">
        <v>0</v>
      </c>
      <c r="BY65" s="2">
        <v>6163.6549999999997</v>
      </c>
      <c r="BZ65" s="105">
        <f t="shared" si="17"/>
        <v>0.45731228668941976</v>
      </c>
      <c r="CA65" s="20">
        <f t="shared" si="18"/>
        <v>0</v>
      </c>
      <c r="CB65" s="5">
        <v>10800</v>
      </c>
      <c r="CC65" s="5">
        <v>0</v>
      </c>
      <c r="CE65" s="108">
        <v>-700</v>
      </c>
      <c r="CF65" s="153">
        <f t="shared" si="19"/>
        <v>0</v>
      </c>
      <c r="CG65" s="153">
        <v>4485</v>
      </c>
      <c r="CH65" s="153">
        <f t="shared" si="19"/>
        <v>4485</v>
      </c>
      <c r="CI65" s="153">
        <v>0</v>
      </c>
      <c r="CJ65" s="153">
        <f t="shared" ref="CJ65:CL65" si="390">IF(CI65&gt;0,CI65,0)</f>
        <v>0</v>
      </c>
      <c r="CK65" s="153">
        <v>-5000</v>
      </c>
      <c r="CL65" s="153">
        <f t="shared" si="390"/>
        <v>0</v>
      </c>
      <c r="CM65" s="153">
        <v>2216.00056288</v>
      </c>
      <c r="CN65" s="153">
        <f t="shared" ref="CN65:CP65" si="391">IF(CM65&gt;0,CM65,0)</f>
        <v>2216.00056288</v>
      </c>
      <c r="CO65" s="153">
        <v>-4000</v>
      </c>
      <c r="CP65" s="153">
        <f t="shared" si="391"/>
        <v>0</v>
      </c>
      <c r="CQ65" s="153">
        <v>4800</v>
      </c>
      <c r="CR65" s="153">
        <f t="shared" ref="CR65:CT65" si="392">IF(CQ65&gt;0,CQ65,0)</f>
        <v>4800</v>
      </c>
      <c r="CS65" s="153">
        <v>7249.7830947900002</v>
      </c>
      <c r="CT65" s="153">
        <f t="shared" si="392"/>
        <v>7249.7830947900002</v>
      </c>
      <c r="CU65" s="107">
        <f t="shared" si="23"/>
        <v>18750.783657669999</v>
      </c>
      <c r="CW65" s="108">
        <v>-700</v>
      </c>
      <c r="CX65" s="153">
        <f t="shared" si="24"/>
        <v>700</v>
      </c>
      <c r="CY65" s="153">
        <v>4485</v>
      </c>
      <c r="CZ65" s="153">
        <f t="shared" si="24"/>
        <v>0</v>
      </c>
      <c r="DA65" s="153">
        <v>0</v>
      </c>
      <c r="DB65" s="153">
        <f t="shared" ref="DB65:DD65" si="393">IF(DA65&lt;0,-DA65,0)</f>
        <v>0</v>
      </c>
      <c r="DC65" s="153">
        <v>-5000</v>
      </c>
      <c r="DD65" s="153">
        <f t="shared" si="393"/>
        <v>5000</v>
      </c>
      <c r="DE65" s="153">
        <v>2216.00056288</v>
      </c>
      <c r="DF65" s="153">
        <f t="shared" ref="DF65:DH65" si="394">IF(DE65&lt;0,-DE65,0)</f>
        <v>0</v>
      </c>
      <c r="DG65" s="153">
        <v>-4000</v>
      </c>
      <c r="DH65" s="153">
        <f t="shared" si="394"/>
        <v>4000</v>
      </c>
      <c r="DI65" s="153">
        <v>4800</v>
      </c>
      <c r="DJ65" s="153">
        <f t="shared" ref="DJ65:DL65" si="395">IF(DI65&lt;0,-DI65,0)</f>
        <v>0</v>
      </c>
      <c r="DK65" s="153">
        <v>7249.7830947900002</v>
      </c>
      <c r="DL65" s="153">
        <f t="shared" si="395"/>
        <v>0</v>
      </c>
      <c r="DM65" s="107">
        <f t="shared" si="28"/>
        <v>9700</v>
      </c>
    </row>
    <row r="66" spans="13:117" s="5" customFormat="1" x14ac:dyDescent="0.35">
      <c r="M66" s="77">
        <f t="shared" si="29"/>
        <v>64</v>
      </c>
      <c r="N66" s="78">
        <v>3.1000000000000003E-2</v>
      </c>
      <c r="O66" s="79">
        <v>0.21099999999999899</v>
      </c>
      <c r="P66" s="79">
        <v>0.34299999999999997</v>
      </c>
      <c r="Q66" s="79">
        <v>42152.853999999999</v>
      </c>
      <c r="R66" s="79">
        <v>1403.5900764800001</v>
      </c>
      <c r="S66" s="79">
        <f t="shared" si="0"/>
        <v>43556.444076480002</v>
      </c>
      <c r="T66" s="78">
        <v>8.3000000000000004E-2</v>
      </c>
      <c r="U66" s="79">
        <v>0.10400000000000001</v>
      </c>
      <c r="V66" s="79">
        <v>7.0999999999999994E-2</v>
      </c>
      <c r="W66" s="79">
        <v>1.7000000000000001E-2</v>
      </c>
      <c r="X66" s="79">
        <f t="shared" si="1"/>
        <v>8.7999999999999995E-2</v>
      </c>
      <c r="Y66" s="79">
        <v>6248.9279999999999</v>
      </c>
      <c r="Z66" s="79">
        <v>0</v>
      </c>
      <c r="AA66" s="80">
        <f t="shared" si="2"/>
        <v>6248.9279999999999</v>
      </c>
      <c r="AB66" s="79"/>
      <c r="AC66" s="88">
        <v>28635</v>
      </c>
      <c r="AD66" s="94">
        <f t="shared" si="3"/>
        <v>0.34499999999999997</v>
      </c>
      <c r="AE66" s="89">
        <v>1013.855</v>
      </c>
      <c r="AF66" s="94">
        <f t="shared" si="4"/>
        <v>0.21099999999999999</v>
      </c>
      <c r="AG66" s="89">
        <v>10290</v>
      </c>
      <c r="AH66" s="94">
        <f t="shared" si="5"/>
        <v>0.34300000000000003</v>
      </c>
      <c r="AI66" s="89">
        <v>5837.5492000000004</v>
      </c>
      <c r="AJ66" s="94">
        <f>AI66/$B$6</f>
        <v>0.40600000000000003</v>
      </c>
      <c r="AK66" s="89">
        <v>2588.8532</v>
      </c>
      <c r="AL66" s="94">
        <f>AK66/$B$7</f>
        <v>0.26800000000000002</v>
      </c>
      <c r="AM66" s="89">
        <v>7815.84</v>
      </c>
      <c r="AN66" s="94">
        <f t="shared" si="6"/>
        <v>0.152</v>
      </c>
      <c r="AO66" s="89">
        <v>5512.1751999999997</v>
      </c>
      <c r="AP66" s="94">
        <f t="shared" si="7"/>
        <v>0.11899999999999998</v>
      </c>
      <c r="AQ66" s="79"/>
      <c r="AR66" s="88">
        <v>978.99779999999998</v>
      </c>
      <c r="AS66" s="76">
        <v>276</v>
      </c>
      <c r="AT66" s="88">
        <v>60</v>
      </c>
      <c r="AU66" s="100">
        <f t="shared" si="8"/>
        <v>1.0999999999999999E-2</v>
      </c>
      <c r="AV66" s="100">
        <f t="shared" si="9"/>
        <v>0.12</v>
      </c>
      <c r="AW66" s="100">
        <f t="shared" si="10"/>
        <v>0.12</v>
      </c>
      <c r="AX66" s="94">
        <v>45.866</v>
      </c>
      <c r="AY66" s="76">
        <v>197.94120000000001</v>
      </c>
      <c r="AZ66" s="100">
        <f>AX66/$B$9</f>
        <v>7.0999999999999994E-2</v>
      </c>
      <c r="BA66" s="97">
        <f>AY66/$B$8</f>
        <v>1.7000000000000001E-2</v>
      </c>
      <c r="BB66" s="88">
        <v>15074.8</v>
      </c>
      <c r="BC66" s="76">
        <v>12582.6</v>
      </c>
      <c r="BD66" s="100">
        <f t="shared" si="11"/>
        <v>0.33799999999999997</v>
      </c>
      <c r="BE66" s="97">
        <f t="shared" si="12"/>
        <v>0.53600000000000003</v>
      </c>
      <c r="BG66" s="88">
        <v>1058.944</v>
      </c>
      <c r="BH66" s="114">
        <f>BG66/$B$10</f>
        <v>0.43000008121299732</v>
      </c>
      <c r="BI66" s="115">
        <v>940.53800000000001</v>
      </c>
      <c r="BJ66" s="114">
        <f>BI66/$B$11</f>
        <v>0.58527566894835092</v>
      </c>
      <c r="BK66" s="115">
        <v>1121.4780000000001</v>
      </c>
      <c r="BL66" s="114">
        <f t="shared" si="13"/>
        <v>0.5784392407674851</v>
      </c>
      <c r="BN66" s="111">
        <v>51358.995000000003</v>
      </c>
      <c r="BO66" s="114">
        <f t="shared" si="14"/>
        <v>0.73770491803278682</v>
      </c>
      <c r="BQ66" s="142">
        <v>13494.522999999999</v>
      </c>
      <c r="BR66" s="131">
        <v>0</v>
      </c>
      <c r="BS66" s="143">
        <v>0</v>
      </c>
      <c r="BT66" s="105">
        <f t="shared" si="15"/>
        <v>0.41394242331288339</v>
      </c>
      <c r="BU66" s="20">
        <f t="shared" si="16"/>
        <v>0</v>
      </c>
      <c r="BV66" s="2">
        <v>0</v>
      </c>
      <c r="BW66" s="2">
        <v>0</v>
      </c>
      <c r="BX66" s="2">
        <v>0</v>
      </c>
      <c r="BY66" s="2">
        <v>5306.1279999999997</v>
      </c>
      <c r="BZ66" s="105">
        <f t="shared" si="17"/>
        <v>0.39368808428550228</v>
      </c>
      <c r="CA66" s="20">
        <f t="shared" si="18"/>
        <v>0</v>
      </c>
      <c r="CB66" s="5">
        <v>10800</v>
      </c>
      <c r="CC66" s="5">
        <v>917.20698202000005</v>
      </c>
      <c r="CE66" s="108">
        <v>-700</v>
      </c>
      <c r="CF66" s="153">
        <f t="shared" si="19"/>
        <v>0</v>
      </c>
      <c r="CG66" s="153">
        <v>4485</v>
      </c>
      <c r="CH66" s="153">
        <f t="shared" si="19"/>
        <v>4485</v>
      </c>
      <c r="CI66" s="153">
        <v>0</v>
      </c>
      <c r="CJ66" s="153">
        <f t="shared" ref="CJ66:CL66" si="396">IF(CI66&gt;0,CI66,0)</f>
        <v>0</v>
      </c>
      <c r="CK66" s="153">
        <v>-5000</v>
      </c>
      <c r="CL66" s="153">
        <f t="shared" si="396"/>
        <v>0</v>
      </c>
      <c r="CM66" s="153">
        <v>1085.00171707</v>
      </c>
      <c r="CN66" s="153">
        <f t="shared" ref="CN66:CP66" si="397">IF(CM66&gt;0,CM66,0)</f>
        <v>1085.00171707</v>
      </c>
      <c r="CO66" s="153">
        <v>-4000</v>
      </c>
      <c r="CP66" s="153">
        <f t="shared" si="397"/>
        <v>0</v>
      </c>
      <c r="CQ66" s="153">
        <v>4800</v>
      </c>
      <c r="CR66" s="153">
        <f t="shared" ref="CR66:CT66" si="398">IF(CQ66&gt;0,CQ66,0)</f>
        <v>4800</v>
      </c>
      <c r="CS66" s="153">
        <v>6282.3735026799995</v>
      </c>
      <c r="CT66" s="153">
        <f t="shared" si="398"/>
        <v>6282.3735026799995</v>
      </c>
      <c r="CU66" s="107">
        <f t="shared" si="23"/>
        <v>16652.37521975</v>
      </c>
      <c r="CW66" s="108">
        <v>-700</v>
      </c>
      <c r="CX66" s="153">
        <f t="shared" si="24"/>
        <v>700</v>
      </c>
      <c r="CY66" s="153">
        <v>4485</v>
      </c>
      <c r="CZ66" s="153">
        <f t="shared" si="24"/>
        <v>0</v>
      </c>
      <c r="DA66" s="153">
        <v>0</v>
      </c>
      <c r="DB66" s="153">
        <f t="shared" ref="DB66:DD66" si="399">IF(DA66&lt;0,-DA66,0)</f>
        <v>0</v>
      </c>
      <c r="DC66" s="153">
        <v>-5000</v>
      </c>
      <c r="DD66" s="153">
        <f t="shared" si="399"/>
        <v>5000</v>
      </c>
      <c r="DE66" s="153">
        <v>1085.00171707</v>
      </c>
      <c r="DF66" s="153">
        <f t="shared" ref="DF66:DH66" si="400">IF(DE66&lt;0,-DE66,0)</f>
        <v>0</v>
      </c>
      <c r="DG66" s="153">
        <v>-4000</v>
      </c>
      <c r="DH66" s="153">
        <f t="shared" si="400"/>
        <v>4000</v>
      </c>
      <c r="DI66" s="153">
        <v>4800</v>
      </c>
      <c r="DJ66" s="153">
        <f t="shared" ref="DJ66:DL66" si="401">IF(DI66&lt;0,-DI66,0)</f>
        <v>0</v>
      </c>
      <c r="DK66" s="153">
        <v>6282.3735026799995</v>
      </c>
      <c r="DL66" s="153">
        <f t="shared" si="401"/>
        <v>0</v>
      </c>
      <c r="DM66" s="107">
        <f t="shared" si="28"/>
        <v>9700</v>
      </c>
    </row>
    <row r="67" spans="13:117" s="5" customFormat="1" x14ac:dyDescent="0.35">
      <c r="M67" s="77">
        <f t="shared" si="29"/>
        <v>65</v>
      </c>
      <c r="N67" s="78">
        <v>0</v>
      </c>
      <c r="O67" s="79">
        <v>0.1</v>
      </c>
      <c r="P67" s="79">
        <v>0.2</v>
      </c>
      <c r="Q67" s="79">
        <v>42840.686000000002</v>
      </c>
      <c r="R67" s="79">
        <v>1402.2078902400001</v>
      </c>
      <c r="S67" s="79">
        <f t="shared" si="0"/>
        <v>44242.893890240004</v>
      </c>
      <c r="T67" s="78">
        <v>0</v>
      </c>
      <c r="U67" s="79">
        <v>1.3000000000000001E-2</v>
      </c>
      <c r="V67" s="79">
        <v>0.09</v>
      </c>
      <c r="W67" s="79">
        <v>2.3999999999999997E-2</v>
      </c>
      <c r="X67" s="79">
        <f t="shared" si="1"/>
        <v>0.11399999999999999</v>
      </c>
      <c r="Y67" s="79">
        <v>6466.9210000000003</v>
      </c>
      <c r="Z67" s="79">
        <v>0</v>
      </c>
      <c r="AA67" s="80">
        <f t="shared" si="2"/>
        <v>6466.9210000000003</v>
      </c>
      <c r="AB67" s="79"/>
      <c r="AC67" s="88">
        <v>20003</v>
      </c>
      <c r="AD67" s="94">
        <f t="shared" si="3"/>
        <v>0.24099999999999999</v>
      </c>
      <c r="AE67" s="89">
        <v>480.5</v>
      </c>
      <c r="AF67" s="94">
        <f t="shared" si="4"/>
        <v>0.1</v>
      </c>
      <c r="AG67" s="89">
        <v>6000</v>
      </c>
      <c r="AH67" s="94">
        <f t="shared" si="5"/>
        <v>0.2</v>
      </c>
      <c r="AI67" s="89">
        <v>4011.5178000000001</v>
      </c>
      <c r="AJ67" s="94">
        <f>AI67/$B$6</f>
        <v>0.27899999999999997</v>
      </c>
      <c r="AK67" s="89">
        <v>1593.8834999999999</v>
      </c>
      <c r="AL67" s="94">
        <f>AK67/$B$7</f>
        <v>0.16500000000000001</v>
      </c>
      <c r="AM67" s="89">
        <v>3393.72</v>
      </c>
      <c r="AN67" s="94">
        <f t="shared" si="6"/>
        <v>6.5999999999999989E-2</v>
      </c>
      <c r="AO67" s="89">
        <v>2223.3984</v>
      </c>
      <c r="AP67" s="94">
        <f t="shared" si="7"/>
        <v>4.8000000000000001E-2</v>
      </c>
      <c r="AQ67" s="79"/>
      <c r="AR67" s="88">
        <v>889.99800000000005</v>
      </c>
      <c r="AS67" s="76">
        <v>278.3</v>
      </c>
      <c r="AT67" s="88">
        <v>60.5</v>
      </c>
      <c r="AU67" s="100">
        <f t="shared" si="8"/>
        <v>0.01</v>
      </c>
      <c r="AV67" s="100">
        <f t="shared" si="9"/>
        <v>0.12100000000000001</v>
      </c>
      <c r="AW67" s="100">
        <f t="shared" si="10"/>
        <v>0.121</v>
      </c>
      <c r="AX67" s="94">
        <v>58.14</v>
      </c>
      <c r="AY67" s="76">
        <v>279.44639999999998</v>
      </c>
      <c r="AZ67" s="100">
        <f>AX67/$B$9</f>
        <v>0.09</v>
      </c>
      <c r="BA67" s="97">
        <f>AY67/$B$8</f>
        <v>2.3999999999999997E-2</v>
      </c>
      <c r="BB67" s="88">
        <v>13424.6</v>
      </c>
      <c r="BC67" s="76">
        <v>12277.424999999999</v>
      </c>
      <c r="BD67" s="100">
        <f t="shared" si="11"/>
        <v>0.30099999999999999</v>
      </c>
      <c r="BE67" s="97">
        <f t="shared" si="12"/>
        <v>0.52300000000000002</v>
      </c>
      <c r="BG67" s="88">
        <v>1071.2570000000001</v>
      </c>
      <c r="BH67" s="114">
        <f>BG67/$B$10</f>
        <v>0.43499995939350139</v>
      </c>
      <c r="BI67" s="115">
        <v>955.12699999999995</v>
      </c>
      <c r="BJ67" s="114">
        <f>BI67/$B$11</f>
        <v>0.59435407591785938</v>
      </c>
      <c r="BK67" s="115">
        <v>1121.4780000000001</v>
      </c>
      <c r="BL67" s="114">
        <f t="shared" si="13"/>
        <v>0.5784392407674851</v>
      </c>
      <c r="BN67" s="111">
        <v>51358.995000000003</v>
      </c>
      <c r="BO67" s="114">
        <f t="shared" si="14"/>
        <v>0.73770491803278682</v>
      </c>
      <c r="BQ67" s="142">
        <v>8757.2540000000008</v>
      </c>
      <c r="BR67" s="131">
        <v>0</v>
      </c>
      <c r="BS67" s="143">
        <v>0</v>
      </c>
      <c r="BT67" s="105">
        <f t="shared" si="15"/>
        <v>0.26862742331288347</v>
      </c>
      <c r="BU67" s="20">
        <f t="shared" si="16"/>
        <v>0</v>
      </c>
      <c r="BV67" s="2">
        <v>0</v>
      </c>
      <c r="BW67" s="2">
        <v>0</v>
      </c>
      <c r="BX67" s="2">
        <v>0</v>
      </c>
      <c r="BY67" s="2">
        <v>3990.8629999999998</v>
      </c>
      <c r="BZ67" s="105">
        <f t="shared" si="17"/>
        <v>0.29610201810357617</v>
      </c>
      <c r="CA67" s="20">
        <f t="shared" si="18"/>
        <v>0</v>
      </c>
      <c r="CB67" s="5">
        <v>10800</v>
      </c>
      <c r="CC67" s="5">
        <v>917.20698202000005</v>
      </c>
      <c r="CE67" s="108">
        <v>-700</v>
      </c>
      <c r="CF67" s="153">
        <f t="shared" si="19"/>
        <v>0</v>
      </c>
      <c r="CG67" s="153">
        <v>4485</v>
      </c>
      <c r="CH67" s="153">
        <f t="shared" si="19"/>
        <v>4485</v>
      </c>
      <c r="CI67" s="153">
        <v>0</v>
      </c>
      <c r="CJ67" s="153">
        <f t="shared" ref="CJ67:CL67" si="402">IF(CI67&gt;0,CI67,0)</f>
        <v>0</v>
      </c>
      <c r="CK67" s="153">
        <v>-5000</v>
      </c>
      <c r="CL67" s="153">
        <f t="shared" si="402"/>
        <v>0</v>
      </c>
      <c r="CM67" s="153">
        <v>296.32136652000003</v>
      </c>
      <c r="CN67" s="153">
        <f t="shared" ref="CN67:CP67" si="403">IF(CM67&gt;0,CM67,0)</f>
        <v>296.32136652000003</v>
      </c>
      <c r="CO67" s="153">
        <v>-4000</v>
      </c>
      <c r="CP67" s="153">
        <f t="shared" si="403"/>
        <v>0</v>
      </c>
      <c r="CQ67" s="153">
        <v>4800</v>
      </c>
      <c r="CR67" s="153">
        <f t="shared" ref="CR67:CT67" si="404">IF(CQ67&gt;0,CQ67,0)</f>
        <v>4800</v>
      </c>
      <c r="CS67" s="153">
        <v>6718.8256398200001</v>
      </c>
      <c r="CT67" s="153">
        <f t="shared" si="404"/>
        <v>6718.8256398200001</v>
      </c>
      <c r="CU67" s="107">
        <f t="shared" si="23"/>
        <v>16300.147006340001</v>
      </c>
      <c r="CW67" s="108">
        <v>-700</v>
      </c>
      <c r="CX67" s="153">
        <f t="shared" si="24"/>
        <v>700</v>
      </c>
      <c r="CY67" s="153">
        <v>4485</v>
      </c>
      <c r="CZ67" s="153">
        <f t="shared" si="24"/>
        <v>0</v>
      </c>
      <c r="DA67" s="153">
        <v>0</v>
      </c>
      <c r="DB67" s="153">
        <f t="shared" ref="DB67:DD67" si="405">IF(DA67&lt;0,-DA67,0)</f>
        <v>0</v>
      </c>
      <c r="DC67" s="153">
        <v>-5000</v>
      </c>
      <c r="DD67" s="153">
        <f t="shared" si="405"/>
        <v>5000</v>
      </c>
      <c r="DE67" s="153">
        <v>296.32136652000003</v>
      </c>
      <c r="DF67" s="153">
        <f t="shared" ref="DF67:DH67" si="406">IF(DE67&lt;0,-DE67,0)</f>
        <v>0</v>
      </c>
      <c r="DG67" s="153">
        <v>-4000</v>
      </c>
      <c r="DH67" s="153">
        <f t="shared" si="406"/>
        <v>4000</v>
      </c>
      <c r="DI67" s="153">
        <v>4800</v>
      </c>
      <c r="DJ67" s="153">
        <f t="shared" ref="DJ67:DL67" si="407">IF(DI67&lt;0,-DI67,0)</f>
        <v>0</v>
      </c>
      <c r="DK67" s="153">
        <v>6718.8256398200001</v>
      </c>
      <c r="DL67" s="153">
        <f t="shared" si="407"/>
        <v>0</v>
      </c>
      <c r="DM67" s="107">
        <f t="shared" si="28"/>
        <v>9700</v>
      </c>
    </row>
    <row r="68" spans="13:117" s="5" customFormat="1" x14ac:dyDescent="0.35">
      <c r="M68" s="77">
        <f t="shared" si="29"/>
        <v>66</v>
      </c>
      <c r="N68" s="78">
        <v>0</v>
      </c>
      <c r="O68" s="79">
        <v>0</v>
      </c>
      <c r="P68" s="79">
        <v>5.2000000000000005E-2</v>
      </c>
      <c r="Q68" s="79">
        <v>45019.576999999997</v>
      </c>
      <c r="R68" s="79">
        <v>2593.1497181200002</v>
      </c>
      <c r="S68" s="79">
        <f t="shared" ref="S68:S131" si="408">Q68+R68</f>
        <v>47612.72671812</v>
      </c>
      <c r="T68" s="78">
        <v>0</v>
      </c>
      <c r="U68" s="79">
        <v>0</v>
      </c>
      <c r="V68" s="79">
        <v>0.107</v>
      </c>
      <c r="W68" s="79">
        <v>3.9E-2</v>
      </c>
      <c r="X68" s="79">
        <f t="shared" ref="X68:X131" si="409">V68+W68</f>
        <v>0.14599999999999999</v>
      </c>
      <c r="Y68" s="79">
        <v>6989.848</v>
      </c>
      <c r="Z68" s="79">
        <v>0</v>
      </c>
      <c r="AA68" s="80">
        <f t="shared" ref="AA68:AA131" si="410">Y68+Z68</f>
        <v>6989.848</v>
      </c>
      <c r="AB68" s="79"/>
      <c r="AC68" s="88">
        <v>4565</v>
      </c>
      <c r="AD68" s="94">
        <f t="shared" ref="AD68:AD131" si="411">AC68/$E$5</f>
        <v>5.5E-2</v>
      </c>
      <c r="AE68" s="89">
        <v>0</v>
      </c>
      <c r="AF68" s="94">
        <f t="shared" ref="AF68:AF131" si="412">AE68/$E$8</f>
        <v>0</v>
      </c>
      <c r="AG68" s="89">
        <v>1560</v>
      </c>
      <c r="AH68" s="94">
        <f t="shared" ref="AH68:AH131" si="413">AG68/$E$17</f>
        <v>5.1999999999999998E-2</v>
      </c>
      <c r="AI68" s="89">
        <v>1768.5186000000001</v>
      </c>
      <c r="AJ68" s="94">
        <f>AI68/$B$6</f>
        <v>0.123</v>
      </c>
      <c r="AK68" s="89">
        <v>579.59400000000005</v>
      </c>
      <c r="AL68" s="94">
        <f>AK68/$B$7</f>
        <v>6.0000000000000005E-2</v>
      </c>
      <c r="AM68" s="89">
        <v>0</v>
      </c>
      <c r="AN68" s="94">
        <f t="shared" ref="AN68:AN131" si="414">AM68/$K$6</f>
        <v>0</v>
      </c>
      <c r="AO68" s="89">
        <v>0</v>
      </c>
      <c r="AP68" s="94">
        <f t="shared" ref="AP68:AP131" si="415">AO68/$K$16</f>
        <v>0</v>
      </c>
      <c r="AQ68" s="79"/>
      <c r="AR68" s="88">
        <v>1601.9964</v>
      </c>
      <c r="AS68" s="76">
        <v>282.89999999999998</v>
      </c>
      <c r="AT68" s="88">
        <v>61.5</v>
      </c>
      <c r="AU68" s="100">
        <f t="shared" ref="AU68:AU131" si="416">AR68/$E$4</f>
        <v>1.7999999999999999E-2</v>
      </c>
      <c r="AV68" s="100">
        <f t="shared" ref="AV68:AV131" si="417">AS68/$E$6</f>
        <v>0.12299999999999998</v>
      </c>
      <c r="AW68" s="100">
        <f t="shared" ref="AW68:AW131" si="418">AT68/$E$7</f>
        <v>0.123</v>
      </c>
      <c r="AX68" s="94">
        <v>69.122</v>
      </c>
      <c r="AY68" s="76">
        <v>454.10039999999998</v>
      </c>
      <c r="AZ68" s="100">
        <f>AX68/$B$9</f>
        <v>0.107</v>
      </c>
      <c r="BA68" s="97">
        <f>AY68/$B$8</f>
        <v>3.9E-2</v>
      </c>
      <c r="BB68" s="88">
        <v>11908.2</v>
      </c>
      <c r="BC68" s="76">
        <v>11972.25</v>
      </c>
      <c r="BD68" s="100">
        <f t="shared" ref="BD68:BD131" si="419">BB68/$K$5</f>
        <v>0.26700000000000002</v>
      </c>
      <c r="BE68" s="97">
        <f t="shared" ref="BE68:BE131" si="420">BC68/$K$7</f>
        <v>0.51</v>
      </c>
      <c r="BG68" s="88">
        <v>1083.57</v>
      </c>
      <c r="BH68" s="114">
        <f>BG68/$B$10</f>
        <v>0.43999983757400535</v>
      </c>
      <c r="BI68" s="115">
        <v>963.37900000000002</v>
      </c>
      <c r="BJ68" s="114">
        <f>BI68/$B$11</f>
        <v>0.59948911014312389</v>
      </c>
      <c r="BK68" s="115">
        <v>1121.4780000000001</v>
      </c>
      <c r="BL68" s="114">
        <f t="shared" ref="BL68:BL131" si="421">BK68/$K$8</f>
        <v>0.5784392407674851</v>
      </c>
      <c r="BN68" s="111">
        <v>51358.995000000003</v>
      </c>
      <c r="BO68" s="114">
        <f t="shared" ref="BO68:BO131" si="422">BN68/$K$3</f>
        <v>0.73770491803278682</v>
      </c>
      <c r="BQ68" s="142">
        <v>2695.768</v>
      </c>
      <c r="BR68" s="131">
        <v>0</v>
      </c>
      <c r="BS68" s="143">
        <v>0</v>
      </c>
      <c r="BT68" s="105">
        <f t="shared" ref="BT68:BT131" si="423">BQ68/$E$20</f>
        <v>8.2692269938650309E-2</v>
      </c>
      <c r="BU68" s="20">
        <f t="shared" ref="BU68:BU131" si="424">BR68/$E$18+BS68/$E$19</f>
        <v>0</v>
      </c>
      <c r="BV68" s="2">
        <v>0</v>
      </c>
      <c r="BW68" s="2">
        <v>0</v>
      </c>
      <c r="BX68" s="2">
        <v>0</v>
      </c>
      <c r="BY68" s="2">
        <v>2507.9609999999998</v>
      </c>
      <c r="BZ68" s="105">
        <f t="shared" ref="BZ68:BZ131" si="425">BY68/$H$17</f>
        <v>0.18607812731859324</v>
      </c>
      <c r="CA68" s="20">
        <f t="shared" ref="CA68:CA131" si="426">BV68/$H$14+BW68/$H$15+BX68/$H$16</f>
        <v>0</v>
      </c>
      <c r="CB68" s="5">
        <v>10800</v>
      </c>
      <c r="CC68" s="5">
        <v>917.20698202000005</v>
      </c>
      <c r="CE68" s="108">
        <v>-700</v>
      </c>
      <c r="CF68" s="153">
        <f t="shared" ref="CF68:CH131" si="427">IF(CE68&gt;0,CE68,0)</f>
        <v>0</v>
      </c>
      <c r="CG68" s="153">
        <v>4485</v>
      </c>
      <c r="CH68" s="153">
        <f t="shared" si="427"/>
        <v>4485</v>
      </c>
      <c r="CI68" s="153">
        <v>0</v>
      </c>
      <c r="CJ68" s="153">
        <f t="shared" ref="CJ68:CL68" si="428">IF(CI68&gt;0,CI68,0)</f>
        <v>0</v>
      </c>
      <c r="CK68" s="153">
        <v>-5000</v>
      </c>
      <c r="CL68" s="153">
        <f t="shared" si="428"/>
        <v>0</v>
      </c>
      <c r="CM68" s="153">
        <v>3800</v>
      </c>
      <c r="CN68" s="153">
        <f t="shared" ref="CN68:CP68" si="429">IF(CM68&gt;0,CM68,0)</f>
        <v>3800</v>
      </c>
      <c r="CO68" s="153">
        <v>-4000</v>
      </c>
      <c r="CP68" s="153">
        <f t="shared" si="429"/>
        <v>0</v>
      </c>
      <c r="CQ68" s="153">
        <v>4800</v>
      </c>
      <c r="CR68" s="153">
        <f t="shared" ref="CR68:CT68" si="430">IF(CQ68&gt;0,CQ68,0)</f>
        <v>4800</v>
      </c>
      <c r="CS68" s="153">
        <v>6471.9486094699996</v>
      </c>
      <c r="CT68" s="153">
        <f t="shared" si="430"/>
        <v>6471.9486094699996</v>
      </c>
      <c r="CU68" s="107">
        <f t="shared" ref="CU68:CU131" si="431">CF68+CH68+CJ68+CL68+CN68+CP68+CR68+CT68</f>
        <v>19556.948609470001</v>
      </c>
      <c r="CW68" s="108">
        <v>-700</v>
      </c>
      <c r="CX68" s="153">
        <f t="shared" ref="CX68:CZ131" si="432">IF(CW68&lt;0,-CW68,0)</f>
        <v>700</v>
      </c>
      <c r="CY68" s="153">
        <v>4485</v>
      </c>
      <c r="CZ68" s="153">
        <f t="shared" si="432"/>
        <v>0</v>
      </c>
      <c r="DA68" s="153">
        <v>0</v>
      </c>
      <c r="DB68" s="153">
        <f t="shared" ref="DB68:DD68" si="433">IF(DA68&lt;0,-DA68,0)</f>
        <v>0</v>
      </c>
      <c r="DC68" s="153">
        <v>-5000</v>
      </c>
      <c r="DD68" s="153">
        <f t="shared" si="433"/>
        <v>5000</v>
      </c>
      <c r="DE68" s="153">
        <v>3800</v>
      </c>
      <c r="DF68" s="153">
        <f t="shared" ref="DF68:DH68" si="434">IF(DE68&lt;0,-DE68,0)</f>
        <v>0</v>
      </c>
      <c r="DG68" s="153">
        <v>-4000</v>
      </c>
      <c r="DH68" s="153">
        <f t="shared" si="434"/>
        <v>4000</v>
      </c>
      <c r="DI68" s="153">
        <v>4800</v>
      </c>
      <c r="DJ68" s="153">
        <f t="shared" ref="DJ68:DL68" si="435">IF(DI68&lt;0,-DI68,0)</f>
        <v>0</v>
      </c>
      <c r="DK68" s="153">
        <v>6471.9486094699996</v>
      </c>
      <c r="DL68" s="153">
        <f t="shared" si="435"/>
        <v>0</v>
      </c>
      <c r="DM68" s="107">
        <f t="shared" ref="DM68:DM131" si="436">CX68+CZ68+DB68+DD68+DF68+DH68+DJ68+DL68</f>
        <v>9700</v>
      </c>
    </row>
    <row r="69" spans="13:117" s="5" customFormat="1" x14ac:dyDescent="0.35">
      <c r="M69" s="77">
        <f t="shared" ref="M69:M132" si="437">1+M68</f>
        <v>67</v>
      </c>
      <c r="N69" s="78">
        <v>0</v>
      </c>
      <c r="O69" s="79">
        <v>0</v>
      </c>
      <c r="P69" s="79">
        <v>0</v>
      </c>
      <c r="Q69" s="79">
        <v>46198.184999999998</v>
      </c>
      <c r="R69" s="79">
        <v>2764.1255669000002</v>
      </c>
      <c r="S69" s="79">
        <f t="shared" si="408"/>
        <v>48962.3105669</v>
      </c>
      <c r="T69" s="78">
        <v>0</v>
      </c>
      <c r="U69" s="79">
        <v>0</v>
      </c>
      <c r="V69" s="79">
        <v>0.123</v>
      </c>
      <c r="W69" s="79">
        <v>6.9000000000000006E-2</v>
      </c>
      <c r="X69" s="79">
        <f t="shared" si="409"/>
        <v>0.192</v>
      </c>
      <c r="Y69" s="79">
        <v>7462.5829999999996</v>
      </c>
      <c r="Z69" s="79">
        <v>239.70212766</v>
      </c>
      <c r="AA69" s="80">
        <f t="shared" si="410"/>
        <v>7702.2851276599995</v>
      </c>
      <c r="AB69" s="79"/>
      <c r="AC69" s="88">
        <v>0</v>
      </c>
      <c r="AD69" s="94">
        <f t="shared" si="411"/>
        <v>0</v>
      </c>
      <c r="AE69" s="89">
        <v>0</v>
      </c>
      <c r="AF69" s="94">
        <f t="shared" si="412"/>
        <v>0</v>
      </c>
      <c r="AG69" s="89">
        <v>0</v>
      </c>
      <c r="AH69" s="94">
        <f t="shared" si="413"/>
        <v>0</v>
      </c>
      <c r="AI69" s="89">
        <v>0</v>
      </c>
      <c r="AJ69" s="94">
        <f>AI69/$B$6</f>
        <v>0</v>
      </c>
      <c r="AK69" s="89">
        <v>0</v>
      </c>
      <c r="AL69" s="94">
        <f>AK69/$B$7</f>
        <v>0</v>
      </c>
      <c r="AM69" s="89">
        <v>0</v>
      </c>
      <c r="AN69" s="94">
        <f t="shared" si="414"/>
        <v>0</v>
      </c>
      <c r="AO69" s="89">
        <v>0</v>
      </c>
      <c r="AP69" s="94">
        <f t="shared" si="415"/>
        <v>0</v>
      </c>
      <c r="AQ69" s="79"/>
      <c r="AR69" s="88">
        <v>2847.9935999999998</v>
      </c>
      <c r="AS69" s="76">
        <v>292.10000000000002</v>
      </c>
      <c r="AT69" s="88">
        <v>63.5</v>
      </c>
      <c r="AU69" s="100">
        <f t="shared" si="416"/>
        <v>3.1999999999999994E-2</v>
      </c>
      <c r="AV69" s="100">
        <f t="shared" si="417"/>
        <v>0.127</v>
      </c>
      <c r="AW69" s="100">
        <f t="shared" si="418"/>
        <v>0.127</v>
      </c>
      <c r="AX69" s="94">
        <v>79.457999999999998</v>
      </c>
      <c r="AY69" s="76">
        <v>803.40840000000003</v>
      </c>
      <c r="AZ69" s="100">
        <f>AX69/$B$9</f>
        <v>0.123</v>
      </c>
      <c r="BA69" s="97">
        <f>AY69/$B$8</f>
        <v>6.9000000000000006E-2</v>
      </c>
      <c r="BB69" s="88">
        <v>10659.4</v>
      </c>
      <c r="BC69" s="76">
        <v>11784.45</v>
      </c>
      <c r="BD69" s="100">
        <f t="shared" si="419"/>
        <v>0.23899999999999999</v>
      </c>
      <c r="BE69" s="97">
        <f t="shared" si="420"/>
        <v>0.502</v>
      </c>
      <c r="BG69" s="88">
        <v>1150.0619999999999</v>
      </c>
      <c r="BH69" s="114">
        <f>BG69/$B$10</f>
        <v>0.4669999106657029</v>
      </c>
      <c r="BI69" s="115">
        <v>971.005</v>
      </c>
      <c r="BJ69" s="114">
        <f>BI69/$B$11</f>
        <v>0.60423459863098938</v>
      </c>
      <c r="BK69" s="115">
        <v>1121.4780000000001</v>
      </c>
      <c r="BL69" s="114">
        <f t="shared" si="421"/>
        <v>0.5784392407674851</v>
      </c>
      <c r="BN69" s="111">
        <v>51358.995000000003</v>
      </c>
      <c r="BO69" s="114">
        <f t="shared" si="422"/>
        <v>0.73770491803278682</v>
      </c>
      <c r="BQ69" s="142">
        <v>1229.972</v>
      </c>
      <c r="BR69" s="131">
        <v>0</v>
      </c>
      <c r="BS69" s="143">
        <v>0</v>
      </c>
      <c r="BT69" s="105">
        <f t="shared" si="423"/>
        <v>3.7729202453987733E-2</v>
      </c>
      <c r="BU69" s="20">
        <f t="shared" si="424"/>
        <v>0</v>
      </c>
      <c r="BV69" s="2">
        <v>0</v>
      </c>
      <c r="BW69" s="2">
        <v>0</v>
      </c>
      <c r="BX69" s="2">
        <v>0</v>
      </c>
      <c r="BY69" s="2">
        <v>1544.55</v>
      </c>
      <c r="BZ69" s="105">
        <f t="shared" si="425"/>
        <v>0.11459786318444873</v>
      </c>
      <c r="CA69" s="20">
        <f t="shared" si="426"/>
        <v>0</v>
      </c>
      <c r="CB69" s="5">
        <v>10599.12513045</v>
      </c>
      <c r="CC69" s="5">
        <v>0</v>
      </c>
      <c r="CE69" s="108">
        <v>-700</v>
      </c>
      <c r="CF69" s="153">
        <f t="shared" si="427"/>
        <v>0</v>
      </c>
      <c r="CG69" s="153">
        <v>4485</v>
      </c>
      <c r="CH69" s="153">
        <f t="shared" si="427"/>
        <v>4485</v>
      </c>
      <c r="CI69" s="153">
        <v>0</v>
      </c>
      <c r="CJ69" s="153">
        <f t="shared" ref="CJ69:CL69" si="438">IF(CI69&gt;0,CI69,0)</f>
        <v>0</v>
      </c>
      <c r="CK69" s="153">
        <v>-5000</v>
      </c>
      <c r="CL69" s="153">
        <f t="shared" si="438"/>
        <v>0</v>
      </c>
      <c r="CM69" s="153">
        <v>3800</v>
      </c>
      <c r="CN69" s="153">
        <f t="shared" ref="CN69:CP69" si="439">IF(CM69&gt;0,CM69,0)</f>
        <v>3800</v>
      </c>
      <c r="CO69" s="153">
        <v>-4000</v>
      </c>
      <c r="CP69" s="153">
        <f t="shared" si="439"/>
        <v>0</v>
      </c>
      <c r="CQ69" s="153">
        <v>4800</v>
      </c>
      <c r="CR69" s="153">
        <f t="shared" ref="CR69:CT69" si="440">IF(CQ69&gt;0,CQ69,0)</f>
        <v>4800</v>
      </c>
      <c r="CS69" s="153">
        <v>4860.1496099799997</v>
      </c>
      <c r="CT69" s="153">
        <f t="shared" si="440"/>
        <v>4860.1496099799997</v>
      </c>
      <c r="CU69" s="107">
        <f t="shared" si="431"/>
        <v>17945.149609979999</v>
      </c>
      <c r="CW69" s="108">
        <v>-700</v>
      </c>
      <c r="CX69" s="153">
        <f t="shared" si="432"/>
        <v>700</v>
      </c>
      <c r="CY69" s="153">
        <v>4485</v>
      </c>
      <c r="CZ69" s="153">
        <f t="shared" si="432"/>
        <v>0</v>
      </c>
      <c r="DA69" s="153">
        <v>0</v>
      </c>
      <c r="DB69" s="153">
        <f t="shared" ref="DB69:DD69" si="441">IF(DA69&lt;0,-DA69,0)</f>
        <v>0</v>
      </c>
      <c r="DC69" s="153">
        <v>-5000</v>
      </c>
      <c r="DD69" s="153">
        <f t="shared" si="441"/>
        <v>5000</v>
      </c>
      <c r="DE69" s="153">
        <v>3800</v>
      </c>
      <c r="DF69" s="153">
        <f t="shared" ref="DF69:DH69" si="442">IF(DE69&lt;0,-DE69,0)</f>
        <v>0</v>
      </c>
      <c r="DG69" s="153">
        <v>-4000</v>
      </c>
      <c r="DH69" s="153">
        <f t="shared" si="442"/>
        <v>4000</v>
      </c>
      <c r="DI69" s="153">
        <v>4800</v>
      </c>
      <c r="DJ69" s="153">
        <f t="shared" ref="DJ69:DL69" si="443">IF(DI69&lt;0,-DI69,0)</f>
        <v>0</v>
      </c>
      <c r="DK69" s="153">
        <v>4860.1496099799997</v>
      </c>
      <c r="DL69" s="153">
        <f t="shared" si="443"/>
        <v>0</v>
      </c>
      <c r="DM69" s="107">
        <f t="shared" si="436"/>
        <v>9700</v>
      </c>
    </row>
    <row r="70" spans="13:117" s="5" customFormat="1" x14ac:dyDescent="0.35">
      <c r="M70" s="77">
        <f t="shared" si="437"/>
        <v>68</v>
      </c>
      <c r="N70" s="78">
        <v>0</v>
      </c>
      <c r="O70" s="79">
        <v>0</v>
      </c>
      <c r="P70" s="79">
        <v>0</v>
      </c>
      <c r="Q70" s="79">
        <v>45795.559000000001</v>
      </c>
      <c r="R70" s="79">
        <v>2578.7963349500001</v>
      </c>
      <c r="S70" s="79">
        <f t="shared" si="408"/>
        <v>48374.35533495</v>
      </c>
      <c r="T70" s="78">
        <v>0</v>
      </c>
      <c r="U70" s="79">
        <v>0</v>
      </c>
      <c r="V70" s="79">
        <v>0.13200000000000001</v>
      </c>
      <c r="W70" s="79">
        <v>8.4999999999999992E-2</v>
      </c>
      <c r="X70" s="79">
        <f t="shared" si="409"/>
        <v>0.217</v>
      </c>
      <c r="Y70" s="79">
        <v>7552.7650000000003</v>
      </c>
      <c r="Z70" s="79">
        <v>199.60531915000001</v>
      </c>
      <c r="AA70" s="80">
        <f t="shared" si="410"/>
        <v>7752.3703191500008</v>
      </c>
      <c r="AB70" s="79"/>
      <c r="AC70" s="88">
        <v>0</v>
      </c>
      <c r="AD70" s="94">
        <f t="shared" si="411"/>
        <v>0</v>
      </c>
      <c r="AE70" s="89">
        <v>0</v>
      </c>
      <c r="AF70" s="94">
        <f t="shared" si="412"/>
        <v>0</v>
      </c>
      <c r="AG70" s="89">
        <v>0</v>
      </c>
      <c r="AH70" s="94">
        <f t="shared" si="413"/>
        <v>0</v>
      </c>
      <c r="AI70" s="89">
        <v>0</v>
      </c>
      <c r="AJ70" s="94">
        <f>AI70/$B$6</f>
        <v>0</v>
      </c>
      <c r="AK70" s="89">
        <v>0</v>
      </c>
      <c r="AL70" s="94">
        <f>AK70/$B$7</f>
        <v>0</v>
      </c>
      <c r="AM70" s="89">
        <v>0</v>
      </c>
      <c r="AN70" s="94">
        <f t="shared" si="414"/>
        <v>0</v>
      </c>
      <c r="AO70" s="89">
        <v>0</v>
      </c>
      <c r="AP70" s="94">
        <f t="shared" si="415"/>
        <v>0</v>
      </c>
      <c r="AQ70" s="79"/>
      <c r="AR70" s="88">
        <v>2936.9933999999998</v>
      </c>
      <c r="AS70" s="76">
        <v>312.8</v>
      </c>
      <c r="AT70" s="88">
        <v>68</v>
      </c>
      <c r="AU70" s="100">
        <f t="shared" si="416"/>
        <v>3.2999999999999995E-2</v>
      </c>
      <c r="AV70" s="100">
        <f t="shared" si="417"/>
        <v>0.13600000000000001</v>
      </c>
      <c r="AW70" s="100">
        <f t="shared" si="418"/>
        <v>0.13600000000000001</v>
      </c>
      <c r="AX70" s="94">
        <v>85.272000000000006</v>
      </c>
      <c r="AY70" s="76">
        <v>989.70600000000002</v>
      </c>
      <c r="AZ70" s="100">
        <f>AX70/$B$9</f>
        <v>0.13200000000000001</v>
      </c>
      <c r="BA70" s="97">
        <f>AY70/$B$8</f>
        <v>8.4999999999999992E-2</v>
      </c>
      <c r="BB70" s="88">
        <v>9990.4</v>
      </c>
      <c r="BC70" s="76">
        <v>11549.7</v>
      </c>
      <c r="BD70" s="100">
        <f t="shared" si="419"/>
        <v>0.224</v>
      </c>
      <c r="BE70" s="97">
        <f t="shared" si="420"/>
        <v>0.49200000000000005</v>
      </c>
      <c r="BG70" s="88">
        <v>1164.838</v>
      </c>
      <c r="BH70" s="114">
        <f>BG70/$B$10</f>
        <v>0.47299992690830239</v>
      </c>
      <c r="BI70" s="115">
        <v>969.59500000000003</v>
      </c>
      <c r="BJ70" s="114">
        <f>BI70/$B$11</f>
        <v>0.60335718730553833</v>
      </c>
      <c r="BK70" s="115">
        <v>1121.4780000000001</v>
      </c>
      <c r="BL70" s="114">
        <f t="shared" si="421"/>
        <v>0.5784392407674851</v>
      </c>
      <c r="BN70" s="111">
        <v>51358.995000000003</v>
      </c>
      <c r="BO70" s="114">
        <f t="shared" si="422"/>
        <v>0.73770491803278682</v>
      </c>
      <c r="BQ70" s="142">
        <v>1255.2819999999999</v>
      </c>
      <c r="BR70" s="131">
        <v>0</v>
      </c>
      <c r="BS70" s="143">
        <v>0</v>
      </c>
      <c r="BT70" s="105">
        <f t="shared" si="423"/>
        <v>3.8505582822085889E-2</v>
      </c>
      <c r="BU70" s="20">
        <f t="shared" si="424"/>
        <v>0</v>
      </c>
      <c r="BV70" s="2">
        <v>0</v>
      </c>
      <c r="BW70" s="2">
        <v>0</v>
      </c>
      <c r="BX70" s="2">
        <v>0</v>
      </c>
      <c r="BY70" s="2">
        <v>1638.6089999999999</v>
      </c>
      <c r="BZ70" s="105">
        <f t="shared" si="425"/>
        <v>0.12157656922392046</v>
      </c>
      <c r="CA70" s="20">
        <f t="shared" si="426"/>
        <v>0</v>
      </c>
      <c r="CB70" s="5">
        <v>10800</v>
      </c>
      <c r="CC70" s="5">
        <v>92.971655870000006</v>
      </c>
      <c r="CE70" s="108">
        <v>-700</v>
      </c>
      <c r="CF70" s="153">
        <f t="shared" si="427"/>
        <v>0</v>
      </c>
      <c r="CG70" s="153">
        <v>4485</v>
      </c>
      <c r="CH70" s="153">
        <f t="shared" si="427"/>
        <v>4485</v>
      </c>
      <c r="CI70" s="153">
        <v>0</v>
      </c>
      <c r="CJ70" s="153">
        <f t="shared" ref="CJ70:CL70" si="444">IF(CI70&gt;0,CI70,0)</f>
        <v>0</v>
      </c>
      <c r="CK70" s="153">
        <v>-5000</v>
      </c>
      <c r="CL70" s="153">
        <f t="shared" si="444"/>
        <v>0</v>
      </c>
      <c r="CM70" s="153">
        <v>3800</v>
      </c>
      <c r="CN70" s="153">
        <f t="shared" ref="CN70:CP70" si="445">IF(CM70&gt;0,CM70,0)</f>
        <v>3800</v>
      </c>
      <c r="CO70" s="153">
        <v>-4000</v>
      </c>
      <c r="CP70" s="153">
        <f t="shared" si="445"/>
        <v>0</v>
      </c>
      <c r="CQ70" s="153">
        <v>4800</v>
      </c>
      <c r="CR70" s="153">
        <f t="shared" ref="CR70:CT70" si="446">IF(CQ70&gt;0,CQ70,0)</f>
        <v>4800</v>
      </c>
      <c r="CS70" s="153">
        <v>4606.77648881</v>
      </c>
      <c r="CT70" s="153">
        <f t="shared" si="446"/>
        <v>4606.77648881</v>
      </c>
      <c r="CU70" s="107">
        <f t="shared" si="431"/>
        <v>17691.776488809999</v>
      </c>
      <c r="CW70" s="108">
        <v>-700</v>
      </c>
      <c r="CX70" s="153">
        <f t="shared" si="432"/>
        <v>700</v>
      </c>
      <c r="CY70" s="153">
        <v>4485</v>
      </c>
      <c r="CZ70" s="153">
        <f t="shared" si="432"/>
        <v>0</v>
      </c>
      <c r="DA70" s="153">
        <v>0</v>
      </c>
      <c r="DB70" s="153">
        <f t="shared" ref="DB70:DD70" si="447">IF(DA70&lt;0,-DA70,0)</f>
        <v>0</v>
      </c>
      <c r="DC70" s="153">
        <v>-5000</v>
      </c>
      <c r="DD70" s="153">
        <f t="shared" si="447"/>
        <v>5000</v>
      </c>
      <c r="DE70" s="153">
        <v>3800</v>
      </c>
      <c r="DF70" s="153">
        <f t="shared" ref="DF70:DH70" si="448">IF(DE70&lt;0,-DE70,0)</f>
        <v>0</v>
      </c>
      <c r="DG70" s="153">
        <v>-4000</v>
      </c>
      <c r="DH70" s="153">
        <f t="shared" si="448"/>
        <v>4000</v>
      </c>
      <c r="DI70" s="153">
        <v>4800</v>
      </c>
      <c r="DJ70" s="153">
        <f t="shared" ref="DJ70:DL70" si="449">IF(DI70&lt;0,-DI70,0)</f>
        <v>0</v>
      </c>
      <c r="DK70" s="153">
        <v>4606.77648881</v>
      </c>
      <c r="DL70" s="153">
        <f t="shared" si="449"/>
        <v>0</v>
      </c>
      <c r="DM70" s="107">
        <f t="shared" si="436"/>
        <v>9700</v>
      </c>
    </row>
    <row r="71" spans="13:117" s="5" customFormat="1" x14ac:dyDescent="0.35">
      <c r="M71" s="77">
        <f t="shared" si="437"/>
        <v>69</v>
      </c>
      <c r="N71" s="78">
        <v>0</v>
      </c>
      <c r="O71" s="79">
        <v>0</v>
      </c>
      <c r="P71" s="79">
        <v>0</v>
      </c>
      <c r="Q71" s="79">
        <v>44206.544000000002</v>
      </c>
      <c r="R71" s="79">
        <v>2297.7748222499999</v>
      </c>
      <c r="S71" s="79">
        <f t="shared" si="408"/>
        <v>46504.318822250003</v>
      </c>
      <c r="T71" s="78">
        <v>0</v>
      </c>
      <c r="U71" s="79">
        <v>0</v>
      </c>
      <c r="V71" s="79">
        <v>0.13300000000000001</v>
      </c>
      <c r="W71" s="79">
        <v>7.3999999999999996E-2</v>
      </c>
      <c r="X71" s="79">
        <f t="shared" si="409"/>
        <v>0.20700000000000002</v>
      </c>
      <c r="Y71" s="79">
        <v>7284.4</v>
      </c>
      <c r="Z71" s="79">
        <v>122.0287234</v>
      </c>
      <c r="AA71" s="80">
        <f t="shared" si="410"/>
        <v>7406.4287233999994</v>
      </c>
      <c r="AB71" s="79"/>
      <c r="AC71" s="88">
        <v>0</v>
      </c>
      <c r="AD71" s="94">
        <f t="shared" si="411"/>
        <v>0</v>
      </c>
      <c r="AE71" s="89">
        <v>0</v>
      </c>
      <c r="AF71" s="94">
        <f t="shared" si="412"/>
        <v>0</v>
      </c>
      <c r="AG71" s="89">
        <v>0</v>
      </c>
      <c r="AH71" s="94">
        <f t="shared" si="413"/>
        <v>0</v>
      </c>
      <c r="AI71" s="89">
        <v>0</v>
      </c>
      <c r="AJ71" s="94">
        <f>AI71/$B$6</f>
        <v>0</v>
      </c>
      <c r="AK71" s="89">
        <v>0</v>
      </c>
      <c r="AL71" s="94">
        <f>AK71/$B$7</f>
        <v>0</v>
      </c>
      <c r="AM71" s="89">
        <v>0</v>
      </c>
      <c r="AN71" s="94">
        <f t="shared" si="414"/>
        <v>0</v>
      </c>
      <c r="AO71" s="89">
        <v>0</v>
      </c>
      <c r="AP71" s="94">
        <f t="shared" si="415"/>
        <v>0</v>
      </c>
      <c r="AQ71" s="79"/>
      <c r="AR71" s="88">
        <v>1957.9956</v>
      </c>
      <c r="AS71" s="76">
        <v>349.6</v>
      </c>
      <c r="AT71" s="88">
        <v>76</v>
      </c>
      <c r="AU71" s="100">
        <f t="shared" si="416"/>
        <v>2.1999999999999999E-2</v>
      </c>
      <c r="AV71" s="100">
        <f t="shared" si="417"/>
        <v>0.152</v>
      </c>
      <c r="AW71" s="100">
        <f t="shared" si="418"/>
        <v>0.152</v>
      </c>
      <c r="AX71" s="94">
        <v>85.918000000000006</v>
      </c>
      <c r="AY71" s="76">
        <v>861.62639999999999</v>
      </c>
      <c r="AZ71" s="100">
        <f>AX71/$B$9</f>
        <v>0.13300000000000001</v>
      </c>
      <c r="BA71" s="97">
        <f>AY71/$B$8</f>
        <v>7.3999999999999996E-2</v>
      </c>
      <c r="BB71" s="88">
        <v>9633.6</v>
      </c>
      <c r="BC71" s="76">
        <v>11526.225</v>
      </c>
      <c r="BD71" s="100">
        <f t="shared" si="419"/>
        <v>0.216</v>
      </c>
      <c r="BE71" s="97">
        <f t="shared" si="420"/>
        <v>0.49099999999999999</v>
      </c>
      <c r="BG71" s="88">
        <v>1137.749</v>
      </c>
      <c r="BH71" s="114">
        <f>BG71/$B$10</f>
        <v>0.46200003248519894</v>
      </c>
      <c r="BI71" s="115">
        <v>968.63599999999997</v>
      </c>
      <c r="BJ71" s="114">
        <f>BI71/$B$11</f>
        <v>0.60276042314872436</v>
      </c>
      <c r="BK71" s="115">
        <v>1121.4780000000001</v>
      </c>
      <c r="BL71" s="114">
        <f t="shared" si="421"/>
        <v>0.5784392407674851</v>
      </c>
      <c r="BN71" s="111">
        <v>51358.995000000003</v>
      </c>
      <c r="BO71" s="114">
        <f t="shared" si="422"/>
        <v>0.73770491803278682</v>
      </c>
      <c r="BQ71" s="142">
        <v>826.98400000000004</v>
      </c>
      <c r="BR71" s="131">
        <v>0</v>
      </c>
      <c r="BS71" s="143">
        <v>0</v>
      </c>
      <c r="BT71" s="105">
        <f t="shared" si="423"/>
        <v>2.5367607361963192E-2</v>
      </c>
      <c r="BU71" s="20">
        <f t="shared" si="424"/>
        <v>0</v>
      </c>
      <c r="BV71" s="2">
        <v>0</v>
      </c>
      <c r="BW71" s="2">
        <v>0</v>
      </c>
      <c r="BX71" s="2">
        <v>0</v>
      </c>
      <c r="BY71" s="2">
        <v>1644.817</v>
      </c>
      <c r="BZ71" s="105">
        <f t="shared" si="425"/>
        <v>0.12203717168719394</v>
      </c>
      <c r="CA71" s="20">
        <f t="shared" si="426"/>
        <v>0</v>
      </c>
      <c r="CB71" s="5">
        <v>10800</v>
      </c>
      <c r="CC71" s="5">
        <v>915.26381901000002</v>
      </c>
      <c r="CE71" s="108">
        <v>-700</v>
      </c>
      <c r="CF71" s="153">
        <f t="shared" si="427"/>
        <v>0</v>
      </c>
      <c r="CG71" s="153">
        <v>4485</v>
      </c>
      <c r="CH71" s="153">
        <f t="shared" si="427"/>
        <v>4485</v>
      </c>
      <c r="CI71" s="153">
        <v>0</v>
      </c>
      <c r="CJ71" s="153">
        <f t="shared" ref="CJ71:CL71" si="450">IF(CI71&gt;0,CI71,0)</f>
        <v>0</v>
      </c>
      <c r="CK71" s="153">
        <v>-5000</v>
      </c>
      <c r="CL71" s="153">
        <f t="shared" si="450"/>
        <v>0</v>
      </c>
      <c r="CM71" s="153">
        <v>3800</v>
      </c>
      <c r="CN71" s="153">
        <f t="shared" ref="CN71:CP71" si="451">IF(CM71&gt;0,CM71,0)</f>
        <v>3800</v>
      </c>
      <c r="CO71" s="153">
        <v>-4000</v>
      </c>
      <c r="CP71" s="153">
        <f t="shared" si="451"/>
        <v>0</v>
      </c>
      <c r="CQ71" s="153">
        <v>4800</v>
      </c>
      <c r="CR71" s="153">
        <f t="shared" ref="CR71:CT71" si="452">IF(CQ71&gt;0,CQ71,0)</f>
        <v>4800</v>
      </c>
      <c r="CS71" s="153">
        <v>4787.3901767400002</v>
      </c>
      <c r="CT71" s="153">
        <f t="shared" si="452"/>
        <v>4787.3901767400002</v>
      </c>
      <c r="CU71" s="107">
        <f t="shared" si="431"/>
        <v>17872.390176740002</v>
      </c>
      <c r="CW71" s="108">
        <v>-700</v>
      </c>
      <c r="CX71" s="153">
        <f t="shared" si="432"/>
        <v>700</v>
      </c>
      <c r="CY71" s="153">
        <v>4485</v>
      </c>
      <c r="CZ71" s="153">
        <f t="shared" si="432"/>
        <v>0</v>
      </c>
      <c r="DA71" s="153">
        <v>0</v>
      </c>
      <c r="DB71" s="153">
        <f t="shared" ref="DB71:DD71" si="453">IF(DA71&lt;0,-DA71,0)</f>
        <v>0</v>
      </c>
      <c r="DC71" s="153">
        <v>-5000</v>
      </c>
      <c r="DD71" s="153">
        <f t="shared" si="453"/>
        <v>5000</v>
      </c>
      <c r="DE71" s="153">
        <v>3800</v>
      </c>
      <c r="DF71" s="153">
        <f t="shared" ref="DF71:DH71" si="454">IF(DE71&lt;0,-DE71,0)</f>
        <v>0</v>
      </c>
      <c r="DG71" s="153">
        <v>-4000</v>
      </c>
      <c r="DH71" s="153">
        <f t="shared" si="454"/>
        <v>4000</v>
      </c>
      <c r="DI71" s="153">
        <v>4800</v>
      </c>
      <c r="DJ71" s="153">
        <f t="shared" ref="DJ71:DL71" si="455">IF(DI71&lt;0,-DI71,0)</f>
        <v>0</v>
      </c>
      <c r="DK71" s="153">
        <v>4787.3901767400002</v>
      </c>
      <c r="DL71" s="153">
        <f t="shared" si="455"/>
        <v>0</v>
      </c>
      <c r="DM71" s="107">
        <f t="shared" si="436"/>
        <v>9700</v>
      </c>
    </row>
    <row r="72" spans="13:117" s="5" customFormat="1" x14ac:dyDescent="0.35">
      <c r="M72" s="77">
        <f t="shared" si="437"/>
        <v>70</v>
      </c>
      <c r="N72" s="78">
        <v>0</v>
      </c>
      <c r="O72" s="79">
        <v>0</v>
      </c>
      <c r="P72" s="79">
        <v>0</v>
      </c>
      <c r="Q72" s="79">
        <v>41637.482000000004</v>
      </c>
      <c r="R72" s="79">
        <v>2035.76717276</v>
      </c>
      <c r="S72" s="79">
        <f t="shared" si="408"/>
        <v>43673.249172760006</v>
      </c>
      <c r="T72" s="78">
        <v>0</v>
      </c>
      <c r="U72" s="79">
        <v>0</v>
      </c>
      <c r="V72" s="79">
        <v>0.125</v>
      </c>
      <c r="W72" s="79">
        <v>6.3E-2</v>
      </c>
      <c r="X72" s="79">
        <f t="shared" si="409"/>
        <v>0.188</v>
      </c>
      <c r="Y72" s="79">
        <v>6835.835</v>
      </c>
      <c r="Z72" s="79">
        <v>65.879787230000005</v>
      </c>
      <c r="AA72" s="80">
        <f t="shared" si="410"/>
        <v>6901.7147872300002</v>
      </c>
      <c r="AB72" s="79"/>
      <c r="AC72" s="88">
        <v>0</v>
      </c>
      <c r="AD72" s="94">
        <f t="shared" si="411"/>
        <v>0</v>
      </c>
      <c r="AE72" s="89">
        <v>0</v>
      </c>
      <c r="AF72" s="94">
        <f t="shared" si="412"/>
        <v>0</v>
      </c>
      <c r="AG72" s="89">
        <v>0</v>
      </c>
      <c r="AH72" s="94">
        <f t="shared" si="413"/>
        <v>0</v>
      </c>
      <c r="AI72" s="89">
        <v>0</v>
      </c>
      <c r="AJ72" s="94">
        <f>AI72/$B$6</f>
        <v>0</v>
      </c>
      <c r="AK72" s="89">
        <v>0</v>
      </c>
      <c r="AL72" s="94">
        <f>AK72/$B$7</f>
        <v>0</v>
      </c>
      <c r="AM72" s="89">
        <v>0</v>
      </c>
      <c r="AN72" s="94">
        <f t="shared" si="414"/>
        <v>0</v>
      </c>
      <c r="AO72" s="89">
        <v>0</v>
      </c>
      <c r="AP72" s="94">
        <f t="shared" si="415"/>
        <v>0</v>
      </c>
      <c r="AQ72" s="79"/>
      <c r="AR72" s="88">
        <v>1512.9965999999999</v>
      </c>
      <c r="AS72" s="76">
        <v>397.9</v>
      </c>
      <c r="AT72" s="88">
        <v>86.5</v>
      </c>
      <c r="AU72" s="100">
        <f t="shared" si="416"/>
        <v>1.6999999999999998E-2</v>
      </c>
      <c r="AV72" s="100">
        <f t="shared" si="417"/>
        <v>0.17299999999999999</v>
      </c>
      <c r="AW72" s="100">
        <f t="shared" si="418"/>
        <v>0.17299999999999999</v>
      </c>
      <c r="AX72" s="94">
        <v>80.75</v>
      </c>
      <c r="AY72" s="76">
        <v>733.54679999999996</v>
      </c>
      <c r="AZ72" s="100">
        <f>AX72/$B$9</f>
        <v>0.125</v>
      </c>
      <c r="BA72" s="97">
        <f>AY72/$B$8</f>
        <v>6.3E-2</v>
      </c>
      <c r="BB72" s="88">
        <v>9321.4</v>
      </c>
      <c r="BC72" s="76">
        <v>11268</v>
      </c>
      <c r="BD72" s="100">
        <f t="shared" si="419"/>
        <v>0.20899999999999999</v>
      </c>
      <c r="BE72" s="97">
        <f t="shared" si="420"/>
        <v>0.48</v>
      </c>
      <c r="BG72" s="88">
        <v>1142.674</v>
      </c>
      <c r="BH72" s="114">
        <f>BG72/$B$10</f>
        <v>0.46399990254440321</v>
      </c>
      <c r="BI72" s="115">
        <v>956.91300000000001</v>
      </c>
      <c r="BJ72" s="114">
        <f>BI72/$B$11</f>
        <v>0.59546546359676411</v>
      </c>
      <c r="BK72" s="115">
        <v>1121.4780000000001</v>
      </c>
      <c r="BL72" s="114">
        <f t="shared" si="421"/>
        <v>0.5784392407674851</v>
      </c>
      <c r="BN72" s="111">
        <v>51358.995000000003</v>
      </c>
      <c r="BO72" s="114">
        <f t="shared" si="422"/>
        <v>0.73770491803278682</v>
      </c>
      <c r="BQ72" s="142">
        <v>664.49900000000002</v>
      </c>
      <c r="BR72" s="131">
        <v>0</v>
      </c>
      <c r="BS72" s="143">
        <v>0</v>
      </c>
      <c r="BT72" s="105">
        <f t="shared" si="423"/>
        <v>2.038340490797546E-2</v>
      </c>
      <c r="BU72" s="20">
        <f t="shared" si="424"/>
        <v>0</v>
      </c>
      <c r="BV72" s="2">
        <v>0</v>
      </c>
      <c r="BW72" s="2">
        <v>0</v>
      </c>
      <c r="BX72" s="2">
        <v>0</v>
      </c>
      <c r="BY72" s="2">
        <v>1537.12</v>
      </c>
      <c r="BZ72" s="105">
        <f t="shared" si="425"/>
        <v>0.11404659445021516</v>
      </c>
      <c r="CA72" s="20">
        <f t="shared" si="426"/>
        <v>0</v>
      </c>
      <c r="CB72" s="5">
        <v>10800</v>
      </c>
      <c r="CC72" s="5">
        <v>914.61609799999997</v>
      </c>
      <c r="CE72" s="108">
        <v>-700</v>
      </c>
      <c r="CF72" s="153">
        <f t="shared" si="427"/>
        <v>0</v>
      </c>
      <c r="CG72" s="153">
        <v>4485</v>
      </c>
      <c r="CH72" s="153">
        <f t="shared" si="427"/>
        <v>4485</v>
      </c>
      <c r="CI72" s="153">
        <v>0</v>
      </c>
      <c r="CJ72" s="153">
        <f t="shared" ref="CJ72:CL72" si="456">IF(CI72&gt;0,CI72,0)</f>
        <v>0</v>
      </c>
      <c r="CK72" s="153">
        <v>-5000</v>
      </c>
      <c r="CL72" s="153">
        <f t="shared" si="456"/>
        <v>0</v>
      </c>
      <c r="CM72" s="153">
        <v>3800</v>
      </c>
      <c r="CN72" s="153">
        <f t="shared" ref="CN72:CP72" si="457">IF(CM72&gt;0,CM72,0)</f>
        <v>3800</v>
      </c>
      <c r="CO72" s="153">
        <v>-4000</v>
      </c>
      <c r="CP72" s="153">
        <f t="shared" si="457"/>
        <v>0</v>
      </c>
      <c r="CQ72" s="153">
        <v>4800</v>
      </c>
      <c r="CR72" s="153">
        <f t="shared" ref="CR72:CT72" si="458">IF(CQ72&gt;0,CQ72,0)</f>
        <v>4800</v>
      </c>
      <c r="CS72" s="153">
        <v>7088.93204668</v>
      </c>
      <c r="CT72" s="153">
        <f t="shared" si="458"/>
        <v>7088.93204668</v>
      </c>
      <c r="CU72" s="107">
        <f t="shared" si="431"/>
        <v>20173.932046679998</v>
      </c>
      <c r="CW72" s="108">
        <v>-700</v>
      </c>
      <c r="CX72" s="153">
        <f t="shared" si="432"/>
        <v>700</v>
      </c>
      <c r="CY72" s="153">
        <v>4485</v>
      </c>
      <c r="CZ72" s="153">
        <f t="shared" si="432"/>
        <v>0</v>
      </c>
      <c r="DA72" s="153">
        <v>0</v>
      </c>
      <c r="DB72" s="153">
        <f t="shared" ref="DB72:DD72" si="459">IF(DA72&lt;0,-DA72,0)</f>
        <v>0</v>
      </c>
      <c r="DC72" s="153">
        <v>-5000</v>
      </c>
      <c r="DD72" s="153">
        <f t="shared" si="459"/>
        <v>5000</v>
      </c>
      <c r="DE72" s="153">
        <v>3800</v>
      </c>
      <c r="DF72" s="153">
        <f t="shared" ref="DF72:DH72" si="460">IF(DE72&lt;0,-DE72,0)</f>
        <v>0</v>
      </c>
      <c r="DG72" s="153">
        <v>-4000</v>
      </c>
      <c r="DH72" s="153">
        <f t="shared" si="460"/>
        <v>4000</v>
      </c>
      <c r="DI72" s="153">
        <v>4800</v>
      </c>
      <c r="DJ72" s="153">
        <f t="shared" ref="DJ72:DL72" si="461">IF(DI72&lt;0,-DI72,0)</f>
        <v>0</v>
      </c>
      <c r="DK72" s="153">
        <v>7088.93204668</v>
      </c>
      <c r="DL72" s="153">
        <f t="shared" si="461"/>
        <v>0</v>
      </c>
      <c r="DM72" s="107">
        <f t="shared" si="436"/>
        <v>9700</v>
      </c>
    </row>
    <row r="73" spans="13:117" s="5" customFormat="1" x14ac:dyDescent="0.35">
      <c r="M73" s="77">
        <f t="shared" si="437"/>
        <v>71</v>
      </c>
      <c r="N73" s="78">
        <v>0</v>
      </c>
      <c r="O73" s="79">
        <v>0</v>
      </c>
      <c r="P73" s="79">
        <v>0</v>
      </c>
      <c r="Q73" s="79">
        <v>39045.247000000003</v>
      </c>
      <c r="R73" s="79">
        <v>2023.8073515599999</v>
      </c>
      <c r="S73" s="79">
        <f t="shared" si="408"/>
        <v>41069.05435156</v>
      </c>
      <c r="T73" s="78">
        <v>0</v>
      </c>
      <c r="U73" s="79">
        <v>0</v>
      </c>
      <c r="V73" s="79">
        <v>0.12</v>
      </c>
      <c r="W73" s="79">
        <v>5.6000000000000001E-2</v>
      </c>
      <c r="X73" s="79">
        <f t="shared" si="409"/>
        <v>0.17599999999999999</v>
      </c>
      <c r="Y73" s="79">
        <v>6946.1149999999998</v>
      </c>
      <c r="Z73" s="79">
        <v>233.64574468000001</v>
      </c>
      <c r="AA73" s="80">
        <f t="shared" si="410"/>
        <v>7179.7607446799993</v>
      </c>
      <c r="AB73" s="79"/>
      <c r="AC73" s="88">
        <v>0</v>
      </c>
      <c r="AD73" s="94">
        <f t="shared" si="411"/>
        <v>0</v>
      </c>
      <c r="AE73" s="89">
        <v>0</v>
      </c>
      <c r="AF73" s="94">
        <f t="shared" si="412"/>
        <v>0</v>
      </c>
      <c r="AG73" s="89">
        <v>0</v>
      </c>
      <c r="AH73" s="94">
        <f t="shared" si="413"/>
        <v>0</v>
      </c>
      <c r="AI73" s="89">
        <v>0</v>
      </c>
      <c r="AJ73" s="94">
        <f>AI73/$B$6</f>
        <v>0</v>
      </c>
      <c r="AK73" s="89">
        <v>0</v>
      </c>
      <c r="AL73" s="94">
        <f>AK73/$B$7</f>
        <v>0</v>
      </c>
      <c r="AM73" s="89">
        <v>0</v>
      </c>
      <c r="AN73" s="94">
        <f t="shared" si="414"/>
        <v>0</v>
      </c>
      <c r="AO73" s="89">
        <v>0</v>
      </c>
      <c r="AP73" s="94">
        <f t="shared" si="415"/>
        <v>0</v>
      </c>
      <c r="AQ73" s="79"/>
      <c r="AR73" s="88">
        <v>1690.9962</v>
      </c>
      <c r="AS73" s="76">
        <v>466.9</v>
      </c>
      <c r="AT73" s="88">
        <v>101.5</v>
      </c>
      <c r="AU73" s="100">
        <f t="shared" si="416"/>
        <v>1.9E-2</v>
      </c>
      <c r="AV73" s="100">
        <f t="shared" si="417"/>
        <v>0.20299999999999999</v>
      </c>
      <c r="AW73" s="100">
        <f t="shared" si="418"/>
        <v>0.20300000000000001</v>
      </c>
      <c r="AX73" s="94">
        <v>77.52</v>
      </c>
      <c r="AY73" s="76">
        <v>652.04160000000002</v>
      </c>
      <c r="AZ73" s="100">
        <f>AX73/$B$9</f>
        <v>0.12</v>
      </c>
      <c r="BA73" s="97">
        <f>AY73/$B$8</f>
        <v>5.6000000000000001E-2</v>
      </c>
      <c r="BB73" s="88">
        <v>8563.2000000000007</v>
      </c>
      <c r="BC73" s="76">
        <v>10915.875</v>
      </c>
      <c r="BD73" s="100">
        <f t="shared" si="419"/>
        <v>0.192</v>
      </c>
      <c r="BE73" s="97">
        <f t="shared" si="420"/>
        <v>0.46500000000000002</v>
      </c>
      <c r="BG73" s="88">
        <v>1083.57</v>
      </c>
      <c r="BH73" s="114">
        <f>BG73/$B$10</f>
        <v>0.43999983757400535</v>
      </c>
      <c r="BI73" s="115">
        <v>951.15300000000002</v>
      </c>
      <c r="BJ73" s="114">
        <f>BI73/$B$11</f>
        <v>0.5918811449906658</v>
      </c>
      <c r="BK73" s="115">
        <v>1121.4780000000001</v>
      </c>
      <c r="BL73" s="114">
        <f t="shared" si="421"/>
        <v>0.5784392407674851</v>
      </c>
      <c r="BN73" s="111">
        <v>51358.995000000003</v>
      </c>
      <c r="BO73" s="114">
        <f t="shared" si="422"/>
        <v>0.73770491803278682</v>
      </c>
      <c r="BQ73" s="142">
        <v>711.42499999999995</v>
      </c>
      <c r="BR73" s="131">
        <v>0</v>
      </c>
      <c r="BS73" s="143">
        <v>0</v>
      </c>
      <c r="BT73" s="105">
        <f t="shared" si="423"/>
        <v>2.1822852760736196E-2</v>
      </c>
      <c r="BU73" s="20">
        <f t="shared" si="424"/>
        <v>0</v>
      </c>
      <c r="BV73" s="2">
        <v>0</v>
      </c>
      <c r="BW73" s="2">
        <v>0</v>
      </c>
      <c r="BX73" s="2">
        <v>0</v>
      </c>
      <c r="BY73" s="2">
        <v>1472.2329999999999</v>
      </c>
      <c r="BZ73" s="105">
        <f t="shared" si="425"/>
        <v>0.10923230449621606</v>
      </c>
      <c r="CA73" s="20">
        <f t="shared" si="426"/>
        <v>0</v>
      </c>
      <c r="CB73" s="5">
        <v>10800</v>
      </c>
      <c r="CC73" s="5">
        <v>913.96837700000003</v>
      </c>
      <c r="CE73" s="108">
        <v>-700</v>
      </c>
      <c r="CF73" s="153">
        <f t="shared" si="427"/>
        <v>0</v>
      </c>
      <c r="CG73" s="153">
        <v>4485</v>
      </c>
      <c r="CH73" s="153">
        <f t="shared" si="427"/>
        <v>4485</v>
      </c>
      <c r="CI73" s="153">
        <v>0</v>
      </c>
      <c r="CJ73" s="153">
        <f t="shared" ref="CJ73:CL73" si="462">IF(CI73&gt;0,CI73,0)</f>
        <v>0</v>
      </c>
      <c r="CK73" s="153">
        <v>-5000</v>
      </c>
      <c r="CL73" s="153">
        <f t="shared" si="462"/>
        <v>0</v>
      </c>
      <c r="CM73" s="153">
        <v>3800</v>
      </c>
      <c r="CN73" s="153">
        <f t="shared" ref="CN73:CP73" si="463">IF(CM73&gt;0,CM73,0)</f>
        <v>3800</v>
      </c>
      <c r="CO73" s="153">
        <v>-4000</v>
      </c>
      <c r="CP73" s="153">
        <f t="shared" si="463"/>
        <v>0</v>
      </c>
      <c r="CQ73" s="153">
        <v>4800</v>
      </c>
      <c r="CR73" s="153">
        <f t="shared" ref="CR73:CT73" si="464">IF(CQ73&gt;0,CQ73,0)</f>
        <v>4800</v>
      </c>
      <c r="CS73" s="153">
        <v>6307.0313634300001</v>
      </c>
      <c r="CT73" s="153">
        <f t="shared" si="464"/>
        <v>6307.0313634300001</v>
      </c>
      <c r="CU73" s="107">
        <f t="shared" si="431"/>
        <v>19392.03136343</v>
      </c>
      <c r="CW73" s="108">
        <v>-700</v>
      </c>
      <c r="CX73" s="153">
        <f t="shared" si="432"/>
        <v>700</v>
      </c>
      <c r="CY73" s="153">
        <v>4485</v>
      </c>
      <c r="CZ73" s="153">
        <f t="shared" si="432"/>
        <v>0</v>
      </c>
      <c r="DA73" s="153">
        <v>0</v>
      </c>
      <c r="DB73" s="153">
        <f t="shared" ref="DB73:DD73" si="465">IF(DA73&lt;0,-DA73,0)</f>
        <v>0</v>
      </c>
      <c r="DC73" s="153">
        <v>-5000</v>
      </c>
      <c r="DD73" s="153">
        <f t="shared" si="465"/>
        <v>5000</v>
      </c>
      <c r="DE73" s="153">
        <v>3800</v>
      </c>
      <c r="DF73" s="153">
        <f t="shared" ref="DF73:DH73" si="466">IF(DE73&lt;0,-DE73,0)</f>
        <v>0</v>
      </c>
      <c r="DG73" s="153">
        <v>-4000</v>
      </c>
      <c r="DH73" s="153">
        <f t="shared" si="466"/>
        <v>4000</v>
      </c>
      <c r="DI73" s="153">
        <v>4800</v>
      </c>
      <c r="DJ73" s="153">
        <f t="shared" ref="DJ73:DL73" si="467">IF(DI73&lt;0,-DI73,0)</f>
        <v>0</v>
      </c>
      <c r="DK73" s="153">
        <v>6307.0313634300001</v>
      </c>
      <c r="DL73" s="153">
        <f t="shared" si="467"/>
        <v>0</v>
      </c>
      <c r="DM73" s="107">
        <f t="shared" si="436"/>
        <v>9700</v>
      </c>
    </row>
    <row r="74" spans="13:117" s="5" customFormat="1" x14ac:dyDescent="0.35">
      <c r="M74" s="77">
        <f t="shared" si="437"/>
        <v>72</v>
      </c>
      <c r="N74" s="78">
        <v>0</v>
      </c>
      <c r="O74" s="79">
        <v>0</v>
      </c>
      <c r="P74" s="79">
        <v>0</v>
      </c>
      <c r="Q74" s="79">
        <v>36622.576000000001</v>
      </c>
      <c r="R74" s="79">
        <v>1711.51260791</v>
      </c>
      <c r="S74" s="79">
        <f t="shared" si="408"/>
        <v>38334.088607910002</v>
      </c>
      <c r="T74" s="78">
        <v>0</v>
      </c>
      <c r="U74" s="79">
        <v>0</v>
      </c>
      <c r="V74" s="79">
        <v>0.109</v>
      </c>
      <c r="W74" s="79">
        <v>5.1000000000000004E-2</v>
      </c>
      <c r="X74" s="79">
        <f t="shared" si="409"/>
        <v>0.16</v>
      </c>
      <c r="Y74" s="79">
        <v>6435.9790000000003</v>
      </c>
      <c r="Z74" s="79">
        <v>304.68297871999999</v>
      </c>
      <c r="AA74" s="80">
        <f t="shared" si="410"/>
        <v>6740.6619787200007</v>
      </c>
      <c r="AB74" s="79"/>
      <c r="AC74" s="88">
        <v>0</v>
      </c>
      <c r="AD74" s="94">
        <f t="shared" si="411"/>
        <v>0</v>
      </c>
      <c r="AE74" s="89">
        <v>0</v>
      </c>
      <c r="AF74" s="94">
        <f t="shared" si="412"/>
        <v>0</v>
      </c>
      <c r="AG74" s="89">
        <v>0</v>
      </c>
      <c r="AH74" s="94">
        <f t="shared" si="413"/>
        <v>0</v>
      </c>
      <c r="AI74" s="89">
        <v>0</v>
      </c>
      <c r="AJ74" s="94">
        <f>AI74/$B$6</f>
        <v>0</v>
      </c>
      <c r="AK74" s="89">
        <v>0</v>
      </c>
      <c r="AL74" s="94">
        <f>AK74/$B$7</f>
        <v>0</v>
      </c>
      <c r="AM74" s="89">
        <v>0</v>
      </c>
      <c r="AN74" s="94">
        <f t="shared" si="414"/>
        <v>0</v>
      </c>
      <c r="AO74" s="89">
        <v>0</v>
      </c>
      <c r="AP74" s="94">
        <f t="shared" si="415"/>
        <v>0</v>
      </c>
      <c r="AQ74" s="79"/>
      <c r="AR74" s="88">
        <v>1690.9962</v>
      </c>
      <c r="AS74" s="76">
        <v>552</v>
      </c>
      <c r="AT74" s="88">
        <v>120</v>
      </c>
      <c r="AU74" s="100">
        <f t="shared" si="416"/>
        <v>1.9E-2</v>
      </c>
      <c r="AV74" s="100">
        <f t="shared" si="417"/>
        <v>0.24</v>
      </c>
      <c r="AW74" s="100">
        <f t="shared" si="418"/>
        <v>0.24</v>
      </c>
      <c r="AX74" s="94">
        <v>70.414000000000001</v>
      </c>
      <c r="AY74" s="76">
        <v>593.82360000000006</v>
      </c>
      <c r="AZ74" s="100">
        <f>AX74/$B$9</f>
        <v>0.109</v>
      </c>
      <c r="BA74" s="97">
        <f>AY74/$B$8</f>
        <v>5.1000000000000004E-2</v>
      </c>
      <c r="BB74" s="88">
        <v>8251</v>
      </c>
      <c r="BC74" s="76">
        <v>10728.075000000001</v>
      </c>
      <c r="BD74" s="100">
        <f t="shared" si="419"/>
        <v>0.185</v>
      </c>
      <c r="BE74" s="97">
        <f t="shared" si="420"/>
        <v>0.45700000000000002</v>
      </c>
      <c r="BG74" s="88">
        <v>1063.8689999999999</v>
      </c>
      <c r="BH74" s="114">
        <f>BG74/$B$10</f>
        <v>0.43199995127220159</v>
      </c>
      <c r="BI74" s="115">
        <v>945.851</v>
      </c>
      <c r="BJ74" s="114">
        <f>BI74/$B$11</f>
        <v>0.58858182949595517</v>
      </c>
      <c r="BK74" s="115">
        <v>1121.4780000000001</v>
      </c>
      <c r="BL74" s="114">
        <f t="shared" si="421"/>
        <v>0.5784392407674851</v>
      </c>
      <c r="BN74" s="111">
        <v>52500.305999999997</v>
      </c>
      <c r="BO74" s="114">
        <f t="shared" si="422"/>
        <v>0.75409836065573765</v>
      </c>
      <c r="BQ74" s="142">
        <v>738.65300000000002</v>
      </c>
      <c r="BR74" s="131">
        <v>0</v>
      </c>
      <c r="BS74" s="143">
        <v>0</v>
      </c>
      <c r="BT74" s="105">
        <f t="shared" si="423"/>
        <v>2.2658067484662578E-2</v>
      </c>
      <c r="BU74" s="20">
        <f t="shared" si="424"/>
        <v>0</v>
      </c>
      <c r="BV74" s="2">
        <v>0</v>
      </c>
      <c r="BW74" s="2">
        <v>0</v>
      </c>
      <c r="BX74" s="2">
        <v>0</v>
      </c>
      <c r="BY74" s="2">
        <v>1402.748</v>
      </c>
      <c r="BZ74" s="105">
        <f t="shared" si="425"/>
        <v>0.10407686600385814</v>
      </c>
      <c r="CA74" s="20">
        <f t="shared" si="426"/>
        <v>0</v>
      </c>
      <c r="CB74" s="5">
        <v>10800</v>
      </c>
      <c r="CC74" s="5">
        <v>913.96837700000003</v>
      </c>
      <c r="CE74" s="108">
        <v>-700</v>
      </c>
      <c r="CF74" s="153">
        <f t="shared" si="427"/>
        <v>0</v>
      </c>
      <c r="CG74" s="153">
        <v>4485</v>
      </c>
      <c r="CH74" s="153">
        <f t="shared" si="427"/>
        <v>4485</v>
      </c>
      <c r="CI74" s="153">
        <v>0</v>
      </c>
      <c r="CJ74" s="153">
        <f t="shared" ref="CJ74:CL74" si="468">IF(CI74&gt;0,CI74,0)</f>
        <v>0</v>
      </c>
      <c r="CK74" s="153">
        <v>-5000</v>
      </c>
      <c r="CL74" s="153">
        <f t="shared" si="468"/>
        <v>0</v>
      </c>
      <c r="CM74" s="153">
        <v>3800</v>
      </c>
      <c r="CN74" s="153">
        <f t="shared" ref="CN74:CP74" si="469">IF(CM74&gt;0,CM74,0)</f>
        <v>3800</v>
      </c>
      <c r="CO74" s="153">
        <v>-4000</v>
      </c>
      <c r="CP74" s="153">
        <f t="shared" si="469"/>
        <v>0</v>
      </c>
      <c r="CQ74" s="153">
        <v>4800</v>
      </c>
      <c r="CR74" s="153">
        <f t="shared" ref="CR74:CT74" si="470">IF(CQ74&gt;0,CQ74,0)</f>
        <v>4800</v>
      </c>
      <c r="CS74" s="153">
        <v>9009.3530017199992</v>
      </c>
      <c r="CT74" s="153">
        <f t="shared" si="470"/>
        <v>9009.3530017199992</v>
      </c>
      <c r="CU74" s="107">
        <f t="shared" si="431"/>
        <v>22094.353001719999</v>
      </c>
      <c r="CW74" s="108">
        <v>-700</v>
      </c>
      <c r="CX74" s="153">
        <f t="shared" si="432"/>
        <v>700</v>
      </c>
      <c r="CY74" s="153">
        <v>4485</v>
      </c>
      <c r="CZ74" s="153">
        <f t="shared" si="432"/>
        <v>0</v>
      </c>
      <c r="DA74" s="153">
        <v>0</v>
      </c>
      <c r="DB74" s="153">
        <f t="shared" ref="DB74:DD74" si="471">IF(DA74&lt;0,-DA74,0)</f>
        <v>0</v>
      </c>
      <c r="DC74" s="153">
        <v>-5000</v>
      </c>
      <c r="DD74" s="153">
        <f t="shared" si="471"/>
        <v>5000</v>
      </c>
      <c r="DE74" s="153">
        <v>3800</v>
      </c>
      <c r="DF74" s="153">
        <f t="shared" ref="DF74:DH74" si="472">IF(DE74&lt;0,-DE74,0)</f>
        <v>0</v>
      </c>
      <c r="DG74" s="153">
        <v>-4000</v>
      </c>
      <c r="DH74" s="153">
        <f t="shared" si="472"/>
        <v>4000</v>
      </c>
      <c r="DI74" s="153">
        <v>4800</v>
      </c>
      <c r="DJ74" s="153">
        <f t="shared" ref="DJ74:DL74" si="473">IF(DI74&lt;0,-DI74,0)</f>
        <v>0</v>
      </c>
      <c r="DK74" s="153">
        <v>9009.3530017199992</v>
      </c>
      <c r="DL74" s="153">
        <f t="shared" si="473"/>
        <v>0</v>
      </c>
      <c r="DM74" s="107">
        <f t="shared" si="436"/>
        <v>9700</v>
      </c>
    </row>
    <row r="75" spans="13:117" s="5" customFormat="1" x14ac:dyDescent="0.35">
      <c r="M75" s="77">
        <f t="shared" si="437"/>
        <v>73</v>
      </c>
      <c r="N75" s="78">
        <v>0</v>
      </c>
      <c r="O75" s="79">
        <v>0</v>
      </c>
      <c r="P75" s="79">
        <v>0</v>
      </c>
      <c r="Q75" s="79">
        <v>34001.474000000002</v>
      </c>
      <c r="R75" s="79">
        <v>1352.5548862999999</v>
      </c>
      <c r="S75" s="79">
        <f t="shared" si="408"/>
        <v>35354.028886300002</v>
      </c>
      <c r="T75" s="78">
        <v>0</v>
      </c>
      <c r="U75" s="79">
        <v>0</v>
      </c>
      <c r="V75" s="79">
        <v>0.10199999999999999</v>
      </c>
      <c r="W75" s="79">
        <v>4.8999999999999995E-2</v>
      </c>
      <c r="X75" s="79">
        <f t="shared" si="409"/>
        <v>0.151</v>
      </c>
      <c r="Y75" s="79">
        <v>5688.5959999999995</v>
      </c>
      <c r="Z75" s="79">
        <v>246.98723404</v>
      </c>
      <c r="AA75" s="80">
        <f t="shared" si="410"/>
        <v>5935.5832340399993</v>
      </c>
      <c r="AB75" s="79"/>
      <c r="AC75" s="88">
        <v>0</v>
      </c>
      <c r="AD75" s="94">
        <f t="shared" si="411"/>
        <v>0</v>
      </c>
      <c r="AE75" s="89">
        <v>0</v>
      </c>
      <c r="AF75" s="94">
        <f t="shared" si="412"/>
        <v>0</v>
      </c>
      <c r="AG75" s="89">
        <v>0</v>
      </c>
      <c r="AH75" s="94">
        <f t="shared" si="413"/>
        <v>0</v>
      </c>
      <c r="AI75" s="89">
        <v>0</v>
      </c>
      <c r="AJ75" s="94">
        <f>AI75/$B$6</f>
        <v>0</v>
      </c>
      <c r="AK75" s="89">
        <v>0</v>
      </c>
      <c r="AL75" s="94">
        <f>AK75/$B$7</f>
        <v>0</v>
      </c>
      <c r="AM75" s="89">
        <v>0</v>
      </c>
      <c r="AN75" s="94">
        <f t="shared" si="414"/>
        <v>0</v>
      </c>
      <c r="AO75" s="89">
        <v>0</v>
      </c>
      <c r="AP75" s="94">
        <f t="shared" si="415"/>
        <v>0</v>
      </c>
      <c r="AQ75" s="79"/>
      <c r="AR75" s="88">
        <v>2046.9954</v>
      </c>
      <c r="AS75" s="76">
        <v>650.9</v>
      </c>
      <c r="AT75" s="88">
        <v>141.5</v>
      </c>
      <c r="AU75" s="100">
        <f t="shared" si="416"/>
        <v>2.3E-2</v>
      </c>
      <c r="AV75" s="100">
        <f t="shared" si="417"/>
        <v>0.28299999999999997</v>
      </c>
      <c r="AW75" s="100">
        <f t="shared" si="418"/>
        <v>0.28299999999999997</v>
      </c>
      <c r="AX75" s="94">
        <v>65.891999999999996</v>
      </c>
      <c r="AY75" s="76">
        <v>570.53639999999996</v>
      </c>
      <c r="AZ75" s="100">
        <f>AX75/$B$9</f>
        <v>0.10199999999999999</v>
      </c>
      <c r="BA75" s="97">
        <f>AY75/$B$8</f>
        <v>4.8999999999999995E-2</v>
      </c>
      <c r="BB75" s="88">
        <v>7403.6</v>
      </c>
      <c r="BC75" s="76">
        <v>10375.950000000001</v>
      </c>
      <c r="BD75" s="100">
        <f t="shared" si="419"/>
        <v>0.16600000000000001</v>
      </c>
      <c r="BE75" s="97">
        <f t="shared" si="420"/>
        <v>0.442</v>
      </c>
      <c r="BG75" s="88">
        <v>1004.765</v>
      </c>
      <c r="BH75" s="114">
        <f>BG75/$B$10</f>
        <v>0.40799988630180378</v>
      </c>
      <c r="BI75" s="115">
        <v>856.40499999999997</v>
      </c>
      <c r="BJ75" s="114">
        <f>BI75/$B$11</f>
        <v>0.53292159303049158</v>
      </c>
      <c r="BK75" s="115">
        <v>1121.4780000000001</v>
      </c>
      <c r="BL75" s="114">
        <f t="shared" si="421"/>
        <v>0.5784392407674851</v>
      </c>
      <c r="BN75" s="111">
        <v>52500.305999999997</v>
      </c>
      <c r="BO75" s="114">
        <f t="shared" si="422"/>
        <v>0.75409836065573765</v>
      </c>
      <c r="BQ75" s="142">
        <v>866.29899999999998</v>
      </c>
      <c r="BR75" s="131">
        <v>0</v>
      </c>
      <c r="BS75" s="143">
        <v>0</v>
      </c>
      <c r="BT75" s="105">
        <f t="shared" si="423"/>
        <v>2.6573588957055215E-2</v>
      </c>
      <c r="BU75" s="20">
        <f t="shared" si="424"/>
        <v>0</v>
      </c>
      <c r="BV75" s="2">
        <v>0</v>
      </c>
      <c r="BW75" s="2">
        <v>0</v>
      </c>
      <c r="BX75" s="2">
        <v>0</v>
      </c>
      <c r="BY75" s="2">
        <v>1354.944</v>
      </c>
      <c r="BZ75" s="105">
        <f t="shared" si="425"/>
        <v>0.10053004896868971</v>
      </c>
      <c r="CA75" s="20">
        <f t="shared" si="426"/>
        <v>0</v>
      </c>
      <c r="CB75" s="5">
        <v>10800</v>
      </c>
      <c r="CC75" s="5">
        <v>913.96698819999995</v>
      </c>
      <c r="CE75" s="108">
        <v>-700</v>
      </c>
      <c r="CF75" s="153">
        <f t="shared" si="427"/>
        <v>0</v>
      </c>
      <c r="CG75" s="153">
        <v>4485</v>
      </c>
      <c r="CH75" s="153">
        <f t="shared" si="427"/>
        <v>4485</v>
      </c>
      <c r="CI75" s="153">
        <v>0</v>
      </c>
      <c r="CJ75" s="153">
        <f t="shared" ref="CJ75:CL75" si="474">IF(CI75&gt;0,CI75,0)</f>
        <v>0</v>
      </c>
      <c r="CK75" s="153">
        <v>-5000</v>
      </c>
      <c r="CL75" s="153">
        <f t="shared" si="474"/>
        <v>0</v>
      </c>
      <c r="CM75" s="153">
        <v>3800</v>
      </c>
      <c r="CN75" s="153">
        <f t="shared" ref="CN75:CP75" si="475">IF(CM75&gt;0,CM75,0)</f>
        <v>3800</v>
      </c>
      <c r="CO75" s="153">
        <v>-4000</v>
      </c>
      <c r="CP75" s="153">
        <f t="shared" si="475"/>
        <v>0</v>
      </c>
      <c r="CQ75" s="153">
        <v>4800</v>
      </c>
      <c r="CR75" s="153">
        <f t="shared" ref="CR75:CT75" si="476">IF(CQ75&gt;0,CQ75,0)</f>
        <v>4800</v>
      </c>
      <c r="CS75" s="153">
        <v>11018.10151181</v>
      </c>
      <c r="CT75" s="153">
        <f t="shared" si="476"/>
        <v>11018.10151181</v>
      </c>
      <c r="CU75" s="107">
        <f t="shared" si="431"/>
        <v>24103.10151181</v>
      </c>
      <c r="CW75" s="108">
        <v>-700</v>
      </c>
      <c r="CX75" s="153">
        <f t="shared" si="432"/>
        <v>700</v>
      </c>
      <c r="CY75" s="153">
        <v>4485</v>
      </c>
      <c r="CZ75" s="153">
        <f t="shared" si="432"/>
        <v>0</v>
      </c>
      <c r="DA75" s="153">
        <v>0</v>
      </c>
      <c r="DB75" s="153">
        <f t="shared" ref="DB75:DD75" si="477">IF(DA75&lt;0,-DA75,0)</f>
        <v>0</v>
      </c>
      <c r="DC75" s="153">
        <v>-5000</v>
      </c>
      <c r="DD75" s="153">
        <f t="shared" si="477"/>
        <v>5000</v>
      </c>
      <c r="DE75" s="153">
        <v>3800</v>
      </c>
      <c r="DF75" s="153">
        <f t="shared" ref="DF75:DH75" si="478">IF(DE75&lt;0,-DE75,0)</f>
        <v>0</v>
      </c>
      <c r="DG75" s="153">
        <v>-4000</v>
      </c>
      <c r="DH75" s="153">
        <f t="shared" si="478"/>
        <v>4000</v>
      </c>
      <c r="DI75" s="153">
        <v>4800</v>
      </c>
      <c r="DJ75" s="153">
        <f t="shared" ref="DJ75:DL75" si="479">IF(DI75&lt;0,-DI75,0)</f>
        <v>0</v>
      </c>
      <c r="DK75" s="153">
        <v>11018.10151181</v>
      </c>
      <c r="DL75" s="153">
        <f t="shared" si="479"/>
        <v>0</v>
      </c>
      <c r="DM75" s="107">
        <f t="shared" si="436"/>
        <v>9700</v>
      </c>
    </row>
    <row r="76" spans="13:117" s="5" customFormat="1" x14ac:dyDescent="0.35">
      <c r="M76" s="77">
        <f t="shared" si="437"/>
        <v>74</v>
      </c>
      <c r="N76" s="78">
        <v>0</v>
      </c>
      <c r="O76" s="79">
        <v>0</v>
      </c>
      <c r="P76" s="79">
        <v>0</v>
      </c>
      <c r="Q76" s="79">
        <v>32176.61948936</v>
      </c>
      <c r="R76" s="79">
        <v>960.92549794000001</v>
      </c>
      <c r="S76" s="79">
        <f t="shared" si="408"/>
        <v>33137.544987300003</v>
      </c>
      <c r="T76" s="78">
        <v>0</v>
      </c>
      <c r="U76" s="79">
        <v>0</v>
      </c>
      <c r="V76" s="79">
        <v>9.5000000000000001E-2</v>
      </c>
      <c r="W76" s="79">
        <v>4.7999999999999994E-2</v>
      </c>
      <c r="X76" s="79">
        <f t="shared" si="409"/>
        <v>0.14299999999999999</v>
      </c>
      <c r="Y76" s="79">
        <v>5314.6819999999998</v>
      </c>
      <c r="Z76" s="79">
        <v>235.12978723000001</v>
      </c>
      <c r="AA76" s="80">
        <f t="shared" si="410"/>
        <v>5549.8117872299999</v>
      </c>
      <c r="AB76" s="79"/>
      <c r="AC76" s="88">
        <v>0</v>
      </c>
      <c r="AD76" s="94">
        <f t="shared" si="411"/>
        <v>0</v>
      </c>
      <c r="AE76" s="89">
        <v>0</v>
      </c>
      <c r="AF76" s="94">
        <f t="shared" si="412"/>
        <v>0</v>
      </c>
      <c r="AG76" s="89">
        <v>0</v>
      </c>
      <c r="AH76" s="94">
        <f t="shared" si="413"/>
        <v>0</v>
      </c>
      <c r="AI76" s="89">
        <v>0</v>
      </c>
      <c r="AJ76" s="94">
        <f>AI76/$B$6</f>
        <v>0</v>
      </c>
      <c r="AK76" s="89">
        <v>0</v>
      </c>
      <c r="AL76" s="94">
        <f>AK76/$B$7</f>
        <v>0</v>
      </c>
      <c r="AM76" s="89">
        <v>0</v>
      </c>
      <c r="AN76" s="94">
        <f t="shared" si="414"/>
        <v>0</v>
      </c>
      <c r="AO76" s="89">
        <v>0</v>
      </c>
      <c r="AP76" s="94">
        <f t="shared" si="415"/>
        <v>0</v>
      </c>
      <c r="AQ76" s="79"/>
      <c r="AR76" s="88">
        <v>2402.9946</v>
      </c>
      <c r="AS76" s="76">
        <v>759</v>
      </c>
      <c r="AT76" s="88">
        <v>165</v>
      </c>
      <c r="AU76" s="100">
        <f t="shared" si="416"/>
        <v>2.7E-2</v>
      </c>
      <c r="AV76" s="100">
        <f t="shared" si="417"/>
        <v>0.33</v>
      </c>
      <c r="AW76" s="100">
        <f t="shared" si="418"/>
        <v>0.33</v>
      </c>
      <c r="AX76" s="94">
        <v>61.37</v>
      </c>
      <c r="AY76" s="76">
        <v>558.89279999999997</v>
      </c>
      <c r="AZ76" s="100">
        <f>AX76/$B$9</f>
        <v>9.5000000000000001E-2</v>
      </c>
      <c r="BA76" s="97">
        <f>AY76/$B$8</f>
        <v>4.7999999999999994E-2</v>
      </c>
      <c r="BB76" s="88">
        <v>7046.8</v>
      </c>
      <c r="BC76" s="76">
        <v>10305.525</v>
      </c>
      <c r="BD76" s="100">
        <f t="shared" si="419"/>
        <v>0.158</v>
      </c>
      <c r="BE76" s="97">
        <f t="shared" si="420"/>
        <v>0.439</v>
      </c>
      <c r="BG76" s="88">
        <v>982.601</v>
      </c>
      <c r="BH76" s="114">
        <f>BG76/$B$10</f>
        <v>0.39899986193790454</v>
      </c>
      <c r="BI76" s="115">
        <v>849.18200000000002</v>
      </c>
      <c r="BJ76" s="114">
        <f>BI76/$B$11</f>
        <v>0.52842688238954572</v>
      </c>
      <c r="BK76" s="115">
        <v>1121.4780000000001</v>
      </c>
      <c r="BL76" s="114">
        <f t="shared" si="421"/>
        <v>0.5784392407674851</v>
      </c>
      <c r="BN76" s="111">
        <v>52500.305999999997</v>
      </c>
      <c r="BO76" s="114">
        <f t="shared" si="422"/>
        <v>0.75409836065573765</v>
      </c>
      <c r="BQ76" s="142">
        <v>1015.79</v>
      </c>
      <c r="BR76" s="131">
        <v>0</v>
      </c>
      <c r="BS76" s="143">
        <v>0</v>
      </c>
      <c r="BT76" s="105">
        <f t="shared" si="423"/>
        <v>3.115920245398773E-2</v>
      </c>
      <c r="BU76" s="20">
        <f t="shared" si="424"/>
        <v>0</v>
      </c>
      <c r="BV76" s="2">
        <v>0</v>
      </c>
      <c r="BW76" s="2">
        <v>0</v>
      </c>
      <c r="BX76" s="2">
        <v>0</v>
      </c>
      <c r="BY76" s="2">
        <v>1271.5160000000001</v>
      </c>
      <c r="BZ76" s="105">
        <f t="shared" si="425"/>
        <v>9.4340109808576947E-2</v>
      </c>
      <c r="CA76" s="20">
        <f t="shared" si="426"/>
        <v>0</v>
      </c>
      <c r="CB76" s="5">
        <v>10800</v>
      </c>
      <c r="CC76" s="5">
        <v>913.96698819999995</v>
      </c>
      <c r="CE76" s="108">
        <v>-700</v>
      </c>
      <c r="CF76" s="153">
        <f t="shared" si="427"/>
        <v>0</v>
      </c>
      <c r="CG76" s="153">
        <v>4485</v>
      </c>
      <c r="CH76" s="153">
        <f t="shared" si="427"/>
        <v>4485</v>
      </c>
      <c r="CI76" s="153">
        <v>0</v>
      </c>
      <c r="CJ76" s="153">
        <f t="shared" ref="CJ76:CL76" si="480">IF(CI76&gt;0,CI76,0)</f>
        <v>0</v>
      </c>
      <c r="CK76" s="153">
        <v>-5000</v>
      </c>
      <c r="CL76" s="153">
        <f t="shared" si="480"/>
        <v>0</v>
      </c>
      <c r="CM76" s="153">
        <v>3800</v>
      </c>
      <c r="CN76" s="153">
        <f t="shared" ref="CN76:CP76" si="481">IF(CM76&gt;0,CM76,0)</f>
        <v>3800</v>
      </c>
      <c r="CO76" s="153">
        <v>-4000</v>
      </c>
      <c r="CP76" s="153">
        <f t="shared" si="481"/>
        <v>0</v>
      </c>
      <c r="CQ76" s="153">
        <v>4800</v>
      </c>
      <c r="CR76" s="153">
        <f t="shared" ref="CR76:CT76" si="482">IF(CQ76&gt;0,CQ76,0)</f>
        <v>4800</v>
      </c>
      <c r="CS76" s="153">
        <v>11369.140885389999</v>
      </c>
      <c r="CT76" s="153">
        <f t="shared" si="482"/>
        <v>11369.140885389999</v>
      </c>
      <c r="CU76" s="107">
        <f t="shared" si="431"/>
        <v>24454.140885389999</v>
      </c>
      <c r="CW76" s="108">
        <v>-700</v>
      </c>
      <c r="CX76" s="153">
        <f t="shared" si="432"/>
        <v>700</v>
      </c>
      <c r="CY76" s="153">
        <v>4485</v>
      </c>
      <c r="CZ76" s="153">
        <f t="shared" si="432"/>
        <v>0</v>
      </c>
      <c r="DA76" s="153">
        <v>0</v>
      </c>
      <c r="DB76" s="153">
        <f t="shared" ref="DB76:DD76" si="483">IF(DA76&lt;0,-DA76,0)</f>
        <v>0</v>
      </c>
      <c r="DC76" s="153">
        <v>-5000</v>
      </c>
      <c r="DD76" s="153">
        <f t="shared" si="483"/>
        <v>5000</v>
      </c>
      <c r="DE76" s="153">
        <v>3800</v>
      </c>
      <c r="DF76" s="153">
        <f t="shared" ref="DF76:DH76" si="484">IF(DE76&lt;0,-DE76,0)</f>
        <v>0</v>
      </c>
      <c r="DG76" s="153">
        <v>-4000</v>
      </c>
      <c r="DH76" s="153">
        <f t="shared" si="484"/>
        <v>4000</v>
      </c>
      <c r="DI76" s="153">
        <v>4800</v>
      </c>
      <c r="DJ76" s="153">
        <f t="shared" ref="DJ76:DL76" si="485">IF(DI76&lt;0,-DI76,0)</f>
        <v>0</v>
      </c>
      <c r="DK76" s="153">
        <v>11369.140885389999</v>
      </c>
      <c r="DL76" s="153">
        <f t="shared" si="485"/>
        <v>0</v>
      </c>
      <c r="DM76" s="107">
        <f t="shared" si="436"/>
        <v>9700</v>
      </c>
    </row>
    <row r="77" spans="13:117" s="5" customFormat="1" x14ac:dyDescent="0.35">
      <c r="M77" s="77">
        <f t="shared" si="437"/>
        <v>75</v>
      </c>
      <c r="N77" s="78">
        <v>0</v>
      </c>
      <c r="O77" s="79">
        <v>0</v>
      </c>
      <c r="P77" s="79">
        <v>0</v>
      </c>
      <c r="Q77" s="79">
        <v>31151.46689362</v>
      </c>
      <c r="R77" s="79">
        <v>1510.4932251099999</v>
      </c>
      <c r="S77" s="79">
        <f t="shared" si="408"/>
        <v>32661.96011873</v>
      </c>
      <c r="T77" s="78">
        <v>0</v>
      </c>
      <c r="U77" s="79">
        <v>0</v>
      </c>
      <c r="V77" s="79">
        <v>9.2999999999999999E-2</v>
      </c>
      <c r="W77" s="79">
        <v>4.6999999999999993E-2</v>
      </c>
      <c r="X77" s="79">
        <f t="shared" si="409"/>
        <v>0.13999999999999999</v>
      </c>
      <c r="Y77" s="79">
        <v>4886.3860000000004</v>
      </c>
      <c r="Z77" s="79">
        <v>177.81170212999999</v>
      </c>
      <c r="AA77" s="80">
        <f t="shared" si="410"/>
        <v>5064.1977021300008</v>
      </c>
      <c r="AB77" s="79"/>
      <c r="AC77" s="88">
        <v>0</v>
      </c>
      <c r="AD77" s="94">
        <f t="shared" si="411"/>
        <v>0</v>
      </c>
      <c r="AE77" s="89">
        <v>0</v>
      </c>
      <c r="AF77" s="94">
        <f t="shared" si="412"/>
        <v>0</v>
      </c>
      <c r="AG77" s="89">
        <v>0</v>
      </c>
      <c r="AH77" s="94">
        <f t="shared" si="413"/>
        <v>0</v>
      </c>
      <c r="AI77" s="89">
        <v>0</v>
      </c>
      <c r="AJ77" s="94">
        <f>AI77/$B$6</f>
        <v>0</v>
      </c>
      <c r="AK77" s="89">
        <v>0</v>
      </c>
      <c r="AL77" s="94">
        <f>AK77/$B$7</f>
        <v>0</v>
      </c>
      <c r="AM77" s="89">
        <v>0</v>
      </c>
      <c r="AN77" s="94">
        <f t="shared" si="414"/>
        <v>0</v>
      </c>
      <c r="AO77" s="89">
        <v>0</v>
      </c>
      <c r="AP77" s="94">
        <f t="shared" si="415"/>
        <v>0</v>
      </c>
      <c r="AQ77" s="79"/>
      <c r="AR77" s="88">
        <v>2936.9933999999998</v>
      </c>
      <c r="AS77" s="76">
        <v>867.1</v>
      </c>
      <c r="AT77" s="88">
        <v>188.5</v>
      </c>
      <c r="AU77" s="100">
        <f t="shared" si="416"/>
        <v>3.2999999999999995E-2</v>
      </c>
      <c r="AV77" s="100">
        <f t="shared" si="417"/>
        <v>0.377</v>
      </c>
      <c r="AW77" s="100">
        <f t="shared" si="418"/>
        <v>0.377</v>
      </c>
      <c r="AX77" s="94">
        <v>60.078000000000003</v>
      </c>
      <c r="AY77" s="76">
        <v>547.24919999999997</v>
      </c>
      <c r="AZ77" s="100">
        <f>AX77/$B$9</f>
        <v>9.2999999999999999E-2</v>
      </c>
      <c r="BA77" s="97">
        <f>AY77/$B$8</f>
        <v>4.6999999999999993E-2</v>
      </c>
      <c r="BB77" s="88">
        <v>6645.4</v>
      </c>
      <c r="BC77" s="76">
        <v>10188.15</v>
      </c>
      <c r="BD77" s="100">
        <f t="shared" si="419"/>
        <v>0.14899999999999999</v>
      </c>
      <c r="BE77" s="97">
        <f t="shared" si="420"/>
        <v>0.434</v>
      </c>
      <c r="BG77" s="88">
        <v>980.13900000000001</v>
      </c>
      <c r="BH77" s="114">
        <f>BG77/$B$10</f>
        <v>0.39800012994079575</v>
      </c>
      <c r="BI77" s="115">
        <v>845.53800000000001</v>
      </c>
      <c r="BJ77" s="114">
        <f>BI77/$B$11</f>
        <v>0.52615930304915992</v>
      </c>
      <c r="BK77" s="115">
        <v>1121.4780000000001</v>
      </c>
      <c r="BL77" s="114">
        <f t="shared" si="421"/>
        <v>0.5784392407674851</v>
      </c>
      <c r="BN77" s="111">
        <v>52500.305999999997</v>
      </c>
      <c r="BO77" s="114">
        <f t="shared" si="422"/>
        <v>0.75409836065573765</v>
      </c>
      <c r="BQ77" s="142">
        <v>1240.731</v>
      </c>
      <c r="BR77" s="131">
        <v>0</v>
      </c>
      <c r="BS77" s="143">
        <v>0</v>
      </c>
      <c r="BT77" s="105">
        <f t="shared" si="423"/>
        <v>3.8059233128834358E-2</v>
      </c>
      <c r="BU77" s="20">
        <f t="shared" si="424"/>
        <v>0</v>
      </c>
      <c r="BV77" s="2">
        <v>0</v>
      </c>
      <c r="BW77" s="2">
        <v>0</v>
      </c>
      <c r="BX77" s="2">
        <v>0</v>
      </c>
      <c r="BY77" s="2">
        <v>1259.7349999999999</v>
      </c>
      <c r="BZ77" s="105">
        <f t="shared" si="425"/>
        <v>9.3466018697136069E-2</v>
      </c>
      <c r="CA77" s="20">
        <f t="shared" si="426"/>
        <v>0</v>
      </c>
      <c r="CB77" s="5">
        <v>10800</v>
      </c>
      <c r="CC77" s="5">
        <v>913.96698819999995</v>
      </c>
      <c r="CE77" s="108">
        <v>-700</v>
      </c>
      <c r="CF77" s="153">
        <f t="shared" si="427"/>
        <v>0</v>
      </c>
      <c r="CG77" s="153">
        <v>4485</v>
      </c>
      <c r="CH77" s="153">
        <f t="shared" si="427"/>
        <v>4485</v>
      </c>
      <c r="CI77" s="153">
        <v>0</v>
      </c>
      <c r="CJ77" s="153">
        <f t="shared" ref="CJ77:CL77" si="486">IF(CI77&gt;0,CI77,0)</f>
        <v>0</v>
      </c>
      <c r="CK77" s="153">
        <v>-5000</v>
      </c>
      <c r="CL77" s="153">
        <f t="shared" si="486"/>
        <v>0</v>
      </c>
      <c r="CM77" s="153">
        <v>3798.7846338999998</v>
      </c>
      <c r="CN77" s="153">
        <f t="shared" ref="CN77:CP77" si="487">IF(CM77&gt;0,CM77,0)</f>
        <v>3798.7846338999998</v>
      </c>
      <c r="CO77" s="153">
        <v>-4000</v>
      </c>
      <c r="CP77" s="153">
        <f t="shared" si="487"/>
        <v>0</v>
      </c>
      <c r="CQ77" s="153">
        <v>4800</v>
      </c>
      <c r="CR77" s="153">
        <f t="shared" ref="CR77:CT77" si="488">IF(CQ77&gt;0,CQ77,0)</f>
        <v>4800</v>
      </c>
      <c r="CS77" s="153">
        <v>10764.868305280001</v>
      </c>
      <c r="CT77" s="153">
        <f t="shared" si="488"/>
        <v>10764.868305280001</v>
      </c>
      <c r="CU77" s="107">
        <f t="shared" si="431"/>
        <v>23848.65293918</v>
      </c>
      <c r="CW77" s="108">
        <v>-700</v>
      </c>
      <c r="CX77" s="153">
        <f t="shared" si="432"/>
        <v>700</v>
      </c>
      <c r="CY77" s="153">
        <v>4485</v>
      </c>
      <c r="CZ77" s="153">
        <f t="shared" si="432"/>
        <v>0</v>
      </c>
      <c r="DA77" s="153">
        <v>0</v>
      </c>
      <c r="DB77" s="153">
        <f t="shared" ref="DB77:DD77" si="489">IF(DA77&lt;0,-DA77,0)</f>
        <v>0</v>
      </c>
      <c r="DC77" s="153">
        <v>-5000</v>
      </c>
      <c r="DD77" s="153">
        <f t="shared" si="489"/>
        <v>5000</v>
      </c>
      <c r="DE77" s="153">
        <v>3798.7846338999998</v>
      </c>
      <c r="DF77" s="153">
        <f t="shared" ref="DF77:DH77" si="490">IF(DE77&lt;0,-DE77,0)</f>
        <v>0</v>
      </c>
      <c r="DG77" s="153">
        <v>-4000</v>
      </c>
      <c r="DH77" s="153">
        <f t="shared" si="490"/>
        <v>4000</v>
      </c>
      <c r="DI77" s="153">
        <v>4800</v>
      </c>
      <c r="DJ77" s="153">
        <f t="shared" ref="DJ77:DL77" si="491">IF(DI77&lt;0,-DI77,0)</f>
        <v>0</v>
      </c>
      <c r="DK77" s="153">
        <v>10764.868305280001</v>
      </c>
      <c r="DL77" s="153">
        <f t="shared" si="491"/>
        <v>0</v>
      </c>
      <c r="DM77" s="107">
        <f t="shared" si="436"/>
        <v>9700</v>
      </c>
    </row>
    <row r="78" spans="13:117" s="5" customFormat="1" x14ac:dyDescent="0.35">
      <c r="M78" s="77">
        <f t="shared" si="437"/>
        <v>76</v>
      </c>
      <c r="N78" s="78">
        <v>0</v>
      </c>
      <c r="O78" s="79">
        <v>0</v>
      </c>
      <c r="P78" s="79">
        <v>0</v>
      </c>
      <c r="Q78" s="79">
        <v>30801.797872340001</v>
      </c>
      <c r="R78" s="79">
        <v>2372.71584089</v>
      </c>
      <c r="S78" s="79">
        <f t="shared" si="408"/>
        <v>33174.513713230001</v>
      </c>
      <c r="T78" s="78">
        <v>0</v>
      </c>
      <c r="U78" s="79">
        <v>0</v>
      </c>
      <c r="V78" s="79">
        <v>9.2999999999999999E-2</v>
      </c>
      <c r="W78" s="79">
        <v>4.2999999999999997E-2</v>
      </c>
      <c r="X78" s="79">
        <f t="shared" si="409"/>
        <v>0.13600000000000001</v>
      </c>
      <c r="Y78" s="79">
        <v>4766.4970000000003</v>
      </c>
      <c r="Z78" s="79">
        <v>161.65531915</v>
      </c>
      <c r="AA78" s="80">
        <f t="shared" si="410"/>
        <v>4928.15231915</v>
      </c>
      <c r="AB78" s="79"/>
      <c r="AC78" s="88">
        <v>0</v>
      </c>
      <c r="AD78" s="94">
        <f t="shared" si="411"/>
        <v>0</v>
      </c>
      <c r="AE78" s="89">
        <v>0</v>
      </c>
      <c r="AF78" s="94">
        <f t="shared" si="412"/>
        <v>0</v>
      </c>
      <c r="AG78" s="89">
        <v>0</v>
      </c>
      <c r="AH78" s="94">
        <f t="shared" si="413"/>
        <v>0</v>
      </c>
      <c r="AI78" s="89">
        <v>0</v>
      </c>
      <c r="AJ78" s="94">
        <f>AI78/$B$6</f>
        <v>0</v>
      </c>
      <c r="AK78" s="89">
        <v>0</v>
      </c>
      <c r="AL78" s="94">
        <f>AK78/$B$7</f>
        <v>0</v>
      </c>
      <c r="AM78" s="89">
        <v>0</v>
      </c>
      <c r="AN78" s="94">
        <f t="shared" si="414"/>
        <v>0</v>
      </c>
      <c r="AO78" s="89">
        <v>0</v>
      </c>
      <c r="AP78" s="94">
        <f t="shared" si="415"/>
        <v>0</v>
      </c>
      <c r="AQ78" s="79"/>
      <c r="AR78" s="88">
        <v>3648.9917999999998</v>
      </c>
      <c r="AS78" s="76">
        <v>959.1</v>
      </c>
      <c r="AT78" s="88">
        <v>208.5</v>
      </c>
      <c r="AU78" s="100">
        <f t="shared" si="416"/>
        <v>4.0999999999999995E-2</v>
      </c>
      <c r="AV78" s="100">
        <f t="shared" si="417"/>
        <v>0.41700000000000004</v>
      </c>
      <c r="AW78" s="100">
        <f t="shared" si="418"/>
        <v>0.41699999999999998</v>
      </c>
      <c r="AX78" s="94">
        <v>60.078000000000003</v>
      </c>
      <c r="AY78" s="76">
        <v>500.6748</v>
      </c>
      <c r="AZ78" s="100">
        <f>AX78/$B$9</f>
        <v>9.2999999999999999E-2</v>
      </c>
      <c r="BA78" s="97">
        <f>AY78/$B$8</f>
        <v>4.2999999999999997E-2</v>
      </c>
      <c r="BB78" s="88">
        <v>6467</v>
      </c>
      <c r="BC78" s="76">
        <v>10493.325000000001</v>
      </c>
      <c r="BD78" s="100">
        <f t="shared" si="419"/>
        <v>0.14499999999999999</v>
      </c>
      <c r="BE78" s="97">
        <f t="shared" si="420"/>
        <v>0.44700000000000001</v>
      </c>
      <c r="BG78" s="88">
        <v>975.21299999999997</v>
      </c>
      <c r="BH78" s="114">
        <f>BG78/$B$10</f>
        <v>0.3959998538166048</v>
      </c>
      <c r="BI78" s="115">
        <v>846.03599999999994</v>
      </c>
      <c r="BJ78" s="114">
        <f>BI78/$B$11</f>
        <v>0.52646919726197883</v>
      </c>
      <c r="BK78" s="115">
        <v>1121.4780000000001</v>
      </c>
      <c r="BL78" s="114">
        <f t="shared" si="421"/>
        <v>0.5784392407674851</v>
      </c>
      <c r="BN78" s="111">
        <v>52500.305999999997</v>
      </c>
      <c r="BO78" s="114">
        <f t="shared" si="422"/>
        <v>0.75409836065573765</v>
      </c>
      <c r="BQ78" s="142">
        <v>1542.0930000000001</v>
      </c>
      <c r="BR78" s="131">
        <v>0</v>
      </c>
      <c r="BS78" s="143">
        <v>0</v>
      </c>
      <c r="BT78" s="105">
        <f t="shared" si="423"/>
        <v>4.7303466257668715E-2</v>
      </c>
      <c r="BU78" s="20">
        <f t="shared" si="424"/>
        <v>0</v>
      </c>
      <c r="BV78" s="2">
        <v>0</v>
      </c>
      <c r="BW78" s="2">
        <v>0</v>
      </c>
      <c r="BX78" s="2">
        <v>0</v>
      </c>
      <c r="BY78" s="2">
        <v>1268.848</v>
      </c>
      <c r="BZ78" s="105">
        <f t="shared" si="425"/>
        <v>9.4142157590146908E-2</v>
      </c>
      <c r="CA78" s="20">
        <f t="shared" si="426"/>
        <v>0</v>
      </c>
      <c r="CB78" s="5">
        <v>10800</v>
      </c>
      <c r="CC78" s="5">
        <v>913.96698819999995</v>
      </c>
      <c r="CE78" s="108">
        <v>-700</v>
      </c>
      <c r="CF78" s="153">
        <f t="shared" si="427"/>
        <v>0</v>
      </c>
      <c r="CG78" s="153">
        <v>4485</v>
      </c>
      <c r="CH78" s="153">
        <f t="shared" si="427"/>
        <v>4485</v>
      </c>
      <c r="CI78" s="153">
        <v>0</v>
      </c>
      <c r="CJ78" s="153">
        <f t="shared" ref="CJ78:CL78" si="492">IF(CI78&gt;0,CI78,0)</f>
        <v>0</v>
      </c>
      <c r="CK78" s="153">
        <v>-5000</v>
      </c>
      <c r="CL78" s="153">
        <f t="shared" si="492"/>
        <v>0</v>
      </c>
      <c r="CM78" s="153">
        <v>1594.56085736</v>
      </c>
      <c r="CN78" s="153">
        <f t="shared" ref="CN78:CP78" si="493">IF(CM78&gt;0,CM78,0)</f>
        <v>1594.56085736</v>
      </c>
      <c r="CO78" s="153">
        <v>-4000</v>
      </c>
      <c r="CP78" s="153">
        <f t="shared" si="493"/>
        <v>0</v>
      </c>
      <c r="CQ78" s="153">
        <v>4800</v>
      </c>
      <c r="CR78" s="153">
        <f t="shared" ref="CR78:CT78" si="494">IF(CQ78&gt;0,CQ78,0)</f>
        <v>4800</v>
      </c>
      <c r="CS78" s="153">
        <v>10379.93016704</v>
      </c>
      <c r="CT78" s="153">
        <f t="shared" si="494"/>
        <v>10379.93016704</v>
      </c>
      <c r="CU78" s="107">
        <f t="shared" si="431"/>
        <v>21259.491024399998</v>
      </c>
      <c r="CW78" s="108">
        <v>-700</v>
      </c>
      <c r="CX78" s="153">
        <f t="shared" si="432"/>
        <v>700</v>
      </c>
      <c r="CY78" s="153">
        <v>4485</v>
      </c>
      <c r="CZ78" s="153">
        <f t="shared" si="432"/>
        <v>0</v>
      </c>
      <c r="DA78" s="153">
        <v>0</v>
      </c>
      <c r="DB78" s="153">
        <f t="shared" ref="DB78:DD78" si="495">IF(DA78&lt;0,-DA78,0)</f>
        <v>0</v>
      </c>
      <c r="DC78" s="153">
        <v>-5000</v>
      </c>
      <c r="DD78" s="153">
        <f t="shared" si="495"/>
        <v>5000</v>
      </c>
      <c r="DE78" s="153">
        <v>1594.56085736</v>
      </c>
      <c r="DF78" s="153">
        <f t="shared" ref="DF78:DH78" si="496">IF(DE78&lt;0,-DE78,0)</f>
        <v>0</v>
      </c>
      <c r="DG78" s="153">
        <v>-4000</v>
      </c>
      <c r="DH78" s="153">
        <f t="shared" si="496"/>
        <v>4000</v>
      </c>
      <c r="DI78" s="153">
        <v>4800</v>
      </c>
      <c r="DJ78" s="153">
        <f t="shared" ref="DJ78:DL78" si="497">IF(DI78&lt;0,-DI78,0)</f>
        <v>0</v>
      </c>
      <c r="DK78" s="153">
        <v>10379.93016704</v>
      </c>
      <c r="DL78" s="153">
        <f t="shared" si="497"/>
        <v>0</v>
      </c>
      <c r="DM78" s="107">
        <f t="shared" si="436"/>
        <v>9700</v>
      </c>
    </row>
    <row r="79" spans="13:117" s="5" customFormat="1" x14ac:dyDescent="0.35">
      <c r="M79" s="77">
        <f t="shared" si="437"/>
        <v>77</v>
      </c>
      <c r="N79" s="78">
        <v>0</v>
      </c>
      <c r="O79" s="79">
        <v>0</v>
      </c>
      <c r="P79" s="79">
        <v>0</v>
      </c>
      <c r="Q79" s="79">
        <v>31550.665063830002</v>
      </c>
      <c r="R79" s="79">
        <v>2669.0558326400001</v>
      </c>
      <c r="S79" s="79">
        <f t="shared" si="408"/>
        <v>34219.720896470004</v>
      </c>
      <c r="T79" s="78">
        <v>0</v>
      </c>
      <c r="U79" s="79">
        <v>0</v>
      </c>
      <c r="V79" s="79">
        <v>9.9000000000000005E-2</v>
      </c>
      <c r="W79" s="79">
        <v>3.9E-2</v>
      </c>
      <c r="X79" s="79">
        <f t="shared" si="409"/>
        <v>0.13800000000000001</v>
      </c>
      <c r="Y79" s="79">
        <v>4766.549</v>
      </c>
      <c r="Z79" s="79">
        <v>164.99893617000001</v>
      </c>
      <c r="AA79" s="80">
        <f t="shared" si="410"/>
        <v>4931.54793617</v>
      </c>
      <c r="AB79" s="79"/>
      <c r="AC79" s="88">
        <v>0</v>
      </c>
      <c r="AD79" s="94">
        <f t="shared" si="411"/>
        <v>0</v>
      </c>
      <c r="AE79" s="89">
        <v>0</v>
      </c>
      <c r="AF79" s="94">
        <f t="shared" si="412"/>
        <v>0</v>
      </c>
      <c r="AG79" s="89">
        <v>0</v>
      </c>
      <c r="AH79" s="94">
        <f t="shared" si="413"/>
        <v>0</v>
      </c>
      <c r="AI79" s="89">
        <v>0</v>
      </c>
      <c r="AJ79" s="94">
        <f>AI79/$B$6</f>
        <v>0</v>
      </c>
      <c r="AK79" s="89">
        <v>0</v>
      </c>
      <c r="AL79" s="94">
        <f>AK79/$B$7</f>
        <v>0</v>
      </c>
      <c r="AM79" s="89">
        <v>0</v>
      </c>
      <c r="AN79" s="94">
        <f t="shared" si="414"/>
        <v>0</v>
      </c>
      <c r="AO79" s="89">
        <v>0</v>
      </c>
      <c r="AP79" s="94">
        <f t="shared" si="415"/>
        <v>0</v>
      </c>
      <c r="AQ79" s="79"/>
      <c r="AR79" s="88">
        <v>4538.9898000000003</v>
      </c>
      <c r="AS79" s="76">
        <v>1014.3</v>
      </c>
      <c r="AT79" s="88">
        <v>220.5</v>
      </c>
      <c r="AU79" s="100">
        <f t="shared" si="416"/>
        <v>5.1000000000000004E-2</v>
      </c>
      <c r="AV79" s="100">
        <f t="shared" si="417"/>
        <v>0.441</v>
      </c>
      <c r="AW79" s="100">
        <f t="shared" si="418"/>
        <v>0.441</v>
      </c>
      <c r="AX79" s="94">
        <v>63.954000000000001</v>
      </c>
      <c r="AY79" s="76">
        <v>454.10039999999998</v>
      </c>
      <c r="AZ79" s="100">
        <f>AX79/$B$9</f>
        <v>9.9000000000000005E-2</v>
      </c>
      <c r="BA79" s="97">
        <f>AY79/$B$8</f>
        <v>3.9E-2</v>
      </c>
      <c r="BB79" s="88">
        <v>6600.8</v>
      </c>
      <c r="BC79" s="76">
        <v>11103.674999999999</v>
      </c>
      <c r="BD79" s="100">
        <f t="shared" si="419"/>
        <v>0.14799999999999999</v>
      </c>
      <c r="BE79" s="97">
        <f t="shared" si="420"/>
        <v>0.47299999999999998</v>
      </c>
      <c r="BG79" s="88">
        <v>989.98900000000003</v>
      </c>
      <c r="BH79" s="114">
        <f>BG79/$B$10</f>
        <v>0.40199987005920429</v>
      </c>
      <c r="BI79" s="115">
        <v>848.31799999999998</v>
      </c>
      <c r="BJ79" s="114">
        <f>BI79/$B$11</f>
        <v>0.52788923459863102</v>
      </c>
      <c r="BK79" s="115">
        <v>1121.4780000000001</v>
      </c>
      <c r="BL79" s="114">
        <f t="shared" si="421"/>
        <v>0.5784392407674851</v>
      </c>
      <c r="BN79" s="111">
        <v>52500.305999999997</v>
      </c>
      <c r="BO79" s="114">
        <f t="shared" si="422"/>
        <v>0.75409836065573765</v>
      </c>
      <c r="BQ79" s="142">
        <v>1937.31</v>
      </c>
      <c r="BR79" s="131">
        <v>0</v>
      </c>
      <c r="BS79" s="143">
        <v>0</v>
      </c>
      <c r="BT79" s="105">
        <f t="shared" si="423"/>
        <v>5.9426687116564417E-2</v>
      </c>
      <c r="BU79" s="20">
        <f t="shared" si="424"/>
        <v>0</v>
      </c>
      <c r="BV79" s="2">
        <v>0</v>
      </c>
      <c r="BW79" s="2">
        <v>0</v>
      </c>
      <c r="BX79" s="2">
        <v>0</v>
      </c>
      <c r="BY79" s="2">
        <v>1309.0920000000001</v>
      </c>
      <c r="BZ79" s="105">
        <f t="shared" si="425"/>
        <v>9.7128060543107297E-2</v>
      </c>
      <c r="CA79" s="20">
        <f t="shared" si="426"/>
        <v>0</v>
      </c>
      <c r="CB79" s="5">
        <v>10800</v>
      </c>
      <c r="CC79" s="5">
        <v>914.61470919999999</v>
      </c>
      <c r="CE79" s="108">
        <v>-700</v>
      </c>
      <c r="CF79" s="153">
        <f t="shared" si="427"/>
        <v>0</v>
      </c>
      <c r="CG79" s="153">
        <v>4485</v>
      </c>
      <c r="CH79" s="153">
        <f t="shared" si="427"/>
        <v>4485</v>
      </c>
      <c r="CI79" s="153">
        <v>0</v>
      </c>
      <c r="CJ79" s="153">
        <f t="shared" ref="CJ79:CL79" si="498">IF(CI79&gt;0,CI79,0)</f>
        <v>0</v>
      </c>
      <c r="CK79" s="153">
        <v>-5000</v>
      </c>
      <c r="CL79" s="153">
        <f t="shared" si="498"/>
        <v>0</v>
      </c>
      <c r="CM79" s="153">
        <v>567.11536215000001</v>
      </c>
      <c r="CN79" s="153">
        <f t="shared" ref="CN79:CP79" si="499">IF(CM79&gt;0,CM79,0)</f>
        <v>567.11536215000001</v>
      </c>
      <c r="CO79" s="153">
        <v>-4000</v>
      </c>
      <c r="CP79" s="153">
        <f t="shared" si="499"/>
        <v>0</v>
      </c>
      <c r="CQ79" s="153">
        <v>4800</v>
      </c>
      <c r="CR79" s="153">
        <f t="shared" ref="CR79:CT79" si="500">IF(CQ79&gt;0,CQ79,0)</f>
        <v>4800</v>
      </c>
      <c r="CS79" s="153">
        <v>9985.9656742299994</v>
      </c>
      <c r="CT79" s="153">
        <f t="shared" si="500"/>
        <v>9985.9656742299994</v>
      </c>
      <c r="CU79" s="107">
        <f t="shared" si="431"/>
        <v>19838.081036379997</v>
      </c>
      <c r="CW79" s="108">
        <v>-700</v>
      </c>
      <c r="CX79" s="153">
        <f t="shared" si="432"/>
        <v>700</v>
      </c>
      <c r="CY79" s="153">
        <v>4485</v>
      </c>
      <c r="CZ79" s="153">
        <f t="shared" si="432"/>
        <v>0</v>
      </c>
      <c r="DA79" s="153">
        <v>0</v>
      </c>
      <c r="DB79" s="153">
        <f t="shared" ref="DB79:DD79" si="501">IF(DA79&lt;0,-DA79,0)</f>
        <v>0</v>
      </c>
      <c r="DC79" s="153">
        <v>-5000</v>
      </c>
      <c r="DD79" s="153">
        <f t="shared" si="501"/>
        <v>5000</v>
      </c>
      <c r="DE79" s="153">
        <v>567.11536215000001</v>
      </c>
      <c r="DF79" s="153">
        <f t="shared" ref="DF79:DH79" si="502">IF(DE79&lt;0,-DE79,0)</f>
        <v>0</v>
      </c>
      <c r="DG79" s="153">
        <v>-4000</v>
      </c>
      <c r="DH79" s="153">
        <f t="shared" si="502"/>
        <v>4000</v>
      </c>
      <c r="DI79" s="153">
        <v>4800</v>
      </c>
      <c r="DJ79" s="153">
        <f t="shared" ref="DJ79:DL79" si="503">IF(DI79&lt;0,-DI79,0)</f>
        <v>0</v>
      </c>
      <c r="DK79" s="153">
        <v>9985.9656742299994</v>
      </c>
      <c r="DL79" s="153">
        <f t="shared" si="503"/>
        <v>0</v>
      </c>
      <c r="DM79" s="107">
        <f t="shared" si="436"/>
        <v>9700</v>
      </c>
    </row>
    <row r="80" spans="13:117" s="5" customFormat="1" x14ac:dyDescent="0.35">
      <c r="M80" s="77">
        <f t="shared" si="437"/>
        <v>78</v>
      </c>
      <c r="N80" s="78">
        <v>0</v>
      </c>
      <c r="O80" s="79">
        <v>0</v>
      </c>
      <c r="P80" s="79">
        <v>0</v>
      </c>
      <c r="Q80" s="79">
        <v>33703.018234039999</v>
      </c>
      <c r="R80" s="79">
        <v>2910.9993967999999</v>
      </c>
      <c r="S80" s="79">
        <f t="shared" si="408"/>
        <v>36614.017630839997</v>
      </c>
      <c r="T80" s="78">
        <v>0</v>
      </c>
      <c r="U80" s="79">
        <v>0</v>
      </c>
      <c r="V80" s="79">
        <v>0.106</v>
      </c>
      <c r="W80" s="79">
        <v>3.9E-2</v>
      </c>
      <c r="X80" s="79">
        <f t="shared" si="409"/>
        <v>0.14499999999999999</v>
      </c>
      <c r="Y80" s="79">
        <v>4897.4570000000003</v>
      </c>
      <c r="Z80" s="79">
        <v>165.55531915</v>
      </c>
      <c r="AA80" s="80">
        <f t="shared" si="410"/>
        <v>5063.0123191500006</v>
      </c>
      <c r="AB80" s="79"/>
      <c r="AC80" s="88">
        <v>0</v>
      </c>
      <c r="AD80" s="94">
        <f t="shared" si="411"/>
        <v>0</v>
      </c>
      <c r="AE80" s="89">
        <v>0</v>
      </c>
      <c r="AF80" s="94">
        <f t="shared" si="412"/>
        <v>0</v>
      </c>
      <c r="AG80" s="89">
        <v>0</v>
      </c>
      <c r="AH80" s="94">
        <f t="shared" si="413"/>
        <v>0</v>
      </c>
      <c r="AI80" s="89">
        <v>0</v>
      </c>
      <c r="AJ80" s="94">
        <f>AI80/$B$6</f>
        <v>0</v>
      </c>
      <c r="AK80" s="89">
        <v>0</v>
      </c>
      <c r="AL80" s="94">
        <f>AK80/$B$7</f>
        <v>0</v>
      </c>
      <c r="AM80" s="89">
        <v>0</v>
      </c>
      <c r="AN80" s="94">
        <f t="shared" si="414"/>
        <v>0</v>
      </c>
      <c r="AO80" s="89">
        <v>0</v>
      </c>
      <c r="AP80" s="94">
        <f t="shared" si="415"/>
        <v>0</v>
      </c>
      <c r="AQ80" s="79"/>
      <c r="AR80" s="88">
        <v>5250.9881999999998</v>
      </c>
      <c r="AS80" s="76">
        <v>1048.8</v>
      </c>
      <c r="AT80" s="88">
        <v>228</v>
      </c>
      <c r="AU80" s="100">
        <f t="shared" si="416"/>
        <v>5.8999999999999997E-2</v>
      </c>
      <c r="AV80" s="100">
        <f t="shared" si="417"/>
        <v>0.45599999999999996</v>
      </c>
      <c r="AW80" s="100">
        <f t="shared" si="418"/>
        <v>0.45600000000000002</v>
      </c>
      <c r="AX80" s="94">
        <v>68.475999999999999</v>
      </c>
      <c r="AY80" s="76">
        <v>454.10039999999998</v>
      </c>
      <c r="AZ80" s="100">
        <f>AX80/$B$9</f>
        <v>0.106</v>
      </c>
      <c r="BA80" s="97">
        <f>AY80/$B$8</f>
        <v>3.9E-2</v>
      </c>
      <c r="BB80" s="88">
        <v>6957.6</v>
      </c>
      <c r="BC80" s="76">
        <v>11972.25</v>
      </c>
      <c r="BD80" s="100">
        <f t="shared" si="419"/>
        <v>0.156</v>
      </c>
      <c r="BE80" s="97">
        <f t="shared" si="420"/>
        <v>0.51</v>
      </c>
      <c r="BG80" s="88">
        <v>1004.765</v>
      </c>
      <c r="BH80" s="114">
        <f>BG80/$B$10</f>
        <v>0.40799988630180378</v>
      </c>
      <c r="BI80" s="115">
        <v>868.93600000000004</v>
      </c>
      <c r="BJ80" s="114">
        <f>BI80/$B$11</f>
        <v>0.54071935283136285</v>
      </c>
      <c r="BK80" s="115">
        <v>1121.4780000000001</v>
      </c>
      <c r="BL80" s="114">
        <f t="shared" si="421"/>
        <v>0.5784392407674851</v>
      </c>
      <c r="BN80" s="111">
        <v>52500.305999999997</v>
      </c>
      <c r="BO80" s="114">
        <f t="shared" si="422"/>
        <v>0.75409836065573765</v>
      </c>
      <c r="BQ80" s="142">
        <v>2256.1840000000002</v>
      </c>
      <c r="BR80" s="131">
        <v>0</v>
      </c>
      <c r="BS80" s="143">
        <v>0</v>
      </c>
      <c r="BT80" s="105">
        <f t="shared" si="423"/>
        <v>6.9208098159509207E-2</v>
      </c>
      <c r="BU80" s="20">
        <f t="shared" si="424"/>
        <v>0</v>
      </c>
      <c r="BV80" s="2">
        <v>0</v>
      </c>
      <c r="BW80" s="2">
        <v>0</v>
      </c>
      <c r="BX80" s="2">
        <v>0</v>
      </c>
      <c r="BY80" s="2">
        <v>1367.037</v>
      </c>
      <c r="BZ80" s="105">
        <f t="shared" si="425"/>
        <v>0.10142728891526934</v>
      </c>
      <c r="CA80" s="20">
        <f t="shared" si="426"/>
        <v>0</v>
      </c>
      <c r="CB80" s="5">
        <v>10800</v>
      </c>
      <c r="CC80" s="5">
        <v>915.91015120999998</v>
      </c>
      <c r="CE80" s="108">
        <v>-700</v>
      </c>
      <c r="CF80" s="153">
        <f t="shared" si="427"/>
        <v>0</v>
      </c>
      <c r="CG80" s="153">
        <v>4485</v>
      </c>
      <c r="CH80" s="153">
        <f t="shared" si="427"/>
        <v>4485</v>
      </c>
      <c r="CI80" s="153">
        <v>0</v>
      </c>
      <c r="CJ80" s="153">
        <f t="shared" ref="CJ80:CL80" si="504">IF(CI80&gt;0,CI80,0)</f>
        <v>0</v>
      </c>
      <c r="CK80" s="153">
        <v>-5000</v>
      </c>
      <c r="CL80" s="153">
        <f t="shared" si="504"/>
        <v>0</v>
      </c>
      <c r="CM80" s="153">
        <v>-1553.6763155900001</v>
      </c>
      <c r="CN80" s="153">
        <f t="shared" ref="CN80:CP80" si="505">IF(CM80&gt;0,CM80,0)</f>
        <v>0</v>
      </c>
      <c r="CO80" s="153">
        <v>-4000</v>
      </c>
      <c r="CP80" s="153">
        <f t="shared" si="505"/>
        <v>0</v>
      </c>
      <c r="CQ80" s="153">
        <v>4800</v>
      </c>
      <c r="CR80" s="153">
        <f t="shared" ref="CR80:CT80" si="506">IF(CQ80&gt;0,CQ80,0)</f>
        <v>4800</v>
      </c>
      <c r="CS80" s="153">
        <v>7800.20036299</v>
      </c>
      <c r="CT80" s="153">
        <f t="shared" si="506"/>
        <v>7800.20036299</v>
      </c>
      <c r="CU80" s="107">
        <f t="shared" si="431"/>
        <v>17085.200362989999</v>
      </c>
      <c r="CW80" s="108">
        <v>-700</v>
      </c>
      <c r="CX80" s="153">
        <f t="shared" si="432"/>
        <v>700</v>
      </c>
      <c r="CY80" s="153">
        <v>4485</v>
      </c>
      <c r="CZ80" s="153">
        <f t="shared" si="432"/>
        <v>0</v>
      </c>
      <c r="DA80" s="153">
        <v>0</v>
      </c>
      <c r="DB80" s="153">
        <f t="shared" ref="DB80:DD80" si="507">IF(DA80&lt;0,-DA80,0)</f>
        <v>0</v>
      </c>
      <c r="DC80" s="153">
        <v>-5000</v>
      </c>
      <c r="DD80" s="153">
        <f t="shared" si="507"/>
        <v>5000</v>
      </c>
      <c r="DE80" s="153">
        <v>-1553.6763155900001</v>
      </c>
      <c r="DF80" s="153">
        <f t="shared" ref="DF80:DH80" si="508">IF(DE80&lt;0,-DE80,0)</f>
        <v>1553.6763155900001</v>
      </c>
      <c r="DG80" s="153">
        <v>-4000</v>
      </c>
      <c r="DH80" s="153">
        <f t="shared" si="508"/>
        <v>4000</v>
      </c>
      <c r="DI80" s="153">
        <v>4800</v>
      </c>
      <c r="DJ80" s="153">
        <f t="shared" ref="DJ80:DL80" si="509">IF(DI80&lt;0,-DI80,0)</f>
        <v>0</v>
      </c>
      <c r="DK80" s="153">
        <v>7800.20036299</v>
      </c>
      <c r="DL80" s="153">
        <f t="shared" si="509"/>
        <v>0</v>
      </c>
      <c r="DM80" s="107">
        <f t="shared" si="436"/>
        <v>11253.676315590001</v>
      </c>
    </row>
    <row r="81" spans="13:117" s="5" customFormat="1" x14ac:dyDescent="0.35">
      <c r="M81" s="77">
        <f t="shared" si="437"/>
        <v>79</v>
      </c>
      <c r="N81" s="78">
        <v>0</v>
      </c>
      <c r="O81" s="79">
        <v>0</v>
      </c>
      <c r="P81" s="79">
        <v>0</v>
      </c>
      <c r="Q81" s="79">
        <v>36791.984680000001</v>
      </c>
      <c r="R81" s="79">
        <v>3802.97379714</v>
      </c>
      <c r="S81" s="79">
        <f t="shared" si="408"/>
        <v>40594.958477140004</v>
      </c>
      <c r="T81" s="78">
        <v>0</v>
      </c>
      <c r="U81" s="79">
        <v>0</v>
      </c>
      <c r="V81" s="79">
        <v>0.115</v>
      </c>
      <c r="W81" s="79">
        <v>4.5999999999999999E-2</v>
      </c>
      <c r="X81" s="79">
        <f t="shared" si="409"/>
        <v>0.161</v>
      </c>
      <c r="Y81" s="79">
        <v>5246.8270000000002</v>
      </c>
      <c r="Z81" s="79">
        <v>78.138080000000002</v>
      </c>
      <c r="AA81" s="80">
        <f t="shared" si="410"/>
        <v>5324.9650799999999</v>
      </c>
      <c r="AB81" s="79"/>
      <c r="AC81" s="88">
        <v>0</v>
      </c>
      <c r="AD81" s="94">
        <f t="shared" si="411"/>
        <v>0</v>
      </c>
      <c r="AE81" s="89">
        <v>0</v>
      </c>
      <c r="AF81" s="94">
        <f t="shared" si="412"/>
        <v>0</v>
      </c>
      <c r="AG81" s="89">
        <v>0</v>
      </c>
      <c r="AH81" s="94">
        <f t="shared" si="413"/>
        <v>0</v>
      </c>
      <c r="AI81" s="89">
        <v>0</v>
      </c>
      <c r="AJ81" s="94">
        <f>AI81/$B$6</f>
        <v>0</v>
      </c>
      <c r="AK81" s="89">
        <v>0</v>
      </c>
      <c r="AL81" s="94">
        <f>AK81/$B$7</f>
        <v>0</v>
      </c>
      <c r="AM81" s="89">
        <v>0</v>
      </c>
      <c r="AN81" s="94">
        <f t="shared" si="414"/>
        <v>0</v>
      </c>
      <c r="AO81" s="89">
        <v>0</v>
      </c>
      <c r="AP81" s="94">
        <f t="shared" si="415"/>
        <v>0</v>
      </c>
      <c r="AQ81" s="79"/>
      <c r="AR81" s="88">
        <v>5873.9867999999997</v>
      </c>
      <c r="AS81" s="76">
        <v>1092.5</v>
      </c>
      <c r="AT81" s="88">
        <v>237.5</v>
      </c>
      <c r="AU81" s="100">
        <f t="shared" si="416"/>
        <v>6.5999999999999989E-2</v>
      </c>
      <c r="AV81" s="100">
        <f t="shared" si="417"/>
        <v>0.47499999999999998</v>
      </c>
      <c r="AW81" s="100">
        <f t="shared" si="418"/>
        <v>0.47499999999999998</v>
      </c>
      <c r="AX81" s="94">
        <v>74.290000000000006</v>
      </c>
      <c r="AY81" s="76">
        <v>535.60559999999998</v>
      </c>
      <c r="AZ81" s="100">
        <f>AX81/$B$9</f>
        <v>0.115</v>
      </c>
      <c r="BA81" s="97">
        <f>AY81/$B$8</f>
        <v>4.5999999999999999E-2</v>
      </c>
      <c r="BB81" s="88">
        <v>7537.4</v>
      </c>
      <c r="BC81" s="76">
        <v>13005.15</v>
      </c>
      <c r="BD81" s="100">
        <f t="shared" si="419"/>
        <v>0.16899999999999998</v>
      </c>
      <c r="BE81" s="97">
        <f t="shared" si="420"/>
        <v>0.55399999999999994</v>
      </c>
      <c r="BG81" s="88">
        <v>1014.616</v>
      </c>
      <c r="BH81" s="114">
        <f>BG81/$B$10</f>
        <v>0.41200003248519895</v>
      </c>
      <c r="BI81" s="115">
        <v>871.84100000000001</v>
      </c>
      <c r="BJ81" s="114">
        <f>BI81/$B$11</f>
        <v>0.54252706907280646</v>
      </c>
      <c r="BK81" s="115">
        <v>1121.4780000000001</v>
      </c>
      <c r="BL81" s="114">
        <f t="shared" si="421"/>
        <v>0.5784392407674851</v>
      </c>
      <c r="BN81" s="111">
        <v>52500.305999999997</v>
      </c>
      <c r="BO81" s="114">
        <f t="shared" si="422"/>
        <v>0.75409836065573765</v>
      </c>
      <c r="BQ81" s="142">
        <v>2510.2950000000001</v>
      </c>
      <c r="BR81" s="131">
        <v>0</v>
      </c>
      <c r="BS81" s="143">
        <v>0</v>
      </c>
      <c r="BT81" s="105">
        <f t="shared" si="423"/>
        <v>7.7002914110429449E-2</v>
      </c>
      <c r="BU81" s="20">
        <f t="shared" si="424"/>
        <v>0</v>
      </c>
      <c r="BV81" s="2">
        <v>0</v>
      </c>
      <c r="BW81" s="2">
        <v>0</v>
      </c>
      <c r="BX81" s="2">
        <v>0</v>
      </c>
      <c r="BY81" s="2">
        <v>1435.5350000000001</v>
      </c>
      <c r="BZ81" s="105">
        <f t="shared" si="425"/>
        <v>0.10650949695800564</v>
      </c>
      <c r="CA81" s="20">
        <f t="shared" si="426"/>
        <v>0</v>
      </c>
      <c r="CB81" s="5">
        <v>10800</v>
      </c>
      <c r="CC81" s="5">
        <v>916.55787221000003</v>
      </c>
      <c r="CE81" s="108">
        <v>-700</v>
      </c>
      <c r="CF81" s="153">
        <f t="shared" si="427"/>
        <v>0</v>
      </c>
      <c r="CG81" s="153">
        <v>4485</v>
      </c>
      <c r="CH81" s="153">
        <f t="shared" si="427"/>
        <v>4485</v>
      </c>
      <c r="CI81" s="153">
        <v>0</v>
      </c>
      <c r="CJ81" s="153">
        <f t="shared" ref="CJ81:CL81" si="510">IF(CI81&gt;0,CI81,0)</f>
        <v>0</v>
      </c>
      <c r="CK81" s="153">
        <v>-5000</v>
      </c>
      <c r="CL81" s="153">
        <f t="shared" si="510"/>
        <v>0</v>
      </c>
      <c r="CM81" s="153">
        <v>1008.36745999</v>
      </c>
      <c r="CN81" s="153">
        <f t="shared" ref="CN81:CP81" si="511">IF(CM81&gt;0,CM81,0)</f>
        <v>1008.36745999</v>
      </c>
      <c r="CO81" s="153">
        <v>-4000</v>
      </c>
      <c r="CP81" s="153">
        <f t="shared" si="511"/>
        <v>0</v>
      </c>
      <c r="CQ81" s="153">
        <v>4800</v>
      </c>
      <c r="CR81" s="153">
        <f t="shared" ref="CR81:CT81" si="512">IF(CQ81&gt;0,CQ81,0)</f>
        <v>4800</v>
      </c>
      <c r="CS81" s="153">
        <v>7690.6581196899997</v>
      </c>
      <c r="CT81" s="153">
        <f t="shared" si="512"/>
        <v>7690.6581196899997</v>
      </c>
      <c r="CU81" s="107">
        <f t="shared" si="431"/>
        <v>17984.025579680001</v>
      </c>
      <c r="CW81" s="108">
        <v>-700</v>
      </c>
      <c r="CX81" s="153">
        <f t="shared" si="432"/>
        <v>700</v>
      </c>
      <c r="CY81" s="153">
        <v>4485</v>
      </c>
      <c r="CZ81" s="153">
        <f t="shared" si="432"/>
        <v>0</v>
      </c>
      <c r="DA81" s="153">
        <v>0</v>
      </c>
      <c r="DB81" s="153">
        <f t="shared" ref="DB81:DD81" si="513">IF(DA81&lt;0,-DA81,0)</f>
        <v>0</v>
      </c>
      <c r="DC81" s="153">
        <v>-5000</v>
      </c>
      <c r="DD81" s="153">
        <f t="shared" si="513"/>
        <v>5000</v>
      </c>
      <c r="DE81" s="153">
        <v>1008.36745999</v>
      </c>
      <c r="DF81" s="153">
        <f t="shared" ref="DF81:DH81" si="514">IF(DE81&lt;0,-DE81,0)</f>
        <v>0</v>
      </c>
      <c r="DG81" s="153">
        <v>-4000</v>
      </c>
      <c r="DH81" s="153">
        <f t="shared" si="514"/>
        <v>4000</v>
      </c>
      <c r="DI81" s="153">
        <v>4800</v>
      </c>
      <c r="DJ81" s="153">
        <f t="shared" ref="DJ81:DL81" si="515">IF(DI81&lt;0,-DI81,0)</f>
        <v>0</v>
      </c>
      <c r="DK81" s="153">
        <v>7690.6581196899997</v>
      </c>
      <c r="DL81" s="153">
        <f t="shared" si="515"/>
        <v>0</v>
      </c>
      <c r="DM81" s="107">
        <f t="shared" si="436"/>
        <v>9700</v>
      </c>
    </row>
    <row r="82" spans="13:117" s="5" customFormat="1" x14ac:dyDescent="0.35">
      <c r="M82" s="77">
        <f t="shared" si="437"/>
        <v>80</v>
      </c>
      <c r="N82" s="78">
        <v>0</v>
      </c>
      <c r="O82" s="79">
        <v>0</v>
      </c>
      <c r="P82" s="79">
        <v>0</v>
      </c>
      <c r="Q82" s="79">
        <v>39591.880680000002</v>
      </c>
      <c r="R82" s="79">
        <v>4309.5745655999999</v>
      </c>
      <c r="S82" s="79">
        <f t="shared" si="408"/>
        <v>43901.455245600002</v>
      </c>
      <c r="T82" s="78">
        <v>0</v>
      </c>
      <c r="U82" s="79">
        <v>0</v>
      </c>
      <c r="V82" s="79">
        <v>0.12</v>
      </c>
      <c r="W82" s="79">
        <v>5.7999999999999996E-2</v>
      </c>
      <c r="X82" s="79">
        <f t="shared" si="409"/>
        <v>0.17799999999999999</v>
      </c>
      <c r="Y82" s="79">
        <v>5773.9690000000001</v>
      </c>
      <c r="Z82" s="79">
        <v>78.138080000000002</v>
      </c>
      <c r="AA82" s="80">
        <f t="shared" si="410"/>
        <v>5852.1070799999998</v>
      </c>
      <c r="AB82" s="79"/>
      <c r="AC82" s="88">
        <v>0</v>
      </c>
      <c r="AD82" s="94">
        <f t="shared" si="411"/>
        <v>0</v>
      </c>
      <c r="AE82" s="89">
        <v>0</v>
      </c>
      <c r="AF82" s="94">
        <f t="shared" si="412"/>
        <v>0</v>
      </c>
      <c r="AG82" s="89">
        <v>0</v>
      </c>
      <c r="AH82" s="94">
        <f t="shared" si="413"/>
        <v>0</v>
      </c>
      <c r="AI82" s="89">
        <v>0</v>
      </c>
      <c r="AJ82" s="94">
        <f>AI82/$B$6</f>
        <v>0</v>
      </c>
      <c r="AK82" s="89">
        <v>0</v>
      </c>
      <c r="AL82" s="94">
        <f>AK82/$B$7</f>
        <v>0</v>
      </c>
      <c r="AM82" s="89">
        <v>0</v>
      </c>
      <c r="AN82" s="94">
        <f t="shared" si="414"/>
        <v>0</v>
      </c>
      <c r="AO82" s="89">
        <v>0</v>
      </c>
      <c r="AP82" s="94">
        <f t="shared" si="415"/>
        <v>0</v>
      </c>
      <c r="AQ82" s="79"/>
      <c r="AR82" s="88">
        <v>6229.9859999999999</v>
      </c>
      <c r="AS82" s="76">
        <v>1145.4000000000001</v>
      </c>
      <c r="AT82" s="88">
        <v>249</v>
      </c>
      <c r="AU82" s="100">
        <f t="shared" si="416"/>
        <v>6.9999999999999993E-2</v>
      </c>
      <c r="AV82" s="100">
        <f t="shared" si="417"/>
        <v>0.49800000000000005</v>
      </c>
      <c r="AW82" s="100">
        <f t="shared" si="418"/>
        <v>0.498</v>
      </c>
      <c r="AX82" s="94">
        <v>77.52</v>
      </c>
      <c r="AY82" s="76">
        <v>675.3288</v>
      </c>
      <c r="AZ82" s="100">
        <f>AX82/$B$9</f>
        <v>0.12</v>
      </c>
      <c r="BA82" s="97">
        <f>AY82/$B$8</f>
        <v>5.7999999999999996E-2</v>
      </c>
      <c r="BB82" s="88">
        <v>8072.6</v>
      </c>
      <c r="BC82" s="76">
        <v>14789.25</v>
      </c>
      <c r="BD82" s="100">
        <f t="shared" si="419"/>
        <v>0.18100000000000002</v>
      </c>
      <c r="BE82" s="97">
        <f t="shared" si="420"/>
        <v>0.63</v>
      </c>
      <c r="BG82" s="88">
        <v>1022.004</v>
      </c>
      <c r="BH82" s="114">
        <f>BG82/$B$10</f>
        <v>0.4150000406064987</v>
      </c>
      <c r="BI82" s="115">
        <v>923.83699999999999</v>
      </c>
      <c r="BJ82" s="114">
        <f>BI82/$B$11</f>
        <v>0.57488301182327317</v>
      </c>
      <c r="BK82" s="115">
        <v>1121.4780000000001</v>
      </c>
      <c r="BL82" s="114">
        <f t="shared" si="421"/>
        <v>0.5784392407674851</v>
      </c>
      <c r="BN82" s="111">
        <v>52500.305999999997</v>
      </c>
      <c r="BO82" s="114">
        <f t="shared" si="422"/>
        <v>0.75409836065573765</v>
      </c>
      <c r="BQ82" s="142">
        <v>2658.8310000000001</v>
      </c>
      <c r="BR82" s="131">
        <v>0</v>
      </c>
      <c r="BS82" s="143">
        <v>0</v>
      </c>
      <c r="BT82" s="105">
        <f t="shared" si="423"/>
        <v>8.1559233128834355E-2</v>
      </c>
      <c r="BU82" s="20">
        <f t="shared" si="424"/>
        <v>0</v>
      </c>
      <c r="BV82" s="2">
        <v>0</v>
      </c>
      <c r="BW82" s="2">
        <v>0</v>
      </c>
      <c r="BX82" s="2">
        <v>0</v>
      </c>
      <c r="BY82" s="2">
        <v>1453.38</v>
      </c>
      <c r="BZ82" s="105">
        <f t="shared" si="425"/>
        <v>0.10783350645496365</v>
      </c>
      <c r="CA82" s="20">
        <f t="shared" si="426"/>
        <v>0</v>
      </c>
      <c r="CB82" s="5">
        <v>10800</v>
      </c>
      <c r="CC82" s="5">
        <v>917.20559321999997</v>
      </c>
      <c r="CE82" s="108">
        <v>-700</v>
      </c>
      <c r="CF82" s="153">
        <f t="shared" si="427"/>
        <v>0</v>
      </c>
      <c r="CG82" s="153">
        <v>4485</v>
      </c>
      <c r="CH82" s="153">
        <f t="shared" si="427"/>
        <v>4485</v>
      </c>
      <c r="CI82" s="153">
        <v>0</v>
      </c>
      <c r="CJ82" s="153">
        <f t="shared" ref="CJ82:CL82" si="516">IF(CI82&gt;0,CI82,0)</f>
        <v>0</v>
      </c>
      <c r="CK82" s="153">
        <v>-5000</v>
      </c>
      <c r="CL82" s="153">
        <f t="shared" si="516"/>
        <v>0</v>
      </c>
      <c r="CM82" s="153">
        <v>1614.51731098</v>
      </c>
      <c r="CN82" s="153">
        <f t="shared" ref="CN82:CP82" si="517">IF(CM82&gt;0,CM82,0)</f>
        <v>1614.51731098</v>
      </c>
      <c r="CO82" s="153">
        <v>-4000</v>
      </c>
      <c r="CP82" s="153">
        <f t="shared" si="517"/>
        <v>0</v>
      </c>
      <c r="CQ82" s="153">
        <v>4800</v>
      </c>
      <c r="CR82" s="153">
        <f t="shared" ref="CR82:CT82" si="518">IF(CQ82&gt;0,CQ82,0)</f>
        <v>4800</v>
      </c>
      <c r="CS82" s="153">
        <v>8240.0985475500001</v>
      </c>
      <c r="CT82" s="153">
        <f t="shared" si="518"/>
        <v>8240.0985475500001</v>
      </c>
      <c r="CU82" s="107">
        <f t="shared" si="431"/>
        <v>19139.61585853</v>
      </c>
      <c r="CW82" s="108">
        <v>-700</v>
      </c>
      <c r="CX82" s="153">
        <f t="shared" si="432"/>
        <v>700</v>
      </c>
      <c r="CY82" s="153">
        <v>4485</v>
      </c>
      <c r="CZ82" s="153">
        <f t="shared" si="432"/>
        <v>0</v>
      </c>
      <c r="DA82" s="153">
        <v>0</v>
      </c>
      <c r="DB82" s="153">
        <f t="shared" ref="DB82:DD82" si="519">IF(DA82&lt;0,-DA82,0)</f>
        <v>0</v>
      </c>
      <c r="DC82" s="153">
        <v>-5000</v>
      </c>
      <c r="DD82" s="153">
        <f t="shared" si="519"/>
        <v>5000</v>
      </c>
      <c r="DE82" s="153">
        <v>1614.51731098</v>
      </c>
      <c r="DF82" s="153">
        <f t="shared" ref="DF82:DH82" si="520">IF(DE82&lt;0,-DE82,0)</f>
        <v>0</v>
      </c>
      <c r="DG82" s="153">
        <v>-4000</v>
      </c>
      <c r="DH82" s="153">
        <f t="shared" si="520"/>
        <v>4000</v>
      </c>
      <c r="DI82" s="153">
        <v>4800</v>
      </c>
      <c r="DJ82" s="153">
        <f t="shared" ref="DJ82:DL82" si="521">IF(DI82&lt;0,-DI82,0)</f>
        <v>0</v>
      </c>
      <c r="DK82" s="153">
        <v>8240.0985475500001</v>
      </c>
      <c r="DL82" s="153">
        <f t="shared" si="521"/>
        <v>0</v>
      </c>
      <c r="DM82" s="107">
        <f t="shared" si="436"/>
        <v>9700</v>
      </c>
    </row>
    <row r="83" spans="13:117" s="5" customFormat="1" x14ac:dyDescent="0.35">
      <c r="M83" s="77">
        <f t="shared" si="437"/>
        <v>81</v>
      </c>
      <c r="N83" s="78">
        <v>0</v>
      </c>
      <c r="O83" s="79">
        <v>0</v>
      </c>
      <c r="P83" s="79">
        <v>0</v>
      </c>
      <c r="Q83" s="79">
        <v>41620.536679999997</v>
      </c>
      <c r="R83" s="79">
        <v>4168.54933695</v>
      </c>
      <c r="S83" s="79">
        <f t="shared" si="408"/>
        <v>45789.086016949994</v>
      </c>
      <c r="T83" s="78">
        <v>0</v>
      </c>
      <c r="U83" s="79">
        <v>0</v>
      </c>
      <c r="V83" s="79">
        <v>0.126</v>
      </c>
      <c r="W83" s="79">
        <v>7.4999999999999997E-2</v>
      </c>
      <c r="X83" s="79">
        <f t="shared" si="409"/>
        <v>0.20100000000000001</v>
      </c>
      <c r="Y83" s="79">
        <v>6262.2020000000002</v>
      </c>
      <c r="Z83" s="79">
        <v>78.138080000000002</v>
      </c>
      <c r="AA83" s="80">
        <f t="shared" si="410"/>
        <v>6340.3400799999999</v>
      </c>
      <c r="AB83" s="79"/>
      <c r="AC83" s="88">
        <v>0</v>
      </c>
      <c r="AD83" s="94">
        <f t="shared" si="411"/>
        <v>0</v>
      </c>
      <c r="AE83" s="89">
        <v>0</v>
      </c>
      <c r="AF83" s="94">
        <f t="shared" si="412"/>
        <v>0</v>
      </c>
      <c r="AG83" s="89">
        <v>0</v>
      </c>
      <c r="AH83" s="94">
        <f t="shared" si="413"/>
        <v>0</v>
      </c>
      <c r="AI83" s="89">
        <v>0</v>
      </c>
      <c r="AJ83" s="94">
        <f>AI83/$B$6</f>
        <v>0</v>
      </c>
      <c r="AK83" s="89">
        <v>0</v>
      </c>
      <c r="AL83" s="94">
        <f>AK83/$B$7</f>
        <v>0</v>
      </c>
      <c r="AM83" s="89">
        <v>0</v>
      </c>
      <c r="AN83" s="94">
        <f t="shared" si="414"/>
        <v>0</v>
      </c>
      <c r="AO83" s="89">
        <v>0</v>
      </c>
      <c r="AP83" s="94">
        <f t="shared" si="415"/>
        <v>0</v>
      </c>
      <c r="AQ83" s="79"/>
      <c r="AR83" s="88">
        <v>7030.9841999999999</v>
      </c>
      <c r="AS83" s="76">
        <v>1202.9000000000001</v>
      </c>
      <c r="AT83" s="88">
        <v>261.5</v>
      </c>
      <c r="AU83" s="100">
        <f t="shared" si="416"/>
        <v>7.9000000000000001E-2</v>
      </c>
      <c r="AV83" s="100">
        <f t="shared" si="417"/>
        <v>0.52300000000000002</v>
      </c>
      <c r="AW83" s="100">
        <f t="shared" si="418"/>
        <v>0.52300000000000002</v>
      </c>
      <c r="AX83" s="94">
        <v>81.396000000000001</v>
      </c>
      <c r="AY83" s="76">
        <v>873.27</v>
      </c>
      <c r="AZ83" s="100">
        <f>AX83/$B$9</f>
        <v>0.126</v>
      </c>
      <c r="BA83" s="97">
        <f>AY83/$B$8</f>
        <v>7.4999999999999997E-2</v>
      </c>
      <c r="BB83" s="88">
        <v>9187.6</v>
      </c>
      <c r="BC83" s="76">
        <v>17019.375</v>
      </c>
      <c r="BD83" s="100">
        <f t="shared" si="419"/>
        <v>0.20600000000000002</v>
      </c>
      <c r="BE83" s="97">
        <f t="shared" si="420"/>
        <v>0.72499999999999998</v>
      </c>
      <c r="BG83" s="88">
        <v>1083.57</v>
      </c>
      <c r="BH83" s="114">
        <f>BG83/$B$10</f>
        <v>0.43999983757400535</v>
      </c>
      <c r="BI83" s="115">
        <v>937.77200000000005</v>
      </c>
      <c r="BJ83" s="114">
        <f>BI83/$B$11</f>
        <v>0.58355444928438083</v>
      </c>
      <c r="BK83" s="115">
        <v>1121.4780000000001</v>
      </c>
      <c r="BL83" s="114">
        <f t="shared" si="421"/>
        <v>0.5784392407674851</v>
      </c>
      <c r="BN83" s="111">
        <v>52500.305999999997</v>
      </c>
      <c r="BO83" s="114">
        <f t="shared" si="422"/>
        <v>0.75409836065573765</v>
      </c>
      <c r="BQ83" s="142">
        <v>3122.98</v>
      </c>
      <c r="BR83" s="131">
        <v>0</v>
      </c>
      <c r="BS83" s="143">
        <v>0</v>
      </c>
      <c r="BT83" s="105">
        <f t="shared" si="423"/>
        <v>9.5796932515337427E-2</v>
      </c>
      <c r="BU83" s="20">
        <f t="shared" si="424"/>
        <v>0</v>
      </c>
      <c r="BV83" s="2">
        <v>0</v>
      </c>
      <c r="BW83" s="2">
        <v>0</v>
      </c>
      <c r="BX83" s="2">
        <v>0</v>
      </c>
      <c r="BY83" s="2">
        <v>1487.923</v>
      </c>
      <c r="BZ83" s="105">
        <f t="shared" si="425"/>
        <v>0.11039642380175101</v>
      </c>
      <c r="CA83" s="20">
        <f t="shared" si="426"/>
        <v>0</v>
      </c>
      <c r="CB83" s="5">
        <v>10800</v>
      </c>
      <c r="CC83" s="5">
        <v>917.20559321999997</v>
      </c>
      <c r="CE83" s="108">
        <v>-700</v>
      </c>
      <c r="CF83" s="153">
        <f t="shared" si="427"/>
        <v>0</v>
      </c>
      <c r="CG83" s="153">
        <v>4485</v>
      </c>
      <c r="CH83" s="153">
        <f t="shared" si="427"/>
        <v>4485</v>
      </c>
      <c r="CI83" s="153">
        <v>0</v>
      </c>
      <c r="CJ83" s="153">
        <f t="shared" ref="CJ83:CL83" si="522">IF(CI83&gt;0,CI83,0)</f>
        <v>0</v>
      </c>
      <c r="CK83" s="153">
        <v>-5000</v>
      </c>
      <c r="CL83" s="153">
        <f t="shared" si="522"/>
        <v>0</v>
      </c>
      <c r="CM83" s="153">
        <v>-3369.1975594999999</v>
      </c>
      <c r="CN83" s="153">
        <f t="shared" ref="CN83:CP83" si="523">IF(CM83&gt;0,CM83,0)</f>
        <v>0</v>
      </c>
      <c r="CO83" s="153">
        <v>-4000</v>
      </c>
      <c r="CP83" s="153">
        <f t="shared" si="523"/>
        <v>0</v>
      </c>
      <c r="CQ83" s="153">
        <v>4800</v>
      </c>
      <c r="CR83" s="153">
        <f t="shared" ref="CR83:CT83" si="524">IF(CQ83&gt;0,CQ83,0)</f>
        <v>4800</v>
      </c>
      <c r="CS83" s="153">
        <v>9738.1909303800003</v>
      </c>
      <c r="CT83" s="153">
        <f t="shared" si="524"/>
        <v>9738.1909303800003</v>
      </c>
      <c r="CU83" s="107">
        <f t="shared" si="431"/>
        <v>19023.190930379998</v>
      </c>
      <c r="CW83" s="108">
        <v>-700</v>
      </c>
      <c r="CX83" s="153">
        <f t="shared" si="432"/>
        <v>700</v>
      </c>
      <c r="CY83" s="153">
        <v>4485</v>
      </c>
      <c r="CZ83" s="153">
        <f t="shared" si="432"/>
        <v>0</v>
      </c>
      <c r="DA83" s="153">
        <v>0</v>
      </c>
      <c r="DB83" s="153">
        <f t="shared" ref="DB83:DD83" si="525">IF(DA83&lt;0,-DA83,0)</f>
        <v>0</v>
      </c>
      <c r="DC83" s="153">
        <v>-5000</v>
      </c>
      <c r="DD83" s="153">
        <f t="shared" si="525"/>
        <v>5000</v>
      </c>
      <c r="DE83" s="153">
        <v>-3369.1975594999999</v>
      </c>
      <c r="DF83" s="153">
        <f t="shared" ref="DF83:DH83" si="526">IF(DE83&lt;0,-DE83,0)</f>
        <v>3369.1975594999999</v>
      </c>
      <c r="DG83" s="153">
        <v>-4000</v>
      </c>
      <c r="DH83" s="153">
        <f t="shared" si="526"/>
        <v>4000</v>
      </c>
      <c r="DI83" s="153">
        <v>4800</v>
      </c>
      <c r="DJ83" s="153">
        <f t="shared" ref="DJ83:DL83" si="527">IF(DI83&lt;0,-DI83,0)</f>
        <v>0</v>
      </c>
      <c r="DK83" s="153">
        <v>9738.1909303800003</v>
      </c>
      <c r="DL83" s="153">
        <f t="shared" si="527"/>
        <v>0</v>
      </c>
      <c r="DM83" s="107">
        <f t="shared" si="436"/>
        <v>13069.1975595</v>
      </c>
    </row>
    <row r="84" spans="13:117" s="5" customFormat="1" x14ac:dyDescent="0.35">
      <c r="M84" s="77">
        <f t="shared" si="437"/>
        <v>82</v>
      </c>
      <c r="N84" s="78">
        <v>5.89999999999999E-2</v>
      </c>
      <c r="O84" s="79">
        <v>2.3E-2</v>
      </c>
      <c r="P84" s="79">
        <v>8.199999999999999E-2</v>
      </c>
      <c r="Q84" s="79">
        <v>43145.327680000002</v>
      </c>
      <c r="R84" s="79">
        <v>2695.29612709</v>
      </c>
      <c r="S84" s="79">
        <f t="shared" si="408"/>
        <v>45840.62380709</v>
      </c>
      <c r="T84" s="78">
        <v>1.3999999999999999E-2</v>
      </c>
      <c r="U84" s="79">
        <v>1.3999999999999999E-2</v>
      </c>
      <c r="V84" s="79">
        <v>0.13100000000000001</v>
      </c>
      <c r="W84" s="79">
        <v>7.4999999999999997E-2</v>
      </c>
      <c r="X84" s="79">
        <f t="shared" si="409"/>
        <v>0.20600000000000002</v>
      </c>
      <c r="Y84" s="79">
        <v>6477.848</v>
      </c>
      <c r="Z84" s="79">
        <v>0</v>
      </c>
      <c r="AA84" s="80">
        <f t="shared" si="410"/>
        <v>6477.848</v>
      </c>
      <c r="AB84" s="79"/>
      <c r="AC84" s="88">
        <v>5561</v>
      </c>
      <c r="AD84" s="94">
        <f t="shared" si="411"/>
        <v>6.7000000000000004E-2</v>
      </c>
      <c r="AE84" s="89">
        <v>110.515</v>
      </c>
      <c r="AF84" s="94">
        <f t="shared" si="412"/>
        <v>2.3E-2</v>
      </c>
      <c r="AG84" s="89">
        <v>2460</v>
      </c>
      <c r="AH84" s="94">
        <f t="shared" si="413"/>
        <v>8.2000000000000003E-2</v>
      </c>
      <c r="AI84" s="89">
        <v>431.346</v>
      </c>
      <c r="AJ84" s="94">
        <f>AI84/$B$6</f>
        <v>0.03</v>
      </c>
      <c r="AK84" s="89">
        <v>241.4975</v>
      </c>
      <c r="AL84" s="94">
        <f>AK84/$B$7</f>
        <v>2.5000000000000001E-2</v>
      </c>
      <c r="AM84" s="89">
        <v>3342.3</v>
      </c>
      <c r="AN84" s="94">
        <f t="shared" si="414"/>
        <v>6.5000000000000002E-2</v>
      </c>
      <c r="AO84" s="89">
        <v>2408.6815999999999</v>
      </c>
      <c r="AP84" s="94">
        <f t="shared" si="415"/>
        <v>5.1999999999999998E-2</v>
      </c>
      <c r="AQ84" s="79"/>
      <c r="AR84" s="88">
        <v>8098.9817999999996</v>
      </c>
      <c r="AS84" s="76">
        <v>1260.4000000000001</v>
      </c>
      <c r="AT84" s="88">
        <v>274</v>
      </c>
      <c r="AU84" s="100">
        <f t="shared" si="416"/>
        <v>9.0999999999999998E-2</v>
      </c>
      <c r="AV84" s="100">
        <f t="shared" si="417"/>
        <v>0.54800000000000004</v>
      </c>
      <c r="AW84" s="100">
        <f t="shared" si="418"/>
        <v>0.54800000000000004</v>
      </c>
      <c r="AX84" s="94">
        <v>84.626000000000005</v>
      </c>
      <c r="AY84" s="76">
        <v>873.27</v>
      </c>
      <c r="AZ84" s="100">
        <f>AX84/$B$9</f>
        <v>0.13100000000000001</v>
      </c>
      <c r="BA84" s="97">
        <f>AY84/$B$8</f>
        <v>7.4999999999999997E-2</v>
      </c>
      <c r="BB84" s="88">
        <v>10035</v>
      </c>
      <c r="BC84" s="76">
        <v>17700.150000000001</v>
      </c>
      <c r="BD84" s="100">
        <f t="shared" si="419"/>
        <v>0.22500000000000001</v>
      </c>
      <c r="BE84" s="97">
        <f t="shared" si="420"/>
        <v>0.75400000000000011</v>
      </c>
      <c r="BG84" s="88">
        <v>1088.4960000000001</v>
      </c>
      <c r="BH84" s="114">
        <f>BG84/$B$10</f>
        <v>0.44200011369819631</v>
      </c>
      <c r="BI84" s="115">
        <v>962.72500000000002</v>
      </c>
      <c r="BJ84" s="114">
        <f>BI84/$B$11</f>
        <v>0.59908214063472309</v>
      </c>
      <c r="BK84" s="115">
        <v>1121.4780000000001</v>
      </c>
      <c r="BL84" s="114">
        <f t="shared" si="421"/>
        <v>0.5784392407674851</v>
      </c>
      <c r="BN84" s="111">
        <v>52500.305999999997</v>
      </c>
      <c r="BO84" s="114">
        <f t="shared" si="422"/>
        <v>0.75409836065573765</v>
      </c>
      <c r="BQ84" s="142">
        <v>6284.8370000000004</v>
      </c>
      <c r="BR84" s="131">
        <v>0</v>
      </c>
      <c r="BS84" s="143">
        <v>0</v>
      </c>
      <c r="BT84" s="105">
        <f t="shared" si="423"/>
        <v>0.19278641104294481</v>
      </c>
      <c r="BU84" s="20">
        <f t="shared" si="424"/>
        <v>0</v>
      </c>
      <c r="BV84" s="2">
        <v>0</v>
      </c>
      <c r="BW84" s="2">
        <v>0</v>
      </c>
      <c r="BX84" s="2">
        <v>0</v>
      </c>
      <c r="BY84" s="2">
        <v>1814.0229999999999</v>
      </c>
      <c r="BZ84" s="105">
        <f t="shared" si="425"/>
        <v>0.13459140822080426</v>
      </c>
      <c r="CA84" s="20">
        <f t="shared" si="426"/>
        <v>0</v>
      </c>
      <c r="CB84" s="5">
        <v>10800</v>
      </c>
      <c r="CC84" s="5">
        <v>917.20559321999997</v>
      </c>
      <c r="CE84" s="108">
        <v>-700</v>
      </c>
      <c r="CF84" s="153">
        <f t="shared" si="427"/>
        <v>0</v>
      </c>
      <c r="CG84" s="153">
        <v>4485</v>
      </c>
      <c r="CH84" s="153">
        <f t="shared" si="427"/>
        <v>4485</v>
      </c>
      <c r="CI84" s="153">
        <v>0</v>
      </c>
      <c r="CJ84" s="153">
        <f t="shared" ref="CJ84:CL84" si="528">IF(CI84&gt;0,CI84,0)</f>
        <v>0</v>
      </c>
      <c r="CK84" s="153">
        <v>-5000</v>
      </c>
      <c r="CL84" s="153">
        <f t="shared" si="528"/>
        <v>0</v>
      </c>
      <c r="CM84" s="153">
        <v>-5300</v>
      </c>
      <c r="CN84" s="153">
        <f t="shared" ref="CN84:CP84" si="529">IF(CM84&gt;0,CM84,0)</f>
        <v>0</v>
      </c>
      <c r="CO84" s="153">
        <v>-4000</v>
      </c>
      <c r="CP84" s="153">
        <f t="shared" si="529"/>
        <v>0</v>
      </c>
      <c r="CQ84" s="153">
        <v>4800</v>
      </c>
      <c r="CR84" s="153">
        <f t="shared" ref="CR84:CT84" si="530">IF(CQ84&gt;0,CQ84,0)</f>
        <v>4800</v>
      </c>
      <c r="CS84" s="153">
        <v>8958.0819039300004</v>
      </c>
      <c r="CT84" s="153">
        <f t="shared" si="530"/>
        <v>8958.0819039300004</v>
      </c>
      <c r="CU84" s="107">
        <f t="shared" si="431"/>
        <v>18243.08190393</v>
      </c>
      <c r="CW84" s="108">
        <v>-700</v>
      </c>
      <c r="CX84" s="153">
        <f t="shared" si="432"/>
        <v>700</v>
      </c>
      <c r="CY84" s="153">
        <v>4485</v>
      </c>
      <c r="CZ84" s="153">
        <f t="shared" si="432"/>
        <v>0</v>
      </c>
      <c r="DA84" s="153">
        <v>0</v>
      </c>
      <c r="DB84" s="153">
        <f t="shared" ref="DB84:DD84" si="531">IF(DA84&lt;0,-DA84,0)</f>
        <v>0</v>
      </c>
      <c r="DC84" s="153">
        <v>-5000</v>
      </c>
      <c r="DD84" s="153">
        <f t="shared" si="531"/>
        <v>5000</v>
      </c>
      <c r="DE84" s="153">
        <v>-5300</v>
      </c>
      <c r="DF84" s="153">
        <f t="shared" ref="DF84:DH84" si="532">IF(DE84&lt;0,-DE84,0)</f>
        <v>5300</v>
      </c>
      <c r="DG84" s="153">
        <v>-4000</v>
      </c>
      <c r="DH84" s="153">
        <f t="shared" si="532"/>
        <v>4000</v>
      </c>
      <c r="DI84" s="153">
        <v>4800</v>
      </c>
      <c r="DJ84" s="153">
        <f t="shared" ref="DJ84:DL84" si="533">IF(DI84&lt;0,-DI84,0)</f>
        <v>0</v>
      </c>
      <c r="DK84" s="153">
        <v>8958.0819039300004</v>
      </c>
      <c r="DL84" s="153">
        <f t="shared" si="533"/>
        <v>0</v>
      </c>
      <c r="DM84" s="107">
        <f t="shared" si="436"/>
        <v>15000</v>
      </c>
    </row>
    <row r="85" spans="13:117" s="5" customFormat="1" x14ac:dyDescent="0.35">
      <c r="M85" s="77">
        <f t="shared" si="437"/>
        <v>83</v>
      </c>
      <c r="N85" s="78">
        <v>0.20399999999999999</v>
      </c>
      <c r="O85" s="79">
        <v>5.4000000000000006E-2</v>
      </c>
      <c r="P85" s="79">
        <v>0.19399999999999998</v>
      </c>
      <c r="Q85" s="79">
        <v>42899.063000000002</v>
      </c>
      <c r="R85" s="79">
        <v>1954.1065423</v>
      </c>
      <c r="S85" s="79">
        <f t="shared" si="408"/>
        <v>44853.169542300006</v>
      </c>
      <c r="T85" s="78">
        <v>5.2999999999999999E-2</v>
      </c>
      <c r="U85" s="79">
        <v>5.89999999999999E-2</v>
      </c>
      <c r="V85" s="79">
        <v>0.13200000000000001</v>
      </c>
      <c r="W85" s="79">
        <v>4.2999999999999997E-2</v>
      </c>
      <c r="X85" s="79">
        <f t="shared" si="409"/>
        <v>0.17499999999999999</v>
      </c>
      <c r="Y85" s="79">
        <v>6399.0910000000003</v>
      </c>
      <c r="Z85" s="79">
        <v>0</v>
      </c>
      <c r="AA85" s="80">
        <f t="shared" si="410"/>
        <v>6399.0910000000003</v>
      </c>
      <c r="AB85" s="79"/>
      <c r="AC85" s="88">
        <v>14110</v>
      </c>
      <c r="AD85" s="94">
        <f t="shared" si="411"/>
        <v>0.17</v>
      </c>
      <c r="AE85" s="89">
        <v>259.47000000000003</v>
      </c>
      <c r="AF85" s="94">
        <f t="shared" si="412"/>
        <v>5.4000000000000006E-2</v>
      </c>
      <c r="AG85" s="89">
        <v>5820</v>
      </c>
      <c r="AH85" s="94">
        <f t="shared" si="413"/>
        <v>0.19400000000000001</v>
      </c>
      <c r="AI85" s="89">
        <v>1782.8968</v>
      </c>
      <c r="AJ85" s="94">
        <f>AI85/$B$6</f>
        <v>0.124</v>
      </c>
      <c r="AK85" s="89">
        <v>975.6499</v>
      </c>
      <c r="AL85" s="94">
        <f>AK85/$B$7</f>
        <v>0.10100000000000001</v>
      </c>
      <c r="AM85" s="89">
        <v>7661.58</v>
      </c>
      <c r="AN85" s="94">
        <f t="shared" si="414"/>
        <v>0.14899999999999999</v>
      </c>
      <c r="AO85" s="89">
        <v>5651.1376</v>
      </c>
      <c r="AP85" s="94">
        <f t="shared" si="415"/>
        <v>0.122</v>
      </c>
      <c r="AQ85" s="79"/>
      <c r="AR85" s="88">
        <v>8988.9797999999992</v>
      </c>
      <c r="AS85" s="76">
        <v>1334</v>
      </c>
      <c r="AT85" s="88">
        <v>290</v>
      </c>
      <c r="AU85" s="100">
        <f t="shared" si="416"/>
        <v>0.10099999999999999</v>
      </c>
      <c r="AV85" s="100">
        <f t="shared" si="417"/>
        <v>0.57999999999999996</v>
      </c>
      <c r="AW85" s="100">
        <f t="shared" si="418"/>
        <v>0.57999999999999996</v>
      </c>
      <c r="AX85" s="94">
        <v>85.272000000000006</v>
      </c>
      <c r="AY85" s="76">
        <v>500.6748</v>
      </c>
      <c r="AZ85" s="100">
        <f>AX85/$B$9</f>
        <v>0.13200000000000001</v>
      </c>
      <c r="BA85" s="97">
        <f>AY85/$B$8</f>
        <v>4.2999999999999997E-2</v>
      </c>
      <c r="BB85" s="88">
        <v>10481</v>
      </c>
      <c r="BC85" s="76">
        <v>17465.400000000001</v>
      </c>
      <c r="BD85" s="100">
        <f t="shared" si="419"/>
        <v>0.23499999999999999</v>
      </c>
      <c r="BE85" s="97">
        <f t="shared" si="420"/>
        <v>0.74400000000000011</v>
      </c>
      <c r="BG85" s="88">
        <v>1044.1679999999999</v>
      </c>
      <c r="BH85" s="114">
        <f>BG85/$B$10</f>
        <v>0.42400006497039783</v>
      </c>
      <c r="BI85" s="115">
        <v>963.25099999999998</v>
      </c>
      <c r="BJ85" s="114">
        <f>BI85/$B$11</f>
        <v>0.59940945861854389</v>
      </c>
      <c r="BK85" s="115">
        <v>1121.4780000000001</v>
      </c>
      <c r="BL85" s="114">
        <f t="shared" si="421"/>
        <v>0.5784392407674851</v>
      </c>
      <c r="BN85" s="111">
        <v>52500.305999999997</v>
      </c>
      <c r="BO85" s="114">
        <f t="shared" si="422"/>
        <v>0.75409836065573765</v>
      </c>
      <c r="BQ85" s="142">
        <v>10728.557000000001</v>
      </c>
      <c r="BR85" s="131">
        <v>0</v>
      </c>
      <c r="BS85" s="143">
        <v>0</v>
      </c>
      <c r="BT85" s="105">
        <f t="shared" si="423"/>
        <v>0.32909684049079757</v>
      </c>
      <c r="BU85" s="20">
        <f t="shared" si="424"/>
        <v>0</v>
      </c>
      <c r="BV85" s="2">
        <v>0</v>
      </c>
      <c r="BW85" s="2">
        <v>0</v>
      </c>
      <c r="BX85" s="2">
        <v>0</v>
      </c>
      <c r="BY85" s="2">
        <v>2846.1219999999998</v>
      </c>
      <c r="BZ85" s="105">
        <f t="shared" si="425"/>
        <v>0.21116797744472474</v>
      </c>
      <c r="CA85" s="20">
        <f t="shared" si="426"/>
        <v>0</v>
      </c>
      <c r="CB85" s="5">
        <v>10800</v>
      </c>
      <c r="CC85" s="5">
        <v>917.20559321999997</v>
      </c>
      <c r="CE85" s="108">
        <v>-700</v>
      </c>
      <c r="CF85" s="153">
        <f t="shared" si="427"/>
        <v>0</v>
      </c>
      <c r="CG85" s="153">
        <v>4485</v>
      </c>
      <c r="CH85" s="153">
        <f t="shared" si="427"/>
        <v>4485</v>
      </c>
      <c r="CI85" s="153">
        <v>0</v>
      </c>
      <c r="CJ85" s="153">
        <f t="shared" ref="CJ85:CL85" si="534">IF(CI85&gt;0,CI85,0)</f>
        <v>0</v>
      </c>
      <c r="CK85" s="153">
        <v>-5000</v>
      </c>
      <c r="CL85" s="153">
        <f t="shared" si="534"/>
        <v>0</v>
      </c>
      <c r="CM85" s="153">
        <v>-5300</v>
      </c>
      <c r="CN85" s="153">
        <f t="shared" ref="CN85:CP85" si="535">IF(CM85&gt;0,CM85,0)</f>
        <v>0</v>
      </c>
      <c r="CO85" s="153">
        <v>-4000</v>
      </c>
      <c r="CP85" s="153">
        <f t="shared" si="535"/>
        <v>0</v>
      </c>
      <c r="CQ85" s="153">
        <v>4800</v>
      </c>
      <c r="CR85" s="153">
        <f t="shared" ref="CR85:CT85" si="536">IF(CQ85&gt;0,CQ85,0)</f>
        <v>4800</v>
      </c>
      <c r="CS85" s="153">
        <v>6588.5784726399997</v>
      </c>
      <c r="CT85" s="153">
        <f t="shared" si="536"/>
        <v>6588.5784726399997</v>
      </c>
      <c r="CU85" s="107">
        <f t="shared" si="431"/>
        <v>15873.57847264</v>
      </c>
      <c r="CW85" s="108">
        <v>-700</v>
      </c>
      <c r="CX85" s="153">
        <f t="shared" si="432"/>
        <v>700</v>
      </c>
      <c r="CY85" s="153">
        <v>4485</v>
      </c>
      <c r="CZ85" s="153">
        <f t="shared" si="432"/>
        <v>0</v>
      </c>
      <c r="DA85" s="153">
        <v>0</v>
      </c>
      <c r="DB85" s="153">
        <f t="shared" ref="DB85:DD85" si="537">IF(DA85&lt;0,-DA85,0)</f>
        <v>0</v>
      </c>
      <c r="DC85" s="153">
        <v>-5000</v>
      </c>
      <c r="DD85" s="153">
        <f t="shared" si="537"/>
        <v>5000</v>
      </c>
      <c r="DE85" s="153">
        <v>-5300</v>
      </c>
      <c r="DF85" s="153">
        <f t="shared" ref="DF85:DH85" si="538">IF(DE85&lt;0,-DE85,0)</f>
        <v>5300</v>
      </c>
      <c r="DG85" s="153">
        <v>-4000</v>
      </c>
      <c r="DH85" s="153">
        <f t="shared" si="538"/>
        <v>4000</v>
      </c>
      <c r="DI85" s="153">
        <v>4800</v>
      </c>
      <c r="DJ85" s="153">
        <f t="shared" ref="DJ85:DL85" si="539">IF(DI85&lt;0,-DI85,0)</f>
        <v>0</v>
      </c>
      <c r="DK85" s="153">
        <v>6588.5784726399997</v>
      </c>
      <c r="DL85" s="153">
        <f t="shared" si="539"/>
        <v>0</v>
      </c>
      <c r="DM85" s="107">
        <f t="shared" si="436"/>
        <v>15000</v>
      </c>
    </row>
    <row r="86" spans="13:117" s="5" customFormat="1" x14ac:dyDescent="0.35">
      <c r="M86" s="77">
        <f t="shared" si="437"/>
        <v>84</v>
      </c>
      <c r="N86" s="78">
        <v>0.27700000000000002</v>
      </c>
      <c r="O86" s="79">
        <v>8.5999999999999993E-2</v>
      </c>
      <c r="P86" s="79">
        <v>0.28499999999999903</v>
      </c>
      <c r="Q86" s="79">
        <v>43329.033000000003</v>
      </c>
      <c r="R86" s="79">
        <v>2464.8719474300001</v>
      </c>
      <c r="S86" s="79">
        <f t="shared" si="408"/>
        <v>45793.904947430005</v>
      </c>
      <c r="T86" s="78">
        <v>8.4000000000000005E-2</v>
      </c>
      <c r="U86" s="79">
        <v>0.102999999999999</v>
      </c>
      <c r="V86" s="79">
        <v>0.13</v>
      </c>
      <c r="W86" s="79">
        <v>2.8000000000000001E-2</v>
      </c>
      <c r="X86" s="79">
        <f t="shared" si="409"/>
        <v>0.158</v>
      </c>
      <c r="Y86" s="79">
        <v>6517.8050000000003</v>
      </c>
      <c r="Z86" s="79">
        <v>0</v>
      </c>
      <c r="AA86" s="80">
        <f t="shared" si="410"/>
        <v>6517.8050000000003</v>
      </c>
      <c r="AB86" s="79"/>
      <c r="AC86" s="88">
        <v>19671</v>
      </c>
      <c r="AD86" s="94">
        <f t="shared" si="411"/>
        <v>0.23699999999999999</v>
      </c>
      <c r="AE86" s="89">
        <v>413.23</v>
      </c>
      <c r="AF86" s="94">
        <f t="shared" si="412"/>
        <v>8.6000000000000007E-2</v>
      </c>
      <c r="AG86" s="89">
        <v>8550</v>
      </c>
      <c r="AH86" s="94">
        <f t="shared" si="413"/>
        <v>0.28499999999999998</v>
      </c>
      <c r="AI86" s="89">
        <v>3206.3386</v>
      </c>
      <c r="AJ86" s="94">
        <f>AI86/$B$6</f>
        <v>0.223</v>
      </c>
      <c r="AK86" s="89">
        <v>1777.4215999999999</v>
      </c>
      <c r="AL86" s="94">
        <f>AK86/$B$7</f>
        <v>0.184</v>
      </c>
      <c r="AM86" s="89">
        <v>11415.24</v>
      </c>
      <c r="AN86" s="94">
        <f t="shared" si="414"/>
        <v>0.222</v>
      </c>
      <c r="AO86" s="89">
        <v>8523.0272000000004</v>
      </c>
      <c r="AP86" s="94">
        <f t="shared" si="415"/>
        <v>0.184</v>
      </c>
      <c r="AQ86" s="79"/>
      <c r="AR86" s="88">
        <v>10234.977000000001</v>
      </c>
      <c r="AS86" s="76">
        <v>1412.2</v>
      </c>
      <c r="AT86" s="88">
        <v>307</v>
      </c>
      <c r="AU86" s="100">
        <f t="shared" si="416"/>
        <v>0.115</v>
      </c>
      <c r="AV86" s="100">
        <f t="shared" si="417"/>
        <v>0.61399999999999999</v>
      </c>
      <c r="AW86" s="100">
        <f t="shared" si="418"/>
        <v>0.61399999999999999</v>
      </c>
      <c r="AX86" s="94">
        <v>83.98</v>
      </c>
      <c r="AY86" s="76">
        <v>326.02080000000001</v>
      </c>
      <c r="AZ86" s="100">
        <f>AX86/$B$9</f>
        <v>0.13</v>
      </c>
      <c r="BA86" s="97">
        <f>AY86/$B$8</f>
        <v>2.8000000000000001E-2</v>
      </c>
      <c r="BB86" s="88">
        <v>10748.6</v>
      </c>
      <c r="BC86" s="76">
        <v>17207.174999999999</v>
      </c>
      <c r="BD86" s="100">
        <f t="shared" si="419"/>
        <v>0.24100000000000002</v>
      </c>
      <c r="BE86" s="97">
        <f t="shared" si="420"/>
        <v>0.73299999999999998</v>
      </c>
      <c r="BG86" s="88">
        <v>1068.7940000000001</v>
      </c>
      <c r="BH86" s="114">
        <f>BG86/$B$10</f>
        <v>0.43399982133140597</v>
      </c>
      <c r="BI86" s="115">
        <v>965.08900000000006</v>
      </c>
      <c r="BJ86" s="114">
        <f>BI86/$B$11</f>
        <v>0.60055320472930929</v>
      </c>
      <c r="BK86" s="115">
        <v>1121.4780000000001</v>
      </c>
      <c r="BL86" s="114">
        <f t="shared" si="421"/>
        <v>0.5784392407674851</v>
      </c>
      <c r="BN86" s="111">
        <v>52500.305999999997</v>
      </c>
      <c r="BO86" s="114">
        <f t="shared" si="422"/>
        <v>0.75409836065573765</v>
      </c>
      <c r="BQ86" s="142">
        <v>14320.626</v>
      </c>
      <c r="BR86" s="131">
        <v>0</v>
      </c>
      <c r="BS86" s="143">
        <v>0</v>
      </c>
      <c r="BT86" s="105">
        <f t="shared" si="423"/>
        <v>0.43928300613496934</v>
      </c>
      <c r="BU86" s="20">
        <f t="shared" si="424"/>
        <v>0</v>
      </c>
      <c r="BV86" s="2">
        <v>0</v>
      </c>
      <c r="BW86" s="2">
        <v>0</v>
      </c>
      <c r="BX86" s="2">
        <v>0</v>
      </c>
      <c r="BY86" s="2">
        <v>3933.8969999999999</v>
      </c>
      <c r="BZ86" s="105">
        <f t="shared" si="425"/>
        <v>0.29187542662116039</v>
      </c>
      <c r="CA86" s="20">
        <f t="shared" si="426"/>
        <v>0</v>
      </c>
      <c r="CB86" s="5">
        <v>10800</v>
      </c>
      <c r="CC86" s="5">
        <v>916.55787221000003</v>
      </c>
      <c r="CE86" s="108">
        <v>-700</v>
      </c>
      <c r="CF86" s="153">
        <f t="shared" si="427"/>
        <v>0</v>
      </c>
      <c r="CG86" s="153">
        <v>4485</v>
      </c>
      <c r="CH86" s="153">
        <f t="shared" si="427"/>
        <v>4485</v>
      </c>
      <c r="CI86" s="153">
        <v>0</v>
      </c>
      <c r="CJ86" s="153">
        <f t="shared" ref="CJ86:CL86" si="540">IF(CI86&gt;0,CI86,0)</f>
        <v>0</v>
      </c>
      <c r="CK86" s="153">
        <v>-5000</v>
      </c>
      <c r="CL86" s="153">
        <f t="shared" si="540"/>
        <v>0</v>
      </c>
      <c r="CM86" s="153">
        <v>-5300</v>
      </c>
      <c r="CN86" s="153">
        <f t="shared" ref="CN86:CP86" si="541">IF(CM86&gt;0,CM86,0)</f>
        <v>0</v>
      </c>
      <c r="CO86" s="153">
        <v>-4000</v>
      </c>
      <c r="CP86" s="153">
        <f t="shared" si="541"/>
        <v>0</v>
      </c>
      <c r="CQ86" s="153">
        <v>4800</v>
      </c>
      <c r="CR86" s="153">
        <f t="shared" ref="CR86:CT86" si="542">IF(CQ86&gt;0,CQ86,0)</f>
        <v>4800</v>
      </c>
      <c r="CS86" s="153">
        <v>5474.14883216</v>
      </c>
      <c r="CT86" s="153">
        <f t="shared" si="542"/>
        <v>5474.14883216</v>
      </c>
      <c r="CU86" s="107">
        <f t="shared" si="431"/>
        <v>14759.148832160001</v>
      </c>
      <c r="CW86" s="108">
        <v>-700</v>
      </c>
      <c r="CX86" s="153">
        <f t="shared" si="432"/>
        <v>700</v>
      </c>
      <c r="CY86" s="153">
        <v>4485</v>
      </c>
      <c r="CZ86" s="153">
        <f t="shared" si="432"/>
        <v>0</v>
      </c>
      <c r="DA86" s="153">
        <v>0</v>
      </c>
      <c r="DB86" s="153">
        <f t="shared" ref="DB86:DD86" si="543">IF(DA86&lt;0,-DA86,0)</f>
        <v>0</v>
      </c>
      <c r="DC86" s="153">
        <v>-5000</v>
      </c>
      <c r="DD86" s="153">
        <f t="shared" si="543"/>
        <v>5000</v>
      </c>
      <c r="DE86" s="153">
        <v>-5300</v>
      </c>
      <c r="DF86" s="153">
        <f t="shared" ref="DF86:DH86" si="544">IF(DE86&lt;0,-DE86,0)</f>
        <v>5300</v>
      </c>
      <c r="DG86" s="153">
        <v>-4000</v>
      </c>
      <c r="DH86" s="153">
        <f t="shared" si="544"/>
        <v>4000</v>
      </c>
      <c r="DI86" s="153">
        <v>4800</v>
      </c>
      <c r="DJ86" s="153">
        <f t="shared" ref="DJ86:DL86" si="545">IF(DI86&lt;0,-DI86,0)</f>
        <v>0</v>
      </c>
      <c r="DK86" s="153">
        <v>5474.14883216</v>
      </c>
      <c r="DL86" s="153">
        <f t="shared" si="545"/>
        <v>0</v>
      </c>
      <c r="DM86" s="107">
        <f t="shared" si="436"/>
        <v>15000</v>
      </c>
    </row>
    <row r="87" spans="13:117" s="5" customFormat="1" x14ac:dyDescent="0.35">
      <c r="M87" s="77">
        <f t="shared" si="437"/>
        <v>85</v>
      </c>
      <c r="N87" s="78">
        <v>0.28100000000000003</v>
      </c>
      <c r="O87" s="79">
        <v>0.11199999999999999</v>
      </c>
      <c r="P87" s="79">
        <v>0.34</v>
      </c>
      <c r="Q87" s="79">
        <v>43728.13</v>
      </c>
      <c r="R87" s="79">
        <v>2692.2592929000002</v>
      </c>
      <c r="S87" s="79">
        <f t="shared" si="408"/>
        <v>46420.389292899999</v>
      </c>
      <c r="T87" s="78">
        <v>9.4E-2</v>
      </c>
      <c r="U87" s="79">
        <v>0.12</v>
      </c>
      <c r="V87" s="79">
        <v>0.13100000000000001</v>
      </c>
      <c r="W87" s="79">
        <v>4.2999999999999997E-2</v>
      </c>
      <c r="X87" s="79">
        <f t="shared" si="409"/>
        <v>0.17399999999999999</v>
      </c>
      <c r="Y87" s="79">
        <v>6604.152</v>
      </c>
      <c r="Z87" s="79">
        <v>0</v>
      </c>
      <c r="AA87" s="80">
        <f t="shared" si="410"/>
        <v>6604.152</v>
      </c>
      <c r="AB87" s="79"/>
      <c r="AC87" s="88">
        <v>23323</v>
      </c>
      <c r="AD87" s="94">
        <f t="shared" si="411"/>
        <v>0.28100000000000003</v>
      </c>
      <c r="AE87" s="89">
        <v>538.16</v>
      </c>
      <c r="AF87" s="94">
        <f t="shared" si="412"/>
        <v>0.11199999999999999</v>
      </c>
      <c r="AG87" s="89">
        <v>10200</v>
      </c>
      <c r="AH87" s="94">
        <f t="shared" si="413"/>
        <v>0.34</v>
      </c>
      <c r="AI87" s="89">
        <v>4385.3509999999997</v>
      </c>
      <c r="AJ87" s="94">
        <f>AI87/$B$6</f>
        <v>0.30499999999999994</v>
      </c>
      <c r="AK87" s="89">
        <v>2366.6754999999998</v>
      </c>
      <c r="AL87" s="94">
        <f>AK87/$B$7</f>
        <v>0.245</v>
      </c>
      <c r="AM87" s="89">
        <v>13214.94</v>
      </c>
      <c r="AN87" s="94">
        <f t="shared" si="414"/>
        <v>0.25700000000000001</v>
      </c>
      <c r="AO87" s="89">
        <v>9866.3304000000007</v>
      </c>
      <c r="AP87" s="94">
        <f t="shared" si="415"/>
        <v>0.21299999999999999</v>
      </c>
      <c r="AQ87" s="79"/>
      <c r="AR87" s="88">
        <v>12281.972400000001</v>
      </c>
      <c r="AS87" s="76">
        <v>1476.6</v>
      </c>
      <c r="AT87" s="88">
        <v>321</v>
      </c>
      <c r="AU87" s="100">
        <f t="shared" si="416"/>
        <v>0.13800000000000001</v>
      </c>
      <c r="AV87" s="100">
        <f t="shared" si="417"/>
        <v>0.64200000000000002</v>
      </c>
      <c r="AW87" s="100">
        <f t="shared" si="418"/>
        <v>0.64200000000000002</v>
      </c>
      <c r="AX87" s="94">
        <v>84.626000000000005</v>
      </c>
      <c r="AY87" s="76">
        <v>500.6748</v>
      </c>
      <c r="AZ87" s="100">
        <f>AX87/$B$9</f>
        <v>0.13100000000000001</v>
      </c>
      <c r="BA87" s="97">
        <f>AY87/$B$8</f>
        <v>4.2999999999999997E-2</v>
      </c>
      <c r="BB87" s="88">
        <v>12354.2</v>
      </c>
      <c r="BC87" s="76">
        <v>17418.45</v>
      </c>
      <c r="BD87" s="100">
        <f t="shared" si="419"/>
        <v>0.27700000000000002</v>
      </c>
      <c r="BE87" s="97">
        <f t="shared" si="420"/>
        <v>0.74199999999999999</v>
      </c>
      <c r="BG87" s="88">
        <v>1071.2570000000001</v>
      </c>
      <c r="BH87" s="114">
        <f>BG87/$B$10</f>
        <v>0.43499995939350139</v>
      </c>
      <c r="BI87" s="115">
        <v>966.77700000000004</v>
      </c>
      <c r="BJ87" s="114">
        <f>BI87/$B$11</f>
        <v>0.60160360920970757</v>
      </c>
      <c r="BK87" s="115">
        <v>1121.4780000000001</v>
      </c>
      <c r="BL87" s="114">
        <f t="shared" si="421"/>
        <v>0.5784392407674851</v>
      </c>
      <c r="BN87" s="111">
        <v>52500.305999999997</v>
      </c>
      <c r="BO87" s="114">
        <f t="shared" si="422"/>
        <v>0.75409836065573765</v>
      </c>
      <c r="BQ87" s="142">
        <v>17043.322</v>
      </c>
      <c r="BR87" s="131">
        <v>0</v>
      </c>
      <c r="BS87" s="143">
        <v>0</v>
      </c>
      <c r="BT87" s="105">
        <f t="shared" si="423"/>
        <v>0.52280128834355832</v>
      </c>
      <c r="BU87" s="20">
        <f t="shared" si="424"/>
        <v>0</v>
      </c>
      <c r="BV87" s="2">
        <v>0</v>
      </c>
      <c r="BW87" s="2">
        <v>0</v>
      </c>
      <c r="BX87" s="2">
        <v>0</v>
      </c>
      <c r="BY87" s="2">
        <v>4834.74</v>
      </c>
      <c r="BZ87" s="105">
        <f t="shared" si="425"/>
        <v>0.35871345897017359</v>
      </c>
      <c r="CA87" s="20">
        <f t="shared" si="426"/>
        <v>0</v>
      </c>
      <c r="CB87" s="5">
        <v>10800</v>
      </c>
      <c r="CC87" s="5">
        <v>0</v>
      </c>
      <c r="CE87" s="108">
        <v>-700</v>
      </c>
      <c r="CF87" s="153">
        <f t="shared" si="427"/>
        <v>0</v>
      </c>
      <c r="CG87" s="153">
        <v>4485</v>
      </c>
      <c r="CH87" s="153">
        <f t="shared" si="427"/>
        <v>4485</v>
      </c>
      <c r="CI87" s="153">
        <v>0</v>
      </c>
      <c r="CJ87" s="153">
        <f t="shared" ref="CJ87:CL87" si="546">IF(CI87&gt;0,CI87,0)</f>
        <v>0</v>
      </c>
      <c r="CK87" s="153">
        <v>-5000</v>
      </c>
      <c r="CL87" s="153">
        <f t="shared" si="546"/>
        <v>0</v>
      </c>
      <c r="CM87" s="153">
        <v>-5300</v>
      </c>
      <c r="CN87" s="153">
        <f t="shared" ref="CN87:CP87" si="547">IF(CM87&gt;0,CM87,0)</f>
        <v>0</v>
      </c>
      <c r="CO87" s="153">
        <v>-1604.7777159100001</v>
      </c>
      <c r="CP87" s="153">
        <f t="shared" si="547"/>
        <v>0</v>
      </c>
      <c r="CQ87" s="153">
        <v>4800</v>
      </c>
      <c r="CR87" s="153">
        <f t="shared" ref="CR87:CT87" si="548">IF(CQ87&gt;0,CQ87,0)</f>
        <v>4800</v>
      </c>
      <c r="CS87" s="153">
        <v>7017.5486883499998</v>
      </c>
      <c r="CT87" s="153">
        <f t="shared" si="548"/>
        <v>7017.5486883499998</v>
      </c>
      <c r="CU87" s="107">
        <f t="shared" si="431"/>
        <v>16302.54868835</v>
      </c>
      <c r="CW87" s="108">
        <v>-700</v>
      </c>
      <c r="CX87" s="153">
        <f t="shared" si="432"/>
        <v>700</v>
      </c>
      <c r="CY87" s="153">
        <v>4485</v>
      </c>
      <c r="CZ87" s="153">
        <f t="shared" si="432"/>
        <v>0</v>
      </c>
      <c r="DA87" s="153">
        <v>0</v>
      </c>
      <c r="DB87" s="153">
        <f t="shared" ref="DB87:DD87" si="549">IF(DA87&lt;0,-DA87,0)</f>
        <v>0</v>
      </c>
      <c r="DC87" s="153">
        <v>-5000</v>
      </c>
      <c r="DD87" s="153">
        <f t="shared" si="549"/>
        <v>5000</v>
      </c>
      <c r="DE87" s="153">
        <v>-5300</v>
      </c>
      <c r="DF87" s="153">
        <f t="shared" ref="DF87:DH87" si="550">IF(DE87&lt;0,-DE87,0)</f>
        <v>5300</v>
      </c>
      <c r="DG87" s="153">
        <v>-1604.7777159100001</v>
      </c>
      <c r="DH87" s="153">
        <f t="shared" si="550"/>
        <v>1604.7777159100001</v>
      </c>
      <c r="DI87" s="153">
        <v>4800</v>
      </c>
      <c r="DJ87" s="153">
        <f t="shared" ref="DJ87:DL87" si="551">IF(DI87&lt;0,-DI87,0)</f>
        <v>0</v>
      </c>
      <c r="DK87" s="153">
        <v>7017.5486883499998</v>
      </c>
      <c r="DL87" s="153">
        <f t="shared" si="551"/>
        <v>0</v>
      </c>
      <c r="DM87" s="107">
        <f t="shared" si="436"/>
        <v>12604.777715910001</v>
      </c>
    </row>
    <row r="88" spans="13:117" s="5" customFormat="1" x14ac:dyDescent="0.35">
      <c r="M88" s="77">
        <f t="shared" si="437"/>
        <v>86</v>
      </c>
      <c r="N88" s="78">
        <v>0.253</v>
      </c>
      <c r="O88" s="79">
        <v>0.122</v>
      </c>
      <c r="P88" s="79">
        <v>0.34599999999999903</v>
      </c>
      <c r="Q88" s="79">
        <v>43650.438000000002</v>
      </c>
      <c r="R88" s="79">
        <v>2386.7889066500002</v>
      </c>
      <c r="S88" s="79">
        <f t="shared" si="408"/>
        <v>46037.226906650001</v>
      </c>
      <c r="T88" s="78">
        <v>8.6999999999999994E-2</v>
      </c>
      <c r="U88" s="79">
        <v>0.11</v>
      </c>
      <c r="V88" s="79">
        <v>0.154</v>
      </c>
      <c r="W88" s="79">
        <v>0.11499999999999999</v>
      </c>
      <c r="X88" s="79">
        <f t="shared" si="409"/>
        <v>0.26900000000000002</v>
      </c>
      <c r="Y88" s="79">
        <v>6357.2460000000001</v>
      </c>
      <c r="Z88" s="79">
        <v>0</v>
      </c>
      <c r="AA88" s="80">
        <f t="shared" si="410"/>
        <v>6357.2460000000001</v>
      </c>
      <c r="AB88" s="79"/>
      <c r="AC88" s="88">
        <v>24402</v>
      </c>
      <c r="AD88" s="94">
        <f t="shared" si="411"/>
        <v>0.29399999999999998</v>
      </c>
      <c r="AE88" s="89">
        <v>586.21</v>
      </c>
      <c r="AF88" s="94">
        <f t="shared" si="412"/>
        <v>0.12200000000000001</v>
      </c>
      <c r="AG88" s="89">
        <v>10380</v>
      </c>
      <c r="AH88" s="94">
        <f t="shared" si="413"/>
        <v>0.34599999999999997</v>
      </c>
      <c r="AI88" s="89">
        <v>4960.4790000000003</v>
      </c>
      <c r="AJ88" s="94">
        <f>AI88/$B$6</f>
        <v>0.34500000000000003</v>
      </c>
      <c r="AK88" s="89">
        <v>2608.1729999999998</v>
      </c>
      <c r="AL88" s="94">
        <f>AK88/$B$7</f>
        <v>0.26999999999999996</v>
      </c>
      <c r="AM88" s="89">
        <v>13009.26</v>
      </c>
      <c r="AN88" s="94">
        <f t="shared" si="414"/>
        <v>0.253</v>
      </c>
      <c r="AO88" s="89">
        <v>9681.0472000000009</v>
      </c>
      <c r="AP88" s="94">
        <f t="shared" si="415"/>
        <v>0.20900000000000002</v>
      </c>
      <c r="AQ88" s="79"/>
      <c r="AR88" s="88">
        <v>14506.9674</v>
      </c>
      <c r="AS88" s="76">
        <v>1536.4</v>
      </c>
      <c r="AT88" s="88">
        <v>334</v>
      </c>
      <c r="AU88" s="100">
        <f t="shared" si="416"/>
        <v>0.16299999999999998</v>
      </c>
      <c r="AV88" s="100">
        <f t="shared" si="417"/>
        <v>0.66800000000000004</v>
      </c>
      <c r="AW88" s="100">
        <f t="shared" si="418"/>
        <v>0.66800000000000004</v>
      </c>
      <c r="AX88" s="94">
        <v>99.483999999999995</v>
      </c>
      <c r="AY88" s="76">
        <v>1339.0139999999999</v>
      </c>
      <c r="AZ88" s="100">
        <f>AX88/$B$9</f>
        <v>0.154</v>
      </c>
      <c r="BA88" s="97">
        <f>AY88/$B$8</f>
        <v>0.11499999999999999</v>
      </c>
      <c r="BB88" s="88">
        <v>14539.6</v>
      </c>
      <c r="BC88" s="76">
        <v>18404.400000000001</v>
      </c>
      <c r="BD88" s="100">
        <f t="shared" si="419"/>
        <v>0.32600000000000001</v>
      </c>
      <c r="BE88" s="97">
        <f t="shared" si="420"/>
        <v>0.78400000000000003</v>
      </c>
      <c r="BG88" s="88">
        <v>1058.944</v>
      </c>
      <c r="BH88" s="114">
        <f>BG88/$B$10</f>
        <v>0.43000008121299732</v>
      </c>
      <c r="BI88" s="115">
        <v>942.80899999999997</v>
      </c>
      <c r="BJ88" s="114">
        <f>BI88/$B$11</f>
        <v>0.5866888612321095</v>
      </c>
      <c r="BK88" s="115">
        <v>1121.4780000000001</v>
      </c>
      <c r="BL88" s="114">
        <f t="shared" si="421"/>
        <v>0.5784392407674851</v>
      </c>
      <c r="BN88" s="111">
        <v>52500.305999999997</v>
      </c>
      <c r="BO88" s="114">
        <f t="shared" si="422"/>
        <v>0.75409836065573765</v>
      </c>
      <c r="BQ88" s="142">
        <v>18341.349999999999</v>
      </c>
      <c r="BR88" s="131">
        <v>0</v>
      </c>
      <c r="BS88" s="143">
        <v>0</v>
      </c>
      <c r="BT88" s="105">
        <f t="shared" si="423"/>
        <v>0.56261809815950914</v>
      </c>
      <c r="BU88" s="20">
        <f t="shared" si="424"/>
        <v>0</v>
      </c>
      <c r="BV88" s="2">
        <v>0</v>
      </c>
      <c r="BW88" s="2">
        <v>0</v>
      </c>
      <c r="BX88" s="2">
        <v>0</v>
      </c>
      <c r="BY88" s="2">
        <v>5441.5469999999996</v>
      </c>
      <c r="BZ88" s="105">
        <f t="shared" si="425"/>
        <v>0.40373549488054605</v>
      </c>
      <c r="CA88" s="20">
        <f t="shared" si="426"/>
        <v>0</v>
      </c>
      <c r="CB88" s="5">
        <v>10800</v>
      </c>
      <c r="CC88" s="5">
        <v>0</v>
      </c>
      <c r="CE88" s="108">
        <v>-700</v>
      </c>
      <c r="CF88" s="153">
        <f t="shared" si="427"/>
        <v>0</v>
      </c>
      <c r="CG88" s="153">
        <v>4485</v>
      </c>
      <c r="CH88" s="153">
        <f t="shared" si="427"/>
        <v>4485</v>
      </c>
      <c r="CI88" s="153">
        <v>0</v>
      </c>
      <c r="CJ88" s="153">
        <f t="shared" ref="CJ88:CL88" si="552">IF(CI88&gt;0,CI88,0)</f>
        <v>0</v>
      </c>
      <c r="CK88" s="153">
        <v>-5000</v>
      </c>
      <c r="CL88" s="153">
        <f t="shared" si="552"/>
        <v>0</v>
      </c>
      <c r="CM88" s="153">
        <v>-5300</v>
      </c>
      <c r="CN88" s="153">
        <f t="shared" ref="CN88:CP88" si="553">IF(CM88&gt;0,CM88,0)</f>
        <v>0</v>
      </c>
      <c r="CO88" s="153">
        <v>-1406.0192195100001</v>
      </c>
      <c r="CP88" s="153">
        <f t="shared" si="553"/>
        <v>0</v>
      </c>
      <c r="CQ88" s="153">
        <v>4800</v>
      </c>
      <c r="CR88" s="153">
        <f t="shared" ref="CR88:CT88" si="554">IF(CQ88&gt;0,CQ88,0)</f>
        <v>4800</v>
      </c>
      <c r="CS88" s="153">
        <v>9593.3341387</v>
      </c>
      <c r="CT88" s="153">
        <f t="shared" si="554"/>
        <v>9593.3341387</v>
      </c>
      <c r="CU88" s="107">
        <f t="shared" si="431"/>
        <v>18878.3341387</v>
      </c>
      <c r="CW88" s="108">
        <v>-700</v>
      </c>
      <c r="CX88" s="153">
        <f t="shared" si="432"/>
        <v>700</v>
      </c>
      <c r="CY88" s="153">
        <v>4485</v>
      </c>
      <c r="CZ88" s="153">
        <f t="shared" si="432"/>
        <v>0</v>
      </c>
      <c r="DA88" s="153">
        <v>0</v>
      </c>
      <c r="DB88" s="153">
        <f t="shared" ref="DB88:DD88" si="555">IF(DA88&lt;0,-DA88,0)</f>
        <v>0</v>
      </c>
      <c r="DC88" s="153">
        <v>-5000</v>
      </c>
      <c r="DD88" s="153">
        <f t="shared" si="555"/>
        <v>5000</v>
      </c>
      <c r="DE88" s="153">
        <v>-5300</v>
      </c>
      <c r="DF88" s="153">
        <f t="shared" ref="DF88:DH88" si="556">IF(DE88&lt;0,-DE88,0)</f>
        <v>5300</v>
      </c>
      <c r="DG88" s="153">
        <v>-1406.0192195100001</v>
      </c>
      <c r="DH88" s="153">
        <f t="shared" si="556"/>
        <v>1406.0192195100001</v>
      </c>
      <c r="DI88" s="153">
        <v>4800</v>
      </c>
      <c r="DJ88" s="153">
        <f t="shared" ref="DJ88:DL88" si="557">IF(DI88&lt;0,-DI88,0)</f>
        <v>0</v>
      </c>
      <c r="DK88" s="153">
        <v>9593.3341387</v>
      </c>
      <c r="DL88" s="153">
        <f t="shared" si="557"/>
        <v>0</v>
      </c>
      <c r="DM88" s="107">
        <f t="shared" si="436"/>
        <v>12406.019219510001</v>
      </c>
    </row>
    <row r="89" spans="13:117" s="5" customFormat="1" x14ac:dyDescent="0.35">
      <c r="M89" s="77">
        <f t="shared" si="437"/>
        <v>87</v>
      </c>
      <c r="N89" s="78">
        <v>0.16</v>
      </c>
      <c r="O89" s="79">
        <v>0.114</v>
      </c>
      <c r="P89" s="79">
        <v>0.307</v>
      </c>
      <c r="Q89" s="79">
        <v>42943.040000000001</v>
      </c>
      <c r="R89" s="79">
        <v>1780.5198930900001</v>
      </c>
      <c r="S89" s="79">
        <f t="shared" si="408"/>
        <v>44723.559893090001</v>
      </c>
      <c r="T89" s="78">
        <v>7.0999999999999994E-2</v>
      </c>
      <c r="U89" s="79">
        <v>7.9000000000000001E-2</v>
      </c>
      <c r="V89" s="79">
        <v>0.193</v>
      </c>
      <c r="W89" s="79">
        <v>0.23800000000000002</v>
      </c>
      <c r="X89" s="79">
        <f t="shared" si="409"/>
        <v>0.43100000000000005</v>
      </c>
      <c r="Y89" s="79">
        <v>6317.0320000000002</v>
      </c>
      <c r="Z89" s="79">
        <v>0</v>
      </c>
      <c r="AA89" s="80">
        <f t="shared" si="410"/>
        <v>6317.0320000000002</v>
      </c>
      <c r="AB89" s="79"/>
      <c r="AC89" s="88">
        <v>23406</v>
      </c>
      <c r="AD89" s="94">
        <f t="shared" si="411"/>
        <v>0.28199999999999997</v>
      </c>
      <c r="AE89" s="89">
        <v>547.77</v>
      </c>
      <c r="AF89" s="94">
        <f t="shared" si="412"/>
        <v>0.11399999999999999</v>
      </c>
      <c r="AG89" s="89">
        <v>9210</v>
      </c>
      <c r="AH89" s="94">
        <f t="shared" si="413"/>
        <v>0.307</v>
      </c>
      <c r="AI89" s="89">
        <v>4816.6970000000001</v>
      </c>
      <c r="AJ89" s="94">
        <f>AI89/$B$6</f>
        <v>0.33499999999999996</v>
      </c>
      <c r="AK89" s="89">
        <v>2453.6145999999999</v>
      </c>
      <c r="AL89" s="94">
        <f>AK89/$B$7</f>
        <v>0.254</v>
      </c>
      <c r="AM89" s="89">
        <v>10849.62</v>
      </c>
      <c r="AN89" s="94">
        <f t="shared" si="414"/>
        <v>0.21100000000000002</v>
      </c>
      <c r="AO89" s="89">
        <v>7967.1776</v>
      </c>
      <c r="AP89" s="94">
        <f t="shared" si="415"/>
        <v>0.17199999999999999</v>
      </c>
      <c r="AQ89" s="79"/>
      <c r="AR89" s="88">
        <v>16731.9624</v>
      </c>
      <c r="AS89" s="76">
        <v>1607.7</v>
      </c>
      <c r="AT89" s="88">
        <v>349.5</v>
      </c>
      <c r="AU89" s="100">
        <f t="shared" si="416"/>
        <v>0.188</v>
      </c>
      <c r="AV89" s="100">
        <f t="shared" si="417"/>
        <v>0.69900000000000007</v>
      </c>
      <c r="AW89" s="100">
        <f t="shared" si="418"/>
        <v>0.69899999999999995</v>
      </c>
      <c r="AX89" s="94">
        <v>124.678</v>
      </c>
      <c r="AY89" s="76">
        <v>2771.1768000000002</v>
      </c>
      <c r="AZ89" s="100">
        <f>AX89/$B$9</f>
        <v>0.193</v>
      </c>
      <c r="BA89" s="97">
        <f>AY89/$B$8</f>
        <v>0.23800000000000002</v>
      </c>
      <c r="BB89" s="88">
        <v>17126.400000000001</v>
      </c>
      <c r="BC89" s="76">
        <v>19179.075000000001</v>
      </c>
      <c r="BD89" s="100">
        <f t="shared" si="419"/>
        <v>0.38400000000000001</v>
      </c>
      <c r="BE89" s="97">
        <f t="shared" si="420"/>
        <v>0.81700000000000006</v>
      </c>
      <c r="BG89" s="88">
        <v>1063.8689999999999</v>
      </c>
      <c r="BH89" s="114">
        <f>BG89/$B$10</f>
        <v>0.43199995127220159</v>
      </c>
      <c r="BI89" s="115">
        <v>938.899</v>
      </c>
      <c r="BJ89" s="114">
        <f>BI89/$B$11</f>
        <v>0.58425575606720592</v>
      </c>
      <c r="BK89" s="115">
        <v>1121.4780000000001</v>
      </c>
      <c r="BL89" s="114">
        <f t="shared" si="421"/>
        <v>0.5784392407674851</v>
      </c>
      <c r="BN89" s="111">
        <v>52500.305999999997</v>
      </c>
      <c r="BO89" s="114">
        <f t="shared" si="422"/>
        <v>0.75409836065573765</v>
      </c>
      <c r="BQ89" s="142">
        <v>18336.964</v>
      </c>
      <c r="BR89" s="131">
        <v>0</v>
      </c>
      <c r="BS89" s="143">
        <v>0</v>
      </c>
      <c r="BT89" s="105">
        <f t="shared" si="423"/>
        <v>0.56248355828220864</v>
      </c>
      <c r="BU89" s="20">
        <f t="shared" si="424"/>
        <v>0</v>
      </c>
      <c r="BV89" s="2">
        <v>0</v>
      </c>
      <c r="BW89" s="2">
        <v>0</v>
      </c>
      <c r="BX89" s="2">
        <v>0</v>
      </c>
      <c r="BY89" s="2">
        <v>5619.7259999999997</v>
      </c>
      <c r="BZ89" s="105">
        <f t="shared" si="425"/>
        <v>0.41695548300934854</v>
      </c>
      <c r="CA89" s="20">
        <f t="shared" si="426"/>
        <v>0</v>
      </c>
      <c r="CB89" s="5">
        <v>10800</v>
      </c>
      <c r="CC89" s="5">
        <v>0</v>
      </c>
      <c r="CE89" s="108">
        <v>-700</v>
      </c>
      <c r="CF89" s="153">
        <f t="shared" si="427"/>
        <v>0</v>
      </c>
      <c r="CG89" s="153">
        <v>4485</v>
      </c>
      <c r="CH89" s="153">
        <f t="shared" si="427"/>
        <v>4485</v>
      </c>
      <c r="CI89" s="153">
        <v>0</v>
      </c>
      <c r="CJ89" s="153">
        <f t="shared" ref="CJ89:CL89" si="558">IF(CI89&gt;0,CI89,0)</f>
        <v>0</v>
      </c>
      <c r="CK89" s="153">
        <v>-5000</v>
      </c>
      <c r="CL89" s="153">
        <f t="shared" si="558"/>
        <v>0</v>
      </c>
      <c r="CM89" s="153">
        <v>-5300</v>
      </c>
      <c r="CN89" s="153">
        <f t="shared" ref="CN89:CP89" si="559">IF(CM89&gt;0,CM89,0)</f>
        <v>0</v>
      </c>
      <c r="CO89" s="153">
        <v>-4000</v>
      </c>
      <c r="CP89" s="153">
        <f t="shared" si="559"/>
        <v>0</v>
      </c>
      <c r="CQ89" s="153">
        <v>4800</v>
      </c>
      <c r="CR89" s="153">
        <f t="shared" ref="CR89:CT89" si="560">IF(CQ89&gt;0,CQ89,0)</f>
        <v>4800</v>
      </c>
      <c r="CS89" s="153">
        <v>9244.1269337800004</v>
      </c>
      <c r="CT89" s="153">
        <f t="shared" si="560"/>
        <v>9244.1269337800004</v>
      </c>
      <c r="CU89" s="107">
        <f t="shared" si="431"/>
        <v>18529.12693378</v>
      </c>
      <c r="CW89" s="108">
        <v>-700</v>
      </c>
      <c r="CX89" s="153">
        <f t="shared" si="432"/>
        <v>700</v>
      </c>
      <c r="CY89" s="153">
        <v>4485</v>
      </c>
      <c r="CZ89" s="153">
        <f t="shared" si="432"/>
        <v>0</v>
      </c>
      <c r="DA89" s="153">
        <v>0</v>
      </c>
      <c r="DB89" s="153">
        <f t="shared" ref="DB89:DD89" si="561">IF(DA89&lt;0,-DA89,0)</f>
        <v>0</v>
      </c>
      <c r="DC89" s="153">
        <v>-5000</v>
      </c>
      <c r="DD89" s="153">
        <f t="shared" si="561"/>
        <v>5000</v>
      </c>
      <c r="DE89" s="153">
        <v>-5300</v>
      </c>
      <c r="DF89" s="153">
        <f t="shared" ref="DF89:DH89" si="562">IF(DE89&lt;0,-DE89,0)</f>
        <v>5300</v>
      </c>
      <c r="DG89" s="153">
        <v>-4000</v>
      </c>
      <c r="DH89" s="153">
        <f t="shared" si="562"/>
        <v>4000</v>
      </c>
      <c r="DI89" s="153">
        <v>4800</v>
      </c>
      <c r="DJ89" s="153">
        <f t="shared" ref="DJ89:DL89" si="563">IF(DI89&lt;0,-DI89,0)</f>
        <v>0</v>
      </c>
      <c r="DK89" s="153">
        <v>9244.1269337800004</v>
      </c>
      <c r="DL89" s="153">
        <f t="shared" si="563"/>
        <v>0</v>
      </c>
      <c r="DM89" s="107">
        <f t="shared" si="436"/>
        <v>15000</v>
      </c>
    </row>
    <row r="90" spans="13:117" s="5" customFormat="1" x14ac:dyDescent="0.35">
      <c r="M90" s="77">
        <f t="shared" si="437"/>
        <v>88</v>
      </c>
      <c r="N90" s="78">
        <v>3.5000000000000003E-2</v>
      </c>
      <c r="O90" s="79">
        <v>0.09</v>
      </c>
      <c r="P90" s="79">
        <v>0.245</v>
      </c>
      <c r="Q90" s="79">
        <v>42826.260999999999</v>
      </c>
      <c r="R90" s="79">
        <v>1510.95043465</v>
      </c>
      <c r="S90" s="79">
        <f t="shared" si="408"/>
        <v>44337.211434650002</v>
      </c>
      <c r="T90" s="78">
        <v>3.6999999999999901E-2</v>
      </c>
      <c r="U90" s="79">
        <v>4.2000000000000003E-2</v>
      </c>
      <c r="V90" s="79">
        <v>0.23399999999999999</v>
      </c>
      <c r="W90" s="79">
        <v>0.33099999999999996</v>
      </c>
      <c r="X90" s="79">
        <f t="shared" si="409"/>
        <v>0.56499999999999995</v>
      </c>
      <c r="Y90" s="79">
        <v>6344.6639999999998</v>
      </c>
      <c r="Z90" s="79">
        <v>0</v>
      </c>
      <c r="AA90" s="80">
        <f t="shared" si="410"/>
        <v>6344.6639999999998</v>
      </c>
      <c r="AB90" s="79"/>
      <c r="AC90" s="88">
        <v>21165</v>
      </c>
      <c r="AD90" s="94">
        <f t="shared" si="411"/>
        <v>0.255</v>
      </c>
      <c r="AE90" s="89">
        <v>432.45</v>
      </c>
      <c r="AF90" s="94">
        <f t="shared" si="412"/>
        <v>0.09</v>
      </c>
      <c r="AG90" s="89">
        <v>7350</v>
      </c>
      <c r="AH90" s="94">
        <f t="shared" si="413"/>
        <v>0.245</v>
      </c>
      <c r="AI90" s="89">
        <v>3695.1974</v>
      </c>
      <c r="AJ90" s="94">
        <f>AI90/$B$6</f>
        <v>0.25700000000000001</v>
      </c>
      <c r="AK90" s="89">
        <v>1854.7008000000001</v>
      </c>
      <c r="AL90" s="94">
        <f>AK90/$B$7</f>
        <v>0.192</v>
      </c>
      <c r="AM90" s="89">
        <v>7095.96</v>
      </c>
      <c r="AN90" s="94">
        <f t="shared" si="414"/>
        <v>0.13800000000000001</v>
      </c>
      <c r="AO90" s="89">
        <v>5048.9672</v>
      </c>
      <c r="AP90" s="94">
        <f t="shared" si="415"/>
        <v>0.109</v>
      </c>
      <c r="AQ90" s="79"/>
      <c r="AR90" s="88">
        <v>18511.9584</v>
      </c>
      <c r="AS90" s="76">
        <v>1688.2</v>
      </c>
      <c r="AT90" s="88">
        <v>367</v>
      </c>
      <c r="AU90" s="100">
        <f t="shared" si="416"/>
        <v>0.20799999999999999</v>
      </c>
      <c r="AV90" s="100">
        <f t="shared" si="417"/>
        <v>0.73399999999999999</v>
      </c>
      <c r="AW90" s="100">
        <f t="shared" si="418"/>
        <v>0.73399999999999999</v>
      </c>
      <c r="AX90" s="94">
        <v>151.16399999999999</v>
      </c>
      <c r="AY90" s="76">
        <v>3854.0315999999998</v>
      </c>
      <c r="AZ90" s="100">
        <f>AX90/$B$9</f>
        <v>0.23399999999999999</v>
      </c>
      <c r="BA90" s="97">
        <f>AY90/$B$8</f>
        <v>0.33099999999999996</v>
      </c>
      <c r="BB90" s="88">
        <v>21185</v>
      </c>
      <c r="BC90" s="76">
        <v>19437.3</v>
      </c>
      <c r="BD90" s="100">
        <f t="shared" si="419"/>
        <v>0.47499999999999998</v>
      </c>
      <c r="BE90" s="97">
        <f t="shared" si="420"/>
        <v>0.82799999999999996</v>
      </c>
      <c r="BG90" s="88">
        <v>1044.1679999999999</v>
      </c>
      <c r="BH90" s="114">
        <f>BG90/$B$10</f>
        <v>0.42400006497039783</v>
      </c>
      <c r="BI90" s="115">
        <v>948.59900000000005</v>
      </c>
      <c r="BJ90" s="114">
        <f>BI90/$B$11</f>
        <v>0.59029184816428126</v>
      </c>
      <c r="BK90" s="115">
        <v>1121.4780000000001</v>
      </c>
      <c r="BL90" s="114">
        <f t="shared" si="421"/>
        <v>0.5784392407674851</v>
      </c>
      <c r="BN90" s="111">
        <v>52500.305999999997</v>
      </c>
      <c r="BO90" s="114">
        <f t="shared" si="422"/>
        <v>0.75409836065573765</v>
      </c>
      <c r="BQ90" s="142">
        <v>17374.166000000001</v>
      </c>
      <c r="BR90" s="131">
        <v>0</v>
      </c>
      <c r="BS90" s="143">
        <v>0</v>
      </c>
      <c r="BT90" s="105">
        <f t="shared" si="423"/>
        <v>0.53294987730061349</v>
      </c>
      <c r="BU90" s="20">
        <f t="shared" si="424"/>
        <v>0</v>
      </c>
      <c r="BV90" s="2">
        <v>0</v>
      </c>
      <c r="BW90" s="2">
        <v>0</v>
      </c>
      <c r="BX90" s="2">
        <v>0</v>
      </c>
      <c r="BY90" s="2">
        <v>5106.0630000000001</v>
      </c>
      <c r="BZ90" s="105">
        <f t="shared" si="425"/>
        <v>0.37884426472770444</v>
      </c>
      <c r="CA90" s="20">
        <f t="shared" si="426"/>
        <v>0</v>
      </c>
      <c r="CB90" s="5">
        <v>10800</v>
      </c>
      <c r="CC90" s="5">
        <v>0</v>
      </c>
      <c r="CE90" s="108">
        <v>-700</v>
      </c>
      <c r="CF90" s="153">
        <f t="shared" si="427"/>
        <v>0</v>
      </c>
      <c r="CG90" s="153">
        <v>4485</v>
      </c>
      <c r="CH90" s="153">
        <f t="shared" si="427"/>
        <v>4485</v>
      </c>
      <c r="CI90" s="153">
        <v>0</v>
      </c>
      <c r="CJ90" s="153">
        <f t="shared" ref="CJ90:CL90" si="564">IF(CI90&gt;0,CI90,0)</f>
        <v>0</v>
      </c>
      <c r="CK90" s="153">
        <v>-5000</v>
      </c>
      <c r="CL90" s="153">
        <f t="shared" si="564"/>
        <v>0</v>
      </c>
      <c r="CM90" s="153">
        <v>-5300</v>
      </c>
      <c r="CN90" s="153">
        <f t="shared" ref="CN90:CP90" si="565">IF(CM90&gt;0,CM90,0)</f>
        <v>0</v>
      </c>
      <c r="CO90" s="153">
        <v>-4000</v>
      </c>
      <c r="CP90" s="153">
        <f t="shared" si="565"/>
        <v>0</v>
      </c>
      <c r="CQ90" s="153">
        <v>4800</v>
      </c>
      <c r="CR90" s="153">
        <f t="shared" ref="CR90:CT90" si="566">IF(CQ90&gt;0,CQ90,0)</f>
        <v>4800</v>
      </c>
      <c r="CS90" s="153">
        <v>7324.3135545300001</v>
      </c>
      <c r="CT90" s="153">
        <f t="shared" si="566"/>
        <v>7324.3135545300001</v>
      </c>
      <c r="CU90" s="107">
        <f t="shared" si="431"/>
        <v>16609.313554529999</v>
      </c>
      <c r="CW90" s="108">
        <v>-700</v>
      </c>
      <c r="CX90" s="153">
        <f t="shared" si="432"/>
        <v>700</v>
      </c>
      <c r="CY90" s="153">
        <v>4485</v>
      </c>
      <c r="CZ90" s="153">
        <f t="shared" si="432"/>
        <v>0</v>
      </c>
      <c r="DA90" s="153">
        <v>0</v>
      </c>
      <c r="DB90" s="153">
        <f t="shared" ref="DB90:DD90" si="567">IF(DA90&lt;0,-DA90,0)</f>
        <v>0</v>
      </c>
      <c r="DC90" s="153">
        <v>-5000</v>
      </c>
      <c r="DD90" s="153">
        <f t="shared" si="567"/>
        <v>5000</v>
      </c>
      <c r="DE90" s="153">
        <v>-5300</v>
      </c>
      <c r="DF90" s="153">
        <f t="shared" ref="DF90:DH90" si="568">IF(DE90&lt;0,-DE90,0)</f>
        <v>5300</v>
      </c>
      <c r="DG90" s="153">
        <v>-4000</v>
      </c>
      <c r="DH90" s="153">
        <f t="shared" si="568"/>
        <v>4000</v>
      </c>
      <c r="DI90" s="153">
        <v>4800</v>
      </c>
      <c r="DJ90" s="153">
        <f t="shared" ref="DJ90:DL90" si="569">IF(DI90&lt;0,-DI90,0)</f>
        <v>0</v>
      </c>
      <c r="DK90" s="153">
        <v>7324.3135545300001</v>
      </c>
      <c r="DL90" s="153">
        <f t="shared" si="569"/>
        <v>0</v>
      </c>
      <c r="DM90" s="107">
        <f t="shared" si="436"/>
        <v>15000</v>
      </c>
    </row>
    <row r="91" spans="13:117" s="5" customFormat="1" x14ac:dyDescent="0.35">
      <c r="M91" s="77">
        <f t="shared" si="437"/>
        <v>89</v>
      </c>
      <c r="N91" s="78">
        <v>0</v>
      </c>
      <c r="O91" s="79">
        <v>5.0999999999999997E-2</v>
      </c>
      <c r="P91" s="79">
        <v>0.157</v>
      </c>
      <c r="Q91" s="79">
        <v>43600.135999999999</v>
      </c>
      <c r="R91" s="79">
        <v>1519.23474126</v>
      </c>
      <c r="S91" s="79">
        <f t="shared" si="408"/>
        <v>45119.370741259998</v>
      </c>
      <c r="T91" s="78">
        <v>0</v>
      </c>
      <c r="U91" s="79">
        <v>1.3000000000000001E-2</v>
      </c>
      <c r="V91" s="79">
        <v>0.26700000000000002</v>
      </c>
      <c r="W91" s="79">
        <v>0.35600000000000004</v>
      </c>
      <c r="X91" s="79">
        <f t="shared" si="409"/>
        <v>0.623</v>
      </c>
      <c r="Y91" s="79">
        <v>6566.5119999999997</v>
      </c>
      <c r="Z91" s="79">
        <v>0</v>
      </c>
      <c r="AA91" s="80">
        <f t="shared" si="410"/>
        <v>6566.5119999999997</v>
      </c>
      <c r="AB91" s="79"/>
      <c r="AC91" s="88">
        <v>15687</v>
      </c>
      <c r="AD91" s="94">
        <f t="shared" si="411"/>
        <v>0.189</v>
      </c>
      <c r="AE91" s="89">
        <v>245.05500000000001</v>
      </c>
      <c r="AF91" s="94">
        <f t="shared" si="412"/>
        <v>5.1000000000000004E-2</v>
      </c>
      <c r="AG91" s="89">
        <v>4710</v>
      </c>
      <c r="AH91" s="94">
        <f t="shared" si="413"/>
        <v>0.157</v>
      </c>
      <c r="AI91" s="89">
        <v>2257.3773999999999</v>
      </c>
      <c r="AJ91" s="94">
        <f>AI91/$B$6</f>
        <v>0.15699999999999997</v>
      </c>
      <c r="AK91" s="89">
        <v>1072.2489</v>
      </c>
      <c r="AL91" s="94">
        <f>AK91/$B$7</f>
        <v>0.11100000000000002</v>
      </c>
      <c r="AM91" s="89">
        <v>2982.36</v>
      </c>
      <c r="AN91" s="94">
        <f t="shared" si="414"/>
        <v>5.8000000000000003E-2</v>
      </c>
      <c r="AO91" s="89">
        <v>1945.4736</v>
      </c>
      <c r="AP91" s="94">
        <f t="shared" si="415"/>
        <v>4.1999999999999996E-2</v>
      </c>
      <c r="AQ91" s="79"/>
      <c r="AR91" s="88">
        <v>18867.957600000002</v>
      </c>
      <c r="AS91" s="76">
        <v>1761.8</v>
      </c>
      <c r="AT91" s="88">
        <v>383</v>
      </c>
      <c r="AU91" s="100">
        <f t="shared" si="416"/>
        <v>0.21200000000000002</v>
      </c>
      <c r="AV91" s="100">
        <f t="shared" si="417"/>
        <v>0.76600000000000001</v>
      </c>
      <c r="AW91" s="100">
        <f t="shared" si="418"/>
        <v>0.76600000000000001</v>
      </c>
      <c r="AX91" s="94">
        <v>172.482</v>
      </c>
      <c r="AY91" s="76">
        <v>4145.1216000000004</v>
      </c>
      <c r="AZ91" s="100">
        <f>AX91/$B$9</f>
        <v>0.26700000000000002</v>
      </c>
      <c r="BA91" s="97">
        <f>AY91/$B$8</f>
        <v>0.35600000000000004</v>
      </c>
      <c r="BB91" s="88">
        <v>25957.200000000001</v>
      </c>
      <c r="BC91" s="76">
        <v>19390.349999999999</v>
      </c>
      <c r="BD91" s="100">
        <f t="shared" si="419"/>
        <v>0.58199999999999996</v>
      </c>
      <c r="BE91" s="97">
        <f t="shared" si="420"/>
        <v>0.82599999999999996</v>
      </c>
      <c r="BG91" s="88">
        <v>1046.6300000000001</v>
      </c>
      <c r="BH91" s="114">
        <f>BG91/$B$10</f>
        <v>0.42499979696750673</v>
      </c>
      <c r="BI91" s="115">
        <v>956.87599999999998</v>
      </c>
      <c r="BJ91" s="114">
        <f>BI91/$B$11</f>
        <v>0.59544243932794028</v>
      </c>
      <c r="BK91" s="115">
        <v>1121.4780000000001</v>
      </c>
      <c r="BL91" s="114">
        <f t="shared" si="421"/>
        <v>0.5784392407674851</v>
      </c>
      <c r="BN91" s="111">
        <v>52500.305999999997</v>
      </c>
      <c r="BO91" s="114">
        <f t="shared" si="422"/>
        <v>0.75409836065573765</v>
      </c>
      <c r="BQ91" s="142">
        <v>14653.295</v>
      </c>
      <c r="BR91" s="131">
        <v>0</v>
      </c>
      <c r="BS91" s="143">
        <v>0</v>
      </c>
      <c r="BT91" s="105">
        <f t="shared" si="423"/>
        <v>0.44948757668711659</v>
      </c>
      <c r="BU91" s="20">
        <f t="shared" si="424"/>
        <v>0</v>
      </c>
      <c r="BV91" s="2">
        <v>0</v>
      </c>
      <c r="BW91" s="2">
        <v>0</v>
      </c>
      <c r="BX91" s="2">
        <v>0</v>
      </c>
      <c r="BY91" s="2">
        <v>4271.7520000000004</v>
      </c>
      <c r="BZ91" s="105">
        <f t="shared" si="425"/>
        <v>0.3169425730820597</v>
      </c>
      <c r="CA91" s="20">
        <f t="shared" si="426"/>
        <v>0</v>
      </c>
      <c r="CB91" s="5">
        <v>10800</v>
      </c>
      <c r="CC91" s="5">
        <v>917.20559321999997</v>
      </c>
      <c r="CE91" s="108">
        <v>-700</v>
      </c>
      <c r="CF91" s="153">
        <f t="shared" si="427"/>
        <v>0</v>
      </c>
      <c r="CG91" s="153">
        <v>4485</v>
      </c>
      <c r="CH91" s="153">
        <f t="shared" si="427"/>
        <v>4485</v>
      </c>
      <c r="CI91" s="153">
        <v>0</v>
      </c>
      <c r="CJ91" s="153">
        <f t="shared" ref="CJ91:CL91" si="570">IF(CI91&gt;0,CI91,0)</f>
        <v>0</v>
      </c>
      <c r="CK91" s="153">
        <v>-5000</v>
      </c>
      <c r="CL91" s="153">
        <f t="shared" si="570"/>
        <v>0</v>
      </c>
      <c r="CM91" s="153">
        <v>-5300</v>
      </c>
      <c r="CN91" s="153">
        <f t="shared" ref="CN91:CP91" si="571">IF(CM91&gt;0,CM91,0)</f>
        <v>0</v>
      </c>
      <c r="CO91" s="153">
        <v>-4000</v>
      </c>
      <c r="CP91" s="153">
        <f t="shared" si="571"/>
        <v>0</v>
      </c>
      <c r="CQ91" s="153">
        <v>-4800</v>
      </c>
      <c r="CR91" s="153">
        <f t="shared" ref="CR91:CT91" si="572">IF(CQ91&gt;0,CQ91,0)</f>
        <v>0</v>
      </c>
      <c r="CS91" s="153">
        <v>7495.7129475299998</v>
      </c>
      <c r="CT91" s="153">
        <f t="shared" si="572"/>
        <v>7495.7129475299998</v>
      </c>
      <c r="CU91" s="107">
        <f t="shared" si="431"/>
        <v>11980.712947529999</v>
      </c>
      <c r="CW91" s="108">
        <v>-700</v>
      </c>
      <c r="CX91" s="153">
        <f t="shared" si="432"/>
        <v>700</v>
      </c>
      <c r="CY91" s="153">
        <v>4485</v>
      </c>
      <c r="CZ91" s="153">
        <f t="shared" si="432"/>
        <v>0</v>
      </c>
      <c r="DA91" s="153">
        <v>0</v>
      </c>
      <c r="DB91" s="153">
        <f t="shared" ref="DB91:DD91" si="573">IF(DA91&lt;0,-DA91,0)</f>
        <v>0</v>
      </c>
      <c r="DC91" s="153">
        <v>-5000</v>
      </c>
      <c r="DD91" s="153">
        <f t="shared" si="573"/>
        <v>5000</v>
      </c>
      <c r="DE91" s="153">
        <v>-5300</v>
      </c>
      <c r="DF91" s="153">
        <f t="shared" ref="DF91:DH91" si="574">IF(DE91&lt;0,-DE91,0)</f>
        <v>5300</v>
      </c>
      <c r="DG91" s="153">
        <v>-4000</v>
      </c>
      <c r="DH91" s="153">
        <f t="shared" si="574"/>
        <v>4000</v>
      </c>
      <c r="DI91" s="153">
        <v>-4800</v>
      </c>
      <c r="DJ91" s="153">
        <f t="shared" ref="DJ91:DL91" si="575">IF(DI91&lt;0,-DI91,0)</f>
        <v>4800</v>
      </c>
      <c r="DK91" s="153">
        <v>7495.7129475299998</v>
      </c>
      <c r="DL91" s="153">
        <f t="shared" si="575"/>
        <v>0</v>
      </c>
      <c r="DM91" s="107">
        <f t="shared" si="436"/>
        <v>19800</v>
      </c>
    </row>
    <row r="92" spans="13:117" s="5" customFormat="1" x14ac:dyDescent="0.35">
      <c r="M92" s="77">
        <f t="shared" si="437"/>
        <v>90</v>
      </c>
      <c r="N92" s="78">
        <v>0</v>
      </c>
      <c r="O92" s="79">
        <v>0</v>
      </c>
      <c r="P92" s="79">
        <v>5.0999999999999997E-2</v>
      </c>
      <c r="Q92" s="79">
        <v>45774.112000000001</v>
      </c>
      <c r="R92" s="79">
        <v>1612.3495110399999</v>
      </c>
      <c r="S92" s="79">
        <f t="shared" si="408"/>
        <v>47386.461511040005</v>
      </c>
      <c r="T92" s="78">
        <v>0</v>
      </c>
      <c r="U92" s="79">
        <v>0</v>
      </c>
      <c r="V92" s="79">
        <v>0.316</v>
      </c>
      <c r="W92" s="79">
        <v>0.22</v>
      </c>
      <c r="X92" s="79">
        <f t="shared" si="409"/>
        <v>0.53600000000000003</v>
      </c>
      <c r="Y92" s="79">
        <v>7042.9809999999998</v>
      </c>
      <c r="Z92" s="79">
        <v>0</v>
      </c>
      <c r="AA92" s="80">
        <f t="shared" si="410"/>
        <v>7042.9809999999998</v>
      </c>
      <c r="AB92" s="79"/>
      <c r="AC92" s="88">
        <v>4316</v>
      </c>
      <c r="AD92" s="94">
        <f t="shared" si="411"/>
        <v>5.1999999999999998E-2</v>
      </c>
      <c r="AE92" s="89">
        <v>0</v>
      </c>
      <c r="AF92" s="94">
        <f t="shared" si="412"/>
        <v>0</v>
      </c>
      <c r="AG92" s="89">
        <v>1530</v>
      </c>
      <c r="AH92" s="94">
        <f t="shared" si="413"/>
        <v>5.0999999999999997E-2</v>
      </c>
      <c r="AI92" s="89">
        <v>920.20479999999998</v>
      </c>
      <c r="AJ92" s="94">
        <f>AI92/$B$6</f>
        <v>6.4000000000000001E-2</v>
      </c>
      <c r="AK92" s="89">
        <v>357.41629999999998</v>
      </c>
      <c r="AL92" s="94">
        <f>AK92/$B$7</f>
        <v>3.6999999999999998E-2</v>
      </c>
      <c r="AM92" s="89">
        <v>0</v>
      </c>
      <c r="AN92" s="94">
        <f t="shared" si="414"/>
        <v>0</v>
      </c>
      <c r="AO92" s="89">
        <v>0</v>
      </c>
      <c r="AP92" s="94">
        <f t="shared" si="415"/>
        <v>0</v>
      </c>
      <c r="AQ92" s="79"/>
      <c r="AR92" s="88">
        <v>18244.958999999999</v>
      </c>
      <c r="AS92" s="76">
        <v>1814.7</v>
      </c>
      <c r="AT92" s="88">
        <v>394.5</v>
      </c>
      <c r="AU92" s="100">
        <f t="shared" si="416"/>
        <v>0.20499999999999999</v>
      </c>
      <c r="AV92" s="100">
        <f t="shared" si="417"/>
        <v>0.78900000000000003</v>
      </c>
      <c r="AW92" s="100">
        <f t="shared" si="418"/>
        <v>0.78900000000000003</v>
      </c>
      <c r="AX92" s="94">
        <v>204.136</v>
      </c>
      <c r="AY92" s="76">
        <v>2561.5920000000001</v>
      </c>
      <c r="AZ92" s="100">
        <f>AX92/$B$9</f>
        <v>0.316</v>
      </c>
      <c r="BA92" s="97">
        <f>AY92/$B$8</f>
        <v>0.22</v>
      </c>
      <c r="BB92" s="88">
        <v>29302.2</v>
      </c>
      <c r="BC92" s="76">
        <v>19132.125</v>
      </c>
      <c r="BD92" s="100">
        <f t="shared" si="419"/>
        <v>0.65700000000000003</v>
      </c>
      <c r="BE92" s="97">
        <f t="shared" si="420"/>
        <v>0.81499999999999995</v>
      </c>
      <c r="BG92" s="88">
        <v>1105.7339999999999</v>
      </c>
      <c r="BH92" s="114">
        <f>BG92/$B$10</f>
        <v>0.44899986193790453</v>
      </c>
      <c r="BI92" s="115">
        <v>967.40800000000002</v>
      </c>
      <c r="BJ92" s="114">
        <f>BI92/$B$11</f>
        <v>0.60199626633478531</v>
      </c>
      <c r="BK92" s="115">
        <v>1121.4780000000001</v>
      </c>
      <c r="BL92" s="114">
        <f t="shared" si="421"/>
        <v>0.5784392407674851</v>
      </c>
      <c r="BN92" s="111">
        <v>52500.305999999997</v>
      </c>
      <c r="BO92" s="114">
        <f t="shared" si="422"/>
        <v>0.75409836065573765</v>
      </c>
      <c r="BQ92" s="142">
        <v>9738.6059999999998</v>
      </c>
      <c r="BR92" s="131">
        <v>0</v>
      </c>
      <c r="BS92" s="143">
        <v>0</v>
      </c>
      <c r="BT92" s="105">
        <f t="shared" si="423"/>
        <v>0.29873024539877302</v>
      </c>
      <c r="BU92" s="20">
        <f t="shared" si="424"/>
        <v>0</v>
      </c>
      <c r="BV92" s="2">
        <v>0</v>
      </c>
      <c r="BW92" s="2">
        <v>0</v>
      </c>
      <c r="BX92" s="2">
        <v>0</v>
      </c>
      <c r="BY92" s="2">
        <v>3747.6970000000001</v>
      </c>
      <c r="BZ92" s="105">
        <f t="shared" si="425"/>
        <v>0.2780603205223327</v>
      </c>
      <c r="CA92" s="20">
        <f t="shared" si="426"/>
        <v>0</v>
      </c>
      <c r="CB92" s="5">
        <v>10800</v>
      </c>
      <c r="CC92" s="5">
        <v>642.41686082000001</v>
      </c>
      <c r="CE92" s="108">
        <v>-700</v>
      </c>
      <c r="CF92" s="153">
        <f t="shared" si="427"/>
        <v>0</v>
      </c>
      <c r="CG92" s="153">
        <v>4485</v>
      </c>
      <c r="CH92" s="153">
        <f t="shared" si="427"/>
        <v>4485</v>
      </c>
      <c r="CI92" s="153">
        <v>0</v>
      </c>
      <c r="CJ92" s="153">
        <f t="shared" ref="CJ92:CL92" si="576">IF(CI92&gt;0,CI92,0)</f>
        <v>0</v>
      </c>
      <c r="CK92" s="153">
        <v>-5000</v>
      </c>
      <c r="CL92" s="153">
        <f t="shared" si="576"/>
        <v>0</v>
      </c>
      <c r="CM92" s="153">
        <v>-5300</v>
      </c>
      <c r="CN92" s="153">
        <f t="shared" ref="CN92:CP92" si="577">IF(CM92&gt;0,CM92,0)</f>
        <v>0</v>
      </c>
      <c r="CO92" s="153">
        <v>-4000</v>
      </c>
      <c r="CP92" s="153">
        <f t="shared" si="577"/>
        <v>0</v>
      </c>
      <c r="CQ92" s="153">
        <v>-4800</v>
      </c>
      <c r="CR92" s="153">
        <f t="shared" ref="CR92:CT92" si="578">IF(CQ92&gt;0,CQ92,0)</f>
        <v>0</v>
      </c>
      <c r="CS92" s="153">
        <v>9416.23659787</v>
      </c>
      <c r="CT92" s="153">
        <f t="shared" si="578"/>
        <v>9416.23659787</v>
      </c>
      <c r="CU92" s="107">
        <f t="shared" si="431"/>
        <v>13901.23659787</v>
      </c>
      <c r="CW92" s="108">
        <v>-700</v>
      </c>
      <c r="CX92" s="153">
        <f t="shared" si="432"/>
        <v>700</v>
      </c>
      <c r="CY92" s="153">
        <v>4485</v>
      </c>
      <c r="CZ92" s="153">
        <f t="shared" si="432"/>
        <v>0</v>
      </c>
      <c r="DA92" s="153">
        <v>0</v>
      </c>
      <c r="DB92" s="153">
        <f t="shared" ref="DB92:DD92" si="579">IF(DA92&lt;0,-DA92,0)</f>
        <v>0</v>
      </c>
      <c r="DC92" s="153">
        <v>-5000</v>
      </c>
      <c r="DD92" s="153">
        <f t="shared" si="579"/>
        <v>5000</v>
      </c>
      <c r="DE92" s="153">
        <v>-5300</v>
      </c>
      <c r="DF92" s="153">
        <f t="shared" ref="DF92:DH92" si="580">IF(DE92&lt;0,-DE92,0)</f>
        <v>5300</v>
      </c>
      <c r="DG92" s="153">
        <v>-4000</v>
      </c>
      <c r="DH92" s="153">
        <f t="shared" si="580"/>
        <v>4000</v>
      </c>
      <c r="DI92" s="153">
        <v>-4800</v>
      </c>
      <c r="DJ92" s="153">
        <f t="shared" ref="DJ92:DL92" si="581">IF(DI92&lt;0,-DI92,0)</f>
        <v>4800</v>
      </c>
      <c r="DK92" s="153">
        <v>9416.23659787</v>
      </c>
      <c r="DL92" s="153">
        <f t="shared" si="581"/>
        <v>0</v>
      </c>
      <c r="DM92" s="107">
        <f t="shared" si="436"/>
        <v>19800</v>
      </c>
    </row>
    <row r="93" spans="13:117" s="5" customFormat="1" x14ac:dyDescent="0.35">
      <c r="M93" s="77">
        <f t="shared" si="437"/>
        <v>91</v>
      </c>
      <c r="N93" s="78">
        <v>0</v>
      </c>
      <c r="O93" s="79">
        <v>0</v>
      </c>
      <c r="P93" s="79">
        <v>0</v>
      </c>
      <c r="Q93" s="79">
        <v>46985.129000000001</v>
      </c>
      <c r="R93" s="79">
        <v>1737.9622810000001</v>
      </c>
      <c r="S93" s="79">
        <f t="shared" si="408"/>
        <v>48723.091281000001</v>
      </c>
      <c r="T93" s="78">
        <v>0</v>
      </c>
      <c r="U93" s="79">
        <v>0</v>
      </c>
      <c r="V93" s="79">
        <v>0.36399999999999999</v>
      </c>
      <c r="W93" s="79">
        <v>0.16499999999999998</v>
      </c>
      <c r="X93" s="79">
        <f t="shared" si="409"/>
        <v>0.52899999999999991</v>
      </c>
      <c r="Y93" s="79">
        <v>7434.8710000000001</v>
      </c>
      <c r="Z93" s="79">
        <v>0</v>
      </c>
      <c r="AA93" s="80">
        <f t="shared" si="410"/>
        <v>7434.8710000000001</v>
      </c>
      <c r="AB93" s="79"/>
      <c r="AC93" s="88">
        <v>0</v>
      </c>
      <c r="AD93" s="94">
        <f t="shared" si="411"/>
        <v>0</v>
      </c>
      <c r="AE93" s="89">
        <v>0</v>
      </c>
      <c r="AF93" s="94">
        <f t="shared" si="412"/>
        <v>0</v>
      </c>
      <c r="AG93" s="89">
        <v>0</v>
      </c>
      <c r="AH93" s="94">
        <f t="shared" si="413"/>
        <v>0</v>
      </c>
      <c r="AI93" s="89">
        <v>0</v>
      </c>
      <c r="AJ93" s="94">
        <f>AI93/$B$6</f>
        <v>0</v>
      </c>
      <c r="AK93" s="89">
        <v>0</v>
      </c>
      <c r="AL93" s="94">
        <f>AK93/$B$7</f>
        <v>0</v>
      </c>
      <c r="AM93" s="89">
        <v>0</v>
      </c>
      <c r="AN93" s="94">
        <f t="shared" si="414"/>
        <v>0</v>
      </c>
      <c r="AO93" s="89">
        <v>0</v>
      </c>
      <c r="AP93" s="94">
        <f t="shared" si="415"/>
        <v>0</v>
      </c>
      <c r="AQ93" s="79"/>
      <c r="AR93" s="88">
        <v>19846.955399999999</v>
      </c>
      <c r="AS93" s="76">
        <v>1846.9</v>
      </c>
      <c r="AT93" s="88">
        <v>401.5</v>
      </c>
      <c r="AU93" s="100">
        <f t="shared" si="416"/>
        <v>0.22299999999999998</v>
      </c>
      <c r="AV93" s="100">
        <f t="shared" si="417"/>
        <v>0.80300000000000005</v>
      </c>
      <c r="AW93" s="100">
        <f t="shared" si="418"/>
        <v>0.80300000000000005</v>
      </c>
      <c r="AX93" s="94">
        <v>235.14400000000001</v>
      </c>
      <c r="AY93" s="76">
        <v>1921.194</v>
      </c>
      <c r="AZ93" s="100">
        <f>AX93/$B$9</f>
        <v>0.36399999999999999</v>
      </c>
      <c r="BA93" s="97">
        <f>AY93/$B$8</f>
        <v>0.16499999999999998</v>
      </c>
      <c r="BB93" s="88">
        <v>31666</v>
      </c>
      <c r="BC93" s="76">
        <v>18920.849999999999</v>
      </c>
      <c r="BD93" s="100">
        <f t="shared" si="419"/>
        <v>0.71</v>
      </c>
      <c r="BE93" s="97">
        <f t="shared" si="420"/>
        <v>0.80599999999999994</v>
      </c>
      <c r="BG93" s="88">
        <v>1120.51</v>
      </c>
      <c r="BH93" s="114">
        <f>BG93/$B$10</f>
        <v>0.45499987818050402</v>
      </c>
      <c r="BI93" s="115">
        <v>981.17399999999998</v>
      </c>
      <c r="BJ93" s="114">
        <f>BI93/$B$11</f>
        <v>0.61056253889234602</v>
      </c>
      <c r="BK93" s="115">
        <v>1121.4780000000001</v>
      </c>
      <c r="BL93" s="114">
        <f t="shared" si="421"/>
        <v>0.5784392407674851</v>
      </c>
      <c r="BN93" s="111">
        <v>52500.305999999997</v>
      </c>
      <c r="BO93" s="114">
        <f t="shared" si="422"/>
        <v>0.75409836065573765</v>
      </c>
      <c r="BQ93" s="142">
        <v>8463.0460000000003</v>
      </c>
      <c r="BR93" s="131">
        <v>0</v>
      </c>
      <c r="BS93" s="143">
        <v>0</v>
      </c>
      <c r="BT93" s="105">
        <f t="shared" si="423"/>
        <v>0.25960263803680983</v>
      </c>
      <c r="BU93" s="20">
        <f t="shared" si="424"/>
        <v>0</v>
      </c>
      <c r="BV93" s="2">
        <v>0</v>
      </c>
      <c r="BW93" s="2">
        <v>0</v>
      </c>
      <c r="BX93" s="2">
        <v>0</v>
      </c>
      <c r="BY93" s="2">
        <v>3656.56</v>
      </c>
      <c r="BZ93" s="105">
        <f t="shared" si="425"/>
        <v>0.27129841222733342</v>
      </c>
      <c r="CA93" s="20">
        <f t="shared" si="426"/>
        <v>0</v>
      </c>
      <c r="CB93" s="5">
        <v>10800</v>
      </c>
      <c r="CC93" s="5">
        <v>916.55787221000003</v>
      </c>
      <c r="CE93" s="108">
        <v>-700</v>
      </c>
      <c r="CF93" s="153">
        <f t="shared" si="427"/>
        <v>0</v>
      </c>
      <c r="CG93" s="153">
        <v>4485</v>
      </c>
      <c r="CH93" s="153">
        <f t="shared" si="427"/>
        <v>4485</v>
      </c>
      <c r="CI93" s="153">
        <v>0</v>
      </c>
      <c r="CJ93" s="153">
        <f t="shared" ref="CJ93:CL93" si="582">IF(CI93&gt;0,CI93,0)</f>
        <v>0</v>
      </c>
      <c r="CK93" s="153">
        <v>-5000</v>
      </c>
      <c r="CL93" s="153">
        <f t="shared" si="582"/>
        <v>0</v>
      </c>
      <c r="CM93" s="153">
        <v>-5300</v>
      </c>
      <c r="CN93" s="153">
        <f t="shared" ref="CN93:CP93" si="583">IF(CM93&gt;0,CM93,0)</f>
        <v>0</v>
      </c>
      <c r="CO93" s="153">
        <v>-4000</v>
      </c>
      <c r="CP93" s="153">
        <f t="shared" si="583"/>
        <v>0</v>
      </c>
      <c r="CQ93" s="153">
        <v>-4800</v>
      </c>
      <c r="CR93" s="153">
        <f t="shared" ref="CR93:CT93" si="584">IF(CQ93&gt;0,CQ93,0)</f>
        <v>0</v>
      </c>
      <c r="CS93" s="153">
        <v>9686.1022140200002</v>
      </c>
      <c r="CT93" s="153">
        <f t="shared" si="584"/>
        <v>9686.1022140200002</v>
      </c>
      <c r="CU93" s="107">
        <f t="shared" si="431"/>
        <v>14171.10221402</v>
      </c>
      <c r="CW93" s="108">
        <v>-700</v>
      </c>
      <c r="CX93" s="153">
        <f t="shared" si="432"/>
        <v>700</v>
      </c>
      <c r="CY93" s="153">
        <v>4485</v>
      </c>
      <c r="CZ93" s="153">
        <f t="shared" si="432"/>
        <v>0</v>
      </c>
      <c r="DA93" s="153">
        <v>0</v>
      </c>
      <c r="DB93" s="153">
        <f t="shared" ref="DB93:DD93" si="585">IF(DA93&lt;0,-DA93,0)</f>
        <v>0</v>
      </c>
      <c r="DC93" s="153">
        <v>-5000</v>
      </c>
      <c r="DD93" s="153">
        <f t="shared" si="585"/>
        <v>5000</v>
      </c>
      <c r="DE93" s="153">
        <v>-5300</v>
      </c>
      <c r="DF93" s="153">
        <f t="shared" ref="DF93:DH93" si="586">IF(DE93&lt;0,-DE93,0)</f>
        <v>5300</v>
      </c>
      <c r="DG93" s="153">
        <v>-4000</v>
      </c>
      <c r="DH93" s="153">
        <f t="shared" si="586"/>
        <v>4000</v>
      </c>
      <c r="DI93" s="153">
        <v>-4800</v>
      </c>
      <c r="DJ93" s="153">
        <f t="shared" ref="DJ93:DL93" si="587">IF(DI93&lt;0,-DI93,0)</f>
        <v>4800</v>
      </c>
      <c r="DK93" s="153">
        <v>9686.1022140200002</v>
      </c>
      <c r="DL93" s="153">
        <f t="shared" si="587"/>
        <v>0</v>
      </c>
      <c r="DM93" s="107">
        <f t="shared" si="436"/>
        <v>19800</v>
      </c>
    </row>
    <row r="94" spans="13:117" s="5" customFormat="1" x14ac:dyDescent="0.35">
      <c r="M94" s="77">
        <f t="shared" si="437"/>
        <v>92</v>
      </c>
      <c r="N94" s="78">
        <v>0</v>
      </c>
      <c r="O94" s="79">
        <v>0</v>
      </c>
      <c r="P94" s="79">
        <v>0</v>
      </c>
      <c r="Q94" s="79">
        <v>46543.966999999997</v>
      </c>
      <c r="R94" s="79">
        <v>1877.1197350899999</v>
      </c>
      <c r="S94" s="79">
        <f t="shared" si="408"/>
        <v>48421.086735089993</v>
      </c>
      <c r="T94" s="78">
        <v>0</v>
      </c>
      <c r="U94" s="79">
        <v>0</v>
      </c>
      <c r="V94" s="79">
        <v>0.38800000000000001</v>
      </c>
      <c r="W94" s="79">
        <v>0.14599999999999999</v>
      </c>
      <c r="X94" s="79">
        <f t="shared" si="409"/>
        <v>0.53400000000000003</v>
      </c>
      <c r="Y94" s="79">
        <v>7515.1890000000003</v>
      </c>
      <c r="Z94" s="79">
        <v>0</v>
      </c>
      <c r="AA94" s="80">
        <f t="shared" si="410"/>
        <v>7515.1890000000003</v>
      </c>
      <c r="AB94" s="79"/>
      <c r="AC94" s="88">
        <v>0</v>
      </c>
      <c r="AD94" s="94">
        <f t="shared" si="411"/>
        <v>0</v>
      </c>
      <c r="AE94" s="89">
        <v>0</v>
      </c>
      <c r="AF94" s="94">
        <f t="shared" si="412"/>
        <v>0</v>
      </c>
      <c r="AG94" s="89">
        <v>0</v>
      </c>
      <c r="AH94" s="94">
        <f t="shared" si="413"/>
        <v>0</v>
      </c>
      <c r="AI94" s="89">
        <v>0</v>
      </c>
      <c r="AJ94" s="94">
        <f>AI94/$B$6</f>
        <v>0</v>
      </c>
      <c r="AK94" s="89">
        <v>0</v>
      </c>
      <c r="AL94" s="94">
        <f>AK94/$B$7</f>
        <v>0</v>
      </c>
      <c r="AM94" s="89">
        <v>0</v>
      </c>
      <c r="AN94" s="94">
        <f t="shared" si="414"/>
        <v>0</v>
      </c>
      <c r="AO94" s="89">
        <v>0</v>
      </c>
      <c r="AP94" s="94">
        <f t="shared" si="415"/>
        <v>0</v>
      </c>
      <c r="AQ94" s="79"/>
      <c r="AR94" s="88">
        <v>22694.949000000001</v>
      </c>
      <c r="AS94" s="76">
        <v>1872.2</v>
      </c>
      <c r="AT94" s="88">
        <v>407</v>
      </c>
      <c r="AU94" s="100">
        <f t="shared" si="416"/>
        <v>0.255</v>
      </c>
      <c r="AV94" s="100">
        <f t="shared" si="417"/>
        <v>0.81400000000000006</v>
      </c>
      <c r="AW94" s="100">
        <f t="shared" si="418"/>
        <v>0.81399999999999995</v>
      </c>
      <c r="AX94" s="94">
        <v>250.648</v>
      </c>
      <c r="AY94" s="76">
        <v>1699.9656</v>
      </c>
      <c r="AZ94" s="100">
        <f>AX94/$B$9</f>
        <v>0.38800000000000001</v>
      </c>
      <c r="BA94" s="97">
        <f>AY94/$B$8</f>
        <v>0.14599999999999999</v>
      </c>
      <c r="BB94" s="88">
        <v>33405.4</v>
      </c>
      <c r="BC94" s="76">
        <v>18897.375</v>
      </c>
      <c r="BD94" s="100">
        <f t="shared" si="419"/>
        <v>0.749</v>
      </c>
      <c r="BE94" s="97">
        <f t="shared" si="420"/>
        <v>0.80500000000000005</v>
      </c>
      <c r="BG94" s="88">
        <v>1150.0619999999999</v>
      </c>
      <c r="BH94" s="114">
        <f>BG94/$B$10</f>
        <v>0.4669999106657029</v>
      </c>
      <c r="BI94" s="115">
        <v>996.35</v>
      </c>
      <c r="BJ94" s="114">
        <f>BI94/$B$11</f>
        <v>0.62000622277535777</v>
      </c>
      <c r="BK94" s="115">
        <v>1121.4780000000001</v>
      </c>
      <c r="BL94" s="114">
        <f t="shared" si="421"/>
        <v>0.5784392407674851</v>
      </c>
      <c r="BN94" s="111">
        <v>52500.305999999997</v>
      </c>
      <c r="BO94" s="114">
        <f t="shared" si="422"/>
        <v>0.75409836065573765</v>
      </c>
      <c r="BQ94" s="142">
        <v>9679.9539999999997</v>
      </c>
      <c r="BR94" s="131">
        <v>0</v>
      </c>
      <c r="BS94" s="143">
        <v>0</v>
      </c>
      <c r="BT94" s="105">
        <f t="shared" si="423"/>
        <v>0.2969311042944785</v>
      </c>
      <c r="BU94" s="20">
        <f t="shared" si="424"/>
        <v>0</v>
      </c>
      <c r="BV94" s="2">
        <v>0</v>
      </c>
      <c r="BW94" s="2">
        <v>0</v>
      </c>
      <c r="BX94" s="2">
        <v>0</v>
      </c>
      <c r="BY94" s="2">
        <v>3895.739</v>
      </c>
      <c r="BZ94" s="105">
        <f t="shared" si="425"/>
        <v>0.28904429440569818</v>
      </c>
      <c r="CA94" s="20">
        <f t="shared" si="426"/>
        <v>0</v>
      </c>
      <c r="CB94" s="5">
        <v>10800</v>
      </c>
      <c r="CC94" s="5">
        <v>915.91015120999998</v>
      </c>
      <c r="CE94" s="108">
        <v>-700</v>
      </c>
      <c r="CF94" s="153">
        <f t="shared" si="427"/>
        <v>0</v>
      </c>
      <c r="CG94" s="153">
        <v>4485</v>
      </c>
      <c r="CH94" s="153">
        <f t="shared" si="427"/>
        <v>4485</v>
      </c>
      <c r="CI94" s="153">
        <v>0</v>
      </c>
      <c r="CJ94" s="153">
        <f t="shared" ref="CJ94:CL94" si="588">IF(CI94&gt;0,CI94,0)</f>
        <v>0</v>
      </c>
      <c r="CK94" s="153">
        <v>-5000</v>
      </c>
      <c r="CL94" s="153">
        <f t="shared" si="588"/>
        <v>0</v>
      </c>
      <c r="CM94" s="153">
        <v>-5300</v>
      </c>
      <c r="CN94" s="153">
        <f t="shared" ref="CN94:CP94" si="589">IF(CM94&gt;0,CM94,0)</f>
        <v>0</v>
      </c>
      <c r="CO94" s="153">
        <v>-4000</v>
      </c>
      <c r="CP94" s="153">
        <f t="shared" si="589"/>
        <v>0</v>
      </c>
      <c r="CQ94" s="153">
        <v>-4800</v>
      </c>
      <c r="CR94" s="153">
        <f t="shared" ref="CR94:CT94" si="590">IF(CQ94&gt;0,CQ94,0)</f>
        <v>0</v>
      </c>
      <c r="CS94" s="153">
        <v>9849.5550667299995</v>
      </c>
      <c r="CT94" s="153">
        <f t="shared" si="590"/>
        <v>9849.5550667299995</v>
      </c>
      <c r="CU94" s="107">
        <f t="shared" si="431"/>
        <v>14334.555066729999</v>
      </c>
      <c r="CW94" s="108">
        <v>-700</v>
      </c>
      <c r="CX94" s="153">
        <f t="shared" si="432"/>
        <v>700</v>
      </c>
      <c r="CY94" s="153">
        <v>4485</v>
      </c>
      <c r="CZ94" s="153">
        <f t="shared" si="432"/>
        <v>0</v>
      </c>
      <c r="DA94" s="153">
        <v>0</v>
      </c>
      <c r="DB94" s="153">
        <f t="shared" ref="DB94:DD94" si="591">IF(DA94&lt;0,-DA94,0)</f>
        <v>0</v>
      </c>
      <c r="DC94" s="153">
        <v>-5000</v>
      </c>
      <c r="DD94" s="153">
        <f t="shared" si="591"/>
        <v>5000</v>
      </c>
      <c r="DE94" s="153">
        <v>-5300</v>
      </c>
      <c r="DF94" s="153">
        <f t="shared" ref="DF94:DH94" si="592">IF(DE94&lt;0,-DE94,0)</f>
        <v>5300</v>
      </c>
      <c r="DG94" s="153">
        <v>-4000</v>
      </c>
      <c r="DH94" s="153">
        <f t="shared" si="592"/>
        <v>4000</v>
      </c>
      <c r="DI94" s="153">
        <v>-4800</v>
      </c>
      <c r="DJ94" s="153">
        <f t="shared" ref="DJ94:DL94" si="593">IF(DI94&lt;0,-DI94,0)</f>
        <v>4800</v>
      </c>
      <c r="DK94" s="153">
        <v>9849.5550667299995</v>
      </c>
      <c r="DL94" s="153">
        <f t="shared" si="593"/>
        <v>0</v>
      </c>
      <c r="DM94" s="107">
        <f t="shared" si="436"/>
        <v>19800</v>
      </c>
    </row>
    <row r="95" spans="13:117" s="5" customFormat="1" x14ac:dyDescent="0.35">
      <c r="M95" s="77">
        <f t="shared" si="437"/>
        <v>93</v>
      </c>
      <c r="N95" s="78">
        <v>0</v>
      </c>
      <c r="O95" s="79">
        <v>0</v>
      </c>
      <c r="P95" s="79">
        <v>0</v>
      </c>
      <c r="Q95" s="79">
        <v>44908.347000000002</v>
      </c>
      <c r="R95" s="79">
        <v>1856.6173315000001</v>
      </c>
      <c r="S95" s="79">
        <f t="shared" si="408"/>
        <v>46764.964331499999</v>
      </c>
      <c r="T95" s="78">
        <v>0</v>
      </c>
      <c r="U95" s="79">
        <v>0</v>
      </c>
      <c r="V95" s="79">
        <v>0.43099999999999999</v>
      </c>
      <c r="W95" s="79">
        <v>0.14799999999999999</v>
      </c>
      <c r="X95" s="79">
        <f t="shared" si="409"/>
        <v>0.57899999999999996</v>
      </c>
      <c r="Y95" s="79">
        <v>7256.3289999999997</v>
      </c>
      <c r="Z95" s="79">
        <v>0</v>
      </c>
      <c r="AA95" s="80">
        <f t="shared" si="410"/>
        <v>7256.3289999999997</v>
      </c>
      <c r="AB95" s="79"/>
      <c r="AC95" s="88">
        <v>0</v>
      </c>
      <c r="AD95" s="94">
        <f t="shared" si="411"/>
        <v>0</v>
      </c>
      <c r="AE95" s="89">
        <v>0</v>
      </c>
      <c r="AF95" s="94">
        <f t="shared" si="412"/>
        <v>0</v>
      </c>
      <c r="AG95" s="89">
        <v>0</v>
      </c>
      <c r="AH95" s="94">
        <f t="shared" si="413"/>
        <v>0</v>
      </c>
      <c r="AI95" s="89">
        <v>0</v>
      </c>
      <c r="AJ95" s="94">
        <f>AI95/$B$6</f>
        <v>0</v>
      </c>
      <c r="AK95" s="89">
        <v>0</v>
      </c>
      <c r="AL95" s="94">
        <f>AK95/$B$7</f>
        <v>0</v>
      </c>
      <c r="AM95" s="89">
        <v>0</v>
      </c>
      <c r="AN95" s="94">
        <f t="shared" si="414"/>
        <v>0</v>
      </c>
      <c r="AO95" s="89">
        <v>0</v>
      </c>
      <c r="AP95" s="94">
        <f t="shared" si="415"/>
        <v>0</v>
      </c>
      <c r="AQ95" s="79"/>
      <c r="AR95" s="88">
        <v>24474.945</v>
      </c>
      <c r="AS95" s="76">
        <v>1890.6</v>
      </c>
      <c r="AT95" s="88">
        <v>411</v>
      </c>
      <c r="AU95" s="100">
        <f t="shared" si="416"/>
        <v>0.27499999999999997</v>
      </c>
      <c r="AV95" s="100">
        <f t="shared" si="417"/>
        <v>0.82199999999999995</v>
      </c>
      <c r="AW95" s="100">
        <f t="shared" si="418"/>
        <v>0.82199999999999995</v>
      </c>
      <c r="AX95" s="94">
        <v>278.42599999999999</v>
      </c>
      <c r="AY95" s="76">
        <v>1723.2528</v>
      </c>
      <c r="AZ95" s="100">
        <f>AX95/$B$9</f>
        <v>0.43099999999999999</v>
      </c>
      <c r="BA95" s="97">
        <f>AY95/$B$8</f>
        <v>0.14799999999999999</v>
      </c>
      <c r="BB95" s="88">
        <v>34788</v>
      </c>
      <c r="BC95" s="76">
        <v>19038.224999999999</v>
      </c>
      <c r="BD95" s="100">
        <f t="shared" si="419"/>
        <v>0.78</v>
      </c>
      <c r="BE95" s="97">
        <f t="shared" si="420"/>
        <v>0.81099999999999994</v>
      </c>
      <c r="BG95" s="88">
        <v>1164.838</v>
      </c>
      <c r="BH95" s="114">
        <f>BG95/$B$10</f>
        <v>0.47299992690830239</v>
      </c>
      <c r="BI95" s="115">
        <v>1002.082</v>
      </c>
      <c r="BJ95" s="114">
        <f>BI95/$B$11</f>
        <v>0.62357311761045431</v>
      </c>
      <c r="BK95" s="115">
        <v>1121.4780000000001</v>
      </c>
      <c r="BL95" s="114">
        <f t="shared" si="421"/>
        <v>0.5784392407674851</v>
      </c>
      <c r="BN95" s="111">
        <v>52500.305999999997</v>
      </c>
      <c r="BO95" s="114">
        <f t="shared" si="422"/>
        <v>0.75409836065573765</v>
      </c>
      <c r="BQ95" s="142">
        <v>10450.503000000001</v>
      </c>
      <c r="BR95" s="131">
        <v>0</v>
      </c>
      <c r="BS95" s="143">
        <v>0</v>
      </c>
      <c r="BT95" s="105">
        <f t="shared" si="423"/>
        <v>0.32056757668711661</v>
      </c>
      <c r="BU95" s="20">
        <f t="shared" si="424"/>
        <v>0</v>
      </c>
      <c r="BV95" s="2">
        <v>0</v>
      </c>
      <c r="BW95" s="2">
        <v>0</v>
      </c>
      <c r="BX95" s="2">
        <v>0</v>
      </c>
      <c r="BY95" s="2">
        <v>4304.5320000000002</v>
      </c>
      <c r="BZ95" s="105">
        <f t="shared" si="425"/>
        <v>0.31937468467131624</v>
      </c>
      <c r="CA95" s="20">
        <f t="shared" si="426"/>
        <v>0</v>
      </c>
      <c r="CB95" s="5">
        <v>10800</v>
      </c>
      <c r="CC95" s="5">
        <v>915.26243020000004</v>
      </c>
      <c r="CE95" s="108">
        <v>-700</v>
      </c>
      <c r="CF95" s="153">
        <f t="shared" si="427"/>
        <v>0</v>
      </c>
      <c r="CG95" s="153">
        <v>4485</v>
      </c>
      <c r="CH95" s="153">
        <f t="shared" si="427"/>
        <v>4485</v>
      </c>
      <c r="CI95" s="153">
        <v>0</v>
      </c>
      <c r="CJ95" s="153">
        <f t="shared" ref="CJ95:CL95" si="594">IF(CI95&gt;0,CI95,0)</f>
        <v>0</v>
      </c>
      <c r="CK95" s="153">
        <v>-5000</v>
      </c>
      <c r="CL95" s="153">
        <f t="shared" si="594"/>
        <v>0</v>
      </c>
      <c r="CM95" s="153">
        <v>-5300</v>
      </c>
      <c r="CN95" s="153">
        <f t="shared" ref="CN95:CP95" si="595">IF(CM95&gt;0,CM95,0)</f>
        <v>0</v>
      </c>
      <c r="CO95" s="153">
        <v>-4000</v>
      </c>
      <c r="CP95" s="153">
        <f t="shared" si="595"/>
        <v>0</v>
      </c>
      <c r="CQ95" s="153">
        <v>-4800</v>
      </c>
      <c r="CR95" s="153">
        <f t="shared" ref="CR95:CT95" si="596">IF(CQ95&gt;0,CQ95,0)</f>
        <v>0</v>
      </c>
      <c r="CS95" s="153">
        <v>12065.3598539</v>
      </c>
      <c r="CT95" s="153">
        <f t="shared" si="596"/>
        <v>12065.3598539</v>
      </c>
      <c r="CU95" s="107">
        <f t="shared" si="431"/>
        <v>16550.359853900001</v>
      </c>
      <c r="CW95" s="108">
        <v>-700</v>
      </c>
      <c r="CX95" s="153">
        <f t="shared" si="432"/>
        <v>700</v>
      </c>
      <c r="CY95" s="153">
        <v>4485</v>
      </c>
      <c r="CZ95" s="153">
        <f t="shared" si="432"/>
        <v>0</v>
      </c>
      <c r="DA95" s="153">
        <v>0</v>
      </c>
      <c r="DB95" s="153">
        <f t="shared" ref="DB95:DD95" si="597">IF(DA95&lt;0,-DA95,0)</f>
        <v>0</v>
      </c>
      <c r="DC95" s="153">
        <v>-5000</v>
      </c>
      <c r="DD95" s="153">
        <f t="shared" si="597"/>
        <v>5000</v>
      </c>
      <c r="DE95" s="153">
        <v>-5300</v>
      </c>
      <c r="DF95" s="153">
        <f t="shared" ref="DF95:DH95" si="598">IF(DE95&lt;0,-DE95,0)</f>
        <v>5300</v>
      </c>
      <c r="DG95" s="153">
        <v>-4000</v>
      </c>
      <c r="DH95" s="153">
        <f t="shared" si="598"/>
        <v>4000</v>
      </c>
      <c r="DI95" s="153">
        <v>-4800</v>
      </c>
      <c r="DJ95" s="153">
        <f t="shared" ref="DJ95:DL95" si="599">IF(DI95&lt;0,-DI95,0)</f>
        <v>4800</v>
      </c>
      <c r="DK95" s="153">
        <v>12065.3598539</v>
      </c>
      <c r="DL95" s="153">
        <f t="shared" si="599"/>
        <v>0</v>
      </c>
      <c r="DM95" s="107">
        <f t="shared" si="436"/>
        <v>19800</v>
      </c>
    </row>
    <row r="96" spans="13:117" s="5" customFormat="1" x14ac:dyDescent="0.35">
      <c r="M96" s="77">
        <f t="shared" si="437"/>
        <v>94</v>
      </c>
      <c r="N96" s="78">
        <v>0</v>
      </c>
      <c r="O96" s="79">
        <v>0</v>
      </c>
      <c r="P96" s="79">
        <v>0</v>
      </c>
      <c r="Q96" s="79">
        <v>42329.292999999998</v>
      </c>
      <c r="R96" s="79">
        <v>1785.0935541199999</v>
      </c>
      <c r="S96" s="79">
        <f t="shared" si="408"/>
        <v>44114.386554119999</v>
      </c>
      <c r="T96" s="78">
        <v>0</v>
      </c>
      <c r="U96" s="79">
        <v>0</v>
      </c>
      <c r="V96" s="79">
        <v>0.49800000000000005</v>
      </c>
      <c r="W96" s="79">
        <v>0.16800000000000001</v>
      </c>
      <c r="X96" s="79">
        <f t="shared" si="409"/>
        <v>0.66600000000000004</v>
      </c>
      <c r="Y96" s="79">
        <v>6822.1850000000004</v>
      </c>
      <c r="Z96" s="79">
        <v>0</v>
      </c>
      <c r="AA96" s="80">
        <f t="shared" si="410"/>
        <v>6822.1850000000004</v>
      </c>
      <c r="AB96" s="79"/>
      <c r="AC96" s="88">
        <v>0</v>
      </c>
      <c r="AD96" s="94">
        <f t="shared" si="411"/>
        <v>0</v>
      </c>
      <c r="AE96" s="89">
        <v>0</v>
      </c>
      <c r="AF96" s="94">
        <f t="shared" si="412"/>
        <v>0</v>
      </c>
      <c r="AG96" s="89">
        <v>0</v>
      </c>
      <c r="AH96" s="94">
        <f t="shared" si="413"/>
        <v>0</v>
      </c>
      <c r="AI96" s="89">
        <v>0</v>
      </c>
      <c r="AJ96" s="94">
        <f>AI96/$B$6</f>
        <v>0</v>
      </c>
      <c r="AK96" s="89">
        <v>0</v>
      </c>
      <c r="AL96" s="94">
        <f>AK96/$B$7</f>
        <v>0</v>
      </c>
      <c r="AM96" s="89">
        <v>0</v>
      </c>
      <c r="AN96" s="94">
        <f t="shared" si="414"/>
        <v>0</v>
      </c>
      <c r="AO96" s="89">
        <v>0</v>
      </c>
      <c r="AP96" s="94">
        <f t="shared" si="415"/>
        <v>0</v>
      </c>
      <c r="AQ96" s="79"/>
      <c r="AR96" s="88">
        <v>25631.9424</v>
      </c>
      <c r="AS96" s="76">
        <v>1906.7</v>
      </c>
      <c r="AT96" s="88">
        <v>414.5</v>
      </c>
      <c r="AU96" s="100">
        <f t="shared" si="416"/>
        <v>0.28799999999999998</v>
      </c>
      <c r="AV96" s="100">
        <f t="shared" si="417"/>
        <v>0.82900000000000007</v>
      </c>
      <c r="AW96" s="100">
        <f t="shared" si="418"/>
        <v>0.82899999999999996</v>
      </c>
      <c r="AX96" s="94">
        <v>321.70800000000003</v>
      </c>
      <c r="AY96" s="76">
        <v>1956.1248000000001</v>
      </c>
      <c r="AZ96" s="100">
        <f>AX96/$B$9</f>
        <v>0.49800000000000005</v>
      </c>
      <c r="BA96" s="97">
        <f>AY96/$B$8</f>
        <v>0.16800000000000001</v>
      </c>
      <c r="BB96" s="88">
        <v>35903</v>
      </c>
      <c r="BC96" s="76">
        <v>19155.599999999999</v>
      </c>
      <c r="BD96" s="100">
        <f t="shared" si="419"/>
        <v>0.80500000000000005</v>
      </c>
      <c r="BE96" s="97">
        <f t="shared" si="420"/>
        <v>0.81599999999999995</v>
      </c>
      <c r="BG96" s="88">
        <v>1150.0619999999999</v>
      </c>
      <c r="BH96" s="114">
        <f>BG96/$B$10</f>
        <v>0.4669999106657029</v>
      </c>
      <c r="BI96" s="115">
        <v>998.51499999999999</v>
      </c>
      <c r="BJ96" s="114">
        <f>BI96/$B$11</f>
        <v>0.62135345364032357</v>
      </c>
      <c r="BK96" s="115">
        <v>1121.4780000000001</v>
      </c>
      <c r="BL96" s="114">
        <f t="shared" si="421"/>
        <v>0.5784392407674851</v>
      </c>
      <c r="BN96" s="111">
        <v>52500.305999999997</v>
      </c>
      <c r="BO96" s="114">
        <f t="shared" si="422"/>
        <v>0.75409836065573765</v>
      </c>
      <c r="BQ96" s="142">
        <v>10951.01</v>
      </c>
      <c r="BR96" s="131">
        <v>0</v>
      </c>
      <c r="BS96" s="143">
        <v>0</v>
      </c>
      <c r="BT96" s="105">
        <f t="shared" si="423"/>
        <v>0.33592055214723926</v>
      </c>
      <c r="BU96" s="20">
        <f t="shared" si="424"/>
        <v>0</v>
      </c>
      <c r="BV96" s="2">
        <v>0</v>
      </c>
      <c r="BW96" s="2">
        <v>0</v>
      </c>
      <c r="BX96" s="2">
        <v>0</v>
      </c>
      <c r="BY96" s="2">
        <v>4896.4650000000001</v>
      </c>
      <c r="BZ96" s="105">
        <f t="shared" si="425"/>
        <v>0.36329314438343968</v>
      </c>
      <c r="CA96" s="20">
        <f t="shared" si="426"/>
        <v>0</v>
      </c>
      <c r="CB96" s="5">
        <v>10800</v>
      </c>
      <c r="CC96" s="5">
        <v>914.61470919999999</v>
      </c>
      <c r="CE96" s="108">
        <v>-700</v>
      </c>
      <c r="CF96" s="153">
        <f t="shared" si="427"/>
        <v>0</v>
      </c>
      <c r="CG96" s="153">
        <v>4485</v>
      </c>
      <c r="CH96" s="153">
        <f t="shared" si="427"/>
        <v>4485</v>
      </c>
      <c r="CI96" s="153">
        <v>0</v>
      </c>
      <c r="CJ96" s="153">
        <f t="shared" ref="CJ96:CL96" si="600">IF(CI96&gt;0,CI96,0)</f>
        <v>0</v>
      </c>
      <c r="CK96" s="153">
        <v>-5000</v>
      </c>
      <c r="CL96" s="153">
        <f t="shared" si="600"/>
        <v>0</v>
      </c>
      <c r="CM96" s="153">
        <v>-5300</v>
      </c>
      <c r="CN96" s="153">
        <f t="shared" ref="CN96:CP96" si="601">IF(CM96&gt;0,CM96,0)</f>
        <v>0</v>
      </c>
      <c r="CO96" s="153">
        <v>-4000</v>
      </c>
      <c r="CP96" s="153">
        <f t="shared" si="601"/>
        <v>0</v>
      </c>
      <c r="CQ96" s="153">
        <v>-4800</v>
      </c>
      <c r="CR96" s="153">
        <f t="shared" ref="CR96:CT96" si="602">IF(CQ96&gt;0,CQ96,0)</f>
        <v>0</v>
      </c>
      <c r="CS96" s="153">
        <v>9855.1154344000006</v>
      </c>
      <c r="CT96" s="153">
        <f t="shared" si="602"/>
        <v>9855.1154344000006</v>
      </c>
      <c r="CU96" s="107">
        <f t="shared" si="431"/>
        <v>14340.115434400001</v>
      </c>
      <c r="CW96" s="108">
        <v>-700</v>
      </c>
      <c r="CX96" s="153">
        <f t="shared" si="432"/>
        <v>700</v>
      </c>
      <c r="CY96" s="153">
        <v>4485</v>
      </c>
      <c r="CZ96" s="153">
        <f t="shared" si="432"/>
        <v>0</v>
      </c>
      <c r="DA96" s="153">
        <v>0</v>
      </c>
      <c r="DB96" s="153">
        <f t="shared" ref="DB96:DD96" si="603">IF(DA96&lt;0,-DA96,0)</f>
        <v>0</v>
      </c>
      <c r="DC96" s="153">
        <v>-5000</v>
      </c>
      <c r="DD96" s="153">
        <f t="shared" si="603"/>
        <v>5000</v>
      </c>
      <c r="DE96" s="153">
        <v>-5300</v>
      </c>
      <c r="DF96" s="153">
        <f t="shared" ref="DF96:DH96" si="604">IF(DE96&lt;0,-DE96,0)</f>
        <v>5300</v>
      </c>
      <c r="DG96" s="153">
        <v>-4000</v>
      </c>
      <c r="DH96" s="153">
        <f t="shared" si="604"/>
        <v>4000</v>
      </c>
      <c r="DI96" s="153">
        <v>-4800</v>
      </c>
      <c r="DJ96" s="153">
        <f t="shared" ref="DJ96:DL96" si="605">IF(DI96&lt;0,-DI96,0)</f>
        <v>4800</v>
      </c>
      <c r="DK96" s="153">
        <v>9855.1154344000006</v>
      </c>
      <c r="DL96" s="153">
        <f t="shared" si="605"/>
        <v>0</v>
      </c>
      <c r="DM96" s="107">
        <f t="shared" si="436"/>
        <v>19800</v>
      </c>
    </row>
    <row r="97" spans="13:117" s="5" customFormat="1" x14ac:dyDescent="0.35">
      <c r="M97" s="77">
        <f t="shared" si="437"/>
        <v>95</v>
      </c>
      <c r="N97" s="78">
        <v>0</v>
      </c>
      <c r="O97" s="79">
        <v>0</v>
      </c>
      <c r="P97" s="79">
        <v>0</v>
      </c>
      <c r="Q97" s="79">
        <v>39693.309000000001</v>
      </c>
      <c r="R97" s="79">
        <v>1796.9525522199999</v>
      </c>
      <c r="S97" s="79">
        <f t="shared" si="408"/>
        <v>41490.261552219999</v>
      </c>
      <c r="T97" s="78">
        <v>0</v>
      </c>
      <c r="U97" s="79">
        <v>0</v>
      </c>
      <c r="V97" s="79">
        <v>0.53500000000000003</v>
      </c>
      <c r="W97" s="79">
        <v>0.20500000000000002</v>
      </c>
      <c r="X97" s="79">
        <f t="shared" si="409"/>
        <v>0.74</v>
      </c>
      <c r="Y97" s="79">
        <v>6940.8670000000002</v>
      </c>
      <c r="Z97" s="79">
        <v>0</v>
      </c>
      <c r="AA97" s="80">
        <f t="shared" si="410"/>
        <v>6940.8670000000002</v>
      </c>
      <c r="AB97" s="79"/>
      <c r="AC97" s="88">
        <v>0</v>
      </c>
      <c r="AD97" s="94">
        <f t="shared" si="411"/>
        <v>0</v>
      </c>
      <c r="AE97" s="89">
        <v>0</v>
      </c>
      <c r="AF97" s="94">
        <f t="shared" si="412"/>
        <v>0</v>
      </c>
      <c r="AG97" s="89">
        <v>0</v>
      </c>
      <c r="AH97" s="94">
        <f t="shared" si="413"/>
        <v>0</v>
      </c>
      <c r="AI97" s="89">
        <v>0</v>
      </c>
      <c r="AJ97" s="94">
        <f>AI97/$B$6</f>
        <v>0</v>
      </c>
      <c r="AK97" s="89">
        <v>0</v>
      </c>
      <c r="AL97" s="94">
        <f>AK97/$B$7</f>
        <v>0</v>
      </c>
      <c r="AM97" s="89">
        <v>0</v>
      </c>
      <c r="AN97" s="94">
        <f t="shared" si="414"/>
        <v>0</v>
      </c>
      <c r="AO97" s="89">
        <v>0</v>
      </c>
      <c r="AP97" s="94">
        <f t="shared" si="415"/>
        <v>0</v>
      </c>
      <c r="AQ97" s="79"/>
      <c r="AR97" s="88">
        <v>28390.9362</v>
      </c>
      <c r="AS97" s="76">
        <v>1925.1</v>
      </c>
      <c r="AT97" s="88">
        <v>418.5</v>
      </c>
      <c r="AU97" s="100">
        <f t="shared" si="416"/>
        <v>0.31900000000000001</v>
      </c>
      <c r="AV97" s="100">
        <f t="shared" si="417"/>
        <v>0.83699999999999997</v>
      </c>
      <c r="AW97" s="100">
        <f t="shared" si="418"/>
        <v>0.83699999999999997</v>
      </c>
      <c r="AX97" s="94">
        <v>345.61</v>
      </c>
      <c r="AY97" s="76">
        <v>2386.9380000000001</v>
      </c>
      <c r="AZ97" s="100">
        <f>AX97/$B$9</f>
        <v>0.53500000000000003</v>
      </c>
      <c r="BA97" s="97">
        <f>AY97/$B$8</f>
        <v>0.20500000000000002</v>
      </c>
      <c r="BB97" s="88">
        <v>36661.199999999997</v>
      </c>
      <c r="BC97" s="76">
        <v>19249.5</v>
      </c>
      <c r="BD97" s="100">
        <f t="shared" si="419"/>
        <v>0.82199999999999995</v>
      </c>
      <c r="BE97" s="97">
        <f t="shared" si="420"/>
        <v>0.82</v>
      </c>
      <c r="BG97" s="88">
        <v>1145.1369999999999</v>
      </c>
      <c r="BH97" s="114">
        <f>BG97/$B$10</f>
        <v>0.46500004060649869</v>
      </c>
      <c r="BI97" s="115">
        <v>973.24599999999998</v>
      </c>
      <c r="BJ97" s="114">
        <f>BI97/$B$11</f>
        <v>0.60562912258867452</v>
      </c>
      <c r="BK97" s="115">
        <v>1121.4780000000001</v>
      </c>
      <c r="BL97" s="114">
        <f t="shared" si="421"/>
        <v>0.5784392407674851</v>
      </c>
      <c r="BN97" s="111">
        <v>52500.305999999997</v>
      </c>
      <c r="BO97" s="114">
        <f t="shared" si="422"/>
        <v>0.75409836065573765</v>
      </c>
      <c r="BQ97" s="142">
        <v>12139.871999999999</v>
      </c>
      <c r="BR97" s="131">
        <v>0</v>
      </c>
      <c r="BS97" s="143">
        <v>0</v>
      </c>
      <c r="BT97" s="105">
        <f t="shared" si="423"/>
        <v>0.37238871165644172</v>
      </c>
      <c r="BU97" s="20">
        <f t="shared" si="424"/>
        <v>0</v>
      </c>
      <c r="BV97" s="2">
        <v>0</v>
      </c>
      <c r="BW97" s="2">
        <v>0</v>
      </c>
      <c r="BX97" s="2">
        <v>0</v>
      </c>
      <c r="BY97" s="2">
        <v>5209.0240000000003</v>
      </c>
      <c r="BZ97" s="105">
        <f t="shared" si="425"/>
        <v>0.3864834545184746</v>
      </c>
      <c r="CA97" s="20">
        <f t="shared" si="426"/>
        <v>0</v>
      </c>
      <c r="CB97" s="5">
        <v>10800</v>
      </c>
      <c r="CC97" s="5">
        <v>913.96698819999995</v>
      </c>
      <c r="CE97" s="108">
        <v>-700</v>
      </c>
      <c r="CF97" s="153">
        <f t="shared" si="427"/>
        <v>0</v>
      </c>
      <c r="CG97" s="153">
        <v>4485</v>
      </c>
      <c r="CH97" s="153">
        <f t="shared" si="427"/>
        <v>4485</v>
      </c>
      <c r="CI97" s="153">
        <v>0</v>
      </c>
      <c r="CJ97" s="153">
        <f t="shared" ref="CJ97:CL97" si="606">IF(CI97&gt;0,CI97,0)</f>
        <v>0</v>
      </c>
      <c r="CK97" s="153">
        <v>-5000</v>
      </c>
      <c r="CL97" s="153">
        <f t="shared" si="606"/>
        <v>0</v>
      </c>
      <c r="CM97" s="153">
        <v>-5300</v>
      </c>
      <c r="CN97" s="153">
        <f t="shared" ref="CN97:CP97" si="607">IF(CM97&gt;0,CM97,0)</f>
        <v>0</v>
      </c>
      <c r="CO97" s="153">
        <v>-4000</v>
      </c>
      <c r="CP97" s="153">
        <f t="shared" si="607"/>
        <v>0</v>
      </c>
      <c r="CQ97" s="153">
        <v>-4800</v>
      </c>
      <c r="CR97" s="153">
        <f t="shared" ref="CR97:CT97" si="608">IF(CQ97&gt;0,CQ97,0)</f>
        <v>0</v>
      </c>
      <c r="CS97" s="153">
        <v>10778.5113698</v>
      </c>
      <c r="CT97" s="153">
        <f t="shared" si="608"/>
        <v>10778.5113698</v>
      </c>
      <c r="CU97" s="107">
        <f t="shared" si="431"/>
        <v>15263.5113698</v>
      </c>
      <c r="CW97" s="108">
        <v>-700</v>
      </c>
      <c r="CX97" s="153">
        <f t="shared" si="432"/>
        <v>700</v>
      </c>
      <c r="CY97" s="153">
        <v>4485</v>
      </c>
      <c r="CZ97" s="153">
        <f t="shared" si="432"/>
        <v>0</v>
      </c>
      <c r="DA97" s="153">
        <v>0</v>
      </c>
      <c r="DB97" s="153">
        <f t="shared" ref="DB97:DD97" si="609">IF(DA97&lt;0,-DA97,0)</f>
        <v>0</v>
      </c>
      <c r="DC97" s="153">
        <v>-5000</v>
      </c>
      <c r="DD97" s="153">
        <f t="shared" si="609"/>
        <v>5000</v>
      </c>
      <c r="DE97" s="153">
        <v>-5300</v>
      </c>
      <c r="DF97" s="153">
        <f t="shared" ref="DF97:DH97" si="610">IF(DE97&lt;0,-DE97,0)</f>
        <v>5300</v>
      </c>
      <c r="DG97" s="153">
        <v>-4000</v>
      </c>
      <c r="DH97" s="153">
        <f t="shared" si="610"/>
        <v>4000</v>
      </c>
      <c r="DI97" s="153">
        <v>-4800</v>
      </c>
      <c r="DJ97" s="153">
        <f t="shared" ref="DJ97:DL97" si="611">IF(DI97&lt;0,-DI97,0)</f>
        <v>4800</v>
      </c>
      <c r="DK97" s="153">
        <v>10778.5113698</v>
      </c>
      <c r="DL97" s="153">
        <f t="shared" si="611"/>
        <v>0</v>
      </c>
      <c r="DM97" s="107">
        <f t="shared" si="436"/>
        <v>19800</v>
      </c>
    </row>
    <row r="98" spans="13:117" s="5" customFormat="1" x14ac:dyDescent="0.35">
      <c r="M98" s="77">
        <f t="shared" si="437"/>
        <v>96</v>
      </c>
      <c r="N98" s="78">
        <v>0</v>
      </c>
      <c r="O98" s="79">
        <v>0</v>
      </c>
      <c r="P98" s="79">
        <v>0</v>
      </c>
      <c r="Q98" s="79">
        <v>37196.328999999998</v>
      </c>
      <c r="R98" s="79">
        <v>1495.4430131500001</v>
      </c>
      <c r="S98" s="79">
        <f t="shared" si="408"/>
        <v>38691.772013149995</v>
      </c>
      <c r="T98" s="78">
        <v>0</v>
      </c>
      <c r="U98" s="79">
        <v>0</v>
      </c>
      <c r="V98" s="79">
        <v>0.55800000000000005</v>
      </c>
      <c r="W98" s="79">
        <v>0.23599999999999999</v>
      </c>
      <c r="X98" s="79">
        <f t="shared" si="409"/>
        <v>0.79400000000000004</v>
      </c>
      <c r="Y98" s="79">
        <v>6443.0649999999996</v>
      </c>
      <c r="Z98" s="79">
        <v>0</v>
      </c>
      <c r="AA98" s="80">
        <f t="shared" si="410"/>
        <v>6443.0649999999996</v>
      </c>
      <c r="AB98" s="79"/>
      <c r="AC98" s="88">
        <v>0</v>
      </c>
      <c r="AD98" s="94">
        <f t="shared" si="411"/>
        <v>0</v>
      </c>
      <c r="AE98" s="89">
        <v>0</v>
      </c>
      <c r="AF98" s="94">
        <f t="shared" si="412"/>
        <v>0</v>
      </c>
      <c r="AG98" s="89">
        <v>0</v>
      </c>
      <c r="AH98" s="94">
        <f t="shared" si="413"/>
        <v>0</v>
      </c>
      <c r="AI98" s="89">
        <v>0</v>
      </c>
      <c r="AJ98" s="94">
        <f>AI98/$B$6</f>
        <v>0</v>
      </c>
      <c r="AK98" s="89">
        <v>0</v>
      </c>
      <c r="AL98" s="94">
        <f>AK98/$B$7</f>
        <v>0</v>
      </c>
      <c r="AM98" s="89">
        <v>0</v>
      </c>
      <c r="AN98" s="94">
        <f t="shared" si="414"/>
        <v>0</v>
      </c>
      <c r="AO98" s="89">
        <v>0</v>
      </c>
      <c r="AP98" s="94">
        <f t="shared" si="415"/>
        <v>0</v>
      </c>
      <c r="AQ98" s="79"/>
      <c r="AR98" s="88">
        <v>31505.929199999999</v>
      </c>
      <c r="AS98" s="76">
        <v>1936.6</v>
      </c>
      <c r="AT98" s="88">
        <v>421</v>
      </c>
      <c r="AU98" s="100">
        <f t="shared" si="416"/>
        <v>0.35399999999999998</v>
      </c>
      <c r="AV98" s="100">
        <f t="shared" si="417"/>
        <v>0.84199999999999997</v>
      </c>
      <c r="AW98" s="100">
        <f t="shared" si="418"/>
        <v>0.84199999999999997</v>
      </c>
      <c r="AX98" s="94">
        <v>360.46800000000002</v>
      </c>
      <c r="AY98" s="76">
        <v>2747.8896</v>
      </c>
      <c r="AZ98" s="100">
        <f>AX98/$B$9</f>
        <v>0.55800000000000005</v>
      </c>
      <c r="BA98" s="97">
        <f>AY98/$B$8</f>
        <v>0.23599999999999999</v>
      </c>
      <c r="BB98" s="88">
        <v>37151.800000000003</v>
      </c>
      <c r="BC98" s="76">
        <v>19202.55</v>
      </c>
      <c r="BD98" s="100">
        <f t="shared" si="419"/>
        <v>0.83300000000000007</v>
      </c>
      <c r="BE98" s="97">
        <f t="shared" si="420"/>
        <v>0.81799999999999995</v>
      </c>
      <c r="BG98" s="88">
        <v>1145.1369999999999</v>
      </c>
      <c r="BH98" s="114">
        <f>BG98/$B$10</f>
        <v>0.46500004060649869</v>
      </c>
      <c r="BI98" s="115">
        <v>973.54899999999998</v>
      </c>
      <c r="BJ98" s="114">
        <f>BI98/$B$11</f>
        <v>0.60581767268201614</v>
      </c>
      <c r="BK98" s="115">
        <v>1121.4780000000001</v>
      </c>
      <c r="BL98" s="114">
        <f t="shared" si="421"/>
        <v>0.5784392407674851</v>
      </c>
      <c r="BN98" s="111">
        <v>52500.305999999997</v>
      </c>
      <c r="BO98" s="114">
        <f t="shared" si="422"/>
        <v>0.75409836065573765</v>
      </c>
      <c r="BQ98" s="142">
        <v>13451.237999999999</v>
      </c>
      <c r="BR98" s="131">
        <v>0</v>
      </c>
      <c r="BS98" s="143">
        <v>0</v>
      </c>
      <c r="BT98" s="105">
        <f t="shared" si="423"/>
        <v>0.41261466257668711</v>
      </c>
      <c r="BU98" s="20">
        <f t="shared" si="424"/>
        <v>0</v>
      </c>
      <c r="BV98" s="2">
        <v>0</v>
      </c>
      <c r="BW98" s="2">
        <v>0</v>
      </c>
      <c r="BX98" s="2">
        <v>0</v>
      </c>
      <c r="BY98" s="2">
        <v>5320.7550000000001</v>
      </c>
      <c r="BZ98" s="105">
        <f t="shared" si="425"/>
        <v>0.39477333432259981</v>
      </c>
      <c r="CA98" s="20">
        <f t="shared" si="426"/>
        <v>0</v>
      </c>
      <c r="CB98" s="5">
        <v>10800</v>
      </c>
      <c r="CC98" s="5">
        <v>0</v>
      </c>
      <c r="CE98" s="108">
        <v>-700</v>
      </c>
      <c r="CF98" s="153">
        <f t="shared" si="427"/>
        <v>0</v>
      </c>
      <c r="CG98" s="153">
        <v>4485</v>
      </c>
      <c r="CH98" s="153">
        <f t="shared" si="427"/>
        <v>4485</v>
      </c>
      <c r="CI98" s="153">
        <v>0</v>
      </c>
      <c r="CJ98" s="153">
        <f t="shared" ref="CJ98:CL98" si="612">IF(CI98&gt;0,CI98,0)</f>
        <v>0</v>
      </c>
      <c r="CK98" s="153">
        <v>-5000</v>
      </c>
      <c r="CL98" s="153">
        <f t="shared" si="612"/>
        <v>0</v>
      </c>
      <c r="CM98" s="153">
        <v>-5300</v>
      </c>
      <c r="CN98" s="153">
        <f t="shared" ref="CN98:CP98" si="613">IF(CM98&gt;0,CM98,0)</f>
        <v>0</v>
      </c>
      <c r="CO98" s="153">
        <v>-4000</v>
      </c>
      <c r="CP98" s="153">
        <f t="shared" si="613"/>
        <v>0</v>
      </c>
      <c r="CQ98" s="153">
        <v>-4800</v>
      </c>
      <c r="CR98" s="153">
        <f t="shared" ref="CR98:CT98" si="614">IF(CQ98&gt;0,CQ98,0)</f>
        <v>0</v>
      </c>
      <c r="CS98" s="153">
        <v>11210.047986719999</v>
      </c>
      <c r="CT98" s="153">
        <f t="shared" si="614"/>
        <v>11210.047986719999</v>
      </c>
      <c r="CU98" s="107">
        <f t="shared" si="431"/>
        <v>15695.047986719999</v>
      </c>
      <c r="CW98" s="108">
        <v>-700</v>
      </c>
      <c r="CX98" s="153">
        <f t="shared" si="432"/>
        <v>700</v>
      </c>
      <c r="CY98" s="153">
        <v>4485</v>
      </c>
      <c r="CZ98" s="153">
        <f t="shared" si="432"/>
        <v>0</v>
      </c>
      <c r="DA98" s="153">
        <v>0</v>
      </c>
      <c r="DB98" s="153">
        <f t="shared" ref="DB98:DD98" si="615">IF(DA98&lt;0,-DA98,0)</f>
        <v>0</v>
      </c>
      <c r="DC98" s="153">
        <v>-5000</v>
      </c>
      <c r="DD98" s="153">
        <f t="shared" si="615"/>
        <v>5000</v>
      </c>
      <c r="DE98" s="153">
        <v>-5300</v>
      </c>
      <c r="DF98" s="153">
        <f t="shared" ref="DF98:DH98" si="616">IF(DE98&lt;0,-DE98,0)</f>
        <v>5300</v>
      </c>
      <c r="DG98" s="153">
        <v>-4000</v>
      </c>
      <c r="DH98" s="153">
        <f t="shared" si="616"/>
        <v>4000</v>
      </c>
      <c r="DI98" s="153">
        <v>-4800</v>
      </c>
      <c r="DJ98" s="153">
        <f t="shared" ref="DJ98:DL98" si="617">IF(DI98&lt;0,-DI98,0)</f>
        <v>4800</v>
      </c>
      <c r="DK98" s="153">
        <v>11210.047986719999</v>
      </c>
      <c r="DL98" s="153">
        <f t="shared" si="617"/>
        <v>0</v>
      </c>
      <c r="DM98" s="107">
        <f t="shared" si="436"/>
        <v>19800</v>
      </c>
    </row>
    <row r="99" spans="13:117" s="5" customFormat="1" x14ac:dyDescent="0.35">
      <c r="M99" s="77">
        <f t="shared" si="437"/>
        <v>97</v>
      </c>
      <c r="N99" s="78">
        <v>0</v>
      </c>
      <c r="O99" s="79">
        <v>0</v>
      </c>
      <c r="P99" s="79">
        <v>0</v>
      </c>
      <c r="Q99" s="79">
        <v>34480.928999999996</v>
      </c>
      <c r="R99" s="79">
        <v>1216.4069836199999</v>
      </c>
      <c r="S99" s="79">
        <f t="shared" si="408"/>
        <v>35697.335983619996</v>
      </c>
      <c r="T99" s="78">
        <v>0</v>
      </c>
      <c r="U99" s="79">
        <v>0</v>
      </c>
      <c r="V99" s="79">
        <v>0.57599999999999996</v>
      </c>
      <c r="W99" s="79">
        <v>0.25</v>
      </c>
      <c r="X99" s="79">
        <f t="shared" si="409"/>
        <v>0.82599999999999996</v>
      </c>
      <c r="Y99" s="79">
        <v>5694.0230000000001</v>
      </c>
      <c r="Z99" s="79">
        <v>0</v>
      </c>
      <c r="AA99" s="80">
        <f t="shared" si="410"/>
        <v>5694.0230000000001</v>
      </c>
      <c r="AB99" s="79"/>
      <c r="AC99" s="88">
        <v>0</v>
      </c>
      <c r="AD99" s="94">
        <f t="shared" si="411"/>
        <v>0</v>
      </c>
      <c r="AE99" s="89">
        <v>0</v>
      </c>
      <c r="AF99" s="94">
        <f t="shared" si="412"/>
        <v>0</v>
      </c>
      <c r="AG99" s="89">
        <v>0</v>
      </c>
      <c r="AH99" s="94">
        <f t="shared" si="413"/>
        <v>0</v>
      </c>
      <c r="AI99" s="89">
        <v>0</v>
      </c>
      <c r="AJ99" s="94">
        <f>AI99/$B$6</f>
        <v>0</v>
      </c>
      <c r="AK99" s="89">
        <v>0</v>
      </c>
      <c r="AL99" s="94">
        <f>AK99/$B$7</f>
        <v>0</v>
      </c>
      <c r="AM99" s="89">
        <v>0</v>
      </c>
      <c r="AN99" s="94">
        <f t="shared" si="414"/>
        <v>0</v>
      </c>
      <c r="AO99" s="89">
        <v>0</v>
      </c>
      <c r="AP99" s="94">
        <f t="shared" si="415"/>
        <v>0</v>
      </c>
      <c r="AQ99" s="79"/>
      <c r="AR99" s="88">
        <v>32662.926599999999</v>
      </c>
      <c r="AS99" s="76">
        <v>1943.5</v>
      </c>
      <c r="AT99" s="88">
        <v>422.5</v>
      </c>
      <c r="AU99" s="100">
        <f t="shared" si="416"/>
        <v>0.36699999999999999</v>
      </c>
      <c r="AV99" s="100">
        <f t="shared" si="417"/>
        <v>0.84499999999999997</v>
      </c>
      <c r="AW99" s="100">
        <f t="shared" si="418"/>
        <v>0.84499999999999997</v>
      </c>
      <c r="AX99" s="94">
        <v>372.096</v>
      </c>
      <c r="AY99" s="76">
        <v>2910.9</v>
      </c>
      <c r="AZ99" s="100">
        <f>AX99/$B$9</f>
        <v>0.57599999999999996</v>
      </c>
      <c r="BA99" s="97">
        <f>AY99/$B$8</f>
        <v>0.25</v>
      </c>
      <c r="BB99" s="88">
        <v>37374.800000000003</v>
      </c>
      <c r="BC99" s="76">
        <v>19343.400000000001</v>
      </c>
      <c r="BD99" s="100">
        <f t="shared" si="419"/>
        <v>0.83800000000000008</v>
      </c>
      <c r="BE99" s="97">
        <f t="shared" si="420"/>
        <v>0.82400000000000007</v>
      </c>
      <c r="BG99" s="88">
        <v>1095.884</v>
      </c>
      <c r="BH99" s="114">
        <f>BG99/$B$10</f>
        <v>0.445000121819496</v>
      </c>
      <c r="BI99" s="115">
        <v>930.68299999999999</v>
      </c>
      <c r="BJ99" s="114">
        <f>BI99/$B$11</f>
        <v>0.57914312383322963</v>
      </c>
      <c r="BK99" s="115">
        <v>1121.4780000000001</v>
      </c>
      <c r="BL99" s="114">
        <f t="shared" si="421"/>
        <v>0.5784392407674851</v>
      </c>
      <c r="BN99" s="111">
        <v>52500.305999999997</v>
      </c>
      <c r="BO99" s="114">
        <f t="shared" si="422"/>
        <v>0.75409836065573765</v>
      </c>
      <c r="BQ99" s="142">
        <v>13946.638000000001</v>
      </c>
      <c r="BR99" s="131">
        <v>0</v>
      </c>
      <c r="BS99" s="143">
        <v>0</v>
      </c>
      <c r="BT99" s="105">
        <f t="shared" si="423"/>
        <v>0.42781098159509207</v>
      </c>
      <c r="BU99" s="20">
        <f t="shared" si="424"/>
        <v>0</v>
      </c>
      <c r="BV99" s="2">
        <v>0</v>
      </c>
      <c r="BW99" s="2">
        <v>0</v>
      </c>
      <c r="BX99" s="2">
        <v>0</v>
      </c>
      <c r="BY99" s="2">
        <v>5353.9</v>
      </c>
      <c r="BZ99" s="105">
        <f t="shared" si="425"/>
        <v>0.3972325270811693</v>
      </c>
      <c r="CA99" s="20">
        <f t="shared" si="426"/>
        <v>0</v>
      </c>
      <c r="CB99" s="5">
        <v>10800</v>
      </c>
      <c r="CC99" s="5">
        <v>0</v>
      </c>
      <c r="CE99" s="108">
        <v>-700</v>
      </c>
      <c r="CF99" s="153">
        <f t="shared" si="427"/>
        <v>0</v>
      </c>
      <c r="CG99" s="153">
        <v>4485</v>
      </c>
      <c r="CH99" s="153">
        <f t="shared" si="427"/>
        <v>4485</v>
      </c>
      <c r="CI99" s="153">
        <v>0</v>
      </c>
      <c r="CJ99" s="153">
        <f t="shared" ref="CJ99:CL99" si="618">IF(CI99&gt;0,CI99,0)</f>
        <v>0</v>
      </c>
      <c r="CK99" s="153">
        <v>-5000</v>
      </c>
      <c r="CL99" s="153">
        <f t="shared" si="618"/>
        <v>0</v>
      </c>
      <c r="CM99" s="153">
        <v>-5300</v>
      </c>
      <c r="CN99" s="153">
        <f t="shared" ref="CN99:CP99" si="619">IF(CM99&gt;0,CM99,0)</f>
        <v>0</v>
      </c>
      <c r="CO99" s="153">
        <v>-4000</v>
      </c>
      <c r="CP99" s="153">
        <f t="shared" si="619"/>
        <v>0</v>
      </c>
      <c r="CQ99" s="153">
        <v>-4800</v>
      </c>
      <c r="CR99" s="153">
        <f t="shared" ref="CR99:CT99" si="620">IF(CQ99&gt;0,CQ99,0)</f>
        <v>0</v>
      </c>
      <c r="CS99" s="153">
        <v>11042.594008440001</v>
      </c>
      <c r="CT99" s="153">
        <f t="shared" si="620"/>
        <v>11042.594008440001</v>
      </c>
      <c r="CU99" s="107">
        <f t="shared" si="431"/>
        <v>15527.594008440001</v>
      </c>
      <c r="CW99" s="108">
        <v>-700</v>
      </c>
      <c r="CX99" s="153">
        <f t="shared" si="432"/>
        <v>700</v>
      </c>
      <c r="CY99" s="153">
        <v>4485</v>
      </c>
      <c r="CZ99" s="153">
        <f t="shared" si="432"/>
        <v>0</v>
      </c>
      <c r="DA99" s="153">
        <v>0</v>
      </c>
      <c r="DB99" s="153">
        <f t="shared" ref="DB99:DD99" si="621">IF(DA99&lt;0,-DA99,0)</f>
        <v>0</v>
      </c>
      <c r="DC99" s="153">
        <v>-5000</v>
      </c>
      <c r="DD99" s="153">
        <f t="shared" si="621"/>
        <v>5000</v>
      </c>
      <c r="DE99" s="153">
        <v>-5300</v>
      </c>
      <c r="DF99" s="153">
        <f t="shared" ref="DF99:DH99" si="622">IF(DE99&lt;0,-DE99,0)</f>
        <v>5300</v>
      </c>
      <c r="DG99" s="153">
        <v>-4000</v>
      </c>
      <c r="DH99" s="153">
        <f t="shared" si="622"/>
        <v>4000</v>
      </c>
      <c r="DI99" s="153">
        <v>-4800</v>
      </c>
      <c r="DJ99" s="153">
        <f t="shared" ref="DJ99:DL99" si="623">IF(DI99&lt;0,-DI99,0)</f>
        <v>4800</v>
      </c>
      <c r="DK99" s="153">
        <v>11042.594008440001</v>
      </c>
      <c r="DL99" s="153">
        <f t="shared" si="623"/>
        <v>0</v>
      </c>
      <c r="DM99" s="107">
        <f t="shared" si="436"/>
        <v>19800</v>
      </c>
    </row>
    <row r="100" spans="13:117" s="5" customFormat="1" x14ac:dyDescent="0.35">
      <c r="M100" s="77">
        <f t="shared" si="437"/>
        <v>98</v>
      </c>
      <c r="N100" s="78">
        <v>0</v>
      </c>
      <c r="O100" s="79">
        <v>0</v>
      </c>
      <c r="P100" s="79">
        <v>0</v>
      </c>
      <c r="Q100" s="79">
        <v>32526.065999999999</v>
      </c>
      <c r="R100" s="79">
        <v>917.35342027000002</v>
      </c>
      <c r="S100" s="79">
        <f t="shared" si="408"/>
        <v>33443.419420270002</v>
      </c>
      <c r="T100" s="78">
        <v>0</v>
      </c>
      <c r="U100" s="79">
        <v>0</v>
      </c>
      <c r="V100" s="79">
        <v>0.59099999999999997</v>
      </c>
      <c r="W100" s="79">
        <v>0.24299999999999999</v>
      </c>
      <c r="X100" s="79">
        <f t="shared" si="409"/>
        <v>0.83399999999999996</v>
      </c>
      <c r="Y100" s="79">
        <v>5318.067</v>
      </c>
      <c r="Z100" s="79">
        <v>0</v>
      </c>
      <c r="AA100" s="80">
        <f t="shared" si="410"/>
        <v>5318.067</v>
      </c>
      <c r="AB100" s="79"/>
      <c r="AC100" s="88">
        <v>0</v>
      </c>
      <c r="AD100" s="94">
        <f t="shared" si="411"/>
        <v>0</v>
      </c>
      <c r="AE100" s="89">
        <v>0</v>
      </c>
      <c r="AF100" s="94">
        <f t="shared" si="412"/>
        <v>0</v>
      </c>
      <c r="AG100" s="89">
        <v>0</v>
      </c>
      <c r="AH100" s="94">
        <f t="shared" si="413"/>
        <v>0</v>
      </c>
      <c r="AI100" s="89">
        <v>0</v>
      </c>
      <c r="AJ100" s="94">
        <f>AI100/$B$6</f>
        <v>0</v>
      </c>
      <c r="AK100" s="89">
        <v>0</v>
      </c>
      <c r="AL100" s="94">
        <f>AK100/$B$7</f>
        <v>0</v>
      </c>
      <c r="AM100" s="89">
        <v>0</v>
      </c>
      <c r="AN100" s="94">
        <f t="shared" si="414"/>
        <v>0</v>
      </c>
      <c r="AO100" s="89">
        <v>0</v>
      </c>
      <c r="AP100" s="94">
        <f t="shared" si="415"/>
        <v>0</v>
      </c>
      <c r="AQ100" s="79"/>
      <c r="AR100" s="88">
        <v>30526.931400000001</v>
      </c>
      <c r="AS100" s="76">
        <v>1957.3</v>
      </c>
      <c r="AT100" s="88">
        <v>425.5</v>
      </c>
      <c r="AU100" s="100">
        <f t="shared" si="416"/>
        <v>0.34300000000000003</v>
      </c>
      <c r="AV100" s="100">
        <f t="shared" si="417"/>
        <v>0.85099999999999998</v>
      </c>
      <c r="AW100" s="100">
        <f t="shared" si="418"/>
        <v>0.85099999999999998</v>
      </c>
      <c r="AX100" s="94">
        <v>381.786</v>
      </c>
      <c r="AY100" s="76">
        <v>2829.3948</v>
      </c>
      <c r="AZ100" s="100">
        <f>AX100/$B$9</f>
        <v>0.59099999999999997</v>
      </c>
      <c r="BA100" s="97">
        <f>AY100/$B$8</f>
        <v>0.24299999999999999</v>
      </c>
      <c r="BB100" s="88">
        <v>37419.4</v>
      </c>
      <c r="BC100" s="76">
        <v>19319.924999999999</v>
      </c>
      <c r="BD100" s="100">
        <f t="shared" si="419"/>
        <v>0.83900000000000008</v>
      </c>
      <c r="BE100" s="97">
        <f t="shared" si="420"/>
        <v>0.82299999999999995</v>
      </c>
      <c r="BG100" s="88">
        <v>1034.317</v>
      </c>
      <c r="BH100" s="114">
        <f>BG100/$B$10</f>
        <v>0.41999991878700271</v>
      </c>
      <c r="BI100" s="115">
        <v>928.14200000000005</v>
      </c>
      <c r="BJ100" s="114">
        <f>BI100/$B$11</f>
        <v>0.57756191661481027</v>
      </c>
      <c r="BK100" s="115">
        <v>1121.4780000000001</v>
      </c>
      <c r="BL100" s="114">
        <f t="shared" si="421"/>
        <v>0.5784392407674851</v>
      </c>
      <c r="BN100" s="111">
        <v>52500.305999999997</v>
      </c>
      <c r="BO100" s="114">
        <f t="shared" si="422"/>
        <v>0.75409836065573765</v>
      </c>
      <c r="BQ100" s="142">
        <v>13015.205</v>
      </c>
      <c r="BR100" s="131">
        <v>0</v>
      </c>
      <c r="BS100" s="143">
        <v>0</v>
      </c>
      <c r="BT100" s="105">
        <f t="shared" si="423"/>
        <v>0.39923941717791411</v>
      </c>
      <c r="BU100" s="20">
        <f t="shared" si="424"/>
        <v>0</v>
      </c>
      <c r="BV100" s="2">
        <v>0</v>
      </c>
      <c r="BW100" s="2">
        <v>0</v>
      </c>
      <c r="BX100" s="2">
        <v>0</v>
      </c>
      <c r="BY100" s="2">
        <v>5417.3440000000001</v>
      </c>
      <c r="BZ100" s="105">
        <f t="shared" si="425"/>
        <v>0.40193975367265172</v>
      </c>
      <c r="CA100" s="20">
        <f t="shared" si="426"/>
        <v>0</v>
      </c>
      <c r="CB100" s="5">
        <v>10800</v>
      </c>
      <c r="CC100" s="5">
        <v>0</v>
      </c>
      <c r="CE100" s="108">
        <v>-700</v>
      </c>
      <c r="CF100" s="153">
        <f t="shared" si="427"/>
        <v>0</v>
      </c>
      <c r="CG100" s="153">
        <v>4485</v>
      </c>
      <c r="CH100" s="153">
        <f t="shared" si="427"/>
        <v>4485</v>
      </c>
      <c r="CI100" s="153">
        <v>0</v>
      </c>
      <c r="CJ100" s="153">
        <f t="shared" ref="CJ100:CL100" si="624">IF(CI100&gt;0,CI100,0)</f>
        <v>0</v>
      </c>
      <c r="CK100" s="153">
        <v>-5000</v>
      </c>
      <c r="CL100" s="153">
        <f t="shared" si="624"/>
        <v>0</v>
      </c>
      <c r="CM100" s="153">
        <v>-5300</v>
      </c>
      <c r="CN100" s="153">
        <f t="shared" ref="CN100:CP100" si="625">IF(CM100&gt;0,CM100,0)</f>
        <v>0</v>
      </c>
      <c r="CO100" s="153">
        <v>-4000</v>
      </c>
      <c r="CP100" s="153">
        <f t="shared" si="625"/>
        <v>0</v>
      </c>
      <c r="CQ100" s="153">
        <v>-3448.7805395300002</v>
      </c>
      <c r="CR100" s="153">
        <f t="shared" ref="CR100:CT100" si="626">IF(CQ100&gt;0,CQ100,0)</f>
        <v>0</v>
      </c>
      <c r="CS100" s="153">
        <v>11465.20904718</v>
      </c>
      <c r="CT100" s="153">
        <f t="shared" si="626"/>
        <v>11465.20904718</v>
      </c>
      <c r="CU100" s="107">
        <f t="shared" si="431"/>
        <v>15950.20904718</v>
      </c>
      <c r="CW100" s="108">
        <v>-700</v>
      </c>
      <c r="CX100" s="153">
        <f t="shared" si="432"/>
        <v>700</v>
      </c>
      <c r="CY100" s="153">
        <v>4485</v>
      </c>
      <c r="CZ100" s="153">
        <f t="shared" si="432"/>
        <v>0</v>
      </c>
      <c r="DA100" s="153">
        <v>0</v>
      </c>
      <c r="DB100" s="153">
        <f t="shared" ref="DB100:DD100" si="627">IF(DA100&lt;0,-DA100,0)</f>
        <v>0</v>
      </c>
      <c r="DC100" s="153">
        <v>-5000</v>
      </c>
      <c r="DD100" s="153">
        <f t="shared" si="627"/>
        <v>5000</v>
      </c>
      <c r="DE100" s="153">
        <v>-5300</v>
      </c>
      <c r="DF100" s="153">
        <f t="shared" ref="DF100:DH100" si="628">IF(DE100&lt;0,-DE100,0)</f>
        <v>5300</v>
      </c>
      <c r="DG100" s="153">
        <v>-4000</v>
      </c>
      <c r="DH100" s="153">
        <f t="shared" si="628"/>
        <v>4000</v>
      </c>
      <c r="DI100" s="153">
        <v>-3448.7805395300002</v>
      </c>
      <c r="DJ100" s="153">
        <f t="shared" ref="DJ100:DL100" si="629">IF(DI100&lt;0,-DI100,0)</f>
        <v>3448.7805395300002</v>
      </c>
      <c r="DK100" s="153">
        <v>11465.20904718</v>
      </c>
      <c r="DL100" s="153">
        <f t="shared" si="629"/>
        <v>0</v>
      </c>
      <c r="DM100" s="107">
        <f t="shared" si="436"/>
        <v>18448.780539530002</v>
      </c>
    </row>
    <row r="101" spans="13:117" s="5" customFormat="1" x14ac:dyDescent="0.35">
      <c r="M101" s="77">
        <f t="shared" si="437"/>
        <v>99</v>
      </c>
      <c r="N101" s="78">
        <v>0</v>
      </c>
      <c r="O101" s="79">
        <v>0</v>
      </c>
      <c r="P101" s="79">
        <v>0</v>
      </c>
      <c r="Q101" s="79">
        <v>31404.126</v>
      </c>
      <c r="R101" s="79">
        <v>1514.24437476</v>
      </c>
      <c r="S101" s="79">
        <f t="shared" si="408"/>
        <v>32918.370374760001</v>
      </c>
      <c r="T101" s="78">
        <v>0</v>
      </c>
      <c r="U101" s="79">
        <v>0</v>
      </c>
      <c r="V101" s="79">
        <v>0.59699999999999998</v>
      </c>
      <c r="W101" s="79">
        <v>0.24199999999999999</v>
      </c>
      <c r="X101" s="79">
        <f t="shared" si="409"/>
        <v>0.83899999999999997</v>
      </c>
      <c r="Y101" s="79">
        <v>4886.8729999999996</v>
      </c>
      <c r="Z101" s="79">
        <v>0</v>
      </c>
      <c r="AA101" s="80">
        <f t="shared" si="410"/>
        <v>4886.8729999999996</v>
      </c>
      <c r="AB101" s="79"/>
      <c r="AC101" s="88">
        <v>0</v>
      </c>
      <c r="AD101" s="94">
        <f t="shared" si="411"/>
        <v>0</v>
      </c>
      <c r="AE101" s="89">
        <v>0</v>
      </c>
      <c r="AF101" s="94">
        <f t="shared" si="412"/>
        <v>0</v>
      </c>
      <c r="AG101" s="89">
        <v>0</v>
      </c>
      <c r="AH101" s="94">
        <f t="shared" si="413"/>
        <v>0</v>
      </c>
      <c r="AI101" s="89">
        <v>0</v>
      </c>
      <c r="AJ101" s="94">
        <f>AI101/$B$6</f>
        <v>0</v>
      </c>
      <c r="AK101" s="89">
        <v>0</v>
      </c>
      <c r="AL101" s="94">
        <f>AK101/$B$7</f>
        <v>0</v>
      </c>
      <c r="AM101" s="89">
        <v>0</v>
      </c>
      <c r="AN101" s="94">
        <f t="shared" si="414"/>
        <v>0</v>
      </c>
      <c r="AO101" s="89">
        <v>0</v>
      </c>
      <c r="AP101" s="94">
        <f t="shared" si="415"/>
        <v>0</v>
      </c>
      <c r="AQ101" s="79"/>
      <c r="AR101" s="88">
        <v>29814.933000000001</v>
      </c>
      <c r="AS101" s="76">
        <v>1966.5</v>
      </c>
      <c r="AT101" s="88">
        <v>427.5</v>
      </c>
      <c r="AU101" s="100">
        <f t="shared" si="416"/>
        <v>0.33500000000000002</v>
      </c>
      <c r="AV101" s="100">
        <f t="shared" si="417"/>
        <v>0.85499999999999998</v>
      </c>
      <c r="AW101" s="100">
        <f t="shared" si="418"/>
        <v>0.85499999999999998</v>
      </c>
      <c r="AX101" s="94">
        <v>385.66199999999998</v>
      </c>
      <c r="AY101" s="76">
        <v>2817.7512000000002</v>
      </c>
      <c r="AZ101" s="100">
        <f>AX101/$B$9</f>
        <v>0.59699999999999998</v>
      </c>
      <c r="BA101" s="97">
        <f>AY101/$B$8</f>
        <v>0.24199999999999999</v>
      </c>
      <c r="BB101" s="88">
        <v>37285.599999999999</v>
      </c>
      <c r="BC101" s="76">
        <v>19226.025000000001</v>
      </c>
      <c r="BD101" s="100">
        <f t="shared" si="419"/>
        <v>0.83599999999999997</v>
      </c>
      <c r="BE101" s="97">
        <f t="shared" si="420"/>
        <v>0.81900000000000006</v>
      </c>
      <c r="BG101" s="88">
        <v>1031.855</v>
      </c>
      <c r="BH101" s="114">
        <f>BG101/$B$10</f>
        <v>0.41900018678989387</v>
      </c>
      <c r="BI101" s="115">
        <v>933.52300000000002</v>
      </c>
      <c r="BJ101" s="114">
        <f>BI101/$B$11</f>
        <v>0.58091039203484751</v>
      </c>
      <c r="BK101" s="115">
        <v>1121.4780000000001</v>
      </c>
      <c r="BL101" s="114">
        <f t="shared" si="421"/>
        <v>0.5784392407674851</v>
      </c>
      <c r="BN101" s="111">
        <v>52500.305999999997</v>
      </c>
      <c r="BO101" s="114">
        <f t="shared" si="422"/>
        <v>0.75409836065573765</v>
      </c>
      <c r="BQ101" s="142">
        <v>12718.566000000001</v>
      </c>
      <c r="BR101" s="131">
        <v>0</v>
      </c>
      <c r="BS101" s="143">
        <v>0</v>
      </c>
      <c r="BT101" s="105">
        <f t="shared" si="423"/>
        <v>0.39014006134969326</v>
      </c>
      <c r="BU101" s="20">
        <f t="shared" si="424"/>
        <v>0</v>
      </c>
      <c r="BV101" s="2">
        <v>0</v>
      </c>
      <c r="BW101" s="2">
        <v>0</v>
      </c>
      <c r="BX101" s="2">
        <v>0</v>
      </c>
      <c r="BY101" s="2">
        <v>5449.8440000000001</v>
      </c>
      <c r="BZ101" s="105">
        <f t="shared" si="425"/>
        <v>0.40435109066627095</v>
      </c>
      <c r="CA101" s="20">
        <f t="shared" si="426"/>
        <v>0</v>
      </c>
      <c r="CB101" s="5">
        <v>10800</v>
      </c>
      <c r="CC101" s="5">
        <v>0</v>
      </c>
      <c r="CE101" s="108">
        <v>-700</v>
      </c>
      <c r="CF101" s="153">
        <f t="shared" si="427"/>
        <v>0</v>
      </c>
      <c r="CG101" s="153">
        <v>4485</v>
      </c>
      <c r="CH101" s="153">
        <f t="shared" si="427"/>
        <v>4485</v>
      </c>
      <c r="CI101" s="153">
        <v>0</v>
      </c>
      <c r="CJ101" s="153">
        <f t="shared" ref="CJ101:CL101" si="630">IF(CI101&gt;0,CI101,0)</f>
        <v>0</v>
      </c>
      <c r="CK101" s="153">
        <v>-5000</v>
      </c>
      <c r="CL101" s="153">
        <f t="shared" si="630"/>
        <v>0</v>
      </c>
      <c r="CM101" s="153">
        <v>-5300</v>
      </c>
      <c r="CN101" s="153">
        <f t="shared" ref="CN101:CP101" si="631">IF(CM101&gt;0,CM101,0)</f>
        <v>0</v>
      </c>
      <c r="CO101" s="153">
        <v>-4000</v>
      </c>
      <c r="CP101" s="153">
        <f t="shared" si="631"/>
        <v>0</v>
      </c>
      <c r="CQ101" s="153">
        <v>-4509.3966475300003</v>
      </c>
      <c r="CR101" s="153">
        <f t="shared" ref="CR101:CT101" si="632">IF(CQ101&gt;0,CQ101,0)</f>
        <v>0</v>
      </c>
      <c r="CS101" s="153">
        <v>10868.071331409999</v>
      </c>
      <c r="CT101" s="153">
        <f t="shared" si="632"/>
        <v>10868.071331409999</v>
      </c>
      <c r="CU101" s="107">
        <f t="shared" si="431"/>
        <v>15353.071331409999</v>
      </c>
      <c r="CW101" s="108">
        <v>-700</v>
      </c>
      <c r="CX101" s="153">
        <f t="shared" si="432"/>
        <v>700</v>
      </c>
      <c r="CY101" s="153">
        <v>4485</v>
      </c>
      <c r="CZ101" s="153">
        <f t="shared" si="432"/>
        <v>0</v>
      </c>
      <c r="DA101" s="153">
        <v>0</v>
      </c>
      <c r="DB101" s="153">
        <f t="shared" ref="DB101:DD101" si="633">IF(DA101&lt;0,-DA101,0)</f>
        <v>0</v>
      </c>
      <c r="DC101" s="153">
        <v>-5000</v>
      </c>
      <c r="DD101" s="153">
        <f t="shared" si="633"/>
        <v>5000</v>
      </c>
      <c r="DE101" s="153">
        <v>-5300</v>
      </c>
      <c r="DF101" s="153">
        <f t="shared" ref="DF101:DH101" si="634">IF(DE101&lt;0,-DE101,0)</f>
        <v>5300</v>
      </c>
      <c r="DG101" s="153">
        <v>-4000</v>
      </c>
      <c r="DH101" s="153">
        <f t="shared" si="634"/>
        <v>4000</v>
      </c>
      <c r="DI101" s="153">
        <v>-4509.3966475300003</v>
      </c>
      <c r="DJ101" s="153">
        <f t="shared" ref="DJ101:DL101" si="635">IF(DI101&lt;0,-DI101,0)</f>
        <v>4509.3966475300003</v>
      </c>
      <c r="DK101" s="153">
        <v>10868.071331409999</v>
      </c>
      <c r="DL101" s="153">
        <f t="shared" si="635"/>
        <v>0</v>
      </c>
      <c r="DM101" s="107">
        <f t="shared" si="436"/>
        <v>19509.39664753</v>
      </c>
    </row>
    <row r="102" spans="13:117" s="5" customFormat="1" x14ac:dyDescent="0.35">
      <c r="M102" s="77">
        <f t="shared" si="437"/>
        <v>100</v>
      </c>
      <c r="N102" s="78">
        <v>0</v>
      </c>
      <c r="O102" s="79">
        <v>0</v>
      </c>
      <c r="P102" s="79">
        <v>0</v>
      </c>
      <c r="Q102" s="79">
        <v>31010.085999999999</v>
      </c>
      <c r="R102" s="79">
        <v>2406.3645889999998</v>
      </c>
      <c r="S102" s="79">
        <f t="shared" si="408"/>
        <v>33416.450589</v>
      </c>
      <c r="T102" s="78">
        <v>0</v>
      </c>
      <c r="U102" s="79">
        <v>0</v>
      </c>
      <c r="V102" s="79">
        <v>0.58299999999999996</v>
      </c>
      <c r="W102" s="79">
        <v>0.26200000000000001</v>
      </c>
      <c r="X102" s="79">
        <f t="shared" si="409"/>
        <v>0.84499999999999997</v>
      </c>
      <c r="Y102" s="79">
        <v>4764.5219999999999</v>
      </c>
      <c r="Z102" s="79">
        <v>0</v>
      </c>
      <c r="AA102" s="80">
        <f t="shared" si="410"/>
        <v>4764.5219999999999</v>
      </c>
      <c r="AB102" s="79"/>
      <c r="AC102" s="88">
        <v>0</v>
      </c>
      <c r="AD102" s="94">
        <f t="shared" si="411"/>
        <v>0</v>
      </c>
      <c r="AE102" s="89">
        <v>0</v>
      </c>
      <c r="AF102" s="94">
        <f t="shared" si="412"/>
        <v>0</v>
      </c>
      <c r="AG102" s="89">
        <v>0</v>
      </c>
      <c r="AH102" s="94">
        <f t="shared" si="413"/>
        <v>0</v>
      </c>
      <c r="AI102" s="89">
        <v>0</v>
      </c>
      <c r="AJ102" s="94">
        <f>AI102/$B$6</f>
        <v>0</v>
      </c>
      <c r="AK102" s="89">
        <v>0</v>
      </c>
      <c r="AL102" s="94">
        <f>AK102/$B$7</f>
        <v>0</v>
      </c>
      <c r="AM102" s="89">
        <v>0</v>
      </c>
      <c r="AN102" s="94">
        <f t="shared" si="414"/>
        <v>0</v>
      </c>
      <c r="AO102" s="89">
        <v>0</v>
      </c>
      <c r="AP102" s="94">
        <f t="shared" si="415"/>
        <v>0</v>
      </c>
      <c r="AQ102" s="79"/>
      <c r="AR102" s="88">
        <v>31772.928599999999</v>
      </c>
      <c r="AS102" s="76">
        <v>1961.9</v>
      </c>
      <c r="AT102" s="88">
        <v>426.5</v>
      </c>
      <c r="AU102" s="100">
        <f t="shared" si="416"/>
        <v>0.35699999999999998</v>
      </c>
      <c r="AV102" s="100">
        <f t="shared" si="417"/>
        <v>0.85300000000000009</v>
      </c>
      <c r="AW102" s="100">
        <f t="shared" si="418"/>
        <v>0.85299999999999998</v>
      </c>
      <c r="AX102" s="94">
        <v>376.61799999999999</v>
      </c>
      <c r="AY102" s="76">
        <v>3050.6232</v>
      </c>
      <c r="AZ102" s="100">
        <f>AX102/$B$9</f>
        <v>0.58299999999999996</v>
      </c>
      <c r="BA102" s="97">
        <f>AY102/$B$8</f>
        <v>0.26200000000000001</v>
      </c>
      <c r="BB102" s="88">
        <v>37196.400000000001</v>
      </c>
      <c r="BC102" s="76">
        <v>19319.924999999999</v>
      </c>
      <c r="BD102" s="100">
        <f t="shared" si="419"/>
        <v>0.83400000000000007</v>
      </c>
      <c r="BE102" s="97">
        <f t="shared" si="420"/>
        <v>0.82299999999999995</v>
      </c>
      <c r="BG102" s="88">
        <v>1002.303</v>
      </c>
      <c r="BH102" s="114">
        <f>BG102/$B$10</f>
        <v>0.40700015430469494</v>
      </c>
      <c r="BI102" s="115">
        <v>941.20399999999995</v>
      </c>
      <c r="BJ102" s="114">
        <f>BI102/$B$11</f>
        <v>0.58569010578718106</v>
      </c>
      <c r="BK102" s="115">
        <v>1121.4780000000001</v>
      </c>
      <c r="BL102" s="114">
        <f t="shared" si="421"/>
        <v>0.5784392407674851</v>
      </c>
      <c r="BN102" s="111">
        <v>52500.305999999997</v>
      </c>
      <c r="BO102" s="114">
        <f t="shared" si="422"/>
        <v>0.75409836065573765</v>
      </c>
      <c r="BQ102" s="142">
        <v>13580.661</v>
      </c>
      <c r="BR102" s="131">
        <v>0</v>
      </c>
      <c r="BS102" s="143">
        <v>0</v>
      </c>
      <c r="BT102" s="105">
        <f t="shared" si="423"/>
        <v>0.41658469325153374</v>
      </c>
      <c r="BU102" s="20">
        <f t="shared" si="424"/>
        <v>0</v>
      </c>
      <c r="BV102" s="2">
        <v>0</v>
      </c>
      <c r="BW102" s="2">
        <v>0</v>
      </c>
      <c r="BX102" s="2">
        <v>0</v>
      </c>
      <c r="BY102" s="2">
        <v>5309.4139999999998</v>
      </c>
      <c r="BZ102" s="105">
        <f t="shared" si="425"/>
        <v>0.39393188900430332</v>
      </c>
      <c r="CA102" s="20">
        <f t="shared" si="426"/>
        <v>0</v>
      </c>
      <c r="CB102" s="5">
        <v>10800</v>
      </c>
      <c r="CC102" s="5">
        <v>0</v>
      </c>
      <c r="CE102" s="108">
        <v>-700</v>
      </c>
      <c r="CF102" s="153">
        <f t="shared" si="427"/>
        <v>0</v>
      </c>
      <c r="CG102" s="153">
        <v>4485</v>
      </c>
      <c r="CH102" s="153">
        <f t="shared" si="427"/>
        <v>4485</v>
      </c>
      <c r="CI102" s="153">
        <v>0</v>
      </c>
      <c r="CJ102" s="153">
        <f t="shared" ref="CJ102:CL102" si="636">IF(CI102&gt;0,CI102,0)</f>
        <v>0</v>
      </c>
      <c r="CK102" s="153">
        <v>-5000</v>
      </c>
      <c r="CL102" s="153">
        <f t="shared" si="636"/>
        <v>0</v>
      </c>
      <c r="CM102" s="153">
        <v>-2536.22199077</v>
      </c>
      <c r="CN102" s="153">
        <f t="shared" ref="CN102:CP102" si="637">IF(CM102&gt;0,CM102,0)</f>
        <v>0</v>
      </c>
      <c r="CO102" s="153">
        <v>-4000</v>
      </c>
      <c r="CP102" s="153">
        <f t="shared" si="637"/>
        <v>0</v>
      </c>
      <c r="CQ102" s="153">
        <v>-3725.0539058200002</v>
      </c>
      <c r="CR102" s="153">
        <f t="shared" ref="CR102:CT102" si="638">IF(CQ102&gt;0,CQ102,0)</f>
        <v>0</v>
      </c>
      <c r="CS102" s="153">
        <v>10489.281993050001</v>
      </c>
      <c r="CT102" s="153">
        <f t="shared" si="638"/>
        <v>10489.281993050001</v>
      </c>
      <c r="CU102" s="107">
        <f t="shared" si="431"/>
        <v>14974.281993050001</v>
      </c>
      <c r="CW102" s="108">
        <v>-700</v>
      </c>
      <c r="CX102" s="153">
        <f t="shared" si="432"/>
        <v>700</v>
      </c>
      <c r="CY102" s="153">
        <v>4485</v>
      </c>
      <c r="CZ102" s="153">
        <f t="shared" si="432"/>
        <v>0</v>
      </c>
      <c r="DA102" s="153">
        <v>0</v>
      </c>
      <c r="DB102" s="153">
        <f t="shared" ref="DB102:DD102" si="639">IF(DA102&lt;0,-DA102,0)</f>
        <v>0</v>
      </c>
      <c r="DC102" s="153">
        <v>-5000</v>
      </c>
      <c r="DD102" s="153">
        <f t="shared" si="639"/>
        <v>5000</v>
      </c>
      <c r="DE102" s="153">
        <v>-2536.22199077</v>
      </c>
      <c r="DF102" s="153">
        <f t="shared" ref="DF102:DH102" si="640">IF(DE102&lt;0,-DE102,0)</f>
        <v>2536.22199077</v>
      </c>
      <c r="DG102" s="153">
        <v>-4000</v>
      </c>
      <c r="DH102" s="153">
        <f t="shared" si="640"/>
        <v>4000</v>
      </c>
      <c r="DI102" s="153">
        <v>-3725.0539058200002</v>
      </c>
      <c r="DJ102" s="153">
        <f t="shared" ref="DJ102:DL102" si="641">IF(DI102&lt;0,-DI102,0)</f>
        <v>3725.0539058200002</v>
      </c>
      <c r="DK102" s="153">
        <v>10489.281993050001</v>
      </c>
      <c r="DL102" s="153">
        <f t="shared" si="641"/>
        <v>0</v>
      </c>
      <c r="DM102" s="107">
        <f t="shared" si="436"/>
        <v>15961.275896589999</v>
      </c>
    </row>
    <row r="103" spans="13:117" s="5" customFormat="1" x14ac:dyDescent="0.35">
      <c r="M103" s="77">
        <f t="shared" si="437"/>
        <v>101</v>
      </c>
      <c r="N103" s="78">
        <v>0</v>
      </c>
      <c r="O103" s="79">
        <v>0</v>
      </c>
      <c r="P103" s="79">
        <v>0</v>
      </c>
      <c r="Q103" s="79">
        <v>31779.83</v>
      </c>
      <c r="R103" s="79">
        <v>2704.48176496</v>
      </c>
      <c r="S103" s="79">
        <f t="shared" si="408"/>
        <v>34484.311764960003</v>
      </c>
      <c r="T103" s="78">
        <v>0</v>
      </c>
      <c r="U103" s="79">
        <v>0</v>
      </c>
      <c r="V103" s="79">
        <v>0.56299999999999994</v>
      </c>
      <c r="W103" s="79">
        <v>0.28300000000000003</v>
      </c>
      <c r="X103" s="79">
        <f t="shared" si="409"/>
        <v>0.84599999999999997</v>
      </c>
      <c r="Y103" s="79">
        <v>4767.6689999999999</v>
      </c>
      <c r="Z103" s="79">
        <v>0</v>
      </c>
      <c r="AA103" s="80">
        <f t="shared" si="410"/>
        <v>4767.6689999999999</v>
      </c>
      <c r="AB103" s="79"/>
      <c r="AC103" s="88">
        <v>0</v>
      </c>
      <c r="AD103" s="94">
        <f t="shared" si="411"/>
        <v>0</v>
      </c>
      <c r="AE103" s="89">
        <v>0</v>
      </c>
      <c r="AF103" s="94">
        <f t="shared" si="412"/>
        <v>0</v>
      </c>
      <c r="AG103" s="89">
        <v>0</v>
      </c>
      <c r="AH103" s="94">
        <f t="shared" si="413"/>
        <v>0</v>
      </c>
      <c r="AI103" s="89">
        <v>0</v>
      </c>
      <c r="AJ103" s="94">
        <f>AI103/$B$6</f>
        <v>0</v>
      </c>
      <c r="AK103" s="89">
        <v>0</v>
      </c>
      <c r="AL103" s="94">
        <f>AK103/$B$7</f>
        <v>0</v>
      </c>
      <c r="AM103" s="89">
        <v>0</v>
      </c>
      <c r="AN103" s="94">
        <f t="shared" si="414"/>
        <v>0</v>
      </c>
      <c r="AO103" s="89">
        <v>0</v>
      </c>
      <c r="AP103" s="94">
        <f t="shared" si="415"/>
        <v>0</v>
      </c>
      <c r="AQ103" s="79"/>
      <c r="AR103" s="88">
        <v>36934.917000000001</v>
      </c>
      <c r="AS103" s="76">
        <v>1980.3</v>
      </c>
      <c r="AT103" s="88">
        <v>430.5</v>
      </c>
      <c r="AU103" s="100">
        <f t="shared" si="416"/>
        <v>0.41499999999999998</v>
      </c>
      <c r="AV103" s="100">
        <f t="shared" si="417"/>
        <v>0.86099999999999999</v>
      </c>
      <c r="AW103" s="100">
        <f t="shared" si="418"/>
        <v>0.86099999999999999</v>
      </c>
      <c r="AX103" s="94">
        <v>363.69799999999998</v>
      </c>
      <c r="AY103" s="76">
        <v>3295.1388000000002</v>
      </c>
      <c r="AZ103" s="100">
        <f>AX103/$B$9</f>
        <v>0.56299999999999994</v>
      </c>
      <c r="BA103" s="97">
        <f>AY103/$B$8</f>
        <v>0.28300000000000003</v>
      </c>
      <c r="BB103" s="88">
        <v>37464</v>
      </c>
      <c r="BC103" s="76">
        <v>19719</v>
      </c>
      <c r="BD103" s="100">
        <f t="shared" si="419"/>
        <v>0.84</v>
      </c>
      <c r="BE103" s="97">
        <f t="shared" si="420"/>
        <v>0.84</v>
      </c>
      <c r="BG103" s="88">
        <v>987.52700000000004</v>
      </c>
      <c r="BH103" s="114">
        <f>BG103/$B$10</f>
        <v>0.4010001380620955</v>
      </c>
      <c r="BI103" s="115">
        <v>945.78499999999997</v>
      </c>
      <c r="BJ103" s="114">
        <f>BI103/$B$11</f>
        <v>0.58854075917859361</v>
      </c>
      <c r="BK103" s="115">
        <v>1121.4780000000001</v>
      </c>
      <c r="BL103" s="114">
        <f t="shared" si="421"/>
        <v>0.5784392407674851</v>
      </c>
      <c r="BN103" s="111">
        <v>52500.305999999997</v>
      </c>
      <c r="BO103" s="114">
        <f t="shared" si="422"/>
        <v>0.75409836065573765</v>
      </c>
      <c r="BQ103" s="142">
        <v>15764.441000000001</v>
      </c>
      <c r="BR103" s="131">
        <v>0</v>
      </c>
      <c r="BS103" s="143">
        <v>0</v>
      </c>
      <c r="BT103" s="105">
        <f t="shared" si="423"/>
        <v>0.48357180981595094</v>
      </c>
      <c r="BU103" s="20">
        <f t="shared" si="424"/>
        <v>0</v>
      </c>
      <c r="BV103" s="2">
        <v>0</v>
      </c>
      <c r="BW103" s="2">
        <v>0</v>
      </c>
      <c r="BX103" s="2">
        <v>0</v>
      </c>
      <c r="BY103" s="2">
        <v>5112.8429999999998</v>
      </c>
      <c r="BZ103" s="105">
        <f t="shared" si="425"/>
        <v>0.37934730672206557</v>
      </c>
      <c r="CA103" s="20">
        <f t="shared" si="426"/>
        <v>0</v>
      </c>
      <c r="CB103" s="5">
        <v>10800</v>
      </c>
      <c r="CC103" s="5">
        <v>0</v>
      </c>
      <c r="CE103" s="108">
        <v>-700</v>
      </c>
      <c r="CF103" s="153">
        <f t="shared" si="427"/>
        <v>0</v>
      </c>
      <c r="CG103" s="153">
        <v>4485</v>
      </c>
      <c r="CH103" s="153">
        <f t="shared" si="427"/>
        <v>4485</v>
      </c>
      <c r="CI103" s="153">
        <v>0</v>
      </c>
      <c r="CJ103" s="153">
        <f t="shared" ref="CJ103:CL103" si="642">IF(CI103&gt;0,CI103,0)</f>
        <v>0</v>
      </c>
      <c r="CK103" s="153">
        <v>-5000</v>
      </c>
      <c r="CL103" s="153">
        <f t="shared" si="642"/>
        <v>0</v>
      </c>
      <c r="CM103" s="153">
        <v>-4643.0898058299999</v>
      </c>
      <c r="CN103" s="153">
        <f t="shared" ref="CN103:CP103" si="643">IF(CM103&gt;0,CM103,0)</f>
        <v>0</v>
      </c>
      <c r="CO103" s="153">
        <v>-4000</v>
      </c>
      <c r="CP103" s="153">
        <f t="shared" si="643"/>
        <v>0</v>
      </c>
      <c r="CQ103" s="153">
        <v>0</v>
      </c>
      <c r="CR103" s="153">
        <f t="shared" ref="CR103:CT103" si="644">IF(CQ103&gt;0,CQ103,0)</f>
        <v>0</v>
      </c>
      <c r="CS103" s="153">
        <v>12643.174998689999</v>
      </c>
      <c r="CT103" s="153">
        <f t="shared" si="644"/>
        <v>12643.174998689999</v>
      </c>
      <c r="CU103" s="107">
        <f t="shared" si="431"/>
        <v>17128.174998689999</v>
      </c>
      <c r="CW103" s="108">
        <v>-700</v>
      </c>
      <c r="CX103" s="153">
        <f t="shared" si="432"/>
        <v>700</v>
      </c>
      <c r="CY103" s="153">
        <v>4485</v>
      </c>
      <c r="CZ103" s="153">
        <f t="shared" si="432"/>
        <v>0</v>
      </c>
      <c r="DA103" s="153">
        <v>0</v>
      </c>
      <c r="DB103" s="153">
        <f t="shared" ref="DB103:DD103" si="645">IF(DA103&lt;0,-DA103,0)</f>
        <v>0</v>
      </c>
      <c r="DC103" s="153">
        <v>-5000</v>
      </c>
      <c r="DD103" s="153">
        <f t="shared" si="645"/>
        <v>5000</v>
      </c>
      <c r="DE103" s="153">
        <v>-4643.0898058299999</v>
      </c>
      <c r="DF103" s="153">
        <f t="shared" ref="DF103:DH103" si="646">IF(DE103&lt;0,-DE103,0)</f>
        <v>4643.0898058299999</v>
      </c>
      <c r="DG103" s="153">
        <v>-4000</v>
      </c>
      <c r="DH103" s="153">
        <f t="shared" si="646"/>
        <v>4000</v>
      </c>
      <c r="DI103" s="153">
        <v>0</v>
      </c>
      <c r="DJ103" s="153">
        <f t="shared" ref="DJ103:DL103" si="647">IF(DI103&lt;0,-DI103,0)</f>
        <v>0</v>
      </c>
      <c r="DK103" s="153">
        <v>12643.174998689999</v>
      </c>
      <c r="DL103" s="153">
        <f t="shared" si="647"/>
        <v>0</v>
      </c>
      <c r="DM103" s="107">
        <f t="shared" si="436"/>
        <v>14343.089805830001</v>
      </c>
    </row>
    <row r="104" spans="13:117" s="5" customFormat="1" x14ac:dyDescent="0.35">
      <c r="M104" s="77">
        <f t="shared" si="437"/>
        <v>102</v>
      </c>
      <c r="N104" s="78">
        <v>0</v>
      </c>
      <c r="O104" s="79">
        <v>0</v>
      </c>
      <c r="P104" s="79">
        <v>0</v>
      </c>
      <c r="Q104" s="79">
        <v>33941.966999999997</v>
      </c>
      <c r="R104" s="79">
        <v>2896.52217703</v>
      </c>
      <c r="S104" s="79">
        <f t="shared" si="408"/>
        <v>36838.489177029995</v>
      </c>
      <c r="T104" s="78">
        <v>0</v>
      </c>
      <c r="U104" s="79">
        <v>0</v>
      </c>
      <c r="V104" s="79">
        <v>0.55700000000000005</v>
      </c>
      <c r="W104" s="79">
        <v>0.3</v>
      </c>
      <c r="X104" s="79">
        <f t="shared" si="409"/>
        <v>0.85699999999999998</v>
      </c>
      <c r="Y104" s="79">
        <v>4904.3209999999999</v>
      </c>
      <c r="Z104" s="79">
        <v>0</v>
      </c>
      <c r="AA104" s="80">
        <f t="shared" si="410"/>
        <v>4904.3209999999999</v>
      </c>
      <c r="AB104" s="79"/>
      <c r="AC104" s="88">
        <v>0</v>
      </c>
      <c r="AD104" s="94">
        <f t="shared" si="411"/>
        <v>0</v>
      </c>
      <c r="AE104" s="89">
        <v>0</v>
      </c>
      <c r="AF104" s="94">
        <f t="shared" si="412"/>
        <v>0</v>
      </c>
      <c r="AG104" s="89">
        <v>0</v>
      </c>
      <c r="AH104" s="94">
        <f t="shared" si="413"/>
        <v>0</v>
      </c>
      <c r="AI104" s="89">
        <v>0</v>
      </c>
      <c r="AJ104" s="94">
        <f>AI104/$B$6</f>
        <v>0</v>
      </c>
      <c r="AK104" s="89">
        <v>0</v>
      </c>
      <c r="AL104" s="94">
        <f>AK104/$B$7</f>
        <v>0</v>
      </c>
      <c r="AM104" s="89">
        <v>0</v>
      </c>
      <c r="AN104" s="94">
        <f t="shared" si="414"/>
        <v>0</v>
      </c>
      <c r="AO104" s="89">
        <v>0</v>
      </c>
      <c r="AP104" s="94">
        <f t="shared" si="415"/>
        <v>0</v>
      </c>
      <c r="AQ104" s="79"/>
      <c r="AR104" s="88">
        <v>41918.9058</v>
      </c>
      <c r="AS104" s="76">
        <v>2003.3</v>
      </c>
      <c r="AT104" s="88">
        <v>435.5</v>
      </c>
      <c r="AU104" s="100">
        <f t="shared" si="416"/>
        <v>0.47099999999999997</v>
      </c>
      <c r="AV104" s="100">
        <f t="shared" si="417"/>
        <v>0.871</v>
      </c>
      <c r="AW104" s="100">
        <f t="shared" si="418"/>
        <v>0.871</v>
      </c>
      <c r="AX104" s="94">
        <v>359.822</v>
      </c>
      <c r="AY104" s="76">
        <v>3493.08</v>
      </c>
      <c r="AZ104" s="100">
        <f>AX104/$B$9</f>
        <v>0.55700000000000005</v>
      </c>
      <c r="BA104" s="97">
        <f>AY104/$B$8</f>
        <v>0.3</v>
      </c>
      <c r="BB104" s="88">
        <v>37820.800000000003</v>
      </c>
      <c r="BC104" s="76">
        <v>20986.65</v>
      </c>
      <c r="BD104" s="100">
        <f t="shared" si="419"/>
        <v>0.84800000000000009</v>
      </c>
      <c r="BE104" s="97">
        <f t="shared" si="420"/>
        <v>0.89400000000000002</v>
      </c>
      <c r="BG104" s="88">
        <v>980.13900000000001</v>
      </c>
      <c r="BH104" s="114">
        <f>BG104/$B$10</f>
        <v>0.39800012994079575</v>
      </c>
      <c r="BI104" s="115">
        <v>932.50099999999998</v>
      </c>
      <c r="BJ104" s="114">
        <f>BI104/$B$11</f>
        <v>0.58027442439327936</v>
      </c>
      <c r="BK104" s="115">
        <v>1121.4780000000001</v>
      </c>
      <c r="BL104" s="114">
        <f t="shared" si="421"/>
        <v>0.5784392407674851</v>
      </c>
      <c r="BN104" s="111">
        <v>52500.305999999997</v>
      </c>
      <c r="BO104" s="114">
        <f t="shared" si="422"/>
        <v>0.75409836065573765</v>
      </c>
      <c r="BQ104" s="142">
        <v>17888.834999999999</v>
      </c>
      <c r="BR104" s="131">
        <v>0</v>
      </c>
      <c r="BS104" s="143">
        <v>0</v>
      </c>
      <c r="BT104" s="105">
        <f t="shared" si="423"/>
        <v>0.54873726993865024</v>
      </c>
      <c r="BU104" s="20">
        <f t="shared" si="424"/>
        <v>0</v>
      </c>
      <c r="BV104" s="2">
        <v>0</v>
      </c>
      <c r="BW104" s="2">
        <v>0</v>
      </c>
      <c r="BX104" s="2">
        <v>0</v>
      </c>
      <c r="BY104" s="2">
        <v>5048.232</v>
      </c>
      <c r="BZ104" s="105">
        <f t="shared" si="425"/>
        <v>0.37455349458376613</v>
      </c>
      <c r="CA104" s="20">
        <f t="shared" si="426"/>
        <v>0</v>
      </c>
      <c r="CB104" s="5">
        <v>10800</v>
      </c>
      <c r="CC104" s="5">
        <v>0</v>
      </c>
      <c r="CE104" s="108">
        <v>-700</v>
      </c>
      <c r="CF104" s="153">
        <f t="shared" si="427"/>
        <v>0</v>
      </c>
      <c r="CG104" s="153">
        <v>4485</v>
      </c>
      <c r="CH104" s="153">
        <f t="shared" si="427"/>
        <v>4485</v>
      </c>
      <c r="CI104" s="153">
        <v>0</v>
      </c>
      <c r="CJ104" s="153">
        <f t="shared" ref="CJ104:CL104" si="648">IF(CI104&gt;0,CI104,0)</f>
        <v>0</v>
      </c>
      <c r="CK104" s="153">
        <v>-4647.6256000000003</v>
      </c>
      <c r="CL104" s="153">
        <f t="shared" si="648"/>
        <v>0</v>
      </c>
      <c r="CM104" s="153">
        <v>-5300</v>
      </c>
      <c r="CN104" s="153">
        <f t="shared" ref="CN104:CP104" si="649">IF(CM104&gt;0,CM104,0)</f>
        <v>0</v>
      </c>
      <c r="CO104" s="153">
        <v>-4000</v>
      </c>
      <c r="CP104" s="153">
        <f t="shared" si="649"/>
        <v>0</v>
      </c>
      <c r="CQ104" s="153">
        <v>-2801.43832492</v>
      </c>
      <c r="CR104" s="153">
        <f t="shared" ref="CR104:CT104" si="650">IF(CQ104&gt;0,CQ104,0)</f>
        <v>0</v>
      </c>
      <c r="CS104" s="153">
        <v>12923.77698248</v>
      </c>
      <c r="CT104" s="153">
        <f t="shared" si="650"/>
        <v>12923.77698248</v>
      </c>
      <c r="CU104" s="107">
        <f t="shared" si="431"/>
        <v>17408.776982479998</v>
      </c>
      <c r="CW104" s="108">
        <v>-700</v>
      </c>
      <c r="CX104" s="153">
        <f t="shared" si="432"/>
        <v>700</v>
      </c>
      <c r="CY104" s="153">
        <v>4485</v>
      </c>
      <c r="CZ104" s="153">
        <f t="shared" si="432"/>
        <v>0</v>
      </c>
      <c r="DA104" s="153">
        <v>0</v>
      </c>
      <c r="DB104" s="153">
        <f t="shared" ref="DB104:DD104" si="651">IF(DA104&lt;0,-DA104,0)</f>
        <v>0</v>
      </c>
      <c r="DC104" s="153">
        <v>-4647.6256000000003</v>
      </c>
      <c r="DD104" s="153">
        <f t="shared" si="651"/>
        <v>4647.6256000000003</v>
      </c>
      <c r="DE104" s="153">
        <v>-5300</v>
      </c>
      <c r="DF104" s="153">
        <f t="shared" ref="DF104:DH104" si="652">IF(DE104&lt;0,-DE104,0)</f>
        <v>5300</v>
      </c>
      <c r="DG104" s="153">
        <v>-4000</v>
      </c>
      <c r="DH104" s="153">
        <f t="shared" si="652"/>
        <v>4000</v>
      </c>
      <c r="DI104" s="153">
        <v>-2801.43832492</v>
      </c>
      <c r="DJ104" s="153">
        <f t="shared" ref="DJ104:DL104" si="653">IF(DI104&lt;0,-DI104,0)</f>
        <v>2801.43832492</v>
      </c>
      <c r="DK104" s="153">
        <v>12923.77698248</v>
      </c>
      <c r="DL104" s="153">
        <f t="shared" si="653"/>
        <v>0</v>
      </c>
      <c r="DM104" s="107">
        <f t="shared" si="436"/>
        <v>17449.063924919999</v>
      </c>
    </row>
    <row r="105" spans="13:117" s="5" customFormat="1" x14ac:dyDescent="0.35">
      <c r="M105" s="77">
        <f t="shared" si="437"/>
        <v>103</v>
      </c>
      <c r="N105" s="78">
        <v>0</v>
      </c>
      <c r="O105" s="79">
        <v>0</v>
      </c>
      <c r="P105" s="79">
        <v>0</v>
      </c>
      <c r="Q105" s="79">
        <v>37031.663</v>
      </c>
      <c r="R105" s="79">
        <v>3653.3815220500001</v>
      </c>
      <c r="S105" s="79">
        <f t="shared" si="408"/>
        <v>40685.044522049997</v>
      </c>
      <c r="T105" s="78">
        <v>0</v>
      </c>
      <c r="U105" s="79">
        <v>0</v>
      </c>
      <c r="V105" s="79">
        <v>0.56100000000000005</v>
      </c>
      <c r="W105" s="79">
        <v>0.29299999999999998</v>
      </c>
      <c r="X105" s="79">
        <f t="shared" si="409"/>
        <v>0.85400000000000009</v>
      </c>
      <c r="Y105" s="79">
        <v>5261.7860000000001</v>
      </c>
      <c r="Z105" s="79">
        <v>0</v>
      </c>
      <c r="AA105" s="80">
        <f t="shared" si="410"/>
        <v>5261.7860000000001</v>
      </c>
      <c r="AB105" s="79"/>
      <c r="AC105" s="88">
        <v>0</v>
      </c>
      <c r="AD105" s="94">
        <f t="shared" si="411"/>
        <v>0</v>
      </c>
      <c r="AE105" s="89">
        <v>0</v>
      </c>
      <c r="AF105" s="94">
        <f t="shared" si="412"/>
        <v>0</v>
      </c>
      <c r="AG105" s="89">
        <v>0</v>
      </c>
      <c r="AH105" s="94">
        <f t="shared" si="413"/>
        <v>0</v>
      </c>
      <c r="AI105" s="89">
        <v>0</v>
      </c>
      <c r="AJ105" s="94">
        <f>AI105/$B$6</f>
        <v>0</v>
      </c>
      <c r="AK105" s="89">
        <v>0</v>
      </c>
      <c r="AL105" s="94">
        <f>AK105/$B$7</f>
        <v>0</v>
      </c>
      <c r="AM105" s="89">
        <v>0</v>
      </c>
      <c r="AN105" s="94">
        <f t="shared" si="414"/>
        <v>0</v>
      </c>
      <c r="AO105" s="89">
        <v>0</v>
      </c>
      <c r="AP105" s="94">
        <f t="shared" si="415"/>
        <v>0</v>
      </c>
      <c r="AQ105" s="79"/>
      <c r="AR105" s="88">
        <v>44321.900399999999</v>
      </c>
      <c r="AS105" s="76">
        <v>2024</v>
      </c>
      <c r="AT105" s="88">
        <v>440</v>
      </c>
      <c r="AU105" s="100">
        <f t="shared" si="416"/>
        <v>0.49799999999999994</v>
      </c>
      <c r="AV105" s="100">
        <f t="shared" si="417"/>
        <v>0.88</v>
      </c>
      <c r="AW105" s="100">
        <f t="shared" si="418"/>
        <v>0.88</v>
      </c>
      <c r="AX105" s="94">
        <v>362.40600000000001</v>
      </c>
      <c r="AY105" s="76">
        <v>3411.5747999999999</v>
      </c>
      <c r="AZ105" s="100">
        <f>AX105/$B$9</f>
        <v>0.56100000000000005</v>
      </c>
      <c r="BA105" s="97">
        <f>AY105/$B$8</f>
        <v>0.29299999999999998</v>
      </c>
      <c r="BB105" s="88">
        <v>38133</v>
      </c>
      <c r="BC105" s="76">
        <v>22183.875</v>
      </c>
      <c r="BD105" s="100">
        <f t="shared" si="419"/>
        <v>0.85499999999999998</v>
      </c>
      <c r="BE105" s="97">
        <f t="shared" si="420"/>
        <v>0.94499999999999995</v>
      </c>
      <c r="BG105" s="88">
        <v>989.98900000000003</v>
      </c>
      <c r="BH105" s="114">
        <f>BG105/$B$10</f>
        <v>0.40199987005920429</v>
      </c>
      <c r="BI105" s="115">
        <v>923.06899999999996</v>
      </c>
      <c r="BJ105" s="114">
        <f>BI105/$B$11</f>
        <v>0.57440510267579337</v>
      </c>
      <c r="BK105" s="115">
        <v>1121.4780000000001</v>
      </c>
      <c r="BL105" s="114">
        <f t="shared" si="421"/>
        <v>0.5784392407674851</v>
      </c>
      <c r="BN105" s="111">
        <v>52500.305999999997</v>
      </c>
      <c r="BO105" s="114">
        <f t="shared" si="422"/>
        <v>0.75409836065573765</v>
      </c>
      <c r="BQ105" s="142">
        <v>18907.48</v>
      </c>
      <c r="BR105" s="131">
        <v>0</v>
      </c>
      <c r="BS105" s="143">
        <v>0</v>
      </c>
      <c r="BT105" s="105">
        <f t="shared" si="423"/>
        <v>0.57998404907975454</v>
      </c>
      <c r="BU105" s="20">
        <f t="shared" si="424"/>
        <v>0</v>
      </c>
      <c r="BV105" s="2">
        <v>0</v>
      </c>
      <c r="BW105" s="2">
        <v>0</v>
      </c>
      <c r="BX105" s="2">
        <v>0</v>
      </c>
      <c r="BY105" s="2">
        <v>5083.7749999999996</v>
      </c>
      <c r="BZ105" s="105">
        <f t="shared" si="425"/>
        <v>0.37719060691497253</v>
      </c>
      <c r="CA105" s="20">
        <f t="shared" si="426"/>
        <v>0</v>
      </c>
      <c r="CB105" s="5">
        <v>10800</v>
      </c>
      <c r="CC105" s="5">
        <v>0</v>
      </c>
      <c r="CE105" s="108">
        <v>-700</v>
      </c>
      <c r="CF105" s="153">
        <f t="shared" si="427"/>
        <v>0</v>
      </c>
      <c r="CG105" s="153">
        <v>4485</v>
      </c>
      <c r="CH105" s="153">
        <f t="shared" si="427"/>
        <v>4485</v>
      </c>
      <c r="CI105" s="153">
        <v>0</v>
      </c>
      <c r="CJ105" s="153">
        <f t="shared" ref="CJ105:CL105" si="654">IF(CI105&gt;0,CI105,0)</f>
        <v>0</v>
      </c>
      <c r="CK105" s="153">
        <v>0</v>
      </c>
      <c r="CL105" s="153">
        <f t="shared" si="654"/>
        <v>0</v>
      </c>
      <c r="CM105" s="153">
        <v>-3055.5773382500001</v>
      </c>
      <c r="CN105" s="153">
        <f t="shared" ref="CN105:CP105" si="655">IF(CM105&gt;0,CM105,0)</f>
        <v>0</v>
      </c>
      <c r="CO105" s="153">
        <v>-4000</v>
      </c>
      <c r="CP105" s="153">
        <f t="shared" si="655"/>
        <v>0</v>
      </c>
      <c r="CQ105" s="153">
        <v>-2604.7245862899999</v>
      </c>
      <c r="CR105" s="153">
        <f t="shared" ref="CR105:CT105" si="656">IF(CQ105&gt;0,CQ105,0)</f>
        <v>0</v>
      </c>
      <c r="CS105" s="153">
        <v>8058.7010439200003</v>
      </c>
      <c r="CT105" s="153">
        <f t="shared" si="656"/>
        <v>8058.7010439200003</v>
      </c>
      <c r="CU105" s="107">
        <f t="shared" si="431"/>
        <v>12543.70104392</v>
      </c>
      <c r="CW105" s="108">
        <v>-700</v>
      </c>
      <c r="CX105" s="153">
        <f t="shared" si="432"/>
        <v>700</v>
      </c>
      <c r="CY105" s="153">
        <v>4485</v>
      </c>
      <c r="CZ105" s="153">
        <f t="shared" si="432"/>
        <v>0</v>
      </c>
      <c r="DA105" s="153">
        <v>0</v>
      </c>
      <c r="DB105" s="153">
        <f t="shared" ref="DB105:DD105" si="657">IF(DA105&lt;0,-DA105,0)</f>
        <v>0</v>
      </c>
      <c r="DC105" s="153">
        <v>0</v>
      </c>
      <c r="DD105" s="153">
        <f t="shared" si="657"/>
        <v>0</v>
      </c>
      <c r="DE105" s="153">
        <v>-3055.5773382500001</v>
      </c>
      <c r="DF105" s="153">
        <f t="shared" ref="DF105:DH105" si="658">IF(DE105&lt;0,-DE105,0)</f>
        <v>3055.5773382500001</v>
      </c>
      <c r="DG105" s="153">
        <v>-4000</v>
      </c>
      <c r="DH105" s="153">
        <f t="shared" si="658"/>
        <v>4000</v>
      </c>
      <c r="DI105" s="153">
        <v>-2604.7245862899999</v>
      </c>
      <c r="DJ105" s="153">
        <f t="shared" ref="DJ105:DL105" si="659">IF(DI105&lt;0,-DI105,0)</f>
        <v>2604.7245862899999</v>
      </c>
      <c r="DK105" s="153">
        <v>8058.7010439200003</v>
      </c>
      <c r="DL105" s="153">
        <f t="shared" si="659"/>
        <v>0</v>
      </c>
      <c r="DM105" s="107">
        <f t="shared" si="436"/>
        <v>10360.301924539999</v>
      </c>
    </row>
    <row r="106" spans="13:117" s="5" customFormat="1" x14ac:dyDescent="0.35">
      <c r="M106" s="77">
        <f t="shared" si="437"/>
        <v>104</v>
      </c>
      <c r="N106" s="78">
        <v>0</v>
      </c>
      <c r="O106" s="79">
        <v>0</v>
      </c>
      <c r="P106" s="79">
        <v>0</v>
      </c>
      <c r="Q106" s="79">
        <v>39814.495000000003</v>
      </c>
      <c r="R106" s="79">
        <v>4060.6025534700002</v>
      </c>
      <c r="S106" s="79">
        <f t="shared" si="408"/>
        <v>43875.097553470005</v>
      </c>
      <c r="T106" s="78">
        <v>0</v>
      </c>
      <c r="U106" s="79">
        <v>0</v>
      </c>
      <c r="V106" s="79">
        <v>0.53800000000000003</v>
      </c>
      <c r="W106" s="79">
        <v>0.27099999999999996</v>
      </c>
      <c r="X106" s="79">
        <f t="shared" si="409"/>
        <v>0.80899999999999994</v>
      </c>
      <c r="Y106" s="79">
        <v>5787.902</v>
      </c>
      <c r="Z106" s="79">
        <v>0</v>
      </c>
      <c r="AA106" s="80">
        <f t="shared" si="410"/>
        <v>5787.902</v>
      </c>
      <c r="AB106" s="79"/>
      <c r="AC106" s="88">
        <v>0</v>
      </c>
      <c r="AD106" s="94">
        <f t="shared" si="411"/>
        <v>0</v>
      </c>
      <c r="AE106" s="89">
        <v>0</v>
      </c>
      <c r="AF106" s="94">
        <f t="shared" si="412"/>
        <v>0</v>
      </c>
      <c r="AG106" s="89">
        <v>0</v>
      </c>
      <c r="AH106" s="94">
        <f t="shared" si="413"/>
        <v>0</v>
      </c>
      <c r="AI106" s="89">
        <v>0</v>
      </c>
      <c r="AJ106" s="94">
        <f>AI106/$B$6</f>
        <v>0</v>
      </c>
      <c r="AK106" s="89">
        <v>0</v>
      </c>
      <c r="AL106" s="94">
        <f>AK106/$B$7</f>
        <v>0</v>
      </c>
      <c r="AM106" s="89">
        <v>0</v>
      </c>
      <c r="AN106" s="94">
        <f t="shared" si="414"/>
        <v>0</v>
      </c>
      <c r="AO106" s="89">
        <v>0</v>
      </c>
      <c r="AP106" s="94">
        <f t="shared" si="415"/>
        <v>0</v>
      </c>
      <c r="AQ106" s="79"/>
      <c r="AR106" s="88">
        <v>45745.897199999999</v>
      </c>
      <c r="AS106" s="76">
        <v>2051.6</v>
      </c>
      <c r="AT106" s="88">
        <v>446</v>
      </c>
      <c r="AU106" s="100">
        <f t="shared" si="416"/>
        <v>0.51400000000000001</v>
      </c>
      <c r="AV106" s="100">
        <f t="shared" si="417"/>
        <v>0.89200000000000002</v>
      </c>
      <c r="AW106" s="100">
        <f t="shared" si="418"/>
        <v>0.89200000000000002</v>
      </c>
      <c r="AX106" s="94">
        <v>347.548</v>
      </c>
      <c r="AY106" s="76">
        <v>3155.4155999999998</v>
      </c>
      <c r="AZ106" s="100">
        <f>AX106/$B$9</f>
        <v>0.53800000000000003</v>
      </c>
      <c r="BA106" s="97">
        <f>AY106/$B$8</f>
        <v>0.27099999999999996</v>
      </c>
      <c r="BB106" s="88">
        <v>38400.6</v>
      </c>
      <c r="BC106" s="76">
        <v>22606.424999999999</v>
      </c>
      <c r="BD106" s="100">
        <f t="shared" si="419"/>
        <v>0.86099999999999999</v>
      </c>
      <c r="BE106" s="97">
        <f t="shared" si="420"/>
        <v>0.96299999999999997</v>
      </c>
      <c r="BG106" s="88">
        <v>1007.228</v>
      </c>
      <c r="BH106" s="114">
        <f>BG106/$B$10</f>
        <v>0.40900002436389921</v>
      </c>
      <c r="BI106" s="115">
        <v>898.92700000000002</v>
      </c>
      <c r="BJ106" s="114">
        <f>BI106/$B$11</f>
        <v>0.55938207840696952</v>
      </c>
      <c r="BK106" s="115">
        <v>1121.4780000000001</v>
      </c>
      <c r="BL106" s="114">
        <f t="shared" si="421"/>
        <v>0.5784392407674851</v>
      </c>
      <c r="BN106" s="111">
        <v>53641.616999999998</v>
      </c>
      <c r="BO106" s="114">
        <f t="shared" si="422"/>
        <v>0.77049180327868849</v>
      </c>
      <c r="BQ106" s="142">
        <v>19516.260999999999</v>
      </c>
      <c r="BR106" s="131">
        <v>0</v>
      </c>
      <c r="BS106" s="143">
        <v>0</v>
      </c>
      <c r="BT106" s="105">
        <f t="shared" si="423"/>
        <v>0.59865831288343552</v>
      </c>
      <c r="BU106" s="20">
        <f t="shared" si="424"/>
        <v>0</v>
      </c>
      <c r="BV106" s="2">
        <v>0</v>
      </c>
      <c r="BW106" s="2">
        <v>0</v>
      </c>
      <c r="BX106" s="2">
        <v>0</v>
      </c>
      <c r="BY106" s="2">
        <v>4876.7860000000001</v>
      </c>
      <c r="BZ106" s="105">
        <f t="shared" si="425"/>
        <v>0.36183306128505716</v>
      </c>
      <c r="CA106" s="20">
        <f t="shared" si="426"/>
        <v>0</v>
      </c>
      <c r="CB106" s="5">
        <v>10800</v>
      </c>
      <c r="CC106" s="5">
        <v>0</v>
      </c>
      <c r="CE106" s="108">
        <v>-700</v>
      </c>
      <c r="CF106" s="153">
        <f t="shared" si="427"/>
        <v>0</v>
      </c>
      <c r="CG106" s="153">
        <v>4485</v>
      </c>
      <c r="CH106" s="153">
        <f t="shared" si="427"/>
        <v>4485</v>
      </c>
      <c r="CI106" s="153">
        <v>0</v>
      </c>
      <c r="CJ106" s="153">
        <f t="shared" ref="CJ106:CL106" si="660">IF(CI106&gt;0,CI106,0)</f>
        <v>0</v>
      </c>
      <c r="CK106" s="153">
        <v>0</v>
      </c>
      <c r="CL106" s="153">
        <f t="shared" si="660"/>
        <v>0</v>
      </c>
      <c r="CM106" s="153">
        <v>-4629.9143370299998</v>
      </c>
      <c r="CN106" s="153">
        <f t="shared" ref="CN106:CP106" si="661">IF(CM106&gt;0,CM106,0)</f>
        <v>0</v>
      </c>
      <c r="CO106" s="153">
        <v>-4000</v>
      </c>
      <c r="CP106" s="153">
        <f t="shared" si="661"/>
        <v>0</v>
      </c>
      <c r="CQ106" s="153">
        <v>0</v>
      </c>
      <c r="CR106" s="153">
        <f t="shared" ref="CR106:CT106" si="662">IF(CQ106&gt;0,CQ106,0)</f>
        <v>0</v>
      </c>
      <c r="CS106" s="153">
        <v>8768.4675156699996</v>
      </c>
      <c r="CT106" s="153">
        <f t="shared" si="662"/>
        <v>8768.4675156699996</v>
      </c>
      <c r="CU106" s="107">
        <f t="shared" si="431"/>
        <v>13253.46751567</v>
      </c>
      <c r="CW106" s="108">
        <v>-700</v>
      </c>
      <c r="CX106" s="153">
        <f t="shared" si="432"/>
        <v>700</v>
      </c>
      <c r="CY106" s="153">
        <v>4485</v>
      </c>
      <c r="CZ106" s="153">
        <f t="shared" si="432"/>
        <v>0</v>
      </c>
      <c r="DA106" s="153">
        <v>0</v>
      </c>
      <c r="DB106" s="153">
        <f t="shared" ref="DB106:DD106" si="663">IF(DA106&lt;0,-DA106,0)</f>
        <v>0</v>
      </c>
      <c r="DC106" s="153">
        <v>0</v>
      </c>
      <c r="DD106" s="153">
        <f t="shared" si="663"/>
        <v>0</v>
      </c>
      <c r="DE106" s="153">
        <v>-4629.9143370299998</v>
      </c>
      <c r="DF106" s="153">
        <f t="shared" ref="DF106:DH106" si="664">IF(DE106&lt;0,-DE106,0)</f>
        <v>4629.9143370299998</v>
      </c>
      <c r="DG106" s="153">
        <v>-4000</v>
      </c>
      <c r="DH106" s="153">
        <f t="shared" si="664"/>
        <v>4000</v>
      </c>
      <c r="DI106" s="153">
        <v>0</v>
      </c>
      <c r="DJ106" s="153">
        <f t="shared" ref="DJ106:DL106" si="665">IF(DI106&lt;0,-DI106,0)</f>
        <v>0</v>
      </c>
      <c r="DK106" s="153">
        <v>8768.4675156699996</v>
      </c>
      <c r="DL106" s="153">
        <f t="shared" si="665"/>
        <v>0</v>
      </c>
      <c r="DM106" s="107">
        <f t="shared" si="436"/>
        <v>9329.9143370300008</v>
      </c>
    </row>
    <row r="107" spans="13:117" s="5" customFormat="1" x14ac:dyDescent="0.35">
      <c r="M107" s="77">
        <f t="shared" si="437"/>
        <v>105</v>
      </c>
      <c r="N107" s="78">
        <v>0</v>
      </c>
      <c r="O107" s="79">
        <v>0</v>
      </c>
      <c r="P107" s="79">
        <v>0</v>
      </c>
      <c r="Q107" s="79">
        <v>41641.186000000002</v>
      </c>
      <c r="R107" s="79">
        <v>3896.9106042899998</v>
      </c>
      <c r="S107" s="79">
        <f t="shared" si="408"/>
        <v>45538.096604290004</v>
      </c>
      <c r="T107" s="78">
        <v>0</v>
      </c>
      <c r="U107" s="79">
        <v>0</v>
      </c>
      <c r="V107" s="79">
        <v>0.501</v>
      </c>
      <c r="W107" s="79">
        <v>0.27699999999999997</v>
      </c>
      <c r="X107" s="79">
        <f t="shared" si="409"/>
        <v>0.77800000000000002</v>
      </c>
      <c r="Y107" s="79">
        <v>6273.2460000000001</v>
      </c>
      <c r="Z107" s="79">
        <v>0</v>
      </c>
      <c r="AA107" s="80">
        <f t="shared" si="410"/>
        <v>6273.2460000000001</v>
      </c>
      <c r="AB107" s="79"/>
      <c r="AC107" s="88">
        <v>0</v>
      </c>
      <c r="AD107" s="94">
        <f t="shared" si="411"/>
        <v>0</v>
      </c>
      <c r="AE107" s="89">
        <v>0</v>
      </c>
      <c r="AF107" s="94">
        <f t="shared" si="412"/>
        <v>0</v>
      </c>
      <c r="AG107" s="89">
        <v>0</v>
      </c>
      <c r="AH107" s="94">
        <f t="shared" si="413"/>
        <v>0</v>
      </c>
      <c r="AI107" s="89">
        <v>0</v>
      </c>
      <c r="AJ107" s="94">
        <f>AI107/$B$6</f>
        <v>0</v>
      </c>
      <c r="AK107" s="89">
        <v>0</v>
      </c>
      <c r="AL107" s="94">
        <f>AK107/$B$7</f>
        <v>0</v>
      </c>
      <c r="AM107" s="89">
        <v>0</v>
      </c>
      <c r="AN107" s="94">
        <f t="shared" si="414"/>
        <v>0</v>
      </c>
      <c r="AO107" s="89">
        <v>0</v>
      </c>
      <c r="AP107" s="94">
        <f t="shared" si="415"/>
        <v>0</v>
      </c>
      <c r="AQ107" s="79"/>
      <c r="AR107" s="88">
        <v>48326.8914</v>
      </c>
      <c r="AS107" s="76">
        <v>2081.5</v>
      </c>
      <c r="AT107" s="88">
        <v>452.5</v>
      </c>
      <c r="AU107" s="100">
        <f t="shared" si="416"/>
        <v>0.54300000000000004</v>
      </c>
      <c r="AV107" s="100">
        <f t="shared" si="417"/>
        <v>0.90500000000000003</v>
      </c>
      <c r="AW107" s="100">
        <f t="shared" si="418"/>
        <v>0.90500000000000003</v>
      </c>
      <c r="AX107" s="94">
        <v>323.64600000000002</v>
      </c>
      <c r="AY107" s="76">
        <v>3225.2772</v>
      </c>
      <c r="AZ107" s="100">
        <f>AX107/$B$9</f>
        <v>0.501</v>
      </c>
      <c r="BA107" s="97">
        <f>AY107/$B$8</f>
        <v>0.27699999999999997</v>
      </c>
      <c r="BB107" s="88">
        <v>38311.4</v>
      </c>
      <c r="BC107" s="76">
        <v>22676.85</v>
      </c>
      <c r="BD107" s="100">
        <f t="shared" si="419"/>
        <v>0.85899999999999999</v>
      </c>
      <c r="BE107" s="97">
        <f t="shared" si="420"/>
        <v>0.96599999999999997</v>
      </c>
      <c r="BG107" s="88">
        <v>1036.78</v>
      </c>
      <c r="BH107" s="114">
        <f>BG107/$B$10</f>
        <v>0.42100005684909814</v>
      </c>
      <c r="BI107" s="115">
        <v>872.68399999999997</v>
      </c>
      <c r="BJ107" s="114">
        <f>BI107/$B$11</f>
        <v>0.54305164903546976</v>
      </c>
      <c r="BK107" s="115">
        <v>1121.4780000000001</v>
      </c>
      <c r="BL107" s="114">
        <f t="shared" si="421"/>
        <v>0.5784392407674851</v>
      </c>
      <c r="BN107" s="111">
        <v>53641.616999999998</v>
      </c>
      <c r="BO107" s="114">
        <f t="shared" si="422"/>
        <v>0.77049180327868849</v>
      </c>
      <c r="BQ107" s="142">
        <v>20735.523000000001</v>
      </c>
      <c r="BR107" s="131">
        <v>0</v>
      </c>
      <c r="BS107" s="143">
        <v>0</v>
      </c>
      <c r="BT107" s="105">
        <f t="shared" si="423"/>
        <v>0.63605898773006142</v>
      </c>
      <c r="BU107" s="20">
        <f t="shared" si="424"/>
        <v>0</v>
      </c>
      <c r="BV107" s="2">
        <v>0</v>
      </c>
      <c r="BW107" s="2">
        <v>0</v>
      </c>
      <c r="BX107" s="2">
        <v>0</v>
      </c>
      <c r="BY107" s="2">
        <v>4541.4520000000002</v>
      </c>
      <c r="BZ107" s="105">
        <f t="shared" si="425"/>
        <v>0.33695296037987832</v>
      </c>
      <c r="CA107" s="20">
        <f t="shared" si="426"/>
        <v>0</v>
      </c>
      <c r="CB107" s="5">
        <v>10800</v>
      </c>
      <c r="CC107" s="5">
        <v>0</v>
      </c>
      <c r="CE107" s="108">
        <v>-700</v>
      </c>
      <c r="CF107" s="153">
        <f t="shared" si="427"/>
        <v>0</v>
      </c>
      <c r="CG107" s="153">
        <v>4485</v>
      </c>
      <c r="CH107" s="153">
        <f t="shared" si="427"/>
        <v>4485</v>
      </c>
      <c r="CI107" s="153">
        <v>0</v>
      </c>
      <c r="CJ107" s="153">
        <f t="shared" ref="CJ107:CL107" si="666">IF(CI107&gt;0,CI107,0)</f>
        <v>0</v>
      </c>
      <c r="CK107" s="153">
        <v>0</v>
      </c>
      <c r="CL107" s="153">
        <f t="shared" si="666"/>
        <v>0</v>
      </c>
      <c r="CM107" s="153">
        <v>-5300</v>
      </c>
      <c r="CN107" s="153">
        <f t="shared" ref="CN107:CP107" si="667">IF(CM107&gt;0,CM107,0)</f>
        <v>0</v>
      </c>
      <c r="CO107" s="153">
        <v>-4000</v>
      </c>
      <c r="CP107" s="153">
        <f t="shared" si="667"/>
        <v>0</v>
      </c>
      <c r="CQ107" s="153">
        <v>0</v>
      </c>
      <c r="CR107" s="153">
        <f t="shared" ref="CR107:CT107" si="668">IF(CQ107&gt;0,CQ107,0)</f>
        <v>0</v>
      </c>
      <c r="CS107" s="153">
        <v>10478.048830600001</v>
      </c>
      <c r="CT107" s="153">
        <f t="shared" si="668"/>
        <v>10478.048830600001</v>
      </c>
      <c r="CU107" s="107">
        <f t="shared" si="431"/>
        <v>14963.048830600001</v>
      </c>
      <c r="CW107" s="108">
        <v>-700</v>
      </c>
      <c r="CX107" s="153">
        <f t="shared" si="432"/>
        <v>700</v>
      </c>
      <c r="CY107" s="153">
        <v>4485</v>
      </c>
      <c r="CZ107" s="153">
        <f t="shared" si="432"/>
        <v>0</v>
      </c>
      <c r="DA107" s="153">
        <v>0</v>
      </c>
      <c r="DB107" s="153">
        <f t="shared" ref="DB107:DD107" si="669">IF(DA107&lt;0,-DA107,0)</f>
        <v>0</v>
      </c>
      <c r="DC107" s="153">
        <v>0</v>
      </c>
      <c r="DD107" s="153">
        <f t="shared" si="669"/>
        <v>0</v>
      </c>
      <c r="DE107" s="153">
        <v>-5300</v>
      </c>
      <c r="DF107" s="153">
        <f t="shared" ref="DF107:DH107" si="670">IF(DE107&lt;0,-DE107,0)</f>
        <v>5300</v>
      </c>
      <c r="DG107" s="153">
        <v>-4000</v>
      </c>
      <c r="DH107" s="153">
        <f t="shared" si="670"/>
        <v>4000</v>
      </c>
      <c r="DI107" s="153">
        <v>0</v>
      </c>
      <c r="DJ107" s="153">
        <f t="shared" ref="DJ107:DL107" si="671">IF(DI107&lt;0,-DI107,0)</f>
        <v>0</v>
      </c>
      <c r="DK107" s="153">
        <v>10478.048830600001</v>
      </c>
      <c r="DL107" s="153">
        <f t="shared" si="671"/>
        <v>0</v>
      </c>
      <c r="DM107" s="107">
        <f t="shared" si="436"/>
        <v>10000</v>
      </c>
    </row>
    <row r="108" spans="13:117" s="5" customFormat="1" x14ac:dyDescent="0.35">
      <c r="M108" s="77">
        <f t="shared" si="437"/>
        <v>106</v>
      </c>
      <c r="N108" s="78">
        <v>0</v>
      </c>
      <c r="O108" s="79">
        <v>1.9E-2</v>
      </c>
      <c r="P108" s="79">
        <v>7.1999999999999897E-2</v>
      </c>
      <c r="Q108" s="79">
        <v>42953.364999999998</v>
      </c>
      <c r="R108" s="79">
        <v>2410.80530421</v>
      </c>
      <c r="S108" s="79">
        <f t="shared" si="408"/>
        <v>45364.170304209998</v>
      </c>
      <c r="T108" s="78">
        <v>0.02</v>
      </c>
      <c r="U108" s="79">
        <v>2.1999999999999898E-2</v>
      </c>
      <c r="V108" s="79">
        <v>0.47000000000000003</v>
      </c>
      <c r="W108" s="79">
        <v>0.311</v>
      </c>
      <c r="X108" s="79">
        <f t="shared" si="409"/>
        <v>0.78100000000000003</v>
      </c>
      <c r="Y108" s="79">
        <v>6495.6360000000004</v>
      </c>
      <c r="Z108" s="79">
        <v>0</v>
      </c>
      <c r="AA108" s="80">
        <f t="shared" si="410"/>
        <v>6495.6360000000004</v>
      </c>
      <c r="AB108" s="79"/>
      <c r="AC108" s="88">
        <v>5229</v>
      </c>
      <c r="AD108" s="94">
        <f t="shared" si="411"/>
        <v>6.3E-2</v>
      </c>
      <c r="AE108" s="89">
        <v>91.295000000000002</v>
      </c>
      <c r="AF108" s="94">
        <f t="shared" si="412"/>
        <v>1.9E-2</v>
      </c>
      <c r="AG108" s="89">
        <v>2160</v>
      </c>
      <c r="AH108" s="94">
        <f t="shared" si="413"/>
        <v>7.1999999999999995E-2</v>
      </c>
      <c r="AI108" s="89">
        <v>690.15359999999998</v>
      </c>
      <c r="AJ108" s="94">
        <f>AI108/$B$6</f>
        <v>4.7999999999999994E-2</v>
      </c>
      <c r="AK108" s="89">
        <v>299.45690000000002</v>
      </c>
      <c r="AL108" s="94">
        <f>AK108/$B$7</f>
        <v>3.1000000000000003E-2</v>
      </c>
      <c r="AM108" s="89">
        <v>2159.64</v>
      </c>
      <c r="AN108" s="94">
        <f t="shared" si="414"/>
        <v>4.1999999999999996E-2</v>
      </c>
      <c r="AO108" s="89">
        <v>1806.5111999999999</v>
      </c>
      <c r="AP108" s="94">
        <f t="shared" si="415"/>
        <v>3.8999999999999993E-2</v>
      </c>
      <c r="AQ108" s="79"/>
      <c r="AR108" s="88">
        <v>51263.8848</v>
      </c>
      <c r="AS108" s="76">
        <v>2093</v>
      </c>
      <c r="AT108" s="88">
        <v>455</v>
      </c>
      <c r="AU108" s="100">
        <f t="shared" si="416"/>
        <v>0.57599999999999996</v>
      </c>
      <c r="AV108" s="100">
        <f t="shared" si="417"/>
        <v>0.91</v>
      </c>
      <c r="AW108" s="100">
        <f t="shared" si="418"/>
        <v>0.91</v>
      </c>
      <c r="AX108" s="94">
        <v>303.62</v>
      </c>
      <c r="AY108" s="76">
        <v>3621.1596</v>
      </c>
      <c r="AZ108" s="100">
        <f>AX108/$B$9</f>
        <v>0.47000000000000003</v>
      </c>
      <c r="BA108" s="97">
        <f>AY108/$B$8</f>
        <v>0.311</v>
      </c>
      <c r="BB108" s="88">
        <v>38043.800000000003</v>
      </c>
      <c r="BC108" s="76">
        <v>22676.85</v>
      </c>
      <c r="BD108" s="100">
        <f t="shared" si="419"/>
        <v>0.85300000000000009</v>
      </c>
      <c r="BE108" s="97">
        <f t="shared" si="420"/>
        <v>0.96599999999999997</v>
      </c>
      <c r="BG108" s="88">
        <v>1051.556</v>
      </c>
      <c r="BH108" s="114">
        <f>BG108/$B$10</f>
        <v>0.42700007309169763</v>
      </c>
      <c r="BI108" s="115">
        <v>872.47699999999998</v>
      </c>
      <c r="BJ108" s="114">
        <f>BI108/$B$11</f>
        <v>0.54292283758556314</v>
      </c>
      <c r="BK108" s="115">
        <v>1121.4780000000001</v>
      </c>
      <c r="BL108" s="114">
        <f t="shared" si="421"/>
        <v>0.5784392407674851</v>
      </c>
      <c r="BN108" s="111">
        <v>53641.616999999998</v>
      </c>
      <c r="BO108" s="114">
        <f t="shared" si="422"/>
        <v>0.77049180327868849</v>
      </c>
      <c r="BQ108" s="142">
        <v>24436.131000000001</v>
      </c>
      <c r="BR108" s="131">
        <v>0</v>
      </c>
      <c r="BS108" s="143">
        <v>0</v>
      </c>
      <c r="BT108" s="105">
        <f t="shared" si="423"/>
        <v>0.74957457055214727</v>
      </c>
      <c r="BU108" s="20">
        <f t="shared" si="424"/>
        <v>0</v>
      </c>
      <c r="BV108" s="2">
        <v>0</v>
      </c>
      <c r="BW108" s="2">
        <v>0</v>
      </c>
      <c r="BX108" s="2">
        <v>0</v>
      </c>
      <c r="BY108" s="2">
        <v>4747.5469999999996</v>
      </c>
      <c r="BZ108" s="105">
        <f t="shared" si="425"/>
        <v>0.35224417569372307</v>
      </c>
      <c r="CA108" s="20">
        <f t="shared" si="426"/>
        <v>0</v>
      </c>
      <c r="CB108" s="5">
        <v>10800</v>
      </c>
      <c r="CC108" s="5">
        <v>0</v>
      </c>
      <c r="CE108" s="108">
        <v>-700</v>
      </c>
      <c r="CF108" s="153">
        <f t="shared" si="427"/>
        <v>0</v>
      </c>
      <c r="CG108" s="153">
        <v>4485</v>
      </c>
      <c r="CH108" s="153">
        <f t="shared" si="427"/>
        <v>4485</v>
      </c>
      <c r="CI108" s="153">
        <v>0</v>
      </c>
      <c r="CJ108" s="153">
        <f t="shared" ref="CJ108:CL108" si="672">IF(CI108&gt;0,CI108,0)</f>
        <v>0</v>
      </c>
      <c r="CK108" s="153">
        <v>0</v>
      </c>
      <c r="CL108" s="153">
        <f t="shared" si="672"/>
        <v>0</v>
      </c>
      <c r="CM108" s="153">
        <v>-5300</v>
      </c>
      <c r="CN108" s="153">
        <f t="shared" ref="CN108:CP108" si="673">IF(CM108&gt;0,CM108,0)</f>
        <v>0</v>
      </c>
      <c r="CO108" s="153">
        <v>-4000</v>
      </c>
      <c r="CP108" s="153">
        <f t="shared" si="673"/>
        <v>0</v>
      </c>
      <c r="CQ108" s="153">
        <v>4800</v>
      </c>
      <c r="CR108" s="153">
        <f t="shared" ref="CR108:CT108" si="674">IF(CQ108&gt;0,CQ108,0)</f>
        <v>4800</v>
      </c>
      <c r="CS108" s="153">
        <v>14352.93523789</v>
      </c>
      <c r="CT108" s="153">
        <f t="shared" si="674"/>
        <v>14352.93523789</v>
      </c>
      <c r="CU108" s="107">
        <f t="shared" si="431"/>
        <v>23637.93523789</v>
      </c>
      <c r="CW108" s="108">
        <v>-700</v>
      </c>
      <c r="CX108" s="153">
        <f t="shared" si="432"/>
        <v>700</v>
      </c>
      <c r="CY108" s="153">
        <v>4485</v>
      </c>
      <c r="CZ108" s="153">
        <f t="shared" si="432"/>
        <v>0</v>
      </c>
      <c r="DA108" s="153">
        <v>0</v>
      </c>
      <c r="DB108" s="153">
        <f t="shared" ref="DB108:DD108" si="675">IF(DA108&lt;0,-DA108,0)</f>
        <v>0</v>
      </c>
      <c r="DC108" s="153">
        <v>0</v>
      </c>
      <c r="DD108" s="153">
        <f t="shared" si="675"/>
        <v>0</v>
      </c>
      <c r="DE108" s="153">
        <v>-5300</v>
      </c>
      <c r="DF108" s="153">
        <f t="shared" ref="DF108:DH108" si="676">IF(DE108&lt;0,-DE108,0)</f>
        <v>5300</v>
      </c>
      <c r="DG108" s="153">
        <v>-4000</v>
      </c>
      <c r="DH108" s="153">
        <f t="shared" si="676"/>
        <v>4000</v>
      </c>
      <c r="DI108" s="153">
        <v>4800</v>
      </c>
      <c r="DJ108" s="153">
        <f t="shared" ref="DJ108:DL108" si="677">IF(DI108&lt;0,-DI108,0)</f>
        <v>0</v>
      </c>
      <c r="DK108" s="153">
        <v>14352.93523789</v>
      </c>
      <c r="DL108" s="153">
        <f t="shared" si="677"/>
        <v>0</v>
      </c>
      <c r="DM108" s="107">
        <f t="shared" si="436"/>
        <v>10000</v>
      </c>
    </row>
    <row r="109" spans="13:117" s="5" customFormat="1" x14ac:dyDescent="0.35">
      <c r="M109" s="77">
        <f t="shared" si="437"/>
        <v>107</v>
      </c>
      <c r="N109" s="78">
        <v>2.1999999999999902E-2</v>
      </c>
      <c r="O109" s="79">
        <v>0.05</v>
      </c>
      <c r="P109" s="79">
        <v>0.19600000000000001</v>
      </c>
      <c r="Q109" s="79">
        <v>42971.334999999999</v>
      </c>
      <c r="R109" s="79">
        <v>1946.6902273799999</v>
      </c>
      <c r="S109" s="79">
        <f t="shared" si="408"/>
        <v>44918.02522738</v>
      </c>
      <c r="T109" s="78">
        <v>0.09</v>
      </c>
      <c r="U109" s="79">
        <v>9.5000000000000001E-2</v>
      </c>
      <c r="V109" s="79">
        <v>0.435</v>
      </c>
      <c r="W109" s="79">
        <v>0.36499999999999999</v>
      </c>
      <c r="X109" s="79">
        <f t="shared" si="409"/>
        <v>0.8</v>
      </c>
      <c r="Y109" s="79">
        <v>6423.1790000000001</v>
      </c>
      <c r="Z109" s="79">
        <v>0</v>
      </c>
      <c r="AA109" s="80">
        <f t="shared" si="410"/>
        <v>6423.1790000000001</v>
      </c>
      <c r="AB109" s="79"/>
      <c r="AC109" s="88">
        <v>15521</v>
      </c>
      <c r="AD109" s="94">
        <f t="shared" si="411"/>
        <v>0.187</v>
      </c>
      <c r="AE109" s="89">
        <v>240.25</v>
      </c>
      <c r="AF109" s="94">
        <f t="shared" si="412"/>
        <v>0.05</v>
      </c>
      <c r="AG109" s="89">
        <v>5880</v>
      </c>
      <c r="AH109" s="94">
        <f t="shared" si="413"/>
        <v>0.19600000000000001</v>
      </c>
      <c r="AI109" s="89">
        <v>2803.7489999999998</v>
      </c>
      <c r="AJ109" s="94">
        <f>AI109/$B$6</f>
        <v>0.19499999999999998</v>
      </c>
      <c r="AK109" s="89">
        <v>1207.4875</v>
      </c>
      <c r="AL109" s="94">
        <f>AK109/$B$7</f>
        <v>0.125</v>
      </c>
      <c r="AM109" s="89">
        <v>6581.76</v>
      </c>
      <c r="AN109" s="94">
        <f t="shared" si="414"/>
        <v>0.128</v>
      </c>
      <c r="AO109" s="89">
        <v>5234.2503999999999</v>
      </c>
      <c r="AP109" s="94">
        <f t="shared" si="415"/>
        <v>0.11299999999999999</v>
      </c>
      <c r="AQ109" s="79"/>
      <c r="AR109" s="88">
        <v>54823.876799999998</v>
      </c>
      <c r="AS109" s="76">
        <v>2079.1999999999998</v>
      </c>
      <c r="AT109" s="88">
        <v>452</v>
      </c>
      <c r="AU109" s="100">
        <f t="shared" si="416"/>
        <v>0.61599999999999999</v>
      </c>
      <c r="AV109" s="100">
        <f t="shared" si="417"/>
        <v>0.90399999999999991</v>
      </c>
      <c r="AW109" s="100">
        <f t="shared" si="418"/>
        <v>0.90400000000000003</v>
      </c>
      <c r="AX109" s="94">
        <v>281.01</v>
      </c>
      <c r="AY109" s="76">
        <v>4249.9139999999998</v>
      </c>
      <c r="AZ109" s="100">
        <f>AX109/$B$9</f>
        <v>0.435</v>
      </c>
      <c r="BA109" s="97">
        <f>AY109/$B$8</f>
        <v>0.36499999999999999</v>
      </c>
      <c r="BB109" s="88">
        <v>38400.6</v>
      </c>
      <c r="BC109" s="76">
        <v>22676.85</v>
      </c>
      <c r="BD109" s="100">
        <f t="shared" si="419"/>
        <v>0.86099999999999999</v>
      </c>
      <c r="BE109" s="97">
        <f t="shared" si="420"/>
        <v>0.96599999999999997</v>
      </c>
      <c r="BG109" s="88">
        <v>1014.616</v>
      </c>
      <c r="BH109" s="114">
        <f>BG109/$B$10</f>
        <v>0.41200003248519895</v>
      </c>
      <c r="BI109" s="115">
        <v>876.93899999999996</v>
      </c>
      <c r="BJ109" s="114">
        <f>BI109/$B$11</f>
        <v>0.54569943995021775</v>
      </c>
      <c r="BK109" s="115">
        <v>1121.4780000000001</v>
      </c>
      <c r="BL109" s="114">
        <f t="shared" si="421"/>
        <v>0.5784392407674851</v>
      </c>
      <c r="BN109" s="111">
        <v>53641.616999999998</v>
      </c>
      <c r="BO109" s="114">
        <f t="shared" si="422"/>
        <v>0.77049180327868849</v>
      </c>
      <c r="BQ109" s="142">
        <v>30666.416000000001</v>
      </c>
      <c r="BR109" s="131">
        <v>0</v>
      </c>
      <c r="BS109" s="143">
        <v>0</v>
      </c>
      <c r="BT109" s="105">
        <f t="shared" si="423"/>
        <v>0.94068760736196322</v>
      </c>
      <c r="BU109" s="20">
        <f t="shared" si="424"/>
        <v>0</v>
      </c>
      <c r="BV109" s="2">
        <v>0</v>
      </c>
      <c r="BW109" s="2">
        <v>0</v>
      </c>
      <c r="BX109" s="2">
        <v>0</v>
      </c>
      <c r="BY109" s="2">
        <v>5940.4679999999998</v>
      </c>
      <c r="BZ109" s="105">
        <f t="shared" si="425"/>
        <v>0.44075293070188454</v>
      </c>
      <c r="CA109" s="20">
        <f t="shared" si="426"/>
        <v>0</v>
      </c>
      <c r="CB109" s="5">
        <v>10800</v>
      </c>
      <c r="CC109" s="5">
        <v>0</v>
      </c>
      <c r="CE109" s="108">
        <v>-700</v>
      </c>
      <c r="CF109" s="153">
        <f t="shared" si="427"/>
        <v>0</v>
      </c>
      <c r="CG109" s="153">
        <v>4485</v>
      </c>
      <c r="CH109" s="153">
        <f t="shared" si="427"/>
        <v>4485</v>
      </c>
      <c r="CI109" s="153">
        <v>0</v>
      </c>
      <c r="CJ109" s="153">
        <f t="shared" ref="CJ109:CL109" si="678">IF(CI109&gt;0,CI109,0)</f>
        <v>0</v>
      </c>
      <c r="CK109" s="153">
        <v>1527.74461595</v>
      </c>
      <c r="CL109" s="153">
        <f t="shared" si="678"/>
        <v>1527.74461595</v>
      </c>
      <c r="CM109" s="153">
        <v>-5300</v>
      </c>
      <c r="CN109" s="153">
        <f t="shared" ref="CN109:CP109" si="679">IF(CM109&gt;0,CM109,0)</f>
        <v>0</v>
      </c>
      <c r="CO109" s="153">
        <v>-4000</v>
      </c>
      <c r="CP109" s="153">
        <f t="shared" si="679"/>
        <v>0</v>
      </c>
      <c r="CQ109" s="153">
        <v>4800</v>
      </c>
      <c r="CR109" s="153">
        <f t="shared" ref="CR109:CT109" si="680">IF(CQ109&gt;0,CQ109,0)</f>
        <v>4800</v>
      </c>
      <c r="CS109" s="153">
        <v>11958.31803538</v>
      </c>
      <c r="CT109" s="153">
        <f t="shared" si="680"/>
        <v>11958.31803538</v>
      </c>
      <c r="CU109" s="107">
        <f t="shared" si="431"/>
        <v>22771.062651330001</v>
      </c>
      <c r="CW109" s="108">
        <v>-700</v>
      </c>
      <c r="CX109" s="153">
        <f t="shared" si="432"/>
        <v>700</v>
      </c>
      <c r="CY109" s="153">
        <v>4485</v>
      </c>
      <c r="CZ109" s="153">
        <f t="shared" si="432"/>
        <v>0</v>
      </c>
      <c r="DA109" s="153">
        <v>0</v>
      </c>
      <c r="DB109" s="153">
        <f t="shared" ref="DB109:DD109" si="681">IF(DA109&lt;0,-DA109,0)</f>
        <v>0</v>
      </c>
      <c r="DC109" s="153">
        <v>1527.74461595</v>
      </c>
      <c r="DD109" s="153">
        <f t="shared" si="681"/>
        <v>0</v>
      </c>
      <c r="DE109" s="153">
        <v>-5300</v>
      </c>
      <c r="DF109" s="153">
        <f t="shared" ref="DF109:DH109" si="682">IF(DE109&lt;0,-DE109,0)</f>
        <v>5300</v>
      </c>
      <c r="DG109" s="153">
        <v>-4000</v>
      </c>
      <c r="DH109" s="153">
        <f t="shared" si="682"/>
        <v>4000</v>
      </c>
      <c r="DI109" s="153">
        <v>4800</v>
      </c>
      <c r="DJ109" s="153">
        <f t="shared" ref="DJ109:DL109" si="683">IF(DI109&lt;0,-DI109,0)</f>
        <v>0</v>
      </c>
      <c r="DK109" s="153">
        <v>11958.31803538</v>
      </c>
      <c r="DL109" s="153">
        <f t="shared" si="683"/>
        <v>0</v>
      </c>
      <c r="DM109" s="107">
        <f t="shared" si="436"/>
        <v>10000</v>
      </c>
    </row>
    <row r="110" spans="13:117" s="5" customFormat="1" x14ac:dyDescent="0.35">
      <c r="M110" s="77">
        <f t="shared" si="437"/>
        <v>108</v>
      </c>
      <c r="N110" s="78">
        <v>2.7999999999999997E-2</v>
      </c>
      <c r="O110" s="79">
        <v>9.3000000000000013E-2</v>
      </c>
      <c r="P110" s="79">
        <v>0.313</v>
      </c>
      <c r="Q110" s="79">
        <v>43535.764000000003</v>
      </c>
      <c r="R110" s="79">
        <v>2533.1995659700001</v>
      </c>
      <c r="S110" s="79">
        <f t="shared" si="408"/>
        <v>46068.96356597</v>
      </c>
      <c r="T110" s="78">
        <v>0.128</v>
      </c>
      <c r="U110" s="79">
        <v>0.17399999999999999</v>
      </c>
      <c r="V110" s="79">
        <v>0.39999999999999997</v>
      </c>
      <c r="W110" s="79">
        <v>0.499</v>
      </c>
      <c r="X110" s="79">
        <f t="shared" si="409"/>
        <v>0.89900000000000002</v>
      </c>
      <c r="Y110" s="79">
        <v>6554.3549999999996</v>
      </c>
      <c r="Z110" s="79">
        <v>0</v>
      </c>
      <c r="AA110" s="80">
        <f t="shared" si="410"/>
        <v>6554.3549999999996</v>
      </c>
      <c r="AB110" s="79"/>
      <c r="AC110" s="88">
        <v>22576</v>
      </c>
      <c r="AD110" s="94">
        <f t="shared" si="411"/>
        <v>0.27200000000000002</v>
      </c>
      <c r="AE110" s="89">
        <v>446.86500000000001</v>
      </c>
      <c r="AF110" s="94">
        <f t="shared" si="412"/>
        <v>9.2999999999999999E-2</v>
      </c>
      <c r="AG110" s="89">
        <v>9390</v>
      </c>
      <c r="AH110" s="94">
        <f t="shared" si="413"/>
        <v>0.313</v>
      </c>
      <c r="AI110" s="89">
        <v>4989.2353999999996</v>
      </c>
      <c r="AJ110" s="94">
        <f>AI110/$B$6</f>
        <v>0.34699999999999998</v>
      </c>
      <c r="AK110" s="89">
        <v>2202.4571999999998</v>
      </c>
      <c r="AL110" s="94">
        <f>AK110/$B$7</f>
        <v>0.22799999999999998</v>
      </c>
      <c r="AM110" s="89">
        <v>11106.72</v>
      </c>
      <c r="AN110" s="94">
        <f t="shared" si="414"/>
        <v>0.216</v>
      </c>
      <c r="AO110" s="89">
        <v>8523.0272000000004</v>
      </c>
      <c r="AP110" s="94">
        <f t="shared" si="415"/>
        <v>0.184</v>
      </c>
      <c r="AQ110" s="79"/>
      <c r="AR110" s="88">
        <v>57315.871200000001</v>
      </c>
      <c r="AS110" s="76">
        <v>2060.8000000000002</v>
      </c>
      <c r="AT110" s="88">
        <v>448</v>
      </c>
      <c r="AU110" s="100">
        <f t="shared" si="416"/>
        <v>0.64400000000000002</v>
      </c>
      <c r="AV110" s="100">
        <f t="shared" si="417"/>
        <v>0.89600000000000013</v>
      </c>
      <c r="AW110" s="100">
        <f t="shared" si="418"/>
        <v>0.89600000000000002</v>
      </c>
      <c r="AX110" s="94">
        <v>258.39999999999998</v>
      </c>
      <c r="AY110" s="76">
        <v>5810.1563999999998</v>
      </c>
      <c r="AZ110" s="100">
        <f>AX110/$B$9</f>
        <v>0.39999999999999997</v>
      </c>
      <c r="BA110" s="97">
        <f>AY110/$B$8</f>
        <v>0.499</v>
      </c>
      <c r="BB110" s="88">
        <v>38534.400000000001</v>
      </c>
      <c r="BC110" s="76">
        <v>22723.8</v>
      </c>
      <c r="BD110" s="100">
        <f t="shared" si="419"/>
        <v>0.86399999999999999</v>
      </c>
      <c r="BE110" s="97">
        <f t="shared" si="420"/>
        <v>0.96799999999999997</v>
      </c>
      <c r="BG110" s="88">
        <v>994.91499999999996</v>
      </c>
      <c r="BH110" s="114">
        <f>BG110/$B$10</f>
        <v>0.40400014618339519</v>
      </c>
      <c r="BI110" s="115">
        <v>893.80100000000004</v>
      </c>
      <c r="BJ110" s="114">
        <f>BI110/$B$11</f>
        <v>0.55619228375855634</v>
      </c>
      <c r="BK110" s="115">
        <v>1121.4780000000001</v>
      </c>
      <c r="BL110" s="114">
        <f t="shared" si="421"/>
        <v>0.5784392407674851</v>
      </c>
      <c r="BN110" s="111">
        <v>53641.616999999998</v>
      </c>
      <c r="BO110" s="114">
        <f t="shared" si="422"/>
        <v>0.77049180327868849</v>
      </c>
      <c r="BQ110" s="142">
        <v>32600</v>
      </c>
      <c r="BR110" s="131">
        <v>933.21400000000006</v>
      </c>
      <c r="BS110" s="143">
        <v>2055.2399999999998</v>
      </c>
      <c r="BT110" s="105">
        <f t="shared" si="423"/>
        <v>1</v>
      </c>
      <c r="BU110" s="20">
        <f t="shared" si="424"/>
        <v>7.8644188582640689E-2</v>
      </c>
      <c r="BV110" s="2">
        <v>0</v>
      </c>
      <c r="BW110" s="2">
        <v>0</v>
      </c>
      <c r="BX110" s="2">
        <v>0</v>
      </c>
      <c r="BY110" s="2">
        <v>7222.4449999999997</v>
      </c>
      <c r="BZ110" s="105">
        <f t="shared" si="425"/>
        <v>0.53586919424246915</v>
      </c>
      <c r="CA110" s="20">
        <f t="shared" si="426"/>
        <v>0</v>
      </c>
      <c r="CB110" s="5">
        <v>10800</v>
      </c>
      <c r="CC110" s="5">
        <v>0</v>
      </c>
      <c r="CE110" s="108">
        <v>-700</v>
      </c>
      <c r="CF110" s="153">
        <f t="shared" si="427"/>
        <v>0</v>
      </c>
      <c r="CG110" s="153">
        <v>4485</v>
      </c>
      <c r="CH110" s="153">
        <f t="shared" si="427"/>
        <v>4485</v>
      </c>
      <c r="CI110" s="153">
        <v>0</v>
      </c>
      <c r="CJ110" s="153">
        <f t="shared" ref="CJ110:CL110" si="684">IF(CI110&gt;0,CI110,0)</f>
        <v>0</v>
      </c>
      <c r="CK110" s="153">
        <v>5000</v>
      </c>
      <c r="CL110" s="153">
        <f t="shared" si="684"/>
        <v>5000</v>
      </c>
      <c r="CM110" s="153">
        <v>-5300</v>
      </c>
      <c r="CN110" s="153">
        <f t="shared" ref="CN110:CP110" si="685">IF(CM110&gt;0,CM110,0)</f>
        <v>0</v>
      </c>
      <c r="CO110" s="153">
        <v>-4000</v>
      </c>
      <c r="CP110" s="153">
        <f t="shared" si="685"/>
        <v>0</v>
      </c>
      <c r="CQ110" s="153">
        <v>4800</v>
      </c>
      <c r="CR110" s="153">
        <f t="shared" ref="CR110:CT110" si="686">IF(CQ110&gt;0,CQ110,0)</f>
        <v>4800</v>
      </c>
      <c r="CS110" s="153">
        <v>10604.15617686</v>
      </c>
      <c r="CT110" s="153">
        <f t="shared" si="686"/>
        <v>10604.15617686</v>
      </c>
      <c r="CU110" s="107">
        <f t="shared" si="431"/>
        <v>24889.15617686</v>
      </c>
      <c r="CW110" s="108">
        <v>-700</v>
      </c>
      <c r="CX110" s="153">
        <f t="shared" si="432"/>
        <v>700</v>
      </c>
      <c r="CY110" s="153">
        <v>4485</v>
      </c>
      <c r="CZ110" s="153">
        <f t="shared" si="432"/>
        <v>0</v>
      </c>
      <c r="DA110" s="153">
        <v>0</v>
      </c>
      <c r="DB110" s="153">
        <f t="shared" ref="DB110:DD110" si="687">IF(DA110&lt;0,-DA110,0)</f>
        <v>0</v>
      </c>
      <c r="DC110" s="153">
        <v>5000</v>
      </c>
      <c r="DD110" s="153">
        <f t="shared" si="687"/>
        <v>0</v>
      </c>
      <c r="DE110" s="153">
        <v>-5300</v>
      </c>
      <c r="DF110" s="153">
        <f t="shared" ref="DF110:DH110" si="688">IF(DE110&lt;0,-DE110,0)</f>
        <v>5300</v>
      </c>
      <c r="DG110" s="153">
        <v>-4000</v>
      </c>
      <c r="DH110" s="153">
        <f t="shared" si="688"/>
        <v>4000</v>
      </c>
      <c r="DI110" s="153">
        <v>4800</v>
      </c>
      <c r="DJ110" s="153">
        <f t="shared" ref="DJ110:DL110" si="689">IF(DI110&lt;0,-DI110,0)</f>
        <v>0</v>
      </c>
      <c r="DK110" s="153">
        <v>10604.15617686</v>
      </c>
      <c r="DL110" s="153">
        <f t="shared" si="689"/>
        <v>0</v>
      </c>
      <c r="DM110" s="107">
        <f t="shared" si="436"/>
        <v>10000</v>
      </c>
    </row>
    <row r="111" spans="13:117" s="5" customFormat="1" x14ac:dyDescent="0.35">
      <c r="M111" s="77">
        <f t="shared" si="437"/>
        <v>109</v>
      </c>
      <c r="N111" s="78">
        <v>2.3E-2</v>
      </c>
      <c r="O111" s="79">
        <v>0.14099999999999902</v>
      </c>
      <c r="P111" s="79">
        <v>0.40600000000000003</v>
      </c>
      <c r="Q111" s="79">
        <v>44056.065000000002</v>
      </c>
      <c r="R111" s="79">
        <v>2828.8714661099998</v>
      </c>
      <c r="S111" s="79">
        <f t="shared" si="408"/>
        <v>46884.936466110004</v>
      </c>
      <c r="T111" s="78">
        <v>0.10800000000000001</v>
      </c>
      <c r="U111" s="79">
        <v>0.14499999999999902</v>
      </c>
      <c r="V111" s="79">
        <v>0.375</v>
      </c>
      <c r="W111" s="79">
        <v>0.57299999999999995</v>
      </c>
      <c r="X111" s="79">
        <f t="shared" si="409"/>
        <v>0.94799999999999995</v>
      </c>
      <c r="Y111" s="79">
        <v>6677.2020000000002</v>
      </c>
      <c r="Z111" s="79">
        <v>0</v>
      </c>
      <c r="AA111" s="80">
        <f t="shared" si="410"/>
        <v>6677.2020000000002</v>
      </c>
      <c r="AB111" s="79"/>
      <c r="AC111" s="88">
        <v>26726</v>
      </c>
      <c r="AD111" s="94">
        <f t="shared" si="411"/>
        <v>0.32200000000000001</v>
      </c>
      <c r="AE111" s="89">
        <v>677.505</v>
      </c>
      <c r="AF111" s="94">
        <f t="shared" si="412"/>
        <v>0.14099999999999999</v>
      </c>
      <c r="AG111" s="89">
        <v>12180</v>
      </c>
      <c r="AH111" s="94">
        <f t="shared" si="413"/>
        <v>0.40600000000000003</v>
      </c>
      <c r="AI111" s="89">
        <v>6513.3245999999999</v>
      </c>
      <c r="AJ111" s="94">
        <f>AI111/$B$6</f>
        <v>0.45299999999999996</v>
      </c>
      <c r="AK111" s="89">
        <v>2849.6705000000002</v>
      </c>
      <c r="AL111" s="94">
        <f>AK111/$B$7</f>
        <v>0.29500000000000004</v>
      </c>
      <c r="AM111" s="89">
        <v>12597.9</v>
      </c>
      <c r="AN111" s="94">
        <f t="shared" si="414"/>
        <v>0.245</v>
      </c>
      <c r="AO111" s="89">
        <v>9727.3680000000004</v>
      </c>
      <c r="AP111" s="94">
        <f t="shared" si="415"/>
        <v>0.21</v>
      </c>
      <c r="AQ111" s="79"/>
      <c r="AR111" s="88">
        <v>59629.866000000002</v>
      </c>
      <c r="AS111" s="76">
        <v>2024</v>
      </c>
      <c r="AT111" s="88">
        <v>440</v>
      </c>
      <c r="AU111" s="100">
        <f t="shared" si="416"/>
        <v>0.67</v>
      </c>
      <c r="AV111" s="100">
        <f t="shared" si="417"/>
        <v>0.88</v>
      </c>
      <c r="AW111" s="100">
        <f t="shared" si="418"/>
        <v>0.88</v>
      </c>
      <c r="AX111" s="94">
        <v>242.25</v>
      </c>
      <c r="AY111" s="76">
        <v>6671.7828</v>
      </c>
      <c r="AZ111" s="100">
        <f>AX111/$B$9</f>
        <v>0.375</v>
      </c>
      <c r="BA111" s="97">
        <f>AY111/$B$8</f>
        <v>0.57299999999999995</v>
      </c>
      <c r="BB111" s="88">
        <v>38891.199999999997</v>
      </c>
      <c r="BC111" s="76">
        <v>22653.375</v>
      </c>
      <c r="BD111" s="100">
        <f t="shared" si="419"/>
        <v>0.87199999999999989</v>
      </c>
      <c r="BE111" s="97">
        <f t="shared" si="420"/>
        <v>0.96499999999999997</v>
      </c>
      <c r="BG111" s="88">
        <v>982.601</v>
      </c>
      <c r="BH111" s="114">
        <f>BG111/$B$10</f>
        <v>0.39899986193790454</v>
      </c>
      <c r="BI111" s="115">
        <v>896.48599999999999</v>
      </c>
      <c r="BJ111" s="114">
        <f>BI111/$B$11</f>
        <v>0.55786309894212815</v>
      </c>
      <c r="BK111" s="115">
        <v>1121.4780000000001</v>
      </c>
      <c r="BL111" s="114">
        <f t="shared" si="421"/>
        <v>0.5784392407674851</v>
      </c>
      <c r="BN111" s="111">
        <v>53641.616999999998</v>
      </c>
      <c r="BO111" s="114">
        <f t="shared" si="422"/>
        <v>0.77049180327868849</v>
      </c>
      <c r="BQ111" s="142">
        <v>32600</v>
      </c>
      <c r="BR111" s="131">
        <v>2362.9430000000002</v>
      </c>
      <c r="BS111" s="143">
        <v>4349.5309999999999</v>
      </c>
      <c r="BT111" s="105">
        <f t="shared" si="423"/>
        <v>1</v>
      </c>
      <c r="BU111" s="20">
        <f t="shared" si="424"/>
        <v>0.17664554017296988</v>
      </c>
      <c r="BV111" s="2">
        <v>0</v>
      </c>
      <c r="BW111" s="2">
        <v>0</v>
      </c>
      <c r="BX111" s="2">
        <v>0</v>
      </c>
      <c r="BY111" s="2">
        <v>8091.558</v>
      </c>
      <c r="BZ111" s="105">
        <f t="shared" si="425"/>
        <v>0.60035301973586586</v>
      </c>
      <c r="CA111" s="20">
        <f t="shared" si="426"/>
        <v>0</v>
      </c>
      <c r="CB111" s="5">
        <v>10800</v>
      </c>
      <c r="CC111" s="5">
        <v>0</v>
      </c>
      <c r="CE111" s="108">
        <v>-700</v>
      </c>
      <c r="CF111" s="153">
        <f t="shared" si="427"/>
        <v>0</v>
      </c>
      <c r="CG111" s="153">
        <v>4485</v>
      </c>
      <c r="CH111" s="153">
        <f t="shared" si="427"/>
        <v>4485</v>
      </c>
      <c r="CI111" s="153">
        <v>0</v>
      </c>
      <c r="CJ111" s="153">
        <f t="shared" ref="CJ111:CL111" si="690">IF(CI111&gt;0,CI111,0)</f>
        <v>0</v>
      </c>
      <c r="CK111" s="153">
        <v>5000</v>
      </c>
      <c r="CL111" s="153">
        <f t="shared" si="690"/>
        <v>5000</v>
      </c>
      <c r="CM111" s="153">
        <v>-5300</v>
      </c>
      <c r="CN111" s="153">
        <f t="shared" ref="CN111:CP111" si="691">IF(CM111&gt;0,CM111,0)</f>
        <v>0</v>
      </c>
      <c r="CO111" s="153">
        <v>-4000</v>
      </c>
      <c r="CP111" s="153">
        <f t="shared" si="691"/>
        <v>0</v>
      </c>
      <c r="CQ111" s="153">
        <v>4800</v>
      </c>
      <c r="CR111" s="153">
        <f t="shared" ref="CR111:CT111" si="692">IF(CQ111&gt;0,CQ111,0)</f>
        <v>4800</v>
      </c>
      <c r="CS111" s="153">
        <v>10552.88351562</v>
      </c>
      <c r="CT111" s="153">
        <f t="shared" si="692"/>
        <v>10552.88351562</v>
      </c>
      <c r="CU111" s="107">
        <f t="shared" si="431"/>
        <v>24837.88351562</v>
      </c>
      <c r="CW111" s="108">
        <v>-700</v>
      </c>
      <c r="CX111" s="153">
        <f t="shared" si="432"/>
        <v>700</v>
      </c>
      <c r="CY111" s="153">
        <v>4485</v>
      </c>
      <c r="CZ111" s="153">
        <f t="shared" si="432"/>
        <v>0</v>
      </c>
      <c r="DA111" s="153">
        <v>0</v>
      </c>
      <c r="DB111" s="153">
        <f t="shared" ref="DB111:DD111" si="693">IF(DA111&lt;0,-DA111,0)</f>
        <v>0</v>
      </c>
      <c r="DC111" s="153">
        <v>5000</v>
      </c>
      <c r="DD111" s="153">
        <f t="shared" si="693"/>
        <v>0</v>
      </c>
      <c r="DE111" s="153">
        <v>-5300</v>
      </c>
      <c r="DF111" s="153">
        <f t="shared" ref="DF111:DH111" si="694">IF(DE111&lt;0,-DE111,0)</f>
        <v>5300</v>
      </c>
      <c r="DG111" s="153">
        <v>-4000</v>
      </c>
      <c r="DH111" s="153">
        <f t="shared" si="694"/>
        <v>4000</v>
      </c>
      <c r="DI111" s="153">
        <v>4800</v>
      </c>
      <c r="DJ111" s="153">
        <f t="shared" ref="DJ111:DL111" si="695">IF(DI111&lt;0,-DI111,0)</f>
        <v>0</v>
      </c>
      <c r="DK111" s="153">
        <v>10552.88351562</v>
      </c>
      <c r="DL111" s="153">
        <f t="shared" si="695"/>
        <v>0</v>
      </c>
      <c r="DM111" s="107">
        <f t="shared" si="436"/>
        <v>10000</v>
      </c>
    </row>
    <row r="112" spans="13:117" s="5" customFormat="1" x14ac:dyDescent="0.35">
      <c r="M112" s="77">
        <f t="shared" si="437"/>
        <v>110</v>
      </c>
      <c r="N112" s="78">
        <v>1.2E-2</v>
      </c>
      <c r="O112" s="79">
        <v>0.17800000000000002</v>
      </c>
      <c r="P112" s="79">
        <v>0.44900000000000001</v>
      </c>
      <c r="Q112" s="79">
        <v>44045.722000000002</v>
      </c>
      <c r="R112" s="79">
        <v>2549.8728148700002</v>
      </c>
      <c r="S112" s="79">
        <f t="shared" si="408"/>
        <v>46595.594814870004</v>
      </c>
      <c r="T112" s="78">
        <v>7.5999999999999998E-2</v>
      </c>
      <c r="U112" s="79">
        <v>9.0999999999999998E-2</v>
      </c>
      <c r="V112" s="79">
        <v>0.37</v>
      </c>
      <c r="W112" s="79">
        <v>0.61399999999999999</v>
      </c>
      <c r="X112" s="79">
        <f t="shared" si="409"/>
        <v>0.98399999999999999</v>
      </c>
      <c r="Y112" s="79">
        <v>6452.0839999999998</v>
      </c>
      <c r="Z112" s="79">
        <v>0</v>
      </c>
      <c r="AA112" s="80">
        <f t="shared" si="410"/>
        <v>6452.0839999999998</v>
      </c>
      <c r="AB112" s="79"/>
      <c r="AC112" s="88">
        <v>28635</v>
      </c>
      <c r="AD112" s="94">
        <f t="shared" si="411"/>
        <v>0.34499999999999997</v>
      </c>
      <c r="AE112" s="89">
        <v>855.29</v>
      </c>
      <c r="AF112" s="94">
        <f t="shared" si="412"/>
        <v>0.17799999999999999</v>
      </c>
      <c r="AG112" s="89">
        <v>13470</v>
      </c>
      <c r="AH112" s="94">
        <f t="shared" si="413"/>
        <v>0.44900000000000001</v>
      </c>
      <c r="AI112" s="89">
        <v>7160.3436000000002</v>
      </c>
      <c r="AJ112" s="94">
        <f>AI112/$B$6</f>
        <v>0.498</v>
      </c>
      <c r="AK112" s="89">
        <v>3071.8481999999999</v>
      </c>
      <c r="AL112" s="94">
        <f>AK112/$B$7</f>
        <v>0.318</v>
      </c>
      <c r="AM112" s="89">
        <v>12135.12</v>
      </c>
      <c r="AN112" s="94">
        <f t="shared" si="414"/>
        <v>0.23600000000000002</v>
      </c>
      <c r="AO112" s="89">
        <v>9310.4807999999994</v>
      </c>
      <c r="AP112" s="94">
        <f t="shared" si="415"/>
        <v>0.20099999999999998</v>
      </c>
      <c r="AQ112" s="79"/>
      <c r="AR112" s="88">
        <v>61320.862200000003</v>
      </c>
      <c r="AS112" s="76">
        <v>1945.8</v>
      </c>
      <c r="AT112" s="88">
        <v>423</v>
      </c>
      <c r="AU112" s="100">
        <f t="shared" si="416"/>
        <v>0.68900000000000006</v>
      </c>
      <c r="AV112" s="100">
        <f t="shared" si="417"/>
        <v>0.84599999999999997</v>
      </c>
      <c r="AW112" s="100">
        <f t="shared" si="418"/>
        <v>0.84599999999999997</v>
      </c>
      <c r="AX112" s="94">
        <v>239.02</v>
      </c>
      <c r="AY112" s="76">
        <v>7149.1704</v>
      </c>
      <c r="AZ112" s="100">
        <f>AX112/$B$9</f>
        <v>0.37</v>
      </c>
      <c r="BA112" s="97">
        <f>AY112/$B$8</f>
        <v>0.61399999999999999</v>
      </c>
      <c r="BB112" s="88">
        <v>39114.199999999997</v>
      </c>
      <c r="BC112" s="76">
        <v>22653.375</v>
      </c>
      <c r="BD112" s="100">
        <f t="shared" si="419"/>
        <v>0.87699999999999989</v>
      </c>
      <c r="BE112" s="97">
        <f t="shared" si="420"/>
        <v>0.96499999999999997</v>
      </c>
      <c r="BG112" s="88">
        <v>953.04899999999998</v>
      </c>
      <c r="BH112" s="114">
        <f>BG112/$B$10</f>
        <v>0.38699982945270561</v>
      </c>
      <c r="BI112" s="115">
        <v>870.77300000000002</v>
      </c>
      <c r="BJ112" s="114">
        <f>BI112/$B$11</f>
        <v>0.54186247666459242</v>
      </c>
      <c r="BK112" s="115">
        <v>1121.4780000000001</v>
      </c>
      <c r="BL112" s="114">
        <f t="shared" si="421"/>
        <v>0.5784392407674851</v>
      </c>
      <c r="BN112" s="111">
        <v>53641.616999999998</v>
      </c>
      <c r="BO112" s="114">
        <f t="shared" si="422"/>
        <v>0.77049180327868849</v>
      </c>
      <c r="BQ112" s="142">
        <v>32600</v>
      </c>
      <c r="BR112" s="131">
        <v>3169.377</v>
      </c>
      <c r="BS112" s="143">
        <v>5493.5069999999996</v>
      </c>
      <c r="BT112" s="105">
        <f t="shared" si="423"/>
        <v>1</v>
      </c>
      <c r="BU112" s="20">
        <f t="shared" si="424"/>
        <v>0.22797255134780081</v>
      </c>
      <c r="BV112" s="2">
        <v>0</v>
      </c>
      <c r="BW112" s="2">
        <v>0</v>
      </c>
      <c r="BX112" s="2">
        <v>0</v>
      </c>
      <c r="BY112" s="2">
        <v>8460.2009999999991</v>
      </c>
      <c r="BZ112" s="105">
        <f t="shared" si="425"/>
        <v>0.62770448137705881</v>
      </c>
      <c r="CA112" s="20">
        <f t="shared" si="426"/>
        <v>0</v>
      </c>
      <c r="CB112" s="5">
        <v>10800</v>
      </c>
      <c r="CC112" s="5">
        <v>0</v>
      </c>
      <c r="CE112" s="108">
        <v>-700</v>
      </c>
      <c r="CF112" s="153">
        <f t="shared" si="427"/>
        <v>0</v>
      </c>
      <c r="CG112" s="153">
        <v>4485</v>
      </c>
      <c r="CH112" s="153">
        <f t="shared" si="427"/>
        <v>4485</v>
      </c>
      <c r="CI112" s="153">
        <v>0</v>
      </c>
      <c r="CJ112" s="153">
        <f t="shared" ref="CJ112:CL112" si="696">IF(CI112&gt;0,CI112,0)</f>
        <v>0</v>
      </c>
      <c r="CK112" s="153">
        <v>3555.9885735799999</v>
      </c>
      <c r="CL112" s="153">
        <f t="shared" si="696"/>
        <v>3555.9885735799999</v>
      </c>
      <c r="CM112" s="153">
        <v>-5300</v>
      </c>
      <c r="CN112" s="153">
        <f t="shared" ref="CN112:CP112" si="697">IF(CM112&gt;0,CM112,0)</f>
        <v>0</v>
      </c>
      <c r="CO112" s="153">
        <v>-4000</v>
      </c>
      <c r="CP112" s="153">
        <f t="shared" si="697"/>
        <v>0</v>
      </c>
      <c r="CQ112" s="153">
        <v>4800</v>
      </c>
      <c r="CR112" s="153">
        <f t="shared" ref="CR112:CT112" si="698">IF(CQ112&gt;0,CQ112,0)</f>
        <v>4800</v>
      </c>
      <c r="CS112" s="153">
        <v>11484.922907530001</v>
      </c>
      <c r="CT112" s="153">
        <f t="shared" si="698"/>
        <v>11484.922907530001</v>
      </c>
      <c r="CU112" s="107">
        <f t="shared" si="431"/>
        <v>24325.911481110001</v>
      </c>
      <c r="CW112" s="108">
        <v>-700</v>
      </c>
      <c r="CX112" s="153">
        <f t="shared" si="432"/>
        <v>700</v>
      </c>
      <c r="CY112" s="153">
        <v>4485</v>
      </c>
      <c r="CZ112" s="153">
        <f t="shared" si="432"/>
        <v>0</v>
      </c>
      <c r="DA112" s="153">
        <v>0</v>
      </c>
      <c r="DB112" s="153">
        <f t="shared" ref="DB112:DD112" si="699">IF(DA112&lt;0,-DA112,0)</f>
        <v>0</v>
      </c>
      <c r="DC112" s="153">
        <v>3555.9885735799999</v>
      </c>
      <c r="DD112" s="153">
        <f t="shared" si="699"/>
        <v>0</v>
      </c>
      <c r="DE112" s="153">
        <v>-5300</v>
      </c>
      <c r="DF112" s="153">
        <f t="shared" ref="DF112:DH112" si="700">IF(DE112&lt;0,-DE112,0)</f>
        <v>5300</v>
      </c>
      <c r="DG112" s="153">
        <v>-4000</v>
      </c>
      <c r="DH112" s="153">
        <f t="shared" si="700"/>
        <v>4000</v>
      </c>
      <c r="DI112" s="153">
        <v>4800</v>
      </c>
      <c r="DJ112" s="153">
        <f t="shared" ref="DJ112:DL112" si="701">IF(DI112&lt;0,-DI112,0)</f>
        <v>0</v>
      </c>
      <c r="DK112" s="153">
        <v>11484.922907530001</v>
      </c>
      <c r="DL112" s="153">
        <f t="shared" si="701"/>
        <v>0</v>
      </c>
      <c r="DM112" s="107">
        <f t="shared" si="436"/>
        <v>10000</v>
      </c>
    </row>
    <row r="113" spans="13:117" s="5" customFormat="1" x14ac:dyDescent="0.35">
      <c r="M113" s="77">
        <f t="shared" si="437"/>
        <v>111</v>
      </c>
      <c r="N113" s="78">
        <v>0</v>
      </c>
      <c r="O113" s="79">
        <v>0.184</v>
      </c>
      <c r="P113" s="79">
        <v>0.43200000000000005</v>
      </c>
      <c r="Q113" s="79">
        <v>43237.392</v>
      </c>
      <c r="R113" s="79">
        <v>1928.92882416</v>
      </c>
      <c r="S113" s="79">
        <f t="shared" si="408"/>
        <v>45166.32082416</v>
      </c>
      <c r="T113" s="78">
        <v>3.4000000000000002E-2</v>
      </c>
      <c r="U113" s="79">
        <v>0.04</v>
      </c>
      <c r="V113" s="79">
        <v>0.36699999999999999</v>
      </c>
      <c r="W113" s="79">
        <v>0.627</v>
      </c>
      <c r="X113" s="79">
        <f t="shared" si="409"/>
        <v>0.99399999999999999</v>
      </c>
      <c r="Y113" s="79">
        <v>6412.6229999999996</v>
      </c>
      <c r="Z113" s="79">
        <v>0</v>
      </c>
      <c r="AA113" s="80">
        <f t="shared" si="410"/>
        <v>6412.6229999999996</v>
      </c>
      <c r="AB113" s="79"/>
      <c r="AC113" s="88">
        <v>29050</v>
      </c>
      <c r="AD113" s="94">
        <f t="shared" si="411"/>
        <v>0.35</v>
      </c>
      <c r="AE113" s="89">
        <v>884.12</v>
      </c>
      <c r="AF113" s="94">
        <f t="shared" si="412"/>
        <v>0.184</v>
      </c>
      <c r="AG113" s="89">
        <v>12960</v>
      </c>
      <c r="AH113" s="94">
        <f t="shared" si="413"/>
        <v>0.432</v>
      </c>
      <c r="AI113" s="89">
        <v>6844.0231999999996</v>
      </c>
      <c r="AJ113" s="94">
        <f>AI113/$B$6</f>
        <v>0.47599999999999992</v>
      </c>
      <c r="AK113" s="89">
        <v>2820.6907999999999</v>
      </c>
      <c r="AL113" s="94">
        <f>AK113/$B$7</f>
        <v>0.29199999999999998</v>
      </c>
      <c r="AM113" s="89">
        <v>9924.06</v>
      </c>
      <c r="AN113" s="94">
        <f t="shared" si="414"/>
        <v>0.19299999999999998</v>
      </c>
      <c r="AO113" s="89">
        <v>7503.9696000000004</v>
      </c>
      <c r="AP113" s="94">
        <f t="shared" si="415"/>
        <v>0.16200000000000001</v>
      </c>
      <c r="AQ113" s="79"/>
      <c r="AR113" s="88">
        <v>62032.8606</v>
      </c>
      <c r="AS113" s="76">
        <v>1865.3</v>
      </c>
      <c r="AT113" s="88">
        <v>405.5</v>
      </c>
      <c r="AU113" s="100">
        <f t="shared" si="416"/>
        <v>0.69699999999999995</v>
      </c>
      <c r="AV113" s="100">
        <f t="shared" si="417"/>
        <v>0.81099999999999994</v>
      </c>
      <c r="AW113" s="100">
        <f t="shared" si="418"/>
        <v>0.81100000000000005</v>
      </c>
      <c r="AX113" s="94">
        <v>237.08199999999999</v>
      </c>
      <c r="AY113" s="76">
        <v>7300.5371999999998</v>
      </c>
      <c r="AZ113" s="100">
        <f>AX113/$B$9</f>
        <v>0.36699999999999999</v>
      </c>
      <c r="BA113" s="97">
        <f>AY113/$B$8</f>
        <v>0.627</v>
      </c>
      <c r="BB113" s="88">
        <v>38935.800000000003</v>
      </c>
      <c r="BC113" s="76">
        <v>22606.424999999999</v>
      </c>
      <c r="BD113" s="100">
        <f t="shared" si="419"/>
        <v>0.87300000000000011</v>
      </c>
      <c r="BE113" s="97">
        <f t="shared" si="420"/>
        <v>0.96299999999999997</v>
      </c>
      <c r="BG113" s="88">
        <v>962.9</v>
      </c>
      <c r="BH113" s="114">
        <f>BG113/$B$10</f>
        <v>0.39099997563610084</v>
      </c>
      <c r="BI113" s="115">
        <v>879.36</v>
      </c>
      <c r="BJ113" s="114">
        <f>BI113/$B$11</f>
        <v>0.54720597386434355</v>
      </c>
      <c r="BK113" s="115">
        <v>1121.4780000000001</v>
      </c>
      <c r="BL113" s="114">
        <f t="shared" si="421"/>
        <v>0.5784392407674851</v>
      </c>
      <c r="BN113" s="111">
        <v>53641.616999999998</v>
      </c>
      <c r="BO113" s="114">
        <f t="shared" si="422"/>
        <v>0.77049180327868849</v>
      </c>
      <c r="BQ113" s="142">
        <v>32600</v>
      </c>
      <c r="BR113" s="131">
        <v>3135.9090000000001</v>
      </c>
      <c r="BS113" s="143">
        <v>5589.6419999999998</v>
      </c>
      <c r="BT113" s="105">
        <f t="shared" si="423"/>
        <v>1</v>
      </c>
      <c r="BU113" s="20">
        <f t="shared" si="424"/>
        <v>0.22962169681428896</v>
      </c>
      <c r="BV113" s="2">
        <v>0</v>
      </c>
      <c r="BW113" s="2">
        <v>0</v>
      </c>
      <c r="BX113" s="2">
        <v>0</v>
      </c>
      <c r="BY113" s="2">
        <v>8134.8890000000001</v>
      </c>
      <c r="BZ113" s="105">
        <f t="shared" si="425"/>
        <v>0.60356796260572787</v>
      </c>
      <c r="CA113" s="20">
        <f t="shared" si="426"/>
        <v>0</v>
      </c>
      <c r="CB113" s="5">
        <v>10800</v>
      </c>
      <c r="CC113" s="5">
        <v>0</v>
      </c>
      <c r="CE113" s="108">
        <v>-700</v>
      </c>
      <c r="CF113" s="153">
        <f t="shared" si="427"/>
        <v>0</v>
      </c>
      <c r="CG113" s="153">
        <v>4485</v>
      </c>
      <c r="CH113" s="153">
        <f t="shared" si="427"/>
        <v>4485</v>
      </c>
      <c r="CI113" s="153">
        <v>0</v>
      </c>
      <c r="CJ113" s="153">
        <f t="shared" ref="CJ113:CL113" si="702">IF(CI113&gt;0,CI113,0)</f>
        <v>0</v>
      </c>
      <c r="CK113" s="153">
        <v>-995.56056506000004</v>
      </c>
      <c r="CL113" s="153">
        <f t="shared" si="702"/>
        <v>0</v>
      </c>
      <c r="CM113" s="153">
        <v>-5300</v>
      </c>
      <c r="CN113" s="153">
        <f t="shared" ref="CN113:CP113" si="703">IF(CM113&gt;0,CM113,0)</f>
        <v>0</v>
      </c>
      <c r="CO113" s="153">
        <v>-4000</v>
      </c>
      <c r="CP113" s="153">
        <f t="shared" si="703"/>
        <v>0</v>
      </c>
      <c r="CQ113" s="153">
        <v>2951.2179388</v>
      </c>
      <c r="CR113" s="153">
        <f t="shared" ref="CR113:CT113" si="704">IF(CQ113&gt;0,CQ113,0)</f>
        <v>2951.2179388</v>
      </c>
      <c r="CS113" s="153">
        <v>12298.22679348</v>
      </c>
      <c r="CT113" s="153">
        <f t="shared" si="704"/>
        <v>12298.22679348</v>
      </c>
      <c r="CU113" s="107">
        <f t="shared" si="431"/>
        <v>19734.444732280001</v>
      </c>
      <c r="CW113" s="108">
        <v>-700</v>
      </c>
      <c r="CX113" s="153">
        <f t="shared" si="432"/>
        <v>700</v>
      </c>
      <c r="CY113" s="153">
        <v>4485</v>
      </c>
      <c r="CZ113" s="153">
        <f t="shared" si="432"/>
        <v>0</v>
      </c>
      <c r="DA113" s="153">
        <v>0</v>
      </c>
      <c r="DB113" s="153">
        <f t="shared" ref="DB113:DD113" si="705">IF(DA113&lt;0,-DA113,0)</f>
        <v>0</v>
      </c>
      <c r="DC113" s="153">
        <v>-995.56056506000004</v>
      </c>
      <c r="DD113" s="153">
        <f t="shared" si="705"/>
        <v>995.56056506000004</v>
      </c>
      <c r="DE113" s="153">
        <v>-5300</v>
      </c>
      <c r="DF113" s="153">
        <f t="shared" ref="DF113:DH113" si="706">IF(DE113&lt;0,-DE113,0)</f>
        <v>5300</v>
      </c>
      <c r="DG113" s="153">
        <v>-4000</v>
      </c>
      <c r="DH113" s="153">
        <f t="shared" si="706"/>
        <v>4000</v>
      </c>
      <c r="DI113" s="153">
        <v>2951.2179388</v>
      </c>
      <c r="DJ113" s="153">
        <f t="shared" ref="DJ113:DL113" si="707">IF(DI113&lt;0,-DI113,0)</f>
        <v>0</v>
      </c>
      <c r="DK113" s="153">
        <v>12298.22679348</v>
      </c>
      <c r="DL113" s="153">
        <f t="shared" si="707"/>
        <v>0</v>
      </c>
      <c r="DM113" s="107">
        <f t="shared" si="436"/>
        <v>10995.560565060001</v>
      </c>
    </row>
    <row r="114" spans="13:117" s="5" customFormat="1" x14ac:dyDescent="0.35">
      <c r="M114" s="77">
        <f t="shared" si="437"/>
        <v>112</v>
      </c>
      <c r="N114" s="78">
        <v>0</v>
      </c>
      <c r="O114" s="79">
        <v>0.14899999999999902</v>
      </c>
      <c r="P114" s="79">
        <v>0.33500000000000002</v>
      </c>
      <c r="Q114" s="79">
        <v>43095.959000000003</v>
      </c>
      <c r="R114" s="79">
        <v>1651.17552284</v>
      </c>
      <c r="S114" s="79">
        <f t="shared" si="408"/>
        <v>44747.134522840002</v>
      </c>
      <c r="T114" s="78">
        <v>1.7999999999999901E-2</v>
      </c>
      <c r="U114" s="79">
        <v>1.7999999999999901E-2</v>
      </c>
      <c r="V114" s="79">
        <v>0.36799999999999999</v>
      </c>
      <c r="W114" s="79">
        <v>0.60099999999999998</v>
      </c>
      <c r="X114" s="79">
        <f t="shared" si="409"/>
        <v>0.96899999999999997</v>
      </c>
      <c r="Y114" s="79">
        <v>6413.6030000000001</v>
      </c>
      <c r="Z114" s="79">
        <v>0</v>
      </c>
      <c r="AA114" s="80">
        <f t="shared" si="410"/>
        <v>6413.6030000000001</v>
      </c>
      <c r="AB114" s="79"/>
      <c r="AC114" s="88">
        <v>26643</v>
      </c>
      <c r="AD114" s="94">
        <f t="shared" si="411"/>
        <v>0.32100000000000001</v>
      </c>
      <c r="AE114" s="89">
        <v>715.94500000000005</v>
      </c>
      <c r="AF114" s="94">
        <f t="shared" si="412"/>
        <v>0.14900000000000002</v>
      </c>
      <c r="AG114" s="89">
        <v>10050</v>
      </c>
      <c r="AH114" s="94">
        <f t="shared" si="413"/>
        <v>0.33500000000000002</v>
      </c>
      <c r="AI114" s="89">
        <v>5564.3634000000002</v>
      </c>
      <c r="AJ114" s="94">
        <f>AI114/$B$6</f>
        <v>0.38700000000000001</v>
      </c>
      <c r="AK114" s="89">
        <v>2173.4775</v>
      </c>
      <c r="AL114" s="94">
        <f>AK114/$B$7</f>
        <v>0.22500000000000001</v>
      </c>
      <c r="AM114" s="89">
        <v>7147.38</v>
      </c>
      <c r="AN114" s="94">
        <f t="shared" si="414"/>
        <v>0.13900000000000001</v>
      </c>
      <c r="AO114" s="89">
        <v>5141.6088</v>
      </c>
      <c r="AP114" s="94">
        <f t="shared" si="415"/>
        <v>0.11099999999999999</v>
      </c>
      <c r="AQ114" s="79"/>
      <c r="AR114" s="88">
        <v>61142.8626</v>
      </c>
      <c r="AS114" s="76">
        <v>1787.1</v>
      </c>
      <c r="AT114" s="88">
        <v>388.5</v>
      </c>
      <c r="AU114" s="100">
        <f t="shared" si="416"/>
        <v>0.68699999999999994</v>
      </c>
      <c r="AV114" s="100">
        <f t="shared" si="417"/>
        <v>0.77699999999999991</v>
      </c>
      <c r="AW114" s="100">
        <f t="shared" si="418"/>
        <v>0.77700000000000002</v>
      </c>
      <c r="AX114" s="94">
        <v>237.72800000000001</v>
      </c>
      <c r="AY114" s="76">
        <v>6997.8036000000002</v>
      </c>
      <c r="AZ114" s="100">
        <f>AX114/$B$9</f>
        <v>0.36799999999999999</v>
      </c>
      <c r="BA114" s="97">
        <f>AY114/$B$8</f>
        <v>0.60099999999999998</v>
      </c>
      <c r="BB114" s="88">
        <v>38846.6</v>
      </c>
      <c r="BC114" s="76">
        <v>22559.474999999999</v>
      </c>
      <c r="BD114" s="100">
        <f t="shared" si="419"/>
        <v>0.871</v>
      </c>
      <c r="BE114" s="97">
        <f t="shared" si="420"/>
        <v>0.96099999999999997</v>
      </c>
      <c r="BG114" s="88">
        <v>950.58699999999999</v>
      </c>
      <c r="BH114" s="114">
        <f>BG114/$B$10</f>
        <v>0.38600009745559682</v>
      </c>
      <c r="BI114" s="115">
        <v>885.97900000000004</v>
      </c>
      <c r="BJ114" s="114">
        <f>BI114/$B$11</f>
        <v>0.55132482887367773</v>
      </c>
      <c r="BK114" s="115">
        <v>1121.4780000000001</v>
      </c>
      <c r="BL114" s="114">
        <f t="shared" si="421"/>
        <v>0.5784392407674851</v>
      </c>
      <c r="BN114" s="111">
        <v>53641.616999999998</v>
      </c>
      <c r="BO114" s="114">
        <f t="shared" si="422"/>
        <v>0.77049180327868849</v>
      </c>
      <c r="BQ114" s="142">
        <v>32600</v>
      </c>
      <c r="BR114" s="131">
        <v>1934.6579999999999</v>
      </c>
      <c r="BS114" s="143">
        <v>4054.1350000000002</v>
      </c>
      <c r="BT114" s="105">
        <f t="shared" si="423"/>
        <v>1</v>
      </c>
      <c r="BU114" s="20">
        <f t="shared" si="424"/>
        <v>0.15760114295699332</v>
      </c>
      <c r="BV114" s="2">
        <v>0</v>
      </c>
      <c r="BW114" s="2">
        <v>0</v>
      </c>
      <c r="BX114" s="2">
        <v>0</v>
      </c>
      <c r="BY114" s="2">
        <v>7156.723</v>
      </c>
      <c r="BZ114" s="105">
        <f t="shared" si="425"/>
        <v>0.53099295147648018</v>
      </c>
      <c r="CA114" s="20">
        <f t="shared" si="426"/>
        <v>0</v>
      </c>
      <c r="CB114" s="5">
        <v>10800</v>
      </c>
      <c r="CC114" s="5">
        <v>0</v>
      </c>
      <c r="CE114" s="108">
        <v>-700</v>
      </c>
      <c r="CF114" s="153">
        <f t="shared" si="427"/>
        <v>0</v>
      </c>
      <c r="CG114" s="153">
        <v>4485</v>
      </c>
      <c r="CH114" s="153">
        <f t="shared" si="427"/>
        <v>4485</v>
      </c>
      <c r="CI114" s="153">
        <v>0</v>
      </c>
      <c r="CJ114" s="153">
        <f t="shared" ref="CJ114:CL114" si="708">IF(CI114&gt;0,CI114,0)</f>
        <v>0</v>
      </c>
      <c r="CK114" s="153">
        <v>-2917.1529999999998</v>
      </c>
      <c r="CL114" s="153">
        <f t="shared" si="708"/>
        <v>0</v>
      </c>
      <c r="CM114" s="153">
        <v>-5300</v>
      </c>
      <c r="CN114" s="153">
        <f t="shared" ref="CN114:CP114" si="709">IF(CM114&gt;0,CM114,0)</f>
        <v>0</v>
      </c>
      <c r="CO114" s="153">
        <v>-4000</v>
      </c>
      <c r="CP114" s="153">
        <f t="shared" si="709"/>
        <v>0</v>
      </c>
      <c r="CQ114" s="153">
        <v>-4800</v>
      </c>
      <c r="CR114" s="153">
        <f t="shared" ref="CR114:CT114" si="710">IF(CQ114&gt;0,CQ114,0)</f>
        <v>0</v>
      </c>
      <c r="CS114" s="153">
        <v>12550.807885370001</v>
      </c>
      <c r="CT114" s="153">
        <f t="shared" si="710"/>
        <v>12550.807885370001</v>
      </c>
      <c r="CU114" s="107">
        <f t="shared" si="431"/>
        <v>17035.807885369999</v>
      </c>
      <c r="CW114" s="108">
        <v>-700</v>
      </c>
      <c r="CX114" s="153">
        <f t="shared" si="432"/>
        <v>700</v>
      </c>
      <c r="CY114" s="153">
        <v>4485</v>
      </c>
      <c r="CZ114" s="153">
        <f t="shared" si="432"/>
        <v>0</v>
      </c>
      <c r="DA114" s="153">
        <v>0</v>
      </c>
      <c r="DB114" s="153">
        <f t="shared" ref="DB114:DD114" si="711">IF(DA114&lt;0,-DA114,0)</f>
        <v>0</v>
      </c>
      <c r="DC114" s="153">
        <v>-2917.1529999999998</v>
      </c>
      <c r="DD114" s="153">
        <f t="shared" si="711"/>
        <v>2917.1529999999998</v>
      </c>
      <c r="DE114" s="153">
        <v>-5300</v>
      </c>
      <c r="DF114" s="153">
        <f t="shared" ref="DF114:DH114" si="712">IF(DE114&lt;0,-DE114,0)</f>
        <v>5300</v>
      </c>
      <c r="DG114" s="153">
        <v>-4000</v>
      </c>
      <c r="DH114" s="153">
        <f t="shared" si="712"/>
        <v>4000</v>
      </c>
      <c r="DI114" s="153">
        <v>-4800</v>
      </c>
      <c r="DJ114" s="153">
        <f t="shared" ref="DJ114:DL114" si="713">IF(DI114&lt;0,-DI114,0)</f>
        <v>4800</v>
      </c>
      <c r="DK114" s="153">
        <v>12550.807885370001</v>
      </c>
      <c r="DL114" s="153">
        <f t="shared" si="713"/>
        <v>0</v>
      </c>
      <c r="DM114" s="107">
        <f t="shared" si="436"/>
        <v>17717.152999999998</v>
      </c>
    </row>
    <row r="115" spans="13:117" s="5" customFormat="1" x14ac:dyDescent="0.35">
      <c r="M115" s="77">
        <f t="shared" si="437"/>
        <v>113</v>
      </c>
      <c r="N115" s="78">
        <v>0</v>
      </c>
      <c r="O115" s="79">
        <v>8.4000000000000005E-2</v>
      </c>
      <c r="P115" s="79">
        <v>0.2</v>
      </c>
      <c r="Q115" s="79">
        <v>43820.275999999998</v>
      </c>
      <c r="R115" s="79">
        <v>1660.805145</v>
      </c>
      <c r="S115" s="79">
        <f t="shared" si="408"/>
        <v>45481.081144999996</v>
      </c>
      <c r="T115" s="78">
        <v>0</v>
      </c>
      <c r="U115" s="79">
        <v>0</v>
      </c>
      <c r="V115" s="79">
        <v>0.36799999999999999</v>
      </c>
      <c r="W115" s="79">
        <v>0.55999999999999994</v>
      </c>
      <c r="X115" s="79">
        <f t="shared" si="409"/>
        <v>0.92799999999999994</v>
      </c>
      <c r="Y115" s="79">
        <v>6608.0029999999997</v>
      </c>
      <c r="Z115" s="79">
        <v>0</v>
      </c>
      <c r="AA115" s="80">
        <f t="shared" si="410"/>
        <v>6608.0029999999997</v>
      </c>
      <c r="AB115" s="79"/>
      <c r="AC115" s="88">
        <v>18924</v>
      </c>
      <c r="AD115" s="94">
        <f t="shared" si="411"/>
        <v>0.22800000000000001</v>
      </c>
      <c r="AE115" s="89">
        <v>403.62</v>
      </c>
      <c r="AF115" s="94">
        <f t="shared" si="412"/>
        <v>8.4000000000000005E-2</v>
      </c>
      <c r="AG115" s="89">
        <v>6000</v>
      </c>
      <c r="AH115" s="94">
        <f t="shared" si="413"/>
        <v>0.2</v>
      </c>
      <c r="AI115" s="89">
        <v>3695.1974</v>
      </c>
      <c r="AJ115" s="94">
        <f>AI115/$B$6</f>
        <v>0.25700000000000001</v>
      </c>
      <c r="AK115" s="89">
        <v>1294.4266</v>
      </c>
      <c r="AL115" s="94">
        <f>AK115/$B$7</f>
        <v>0.13400000000000001</v>
      </c>
      <c r="AM115" s="89">
        <v>3599.4</v>
      </c>
      <c r="AN115" s="94">
        <f t="shared" si="414"/>
        <v>7.0000000000000007E-2</v>
      </c>
      <c r="AO115" s="89">
        <v>2316.04</v>
      </c>
      <c r="AP115" s="94">
        <f t="shared" si="415"/>
        <v>4.9999999999999996E-2</v>
      </c>
      <c r="AQ115" s="79"/>
      <c r="AR115" s="88">
        <v>59896.865400000002</v>
      </c>
      <c r="AS115" s="76">
        <v>1715.8</v>
      </c>
      <c r="AT115" s="88">
        <v>373</v>
      </c>
      <c r="AU115" s="100">
        <f t="shared" si="416"/>
        <v>0.67300000000000004</v>
      </c>
      <c r="AV115" s="100">
        <f t="shared" si="417"/>
        <v>0.746</v>
      </c>
      <c r="AW115" s="100">
        <f t="shared" si="418"/>
        <v>0.746</v>
      </c>
      <c r="AX115" s="94">
        <v>237.72800000000001</v>
      </c>
      <c r="AY115" s="76">
        <v>6520.4160000000002</v>
      </c>
      <c r="AZ115" s="100">
        <f>AX115/$B$9</f>
        <v>0.36799999999999999</v>
      </c>
      <c r="BA115" s="97">
        <f>AY115/$B$8</f>
        <v>0.55999999999999994</v>
      </c>
      <c r="BB115" s="88">
        <v>39515.599999999999</v>
      </c>
      <c r="BC115" s="76">
        <v>22489.05</v>
      </c>
      <c r="BD115" s="100">
        <f t="shared" si="419"/>
        <v>0.88600000000000001</v>
      </c>
      <c r="BE115" s="97">
        <f t="shared" si="420"/>
        <v>0.95799999999999996</v>
      </c>
      <c r="BG115" s="88">
        <v>982.601</v>
      </c>
      <c r="BH115" s="114">
        <f>BG115/$B$10</f>
        <v>0.39899986193790454</v>
      </c>
      <c r="BI115" s="115">
        <v>881.79200000000003</v>
      </c>
      <c r="BJ115" s="114">
        <f>BI115/$B$11</f>
        <v>0.54871935283136286</v>
      </c>
      <c r="BK115" s="115">
        <v>1121.4780000000001</v>
      </c>
      <c r="BL115" s="114">
        <f t="shared" si="421"/>
        <v>0.5784392407674851</v>
      </c>
      <c r="BN115" s="111">
        <v>53641.616999999998</v>
      </c>
      <c r="BO115" s="114">
        <f t="shared" si="422"/>
        <v>0.77049180327868849</v>
      </c>
      <c r="BQ115" s="142">
        <v>32600</v>
      </c>
      <c r="BR115" s="131">
        <v>270.45600000000002</v>
      </c>
      <c r="BS115" s="143">
        <v>850.08799999999997</v>
      </c>
      <c r="BT115" s="105">
        <f t="shared" si="423"/>
        <v>1</v>
      </c>
      <c r="BU115" s="20">
        <f t="shared" si="424"/>
        <v>2.9488248322091133E-2</v>
      </c>
      <c r="BV115" s="2">
        <v>0</v>
      </c>
      <c r="BW115" s="2">
        <v>0</v>
      </c>
      <c r="BX115" s="2">
        <v>0</v>
      </c>
      <c r="BY115" s="2">
        <v>5775.0230000000001</v>
      </c>
      <c r="BZ115" s="105">
        <f t="shared" si="425"/>
        <v>0.42847774150467427</v>
      </c>
      <c r="CA115" s="20">
        <f t="shared" si="426"/>
        <v>0</v>
      </c>
      <c r="CB115" s="5">
        <v>10800</v>
      </c>
      <c r="CC115" s="5">
        <v>0</v>
      </c>
      <c r="CE115" s="108">
        <v>-700</v>
      </c>
      <c r="CF115" s="153">
        <f t="shared" si="427"/>
        <v>0</v>
      </c>
      <c r="CG115" s="153">
        <v>4485</v>
      </c>
      <c r="CH115" s="153">
        <f t="shared" si="427"/>
        <v>4485</v>
      </c>
      <c r="CI115" s="153">
        <v>0</v>
      </c>
      <c r="CJ115" s="153">
        <f t="shared" ref="CJ115:CL115" si="714">IF(CI115&gt;0,CI115,0)</f>
        <v>0</v>
      </c>
      <c r="CK115" s="153">
        <v>0</v>
      </c>
      <c r="CL115" s="153">
        <f t="shared" si="714"/>
        <v>0</v>
      </c>
      <c r="CM115" s="153">
        <v>-5300</v>
      </c>
      <c r="CN115" s="153">
        <f t="shared" ref="CN115:CP115" si="715">IF(CM115&gt;0,CM115,0)</f>
        <v>0</v>
      </c>
      <c r="CO115" s="153">
        <v>-4000</v>
      </c>
      <c r="CP115" s="153">
        <f t="shared" si="715"/>
        <v>0</v>
      </c>
      <c r="CQ115" s="153">
        <v>-4800</v>
      </c>
      <c r="CR115" s="153">
        <f t="shared" ref="CR115:CT115" si="716">IF(CQ115&gt;0,CQ115,0)</f>
        <v>0</v>
      </c>
      <c r="CS115" s="153">
        <v>9026.9640415499998</v>
      </c>
      <c r="CT115" s="153">
        <f t="shared" si="716"/>
        <v>9026.9640415499998</v>
      </c>
      <c r="CU115" s="107">
        <f t="shared" si="431"/>
        <v>13511.96404155</v>
      </c>
      <c r="CW115" s="108">
        <v>-700</v>
      </c>
      <c r="CX115" s="153">
        <f t="shared" si="432"/>
        <v>700</v>
      </c>
      <c r="CY115" s="153">
        <v>4485</v>
      </c>
      <c r="CZ115" s="153">
        <f t="shared" si="432"/>
        <v>0</v>
      </c>
      <c r="DA115" s="153">
        <v>0</v>
      </c>
      <c r="DB115" s="153">
        <f t="shared" ref="DB115:DD115" si="717">IF(DA115&lt;0,-DA115,0)</f>
        <v>0</v>
      </c>
      <c r="DC115" s="153">
        <v>0</v>
      </c>
      <c r="DD115" s="153">
        <f t="shared" si="717"/>
        <v>0</v>
      </c>
      <c r="DE115" s="153">
        <v>-5300</v>
      </c>
      <c r="DF115" s="153">
        <f t="shared" ref="DF115:DH115" si="718">IF(DE115&lt;0,-DE115,0)</f>
        <v>5300</v>
      </c>
      <c r="DG115" s="153">
        <v>-4000</v>
      </c>
      <c r="DH115" s="153">
        <f t="shared" si="718"/>
        <v>4000</v>
      </c>
      <c r="DI115" s="153">
        <v>-4800</v>
      </c>
      <c r="DJ115" s="153">
        <f t="shared" ref="DJ115:DL115" si="719">IF(DI115&lt;0,-DI115,0)</f>
        <v>4800</v>
      </c>
      <c r="DK115" s="153">
        <v>9026.9640415499998</v>
      </c>
      <c r="DL115" s="153">
        <f t="shared" si="719"/>
        <v>0</v>
      </c>
      <c r="DM115" s="107">
        <f t="shared" si="436"/>
        <v>14800</v>
      </c>
    </row>
    <row r="116" spans="13:117" s="5" customFormat="1" x14ac:dyDescent="0.35">
      <c r="M116" s="77">
        <f t="shared" si="437"/>
        <v>114</v>
      </c>
      <c r="N116" s="78">
        <v>0</v>
      </c>
      <c r="O116" s="79">
        <v>1.09999999999999E-2</v>
      </c>
      <c r="P116" s="79">
        <v>5.5999999999999994E-2</v>
      </c>
      <c r="Q116" s="79">
        <v>46060.45</v>
      </c>
      <c r="R116" s="79">
        <v>1747.1325311000001</v>
      </c>
      <c r="S116" s="79">
        <f t="shared" si="408"/>
        <v>47807.582531099994</v>
      </c>
      <c r="T116" s="78">
        <v>0</v>
      </c>
      <c r="U116" s="79">
        <v>0</v>
      </c>
      <c r="V116" s="79">
        <v>0.36899999999999999</v>
      </c>
      <c r="W116" s="79">
        <v>0.33200000000000002</v>
      </c>
      <c r="X116" s="79">
        <f t="shared" si="409"/>
        <v>0.70100000000000007</v>
      </c>
      <c r="Y116" s="79">
        <v>7061.5820000000003</v>
      </c>
      <c r="Z116" s="79">
        <v>0</v>
      </c>
      <c r="AA116" s="80">
        <f t="shared" si="410"/>
        <v>7061.5820000000003</v>
      </c>
      <c r="AB116" s="79"/>
      <c r="AC116" s="88">
        <v>4814</v>
      </c>
      <c r="AD116" s="94">
        <f t="shared" si="411"/>
        <v>5.8000000000000003E-2</v>
      </c>
      <c r="AE116" s="89">
        <v>52.854999999999997</v>
      </c>
      <c r="AF116" s="94">
        <f t="shared" si="412"/>
        <v>1.0999999999999999E-2</v>
      </c>
      <c r="AG116" s="89">
        <v>1680</v>
      </c>
      <c r="AH116" s="94">
        <f t="shared" si="413"/>
        <v>5.6000000000000001E-2</v>
      </c>
      <c r="AI116" s="89">
        <v>1581.6020000000001</v>
      </c>
      <c r="AJ116" s="94">
        <f>AI116/$B$6</f>
        <v>0.11</v>
      </c>
      <c r="AK116" s="89">
        <v>454.01530000000002</v>
      </c>
      <c r="AL116" s="94">
        <f>AK116/$B$7</f>
        <v>4.7000000000000007E-2</v>
      </c>
      <c r="AM116" s="89">
        <v>0</v>
      </c>
      <c r="AN116" s="94">
        <f t="shared" si="414"/>
        <v>0</v>
      </c>
      <c r="AO116" s="89">
        <v>0</v>
      </c>
      <c r="AP116" s="94">
        <f t="shared" si="415"/>
        <v>0</v>
      </c>
      <c r="AQ116" s="79"/>
      <c r="AR116" s="88">
        <v>54289.877999999997</v>
      </c>
      <c r="AS116" s="76">
        <v>1646.8</v>
      </c>
      <c r="AT116" s="88">
        <v>358</v>
      </c>
      <c r="AU116" s="100">
        <f t="shared" si="416"/>
        <v>0.61</v>
      </c>
      <c r="AV116" s="100">
        <f t="shared" si="417"/>
        <v>0.71599999999999997</v>
      </c>
      <c r="AW116" s="100">
        <f t="shared" si="418"/>
        <v>0.71599999999999997</v>
      </c>
      <c r="AX116" s="94">
        <v>238.374</v>
      </c>
      <c r="AY116" s="76">
        <v>3865.6752000000001</v>
      </c>
      <c r="AZ116" s="100">
        <f>AX116/$B$9</f>
        <v>0.36899999999999999</v>
      </c>
      <c r="BA116" s="97">
        <f>AY116/$B$8</f>
        <v>0.33200000000000002</v>
      </c>
      <c r="BB116" s="88">
        <v>39783.199999999997</v>
      </c>
      <c r="BC116" s="76">
        <v>22348.2</v>
      </c>
      <c r="BD116" s="100">
        <f t="shared" si="419"/>
        <v>0.8919999999999999</v>
      </c>
      <c r="BE116" s="97">
        <f t="shared" si="420"/>
        <v>0.95200000000000007</v>
      </c>
      <c r="BG116" s="88">
        <v>1108.1969999999999</v>
      </c>
      <c r="BH116" s="114">
        <f>BG116/$B$10</f>
        <v>0.44999999999999996</v>
      </c>
      <c r="BI116" s="115">
        <v>889.20500000000004</v>
      </c>
      <c r="BJ116" s="114">
        <f>BI116/$B$11</f>
        <v>0.55333229620410707</v>
      </c>
      <c r="BK116" s="115">
        <v>1121.4780000000001</v>
      </c>
      <c r="BL116" s="114">
        <f t="shared" si="421"/>
        <v>0.5784392407674851</v>
      </c>
      <c r="BN116" s="111">
        <v>53641.616999999998</v>
      </c>
      <c r="BO116" s="114">
        <f t="shared" si="422"/>
        <v>0.77049180327868849</v>
      </c>
      <c r="BQ116" s="142">
        <v>25377.251</v>
      </c>
      <c r="BR116" s="131">
        <v>0</v>
      </c>
      <c r="BS116" s="143">
        <v>0</v>
      </c>
      <c r="BT116" s="105">
        <f t="shared" si="423"/>
        <v>0.77844328220858894</v>
      </c>
      <c r="BU116" s="20">
        <f t="shared" si="424"/>
        <v>0</v>
      </c>
      <c r="BV116" s="2">
        <v>0</v>
      </c>
      <c r="BW116" s="2">
        <v>0</v>
      </c>
      <c r="BX116" s="2">
        <v>0</v>
      </c>
      <c r="BY116" s="2">
        <v>4320.308</v>
      </c>
      <c r="BZ116" s="105">
        <f t="shared" si="425"/>
        <v>0.32054518474551119</v>
      </c>
      <c r="CA116" s="20">
        <f t="shared" si="426"/>
        <v>0</v>
      </c>
      <c r="CB116" s="5">
        <v>10800</v>
      </c>
      <c r="CC116" s="5">
        <v>0</v>
      </c>
      <c r="CE116" s="108">
        <v>-700</v>
      </c>
      <c r="CF116" s="153">
        <f t="shared" si="427"/>
        <v>0</v>
      </c>
      <c r="CG116" s="153">
        <v>4485</v>
      </c>
      <c r="CH116" s="153">
        <f t="shared" si="427"/>
        <v>4485</v>
      </c>
      <c r="CI116" s="153">
        <v>0</v>
      </c>
      <c r="CJ116" s="153">
        <f t="shared" ref="CJ116:CL116" si="720">IF(CI116&gt;0,CI116,0)</f>
        <v>0</v>
      </c>
      <c r="CK116" s="153">
        <v>-3737.8609913499999</v>
      </c>
      <c r="CL116" s="153">
        <f t="shared" si="720"/>
        <v>0</v>
      </c>
      <c r="CM116" s="153">
        <v>-5300</v>
      </c>
      <c r="CN116" s="153">
        <f t="shared" ref="CN116:CP116" si="721">IF(CM116&gt;0,CM116,0)</f>
        <v>0</v>
      </c>
      <c r="CO116" s="153">
        <v>-4000</v>
      </c>
      <c r="CP116" s="153">
        <f t="shared" si="721"/>
        <v>0</v>
      </c>
      <c r="CQ116" s="153">
        <v>-4800</v>
      </c>
      <c r="CR116" s="153">
        <f t="shared" ref="CR116:CT116" si="722">IF(CQ116&gt;0,CQ116,0)</f>
        <v>0</v>
      </c>
      <c r="CS116" s="153">
        <v>11524.949312229999</v>
      </c>
      <c r="CT116" s="153">
        <f t="shared" si="722"/>
        <v>11524.949312229999</v>
      </c>
      <c r="CU116" s="107">
        <f t="shared" si="431"/>
        <v>16009.949312229999</v>
      </c>
      <c r="CW116" s="108">
        <v>-700</v>
      </c>
      <c r="CX116" s="153">
        <f t="shared" si="432"/>
        <v>700</v>
      </c>
      <c r="CY116" s="153">
        <v>4485</v>
      </c>
      <c r="CZ116" s="153">
        <f t="shared" si="432"/>
        <v>0</v>
      </c>
      <c r="DA116" s="153">
        <v>0</v>
      </c>
      <c r="DB116" s="153">
        <f t="shared" ref="DB116:DD116" si="723">IF(DA116&lt;0,-DA116,0)</f>
        <v>0</v>
      </c>
      <c r="DC116" s="153">
        <v>-3737.8609913499999</v>
      </c>
      <c r="DD116" s="153">
        <f t="shared" si="723"/>
        <v>3737.8609913499999</v>
      </c>
      <c r="DE116" s="153">
        <v>-5300</v>
      </c>
      <c r="DF116" s="153">
        <f t="shared" ref="DF116:DH116" si="724">IF(DE116&lt;0,-DE116,0)</f>
        <v>5300</v>
      </c>
      <c r="DG116" s="153">
        <v>-4000</v>
      </c>
      <c r="DH116" s="153">
        <f t="shared" si="724"/>
        <v>4000</v>
      </c>
      <c r="DI116" s="153">
        <v>-4800</v>
      </c>
      <c r="DJ116" s="153">
        <f t="shared" ref="DJ116:DL116" si="725">IF(DI116&lt;0,-DI116,0)</f>
        <v>4800</v>
      </c>
      <c r="DK116" s="153">
        <v>11524.949312229999</v>
      </c>
      <c r="DL116" s="153">
        <f t="shared" si="725"/>
        <v>0</v>
      </c>
      <c r="DM116" s="107">
        <f t="shared" si="436"/>
        <v>18537.86099135</v>
      </c>
    </row>
    <row r="117" spans="13:117" s="5" customFormat="1" x14ac:dyDescent="0.35">
      <c r="M117" s="77">
        <f t="shared" si="437"/>
        <v>115</v>
      </c>
      <c r="N117" s="78">
        <v>0</v>
      </c>
      <c r="O117" s="79">
        <v>0</v>
      </c>
      <c r="P117" s="79">
        <v>0</v>
      </c>
      <c r="Q117" s="79">
        <v>47164.550999999999</v>
      </c>
      <c r="R117" s="79">
        <v>1864.83769336</v>
      </c>
      <c r="S117" s="79">
        <f t="shared" si="408"/>
        <v>49029.388693360001</v>
      </c>
      <c r="T117" s="78">
        <v>0</v>
      </c>
      <c r="U117" s="79">
        <v>0</v>
      </c>
      <c r="V117" s="79">
        <v>0.36099999999999999</v>
      </c>
      <c r="W117" s="79">
        <v>0.16999999999999998</v>
      </c>
      <c r="X117" s="79">
        <f t="shared" si="409"/>
        <v>0.53099999999999992</v>
      </c>
      <c r="Y117" s="79">
        <v>7459.0020000000004</v>
      </c>
      <c r="Z117" s="79">
        <v>0</v>
      </c>
      <c r="AA117" s="80">
        <f t="shared" si="410"/>
        <v>7459.0020000000004</v>
      </c>
      <c r="AB117" s="79"/>
      <c r="AC117" s="88">
        <v>0</v>
      </c>
      <c r="AD117" s="94">
        <f t="shared" si="411"/>
        <v>0</v>
      </c>
      <c r="AE117" s="89">
        <v>0</v>
      </c>
      <c r="AF117" s="94">
        <f t="shared" si="412"/>
        <v>0</v>
      </c>
      <c r="AG117" s="89">
        <v>0</v>
      </c>
      <c r="AH117" s="94">
        <f t="shared" si="413"/>
        <v>0</v>
      </c>
      <c r="AI117" s="89">
        <v>0</v>
      </c>
      <c r="AJ117" s="94">
        <f>AI117/$B$6</f>
        <v>0</v>
      </c>
      <c r="AK117" s="89">
        <v>0</v>
      </c>
      <c r="AL117" s="94">
        <f>AK117/$B$7</f>
        <v>0</v>
      </c>
      <c r="AM117" s="89">
        <v>0</v>
      </c>
      <c r="AN117" s="94">
        <f t="shared" si="414"/>
        <v>0</v>
      </c>
      <c r="AO117" s="89">
        <v>0</v>
      </c>
      <c r="AP117" s="94">
        <f t="shared" si="415"/>
        <v>0</v>
      </c>
      <c r="AQ117" s="79"/>
      <c r="AR117" s="88">
        <v>47525.893199999999</v>
      </c>
      <c r="AS117" s="76">
        <v>1607.7</v>
      </c>
      <c r="AT117" s="88">
        <v>349.5</v>
      </c>
      <c r="AU117" s="100">
        <f t="shared" si="416"/>
        <v>0.53399999999999992</v>
      </c>
      <c r="AV117" s="100">
        <f t="shared" si="417"/>
        <v>0.69900000000000007</v>
      </c>
      <c r="AW117" s="100">
        <f t="shared" si="418"/>
        <v>0.69899999999999995</v>
      </c>
      <c r="AX117" s="94">
        <v>233.20599999999999</v>
      </c>
      <c r="AY117" s="76">
        <v>1979.412</v>
      </c>
      <c r="AZ117" s="100">
        <f>AX117/$B$9</f>
        <v>0.36099999999999999</v>
      </c>
      <c r="BA117" s="97">
        <f>AY117/$B$8</f>
        <v>0.16999999999999998</v>
      </c>
      <c r="BB117" s="88">
        <v>39649.4</v>
      </c>
      <c r="BC117" s="76">
        <v>22348.2</v>
      </c>
      <c r="BD117" s="100">
        <f t="shared" si="419"/>
        <v>0.88900000000000001</v>
      </c>
      <c r="BE117" s="97">
        <f t="shared" si="420"/>
        <v>0.95200000000000007</v>
      </c>
      <c r="BG117" s="88">
        <v>1130.3610000000001</v>
      </c>
      <c r="BH117" s="114">
        <f>BG117/$B$10</f>
        <v>0.45900002436389925</v>
      </c>
      <c r="BI117" s="115">
        <v>907.56899999999996</v>
      </c>
      <c r="BJ117" s="114">
        <f>BI117/$B$11</f>
        <v>0.56475980087118849</v>
      </c>
      <c r="BK117" s="115">
        <v>1121.4780000000001</v>
      </c>
      <c r="BL117" s="114">
        <f t="shared" si="421"/>
        <v>0.5784392407674851</v>
      </c>
      <c r="BN117" s="111">
        <v>54782.928</v>
      </c>
      <c r="BO117" s="114">
        <f t="shared" si="422"/>
        <v>0.78688524590163933</v>
      </c>
      <c r="BQ117" s="142">
        <v>20292.266</v>
      </c>
      <c r="BR117" s="131">
        <v>0</v>
      </c>
      <c r="BS117" s="143">
        <v>0</v>
      </c>
      <c r="BT117" s="105">
        <f t="shared" si="423"/>
        <v>0.62246214723926374</v>
      </c>
      <c r="BU117" s="20">
        <f t="shared" si="424"/>
        <v>0</v>
      </c>
      <c r="BV117" s="2">
        <v>0</v>
      </c>
      <c r="BW117" s="2">
        <v>0</v>
      </c>
      <c r="BX117" s="2">
        <v>0</v>
      </c>
      <c r="BY117" s="2">
        <v>3319.6089999999999</v>
      </c>
      <c r="BZ117" s="105">
        <f t="shared" si="425"/>
        <v>0.24629833803234902</v>
      </c>
      <c r="CA117" s="20">
        <f t="shared" si="426"/>
        <v>0</v>
      </c>
      <c r="CB117" s="5">
        <v>10800</v>
      </c>
      <c r="CC117" s="5">
        <v>0</v>
      </c>
      <c r="CE117" s="108">
        <v>-700</v>
      </c>
      <c r="CF117" s="153">
        <f t="shared" si="427"/>
        <v>0</v>
      </c>
      <c r="CG117" s="153">
        <v>4485</v>
      </c>
      <c r="CH117" s="153">
        <f t="shared" si="427"/>
        <v>4485</v>
      </c>
      <c r="CI117" s="153">
        <v>0</v>
      </c>
      <c r="CJ117" s="153">
        <f t="shared" ref="CJ117:CL117" si="726">IF(CI117&gt;0,CI117,0)</f>
        <v>0</v>
      </c>
      <c r="CK117" s="153">
        <v>-5000</v>
      </c>
      <c r="CL117" s="153">
        <f t="shared" si="726"/>
        <v>0</v>
      </c>
      <c r="CM117" s="153">
        <v>-5300</v>
      </c>
      <c r="CN117" s="153">
        <f t="shared" ref="CN117:CP117" si="727">IF(CM117&gt;0,CM117,0)</f>
        <v>0</v>
      </c>
      <c r="CO117" s="153">
        <v>-4000</v>
      </c>
      <c r="CP117" s="153">
        <f t="shared" si="727"/>
        <v>0</v>
      </c>
      <c r="CQ117" s="153">
        <v>-4800</v>
      </c>
      <c r="CR117" s="153">
        <f t="shared" ref="CR117:CT117" si="728">IF(CQ117&gt;0,CQ117,0)</f>
        <v>0</v>
      </c>
      <c r="CS117" s="153">
        <v>11713.61048397</v>
      </c>
      <c r="CT117" s="153">
        <f t="shared" si="728"/>
        <v>11713.61048397</v>
      </c>
      <c r="CU117" s="107">
        <f t="shared" si="431"/>
        <v>16198.61048397</v>
      </c>
      <c r="CW117" s="108">
        <v>-700</v>
      </c>
      <c r="CX117" s="153">
        <f t="shared" si="432"/>
        <v>700</v>
      </c>
      <c r="CY117" s="153">
        <v>4485</v>
      </c>
      <c r="CZ117" s="153">
        <f t="shared" si="432"/>
        <v>0</v>
      </c>
      <c r="DA117" s="153">
        <v>0</v>
      </c>
      <c r="DB117" s="153">
        <f t="shared" ref="DB117:DD117" si="729">IF(DA117&lt;0,-DA117,0)</f>
        <v>0</v>
      </c>
      <c r="DC117" s="153">
        <v>-5000</v>
      </c>
      <c r="DD117" s="153">
        <f t="shared" si="729"/>
        <v>5000</v>
      </c>
      <c r="DE117" s="153">
        <v>-5300</v>
      </c>
      <c r="DF117" s="153">
        <f t="shared" ref="DF117:DH117" si="730">IF(DE117&lt;0,-DE117,0)</f>
        <v>5300</v>
      </c>
      <c r="DG117" s="153">
        <v>-4000</v>
      </c>
      <c r="DH117" s="153">
        <f t="shared" si="730"/>
        <v>4000</v>
      </c>
      <c r="DI117" s="153">
        <v>-4800</v>
      </c>
      <c r="DJ117" s="153">
        <f t="shared" ref="DJ117:DL117" si="731">IF(DI117&lt;0,-DI117,0)</f>
        <v>4800</v>
      </c>
      <c r="DK117" s="153">
        <v>11713.61048397</v>
      </c>
      <c r="DL117" s="153">
        <f t="shared" si="731"/>
        <v>0</v>
      </c>
      <c r="DM117" s="107">
        <f t="shared" si="436"/>
        <v>19800</v>
      </c>
    </row>
    <row r="118" spans="13:117" s="5" customFormat="1" x14ac:dyDescent="0.35">
      <c r="M118" s="77">
        <f t="shared" si="437"/>
        <v>116</v>
      </c>
      <c r="N118" s="78">
        <v>0</v>
      </c>
      <c r="O118" s="79">
        <v>0</v>
      </c>
      <c r="P118" s="79">
        <v>0</v>
      </c>
      <c r="Q118" s="79">
        <v>46362.288999999997</v>
      </c>
      <c r="R118" s="79">
        <v>1983.54918215</v>
      </c>
      <c r="S118" s="79">
        <f t="shared" si="408"/>
        <v>48345.838182149993</v>
      </c>
      <c r="T118" s="78">
        <v>0</v>
      </c>
      <c r="U118" s="79">
        <v>0</v>
      </c>
      <c r="V118" s="79">
        <v>0.33900000000000002</v>
      </c>
      <c r="W118" s="79">
        <v>0.13899999999999998</v>
      </c>
      <c r="X118" s="79">
        <f t="shared" si="409"/>
        <v>0.47799999999999998</v>
      </c>
      <c r="Y118" s="79">
        <v>7511.308</v>
      </c>
      <c r="Z118" s="79">
        <v>0</v>
      </c>
      <c r="AA118" s="80">
        <f t="shared" si="410"/>
        <v>7511.308</v>
      </c>
      <c r="AB118" s="79"/>
      <c r="AC118" s="88">
        <v>0</v>
      </c>
      <c r="AD118" s="94">
        <f t="shared" si="411"/>
        <v>0</v>
      </c>
      <c r="AE118" s="89">
        <v>0</v>
      </c>
      <c r="AF118" s="94">
        <f t="shared" si="412"/>
        <v>0</v>
      </c>
      <c r="AG118" s="89">
        <v>0</v>
      </c>
      <c r="AH118" s="94">
        <f t="shared" si="413"/>
        <v>0</v>
      </c>
      <c r="AI118" s="89">
        <v>0</v>
      </c>
      <c r="AJ118" s="94">
        <f>AI118/$B$6</f>
        <v>0</v>
      </c>
      <c r="AK118" s="89">
        <v>0</v>
      </c>
      <c r="AL118" s="94">
        <f>AK118/$B$7</f>
        <v>0</v>
      </c>
      <c r="AM118" s="89">
        <v>0</v>
      </c>
      <c r="AN118" s="94">
        <f t="shared" si="414"/>
        <v>0</v>
      </c>
      <c r="AO118" s="89">
        <v>0</v>
      </c>
      <c r="AP118" s="94">
        <f t="shared" si="415"/>
        <v>0</v>
      </c>
      <c r="AQ118" s="79"/>
      <c r="AR118" s="88">
        <v>42986.903400000003</v>
      </c>
      <c r="AS118" s="76">
        <v>1575.5</v>
      </c>
      <c r="AT118" s="88">
        <v>342.5</v>
      </c>
      <c r="AU118" s="100">
        <f t="shared" si="416"/>
        <v>0.48300000000000004</v>
      </c>
      <c r="AV118" s="100">
        <f t="shared" si="417"/>
        <v>0.68500000000000005</v>
      </c>
      <c r="AW118" s="100">
        <f t="shared" si="418"/>
        <v>0.68500000000000005</v>
      </c>
      <c r="AX118" s="94">
        <v>218.994</v>
      </c>
      <c r="AY118" s="76">
        <v>1618.4603999999999</v>
      </c>
      <c r="AZ118" s="100">
        <f>AX118/$B$9</f>
        <v>0.33900000000000002</v>
      </c>
      <c r="BA118" s="97">
        <f>AY118/$B$8</f>
        <v>0.13899999999999998</v>
      </c>
      <c r="BB118" s="88">
        <v>39471</v>
      </c>
      <c r="BC118" s="76">
        <v>22395.15</v>
      </c>
      <c r="BD118" s="100">
        <f t="shared" si="419"/>
        <v>0.88500000000000001</v>
      </c>
      <c r="BE118" s="97">
        <f t="shared" si="420"/>
        <v>0.95400000000000007</v>
      </c>
      <c r="BG118" s="88">
        <v>1132.8240000000001</v>
      </c>
      <c r="BH118" s="114">
        <f>BG118/$B$10</f>
        <v>0.46000016242599473</v>
      </c>
      <c r="BI118" s="115">
        <v>923.32399999999996</v>
      </c>
      <c r="BJ118" s="114">
        <f>BI118/$B$11</f>
        <v>0.57456378344741754</v>
      </c>
      <c r="BK118" s="115">
        <v>1121.4780000000001</v>
      </c>
      <c r="BL118" s="114">
        <f t="shared" si="421"/>
        <v>0.5784392407674851</v>
      </c>
      <c r="BN118" s="111">
        <v>54782.928</v>
      </c>
      <c r="BO118" s="114">
        <f t="shared" si="422"/>
        <v>0.78688524590163933</v>
      </c>
      <c r="BQ118" s="142">
        <v>18369.428</v>
      </c>
      <c r="BR118" s="131">
        <v>0</v>
      </c>
      <c r="BS118" s="143">
        <v>0</v>
      </c>
      <c r="BT118" s="105">
        <f t="shared" si="423"/>
        <v>0.5634793865030675</v>
      </c>
      <c r="BU118" s="20">
        <f t="shared" si="424"/>
        <v>0</v>
      </c>
      <c r="BV118" s="2">
        <v>0</v>
      </c>
      <c r="BW118" s="2">
        <v>0</v>
      </c>
      <c r="BX118" s="2">
        <v>0</v>
      </c>
      <c r="BY118" s="2">
        <v>3084.5709999999999</v>
      </c>
      <c r="BZ118" s="105">
        <f t="shared" si="425"/>
        <v>0.22885969728446356</v>
      </c>
      <c r="CA118" s="20">
        <f t="shared" si="426"/>
        <v>0</v>
      </c>
      <c r="CB118" s="5">
        <v>10800</v>
      </c>
      <c r="CC118" s="5">
        <v>0</v>
      </c>
      <c r="CE118" s="108">
        <v>-700</v>
      </c>
      <c r="CF118" s="153">
        <f t="shared" si="427"/>
        <v>0</v>
      </c>
      <c r="CG118" s="153">
        <v>4485</v>
      </c>
      <c r="CH118" s="153">
        <f t="shared" si="427"/>
        <v>4485</v>
      </c>
      <c r="CI118" s="153">
        <v>0</v>
      </c>
      <c r="CJ118" s="153">
        <f t="shared" ref="CJ118:CL118" si="732">IF(CI118&gt;0,CI118,0)</f>
        <v>0</v>
      </c>
      <c r="CK118" s="153">
        <v>-5000</v>
      </c>
      <c r="CL118" s="153">
        <f t="shared" si="732"/>
        <v>0</v>
      </c>
      <c r="CM118" s="153">
        <v>-5300</v>
      </c>
      <c r="CN118" s="153">
        <f t="shared" ref="CN118:CP118" si="733">IF(CM118&gt;0,CM118,0)</f>
        <v>0</v>
      </c>
      <c r="CO118" s="153">
        <v>-4000</v>
      </c>
      <c r="CP118" s="153">
        <f t="shared" si="733"/>
        <v>0</v>
      </c>
      <c r="CQ118" s="153">
        <v>-4800</v>
      </c>
      <c r="CR118" s="153">
        <f t="shared" ref="CR118:CT118" si="734">IF(CQ118&gt;0,CQ118,0)</f>
        <v>0</v>
      </c>
      <c r="CS118" s="153">
        <v>11760.33301574</v>
      </c>
      <c r="CT118" s="153">
        <f t="shared" si="734"/>
        <v>11760.33301574</v>
      </c>
      <c r="CU118" s="107">
        <f t="shared" si="431"/>
        <v>16245.33301574</v>
      </c>
      <c r="CW118" s="108">
        <v>-700</v>
      </c>
      <c r="CX118" s="153">
        <f t="shared" si="432"/>
        <v>700</v>
      </c>
      <c r="CY118" s="153">
        <v>4485</v>
      </c>
      <c r="CZ118" s="153">
        <f t="shared" si="432"/>
        <v>0</v>
      </c>
      <c r="DA118" s="153">
        <v>0</v>
      </c>
      <c r="DB118" s="153">
        <f t="shared" ref="DB118:DD118" si="735">IF(DA118&lt;0,-DA118,0)</f>
        <v>0</v>
      </c>
      <c r="DC118" s="153">
        <v>-5000</v>
      </c>
      <c r="DD118" s="153">
        <f t="shared" si="735"/>
        <v>5000</v>
      </c>
      <c r="DE118" s="153">
        <v>-5300</v>
      </c>
      <c r="DF118" s="153">
        <f t="shared" ref="DF118:DH118" si="736">IF(DE118&lt;0,-DE118,0)</f>
        <v>5300</v>
      </c>
      <c r="DG118" s="153">
        <v>-4000</v>
      </c>
      <c r="DH118" s="153">
        <f t="shared" si="736"/>
        <v>4000</v>
      </c>
      <c r="DI118" s="153">
        <v>-4800</v>
      </c>
      <c r="DJ118" s="153">
        <f t="shared" ref="DJ118:DL118" si="737">IF(DI118&lt;0,-DI118,0)</f>
        <v>4800</v>
      </c>
      <c r="DK118" s="153">
        <v>11760.33301574</v>
      </c>
      <c r="DL118" s="153">
        <f t="shared" si="737"/>
        <v>0</v>
      </c>
      <c r="DM118" s="107">
        <f t="shared" si="436"/>
        <v>19800</v>
      </c>
    </row>
    <row r="119" spans="13:117" s="5" customFormat="1" x14ac:dyDescent="0.35">
      <c r="M119" s="77">
        <f t="shared" si="437"/>
        <v>117</v>
      </c>
      <c r="N119" s="78">
        <v>0</v>
      </c>
      <c r="O119" s="79">
        <v>0</v>
      </c>
      <c r="P119" s="79">
        <v>0</v>
      </c>
      <c r="Q119" s="79">
        <v>44574.281000000003</v>
      </c>
      <c r="R119" s="79">
        <v>1940.21043781</v>
      </c>
      <c r="S119" s="79">
        <f t="shared" si="408"/>
        <v>46514.49143781</v>
      </c>
      <c r="T119" s="78">
        <v>0</v>
      </c>
      <c r="U119" s="79">
        <v>0</v>
      </c>
      <c r="V119" s="79">
        <v>0.315</v>
      </c>
      <c r="W119" s="79">
        <v>0.151</v>
      </c>
      <c r="X119" s="79">
        <f t="shared" si="409"/>
        <v>0.46599999999999997</v>
      </c>
      <c r="Y119" s="79">
        <v>7234.3190000000004</v>
      </c>
      <c r="Z119" s="79">
        <v>0</v>
      </c>
      <c r="AA119" s="80">
        <f t="shared" si="410"/>
        <v>7234.3190000000004</v>
      </c>
      <c r="AB119" s="79"/>
      <c r="AC119" s="88">
        <v>0</v>
      </c>
      <c r="AD119" s="94">
        <f t="shared" si="411"/>
        <v>0</v>
      </c>
      <c r="AE119" s="89">
        <v>0</v>
      </c>
      <c r="AF119" s="94">
        <f t="shared" si="412"/>
        <v>0</v>
      </c>
      <c r="AG119" s="89">
        <v>0</v>
      </c>
      <c r="AH119" s="94">
        <f t="shared" si="413"/>
        <v>0</v>
      </c>
      <c r="AI119" s="89">
        <v>0</v>
      </c>
      <c r="AJ119" s="94">
        <f>AI119/$B$6</f>
        <v>0</v>
      </c>
      <c r="AK119" s="89">
        <v>0</v>
      </c>
      <c r="AL119" s="94">
        <f>AK119/$B$7</f>
        <v>0</v>
      </c>
      <c r="AM119" s="89">
        <v>0</v>
      </c>
      <c r="AN119" s="94">
        <f t="shared" si="414"/>
        <v>0</v>
      </c>
      <c r="AO119" s="89">
        <v>0</v>
      </c>
      <c r="AP119" s="94">
        <f t="shared" si="415"/>
        <v>0</v>
      </c>
      <c r="AQ119" s="79"/>
      <c r="AR119" s="88">
        <v>41829.906000000003</v>
      </c>
      <c r="AS119" s="76">
        <v>1541</v>
      </c>
      <c r="AT119" s="88">
        <v>335</v>
      </c>
      <c r="AU119" s="100">
        <f t="shared" si="416"/>
        <v>0.47000000000000003</v>
      </c>
      <c r="AV119" s="100">
        <f t="shared" si="417"/>
        <v>0.67</v>
      </c>
      <c r="AW119" s="100">
        <f t="shared" si="418"/>
        <v>0.67</v>
      </c>
      <c r="AX119" s="94">
        <v>203.49</v>
      </c>
      <c r="AY119" s="76">
        <v>1758.1836000000001</v>
      </c>
      <c r="AZ119" s="100">
        <f>AX119/$B$9</f>
        <v>0.315</v>
      </c>
      <c r="BA119" s="97">
        <f>AY119/$B$8</f>
        <v>0.151</v>
      </c>
      <c r="BB119" s="88">
        <v>39515.599999999999</v>
      </c>
      <c r="BC119" s="76">
        <v>22465.575000000001</v>
      </c>
      <c r="BD119" s="100">
        <f t="shared" si="419"/>
        <v>0.88600000000000001</v>
      </c>
      <c r="BE119" s="97">
        <f t="shared" si="420"/>
        <v>0.95700000000000007</v>
      </c>
      <c r="BG119" s="88">
        <v>1132.8240000000001</v>
      </c>
      <c r="BH119" s="114">
        <f>BG119/$B$10</f>
        <v>0.46000016242599473</v>
      </c>
      <c r="BI119" s="115">
        <v>912.42499999999995</v>
      </c>
      <c r="BJ119" s="114">
        <f>BI119/$B$11</f>
        <v>0.56778158058494088</v>
      </c>
      <c r="BK119" s="115">
        <v>1121.4780000000001</v>
      </c>
      <c r="BL119" s="114">
        <f t="shared" si="421"/>
        <v>0.5784392407674851</v>
      </c>
      <c r="BN119" s="111">
        <v>55924.239000000001</v>
      </c>
      <c r="BO119" s="114">
        <f t="shared" si="422"/>
        <v>0.80327868852459017</v>
      </c>
      <c r="BQ119" s="142">
        <v>17857.973000000002</v>
      </c>
      <c r="BR119" s="131">
        <v>0</v>
      </c>
      <c r="BS119" s="143">
        <v>0</v>
      </c>
      <c r="BT119" s="105">
        <f t="shared" si="423"/>
        <v>0.54779058282208593</v>
      </c>
      <c r="BU119" s="20">
        <f t="shared" si="424"/>
        <v>0</v>
      </c>
      <c r="BV119" s="2">
        <v>0</v>
      </c>
      <c r="BW119" s="2">
        <v>0</v>
      </c>
      <c r="BX119" s="2">
        <v>0</v>
      </c>
      <c r="BY119" s="2">
        <v>2869.6019999999999</v>
      </c>
      <c r="BZ119" s="105">
        <f t="shared" si="425"/>
        <v>0.21291007567888409</v>
      </c>
      <c r="CA119" s="20">
        <f t="shared" si="426"/>
        <v>0</v>
      </c>
      <c r="CB119" s="5">
        <v>10800</v>
      </c>
      <c r="CC119" s="5">
        <v>0</v>
      </c>
      <c r="CE119" s="108">
        <v>-700</v>
      </c>
      <c r="CF119" s="153">
        <f t="shared" si="427"/>
        <v>0</v>
      </c>
      <c r="CG119" s="153">
        <v>4485</v>
      </c>
      <c r="CH119" s="153">
        <f t="shared" si="427"/>
        <v>4485</v>
      </c>
      <c r="CI119" s="153">
        <v>0</v>
      </c>
      <c r="CJ119" s="153">
        <f t="shared" ref="CJ119:CL119" si="738">IF(CI119&gt;0,CI119,0)</f>
        <v>0</v>
      </c>
      <c r="CK119" s="153">
        <v>-5000</v>
      </c>
      <c r="CL119" s="153">
        <f t="shared" si="738"/>
        <v>0</v>
      </c>
      <c r="CM119" s="153">
        <v>-5300</v>
      </c>
      <c r="CN119" s="153">
        <f t="shared" ref="CN119:CP119" si="739">IF(CM119&gt;0,CM119,0)</f>
        <v>0</v>
      </c>
      <c r="CO119" s="153">
        <v>-4000</v>
      </c>
      <c r="CP119" s="153">
        <f t="shared" si="739"/>
        <v>0</v>
      </c>
      <c r="CQ119" s="153">
        <v>-4800</v>
      </c>
      <c r="CR119" s="153">
        <f t="shared" ref="CR119:CT119" si="740">IF(CQ119&gt;0,CQ119,0)</f>
        <v>0</v>
      </c>
      <c r="CS119" s="153">
        <v>11831.92975979</v>
      </c>
      <c r="CT119" s="153">
        <f t="shared" si="740"/>
        <v>11831.92975979</v>
      </c>
      <c r="CU119" s="107">
        <f t="shared" si="431"/>
        <v>16316.92975979</v>
      </c>
      <c r="CW119" s="108">
        <v>-700</v>
      </c>
      <c r="CX119" s="153">
        <f t="shared" si="432"/>
        <v>700</v>
      </c>
      <c r="CY119" s="153">
        <v>4485</v>
      </c>
      <c r="CZ119" s="153">
        <f t="shared" si="432"/>
        <v>0</v>
      </c>
      <c r="DA119" s="153">
        <v>0</v>
      </c>
      <c r="DB119" s="153">
        <f t="shared" ref="DB119:DD119" si="741">IF(DA119&lt;0,-DA119,0)</f>
        <v>0</v>
      </c>
      <c r="DC119" s="153">
        <v>-5000</v>
      </c>
      <c r="DD119" s="153">
        <f t="shared" si="741"/>
        <v>5000</v>
      </c>
      <c r="DE119" s="153">
        <v>-5300</v>
      </c>
      <c r="DF119" s="153">
        <f t="shared" ref="DF119:DH119" si="742">IF(DE119&lt;0,-DE119,0)</f>
        <v>5300</v>
      </c>
      <c r="DG119" s="153">
        <v>-4000</v>
      </c>
      <c r="DH119" s="153">
        <f t="shared" si="742"/>
        <v>4000</v>
      </c>
      <c r="DI119" s="153">
        <v>-4800</v>
      </c>
      <c r="DJ119" s="153">
        <f t="shared" ref="DJ119:DL119" si="743">IF(DI119&lt;0,-DI119,0)</f>
        <v>4800</v>
      </c>
      <c r="DK119" s="153">
        <v>11831.92975979</v>
      </c>
      <c r="DL119" s="153">
        <f t="shared" si="743"/>
        <v>0</v>
      </c>
      <c r="DM119" s="107">
        <f t="shared" si="436"/>
        <v>19800</v>
      </c>
    </row>
    <row r="120" spans="13:117" s="5" customFormat="1" x14ac:dyDescent="0.35">
      <c r="M120" s="77">
        <f t="shared" si="437"/>
        <v>118</v>
      </c>
      <c r="N120" s="78">
        <v>0</v>
      </c>
      <c r="O120" s="79">
        <v>0</v>
      </c>
      <c r="P120" s="79">
        <v>0</v>
      </c>
      <c r="Q120" s="79">
        <v>42176.116999999998</v>
      </c>
      <c r="R120" s="79">
        <v>1853.9826188300001</v>
      </c>
      <c r="S120" s="79">
        <f t="shared" si="408"/>
        <v>44030.099618829998</v>
      </c>
      <c r="T120" s="78">
        <v>0</v>
      </c>
      <c r="U120" s="79">
        <v>0</v>
      </c>
      <c r="V120" s="79">
        <v>0.28500000000000003</v>
      </c>
      <c r="W120" s="79">
        <v>0.191</v>
      </c>
      <c r="X120" s="79">
        <f t="shared" si="409"/>
        <v>0.47600000000000003</v>
      </c>
      <c r="Y120" s="79">
        <v>6791.7879999999996</v>
      </c>
      <c r="Z120" s="79">
        <v>0</v>
      </c>
      <c r="AA120" s="80">
        <f t="shared" si="410"/>
        <v>6791.7879999999996</v>
      </c>
      <c r="AB120" s="79"/>
      <c r="AC120" s="88">
        <v>0</v>
      </c>
      <c r="AD120" s="94">
        <f t="shared" si="411"/>
        <v>0</v>
      </c>
      <c r="AE120" s="89">
        <v>0</v>
      </c>
      <c r="AF120" s="94">
        <f t="shared" si="412"/>
        <v>0</v>
      </c>
      <c r="AG120" s="89">
        <v>0</v>
      </c>
      <c r="AH120" s="94">
        <f t="shared" si="413"/>
        <v>0</v>
      </c>
      <c r="AI120" s="89">
        <v>0</v>
      </c>
      <c r="AJ120" s="94">
        <f>AI120/$B$6</f>
        <v>0</v>
      </c>
      <c r="AK120" s="89">
        <v>0</v>
      </c>
      <c r="AL120" s="94">
        <f>AK120/$B$7</f>
        <v>0</v>
      </c>
      <c r="AM120" s="89">
        <v>0</v>
      </c>
      <c r="AN120" s="94">
        <f t="shared" si="414"/>
        <v>0</v>
      </c>
      <c r="AO120" s="89">
        <v>0</v>
      </c>
      <c r="AP120" s="94">
        <f t="shared" si="415"/>
        <v>0</v>
      </c>
      <c r="AQ120" s="79"/>
      <c r="AR120" s="88">
        <v>41829.906000000003</v>
      </c>
      <c r="AS120" s="76">
        <v>1520.3</v>
      </c>
      <c r="AT120" s="88">
        <v>330.5</v>
      </c>
      <c r="AU120" s="100">
        <f t="shared" si="416"/>
        <v>0.47000000000000003</v>
      </c>
      <c r="AV120" s="100">
        <f t="shared" si="417"/>
        <v>0.66100000000000003</v>
      </c>
      <c r="AW120" s="100">
        <f t="shared" si="418"/>
        <v>0.66100000000000003</v>
      </c>
      <c r="AX120" s="94">
        <v>184.11</v>
      </c>
      <c r="AY120" s="76">
        <v>2223.9276</v>
      </c>
      <c r="AZ120" s="100">
        <f>AX120/$B$9</f>
        <v>0.28500000000000003</v>
      </c>
      <c r="BA120" s="97">
        <f>AY120/$B$8</f>
        <v>0.191</v>
      </c>
      <c r="BB120" s="88">
        <v>39649.4</v>
      </c>
      <c r="BC120" s="76">
        <v>22489.05</v>
      </c>
      <c r="BD120" s="100">
        <f t="shared" si="419"/>
        <v>0.88900000000000001</v>
      </c>
      <c r="BE120" s="97">
        <f t="shared" si="420"/>
        <v>0.95799999999999996</v>
      </c>
      <c r="BG120" s="88">
        <v>1127.8979999999999</v>
      </c>
      <c r="BH120" s="114">
        <f>BG120/$B$10</f>
        <v>0.45799988630180372</v>
      </c>
      <c r="BI120" s="115">
        <v>912.06700000000001</v>
      </c>
      <c r="BJ120" s="114">
        <f>BI120/$B$11</f>
        <v>0.56755880522713131</v>
      </c>
      <c r="BK120" s="115">
        <v>1121.4780000000001</v>
      </c>
      <c r="BL120" s="114">
        <f t="shared" si="421"/>
        <v>0.5784392407674851</v>
      </c>
      <c r="BN120" s="111">
        <v>55924.239000000001</v>
      </c>
      <c r="BO120" s="114">
        <f t="shared" si="422"/>
        <v>0.80327868852459017</v>
      </c>
      <c r="BQ120" s="142">
        <v>17869.876</v>
      </c>
      <c r="BR120" s="131">
        <v>0</v>
      </c>
      <c r="BS120" s="143">
        <v>0</v>
      </c>
      <c r="BT120" s="105">
        <f t="shared" si="423"/>
        <v>0.54815570552147241</v>
      </c>
      <c r="BU120" s="20">
        <f t="shared" si="424"/>
        <v>0</v>
      </c>
      <c r="BV120" s="2">
        <v>0</v>
      </c>
      <c r="BW120" s="2">
        <v>0</v>
      </c>
      <c r="BX120" s="2">
        <v>0</v>
      </c>
      <c r="BY120" s="2">
        <v>2597.09</v>
      </c>
      <c r="BZ120" s="105">
        <f t="shared" si="425"/>
        <v>0.19269105208487908</v>
      </c>
      <c r="CA120" s="20">
        <f t="shared" si="426"/>
        <v>0</v>
      </c>
      <c r="CB120" s="5">
        <v>10800</v>
      </c>
      <c r="CC120" s="5">
        <v>0</v>
      </c>
      <c r="CE120" s="108">
        <v>-700</v>
      </c>
      <c r="CF120" s="153">
        <f t="shared" si="427"/>
        <v>0</v>
      </c>
      <c r="CG120" s="153">
        <v>4485</v>
      </c>
      <c r="CH120" s="153">
        <f t="shared" si="427"/>
        <v>4485</v>
      </c>
      <c r="CI120" s="153">
        <v>0</v>
      </c>
      <c r="CJ120" s="153">
        <f t="shared" ref="CJ120:CL120" si="744">IF(CI120&gt;0,CI120,0)</f>
        <v>0</v>
      </c>
      <c r="CK120" s="153">
        <v>-5000</v>
      </c>
      <c r="CL120" s="153">
        <f t="shared" si="744"/>
        <v>0</v>
      </c>
      <c r="CM120" s="153">
        <v>-5300</v>
      </c>
      <c r="CN120" s="153">
        <f t="shared" ref="CN120:CP120" si="745">IF(CM120&gt;0,CM120,0)</f>
        <v>0</v>
      </c>
      <c r="CO120" s="153">
        <v>-4000</v>
      </c>
      <c r="CP120" s="153">
        <f t="shared" si="745"/>
        <v>0</v>
      </c>
      <c r="CQ120" s="153">
        <v>-4800</v>
      </c>
      <c r="CR120" s="153">
        <f t="shared" ref="CR120:CT120" si="746">IF(CQ120&gt;0,CQ120,0)</f>
        <v>0</v>
      </c>
      <c r="CS120" s="153">
        <v>11775.675734840001</v>
      </c>
      <c r="CT120" s="153">
        <f t="shared" si="746"/>
        <v>11775.675734840001</v>
      </c>
      <c r="CU120" s="107">
        <f t="shared" si="431"/>
        <v>16260.675734840001</v>
      </c>
      <c r="CW120" s="108">
        <v>-700</v>
      </c>
      <c r="CX120" s="153">
        <f t="shared" si="432"/>
        <v>700</v>
      </c>
      <c r="CY120" s="153">
        <v>4485</v>
      </c>
      <c r="CZ120" s="153">
        <f t="shared" si="432"/>
        <v>0</v>
      </c>
      <c r="DA120" s="153">
        <v>0</v>
      </c>
      <c r="DB120" s="153">
        <f t="shared" ref="DB120:DD120" si="747">IF(DA120&lt;0,-DA120,0)</f>
        <v>0</v>
      </c>
      <c r="DC120" s="153">
        <v>-5000</v>
      </c>
      <c r="DD120" s="153">
        <f t="shared" si="747"/>
        <v>5000</v>
      </c>
      <c r="DE120" s="153">
        <v>-5300</v>
      </c>
      <c r="DF120" s="153">
        <f t="shared" ref="DF120:DH120" si="748">IF(DE120&lt;0,-DE120,0)</f>
        <v>5300</v>
      </c>
      <c r="DG120" s="153">
        <v>-4000</v>
      </c>
      <c r="DH120" s="153">
        <f t="shared" si="748"/>
        <v>4000</v>
      </c>
      <c r="DI120" s="153">
        <v>-4800</v>
      </c>
      <c r="DJ120" s="153">
        <f t="shared" ref="DJ120:DL120" si="749">IF(DI120&lt;0,-DI120,0)</f>
        <v>4800</v>
      </c>
      <c r="DK120" s="153">
        <v>11775.675734840001</v>
      </c>
      <c r="DL120" s="153">
        <f t="shared" si="749"/>
        <v>0</v>
      </c>
      <c r="DM120" s="107">
        <f t="shared" si="436"/>
        <v>19800</v>
      </c>
    </row>
    <row r="121" spans="13:117" s="5" customFormat="1" x14ac:dyDescent="0.35">
      <c r="M121" s="77">
        <f t="shared" si="437"/>
        <v>119</v>
      </c>
      <c r="N121" s="78">
        <v>0</v>
      </c>
      <c r="O121" s="79">
        <v>0</v>
      </c>
      <c r="P121" s="79">
        <v>0</v>
      </c>
      <c r="Q121" s="79">
        <v>39847.639000000003</v>
      </c>
      <c r="R121" s="79">
        <v>1859.54534713</v>
      </c>
      <c r="S121" s="79">
        <f t="shared" si="408"/>
        <v>41707.184347130002</v>
      </c>
      <c r="T121" s="78">
        <v>0</v>
      </c>
      <c r="U121" s="79">
        <v>0</v>
      </c>
      <c r="V121" s="79">
        <v>0.246</v>
      </c>
      <c r="W121" s="79">
        <v>0.23899999999999999</v>
      </c>
      <c r="X121" s="79">
        <f t="shared" si="409"/>
        <v>0.48499999999999999</v>
      </c>
      <c r="Y121" s="79">
        <v>6938.5410000000002</v>
      </c>
      <c r="Z121" s="79">
        <v>0</v>
      </c>
      <c r="AA121" s="80">
        <f t="shared" si="410"/>
        <v>6938.5410000000002</v>
      </c>
      <c r="AB121" s="79"/>
      <c r="AC121" s="88">
        <v>0</v>
      </c>
      <c r="AD121" s="94">
        <f t="shared" si="411"/>
        <v>0</v>
      </c>
      <c r="AE121" s="89">
        <v>0</v>
      </c>
      <c r="AF121" s="94">
        <f t="shared" si="412"/>
        <v>0</v>
      </c>
      <c r="AG121" s="89">
        <v>0</v>
      </c>
      <c r="AH121" s="94">
        <f t="shared" si="413"/>
        <v>0</v>
      </c>
      <c r="AI121" s="89">
        <v>0</v>
      </c>
      <c r="AJ121" s="94">
        <f>AI121/$B$6</f>
        <v>0</v>
      </c>
      <c r="AK121" s="89">
        <v>0</v>
      </c>
      <c r="AL121" s="94">
        <f>AK121/$B$7</f>
        <v>0</v>
      </c>
      <c r="AM121" s="89">
        <v>0</v>
      </c>
      <c r="AN121" s="94">
        <f t="shared" si="414"/>
        <v>0</v>
      </c>
      <c r="AO121" s="89">
        <v>0</v>
      </c>
      <c r="AP121" s="94">
        <f t="shared" si="415"/>
        <v>0</v>
      </c>
      <c r="AQ121" s="79"/>
      <c r="AR121" s="88">
        <v>41740.906199999998</v>
      </c>
      <c r="AS121" s="76">
        <v>1469.7</v>
      </c>
      <c r="AT121" s="88">
        <v>319.5</v>
      </c>
      <c r="AU121" s="100">
        <f t="shared" si="416"/>
        <v>0.46899999999999997</v>
      </c>
      <c r="AV121" s="100">
        <f t="shared" si="417"/>
        <v>0.63900000000000001</v>
      </c>
      <c r="AW121" s="100">
        <f t="shared" si="418"/>
        <v>0.63900000000000001</v>
      </c>
      <c r="AX121" s="94">
        <v>158.916</v>
      </c>
      <c r="AY121" s="76">
        <v>2782.8204000000001</v>
      </c>
      <c r="AZ121" s="100">
        <f>AX121/$B$9</f>
        <v>0.246</v>
      </c>
      <c r="BA121" s="97">
        <f>AY121/$B$8</f>
        <v>0.23899999999999999</v>
      </c>
      <c r="BB121" s="88">
        <v>39604.800000000003</v>
      </c>
      <c r="BC121" s="76">
        <v>22489.05</v>
      </c>
      <c r="BD121" s="100">
        <f t="shared" si="419"/>
        <v>0.88800000000000001</v>
      </c>
      <c r="BE121" s="97">
        <f t="shared" si="420"/>
        <v>0.95799999999999996</v>
      </c>
      <c r="BG121" s="88">
        <v>1113.1220000000001</v>
      </c>
      <c r="BH121" s="114">
        <f>BG121/$B$10</f>
        <v>0.45199987005920433</v>
      </c>
      <c r="BI121" s="115">
        <v>897.75900000000001</v>
      </c>
      <c r="BJ121" s="114">
        <f>BI121/$B$11</f>
        <v>0.55865525824517737</v>
      </c>
      <c r="BK121" s="115">
        <v>1121.4780000000001</v>
      </c>
      <c r="BL121" s="114">
        <f t="shared" si="421"/>
        <v>0.5784392407674851</v>
      </c>
      <c r="BN121" s="111">
        <v>55924.239000000001</v>
      </c>
      <c r="BO121" s="114">
        <f t="shared" si="422"/>
        <v>0.80327868852459017</v>
      </c>
      <c r="BQ121" s="142">
        <v>17835.053</v>
      </c>
      <c r="BR121" s="131">
        <v>0</v>
      </c>
      <c r="BS121" s="143">
        <v>0</v>
      </c>
      <c r="BT121" s="105">
        <f t="shared" si="423"/>
        <v>0.54708751533742328</v>
      </c>
      <c r="BU121" s="20">
        <f t="shared" si="424"/>
        <v>0</v>
      </c>
      <c r="BV121" s="2">
        <v>0</v>
      </c>
      <c r="BW121" s="2">
        <v>0</v>
      </c>
      <c r="BX121" s="2">
        <v>0</v>
      </c>
      <c r="BY121" s="2">
        <v>2245.3850000000002</v>
      </c>
      <c r="BZ121" s="105">
        <f t="shared" si="425"/>
        <v>0.16659630508977594</v>
      </c>
      <c r="CA121" s="20">
        <f t="shared" si="426"/>
        <v>0</v>
      </c>
      <c r="CB121" s="5">
        <v>10800</v>
      </c>
      <c r="CC121" s="5">
        <v>0</v>
      </c>
      <c r="CE121" s="108">
        <v>-700</v>
      </c>
      <c r="CF121" s="153">
        <f t="shared" si="427"/>
        <v>0</v>
      </c>
      <c r="CG121" s="153">
        <v>4485</v>
      </c>
      <c r="CH121" s="153">
        <f t="shared" si="427"/>
        <v>4485</v>
      </c>
      <c r="CI121" s="153">
        <v>0</v>
      </c>
      <c r="CJ121" s="153">
        <f t="shared" ref="CJ121:CL121" si="750">IF(CI121&gt;0,CI121,0)</f>
        <v>0</v>
      </c>
      <c r="CK121" s="153">
        <v>-2790.6289000000002</v>
      </c>
      <c r="CL121" s="153">
        <f t="shared" si="750"/>
        <v>0</v>
      </c>
      <c r="CM121" s="153">
        <v>-5300</v>
      </c>
      <c r="CN121" s="153">
        <f t="shared" ref="CN121:CP121" si="751">IF(CM121&gt;0,CM121,0)</f>
        <v>0</v>
      </c>
      <c r="CO121" s="153">
        <v>-4000</v>
      </c>
      <c r="CP121" s="153">
        <f t="shared" si="751"/>
        <v>0</v>
      </c>
      <c r="CQ121" s="153">
        <v>-4800</v>
      </c>
      <c r="CR121" s="153">
        <f t="shared" ref="CR121:CT121" si="752">IF(CQ121&gt;0,CQ121,0)</f>
        <v>0</v>
      </c>
      <c r="CS121" s="153">
        <v>12826.10865459</v>
      </c>
      <c r="CT121" s="153">
        <f t="shared" si="752"/>
        <v>12826.10865459</v>
      </c>
      <c r="CU121" s="107">
        <f t="shared" si="431"/>
        <v>17311.10865459</v>
      </c>
      <c r="CW121" s="108">
        <v>-700</v>
      </c>
      <c r="CX121" s="153">
        <f t="shared" si="432"/>
        <v>700</v>
      </c>
      <c r="CY121" s="153">
        <v>4485</v>
      </c>
      <c r="CZ121" s="153">
        <f t="shared" si="432"/>
        <v>0</v>
      </c>
      <c r="DA121" s="153">
        <v>0</v>
      </c>
      <c r="DB121" s="153">
        <f t="shared" ref="DB121:DD121" si="753">IF(DA121&lt;0,-DA121,0)</f>
        <v>0</v>
      </c>
      <c r="DC121" s="153">
        <v>-2790.6289000000002</v>
      </c>
      <c r="DD121" s="153">
        <f t="shared" si="753"/>
        <v>2790.6289000000002</v>
      </c>
      <c r="DE121" s="153">
        <v>-5300</v>
      </c>
      <c r="DF121" s="153">
        <f t="shared" ref="DF121:DH121" si="754">IF(DE121&lt;0,-DE121,0)</f>
        <v>5300</v>
      </c>
      <c r="DG121" s="153">
        <v>-4000</v>
      </c>
      <c r="DH121" s="153">
        <f t="shared" si="754"/>
        <v>4000</v>
      </c>
      <c r="DI121" s="153">
        <v>-4800</v>
      </c>
      <c r="DJ121" s="153">
        <f t="shared" ref="DJ121:DL121" si="755">IF(DI121&lt;0,-DI121,0)</f>
        <v>4800</v>
      </c>
      <c r="DK121" s="153">
        <v>12826.10865459</v>
      </c>
      <c r="DL121" s="153">
        <f t="shared" si="755"/>
        <v>0</v>
      </c>
      <c r="DM121" s="107">
        <f t="shared" si="436"/>
        <v>17590.6289</v>
      </c>
    </row>
    <row r="122" spans="13:117" s="5" customFormat="1" x14ac:dyDescent="0.35">
      <c r="M122" s="77">
        <f t="shared" si="437"/>
        <v>120</v>
      </c>
      <c r="N122" s="78">
        <v>0</v>
      </c>
      <c r="O122" s="79">
        <v>0</v>
      </c>
      <c r="P122" s="79">
        <v>0</v>
      </c>
      <c r="Q122" s="79">
        <v>37475.285000000003</v>
      </c>
      <c r="R122" s="79">
        <v>1550.2014247499999</v>
      </c>
      <c r="S122" s="79">
        <f t="shared" si="408"/>
        <v>39025.486424750001</v>
      </c>
      <c r="T122" s="78">
        <v>0</v>
      </c>
      <c r="U122" s="79">
        <v>0</v>
      </c>
      <c r="V122" s="79">
        <v>0.21199999999999999</v>
      </c>
      <c r="W122" s="79">
        <v>0.27200000000000002</v>
      </c>
      <c r="X122" s="79">
        <f t="shared" si="409"/>
        <v>0.48399999999999999</v>
      </c>
      <c r="Y122" s="79">
        <v>6454.8519999999999</v>
      </c>
      <c r="Z122" s="79">
        <v>0</v>
      </c>
      <c r="AA122" s="80">
        <f t="shared" si="410"/>
        <v>6454.8519999999999</v>
      </c>
      <c r="AB122" s="79"/>
      <c r="AC122" s="88">
        <v>0</v>
      </c>
      <c r="AD122" s="94">
        <f t="shared" si="411"/>
        <v>0</v>
      </c>
      <c r="AE122" s="89">
        <v>0</v>
      </c>
      <c r="AF122" s="94">
        <f t="shared" si="412"/>
        <v>0</v>
      </c>
      <c r="AG122" s="89">
        <v>0</v>
      </c>
      <c r="AH122" s="94">
        <f t="shared" si="413"/>
        <v>0</v>
      </c>
      <c r="AI122" s="89">
        <v>0</v>
      </c>
      <c r="AJ122" s="94">
        <f>AI122/$B$6</f>
        <v>0</v>
      </c>
      <c r="AK122" s="89">
        <v>0</v>
      </c>
      <c r="AL122" s="94">
        <f>AK122/$B$7</f>
        <v>0</v>
      </c>
      <c r="AM122" s="89">
        <v>0</v>
      </c>
      <c r="AN122" s="94">
        <f t="shared" si="414"/>
        <v>0</v>
      </c>
      <c r="AO122" s="89">
        <v>0</v>
      </c>
      <c r="AP122" s="94">
        <f t="shared" si="415"/>
        <v>0</v>
      </c>
      <c r="AQ122" s="79"/>
      <c r="AR122" s="88">
        <v>42630.904199999997</v>
      </c>
      <c r="AS122" s="76">
        <v>1458.2</v>
      </c>
      <c r="AT122" s="88">
        <v>317</v>
      </c>
      <c r="AU122" s="100">
        <f t="shared" si="416"/>
        <v>0.47899999999999993</v>
      </c>
      <c r="AV122" s="100">
        <f t="shared" si="417"/>
        <v>0.63400000000000001</v>
      </c>
      <c r="AW122" s="100">
        <f t="shared" si="418"/>
        <v>0.63400000000000001</v>
      </c>
      <c r="AX122" s="94">
        <v>136.952</v>
      </c>
      <c r="AY122" s="76">
        <v>3167.0592000000001</v>
      </c>
      <c r="AZ122" s="100">
        <f>AX122/$B$9</f>
        <v>0.21199999999999999</v>
      </c>
      <c r="BA122" s="97">
        <f>AY122/$B$8</f>
        <v>0.27200000000000002</v>
      </c>
      <c r="BB122" s="88">
        <v>39292.6</v>
      </c>
      <c r="BC122" s="76">
        <v>22442.1</v>
      </c>
      <c r="BD122" s="100">
        <f t="shared" si="419"/>
        <v>0.88100000000000001</v>
      </c>
      <c r="BE122" s="97">
        <f t="shared" si="420"/>
        <v>0.95599999999999996</v>
      </c>
      <c r="BG122" s="88">
        <v>1071.2570000000001</v>
      </c>
      <c r="BH122" s="114">
        <f>BG122/$B$10</f>
        <v>0.43499995939350139</v>
      </c>
      <c r="BI122" s="115">
        <v>896.00099999999998</v>
      </c>
      <c r="BJ122" s="114">
        <f>BI122/$B$11</f>
        <v>0.55756129433727442</v>
      </c>
      <c r="BK122" s="115">
        <v>1121.4780000000001</v>
      </c>
      <c r="BL122" s="114">
        <f t="shared" si="421"/>
        <v>0.5784392407674851</v>
      </c>
      <c r="BN122" s="111">
        <v>55924.239000000001</v>
      </c>
      <c r="BO122" s="114">
        <f t="shared" si="422"/>
        <v>0.80327868852459017</v>
      </c>
      <c r="BQ122" s="142">
        <v>18192.03</v>
      </c>
      <c r="BR122" s="131">
        <v>0</v>
      </c>
      <c r="BS122" s="143">
        <v>0</v>
      </c>
      <c r="BT122" s="105">
        <f t="shared" si="423"/>
        <v>0.55803773006134971</v>
      </c>
      <c r="BU122" s="20">
        <f t="shared" si="424"/>
        <v>0</v>
      </c>
      <c r="BV122" s="2">
        <v>0</v>
      </c>
      <c r="BW122" s="2">
        <v>0</v>
      </c>
      <c r="BX122" s="2">
        <v>0</v>
      </c>
      <c r="BY122" s="2">
        <v>1942.35</v>
      </c>
      <c r="BZ122" s="105">
        <f t="shared" si="425"/>
        <v>0.14411262798634811</v>
      </c>
      <c r="CA122" s="20">
        <f t="shared" si="426"/>
        <v>0</v>
      </c>
      <c r="CB122" s="5">
        <v>10800</v>
      </c>
      <c r="CC122" s="5">
        <v>0</v>
      </c>
      <c r="CE122" s="108">
        <v>-700</v>
      </c>
      <c r="CF122" s="153">
        <f t="shared" si="427"/>
        <v>0</v>
      </c>
      <c r="CG122" s="153">
        <v>4485</v>
      </c>
      <c r="CH122" s="153">
        <f t="shared" si="427"/>
        <v>4485</v>
      </c>
      <c r="CI122" s="153">
        <v>0</v>
      </c>
      <c r="CJ122" s="153">
        <f t="shared" ref="CJ122:CL122" si="756">IF(CI122&gt;0,CI122,0)</f>
        <v>0</v>
      </c>
      <c r="CK122" s="153">
        <v>-683.88580000000002</v>
      </c>
      <c r="CL122" s="153">
        <f t="shared" si="756"/>
        <v>0</v>
      </c>
      <c r="CM122" s="153">
        <v>-5300</v>
      </c>
      <c r="CN122" s="153">
        <f t="shared" ref="CN122:CP122" si="757">IF(CM122&gt;0,CM122,0)</f>
        <v>0</v>
      </c>
      <c r="CO122" s="153">
        <v>-4000</v>
      </c>
      <c r="CP122" s="153">
        <f t="shared" si="757"/>
        <v>0</v>
      </c>
      <c r="CQ122" s="153">
        <v>-4800</v>
      </c>
      <c r="CR122" s="153">
        <f t="shared" ref="CR122:CT122" si="758">IF(CQ122&gt;0,CQ122,0)</f>
        <v>0</v>
      </c>
      <c r="CS122" s="153">
        <v>13306.642140329999</v>
      </c>
      <c r="CT122" s="153">
        <f t="shared" si="758"/>
        <v>13306.642140329999</v>
      </c>
      <c r="CU122" s="107">
        <f t="shared" si="431"/>
        <v>17791.642140329997</v>
      </c>
      <c r="CW122" s="108">
        <v>-700</v>
      </c>
      <c r="CX122" s="153">
        <f t="shared" si="432"/>
        <v>700</v>
      </c>
      <c r="CY122" s="153">
        <v>4485</v>
      </c>
      <c r="CZ122" s="153">
        <f t="shared" si="432"/>
        <v>0</v>
      </c>
      <c r="DA122" s="153">
        <v>0</v>
      </c>
      <c r="DB122" s="153">
        <f t="shared" ref="DB122:DD122" si="759">IF(DA122&lt;0,-DA122,0)</f>
        <v>0</v>
      </c>
      <c r="DC122" s="153">
        <v>-683.88580000000002</v>
      </c>
      <c r="DD122" s="153">
        <f t="shared" si="759"/>
        <v>683.88580000000002</v>
      </c>
      <c r="DE122" s="153">
        <v>-5300</v>
      </c>
      <c r="DF122" s="153">
        <f t="shared" ref="DF122:DH122" si="760">IF(DE122&lt;0,-DE122,0)</f>
        <v>5300</v>
      </c>
      <c r="DG122" s="153">
        <v>-4000</v>
      </c>
      <c r="DH122" s="153">
        <f t="shared" si="760"/>
        <v>4000</v>
      </c>
      <c r="DI122" s="153">
        <v>-4800</v>
      </c>
      <c r="DJ122" s="153">
        <f t="shared" ref="DJ122:DL122" si="761">IF(DI122&lt;0,-DI122,0)</f>
        <v>4800</v>
      </c>
      <c r="DK122" s="153">
        <v>13306.642140329999</v>
      </c>
      <c r="DL122" s="153">
        <f t="shared" si="761"/>
        <v>0</v>
      </c>
      <c r="DM122" s="107">
        <f t="shared" si="436"/>
        <v>15483.8858</v>
      </c>
    </row>
    <row r="123" spans="13:117" s="5" customFormat="1" x14ac:dyDescent="0.35">
      <c r="M123" s="77">
        <f t="shared" si="437"/>
        <v>121</v>
      </c>
      <c r="N123" s="78">
        <v>0</v>
      </c>
      <c r="O123" s="79">
        <v>0</v>
      </c>
      <c r="P123" s="79">
        <v>0</v>
      </c>
      <c r="Q123" s="79">
        <v>34403.582999999999</v>
      </c>
      <c r="R123" s="79">
        <v>1260.06562431</v>
      </c>
      <c r="S123" s="79">
        <f t="shared" si="408"/>
        <v>35663.648624310001</v>
      </c>
      <c r="T123" s="78">
        <v>0</v>
      </c>
      <c r="U123" s="79">
        <v>0</v>
      </c>
      <c r="V123" s="79">
        <v>0.17899999999999999</v>
      </c>
      <c r="W123" s="79">
        <v>0.28099999999999997</v>
      </c>
      <c r="X123" s="79">
        <f t="shared" si="409"/>
        <v>0.45999999999999996</v>
      </c>
      <c r="Y123" s="79">
        <v>5643.5910000000003</v>
      </c>
      <c r="Z123" s="79">
        <v>0</v>
      </c>
      <c r="AA123" s="80">
        <f t="shared" si="410"/>
        <v>5643.5910000000003</v>
      </c>
      <c r="AB123" s="79"/>
      <c r="AC123" s="88">
        <v>0</v>
      </c>
      <c r="AD123" s="94">
        <f t="shared" si="411"/>
        <v>0</v>
      </c>
      <c r="AE123" s="89">
        <v>0</v>
      </c>
      <c r="AF123" s="94">
        <f t="shared" si="412"/>
        <v>0</v>
      </c>
      <c r="AG123" s="89">
        <v>0</v>
      </c>
      <c r="AH123" s="94">
        <f t="shared" si="413"/>
        <v>0</v>
      </c>
      <c r="AI123" s="89">
        <v>0</v>
      </c>
      <c r="AJ123" s="94">
        <f>AI123/$B$6</f>
        <v>0</v>
      </c>
      <c r="AK123" s="89">
        <v>0</v>
      </c>
      <c r="AL123" s="94">
        <f>AK123/$B$7</f>
        <v>0</v>
      </c>
      <c r="AM123" s="89">
        <v>0</v>
      </c>
      <c r="AN123" s="94">
        <f t="shared" si="414"/>
        <v>0</v>
      </c>
      <c r="AO123" s="89">
        <v>0</v>
      </c>
      <c r="AP123" s="94">
        <f t="shared" si="415"/>
        <v>0</v>
      </c>
      <c r="AQ123" s="79"/>
      <c r="AR123" s="88">
        <v>43876.901400000002</v>
      </c>
      <c r="AS123" s="76">
        <v>1455.9</v>
      </c>
      <c r="AT123" s="88">
        <v>316.5</v>
      </c>
      <c r="AU123" s="100">
        <f t="shared" si="416"/>
        <v>0.49299999999999999</v>
      </c>
      <c r="AV123" s="100">
        <f t="shared" si="417"/>
        <v>0.63300000000000001</v>
      </c>
      <c r="AW123" s="100">
        <f t="shared" si="418"/>
        <v>0.63300000000000001</v>
      </c>
      <c r="AX123" s="94">
        <v>115.634</v>
      </c>
      <c r="AY123" s="76">
        <v>3271.8516</v>
      </c>
      <c r="AZ123" s="100">
        <f>AX123/$B$9</f>
        <v>0.17899999999999999</v>
      </c>
      <c r="BA123" s="97">
        <f>AY123/$B$8</f>
        <v>0.28099999999999997</v>
      </c>
      <c r="BB123" s="88">
        <v>38356</v>
      </c>
      <c r="BC123" s="76">
        <v>22348.2</v>
      </c>
      <c r="BD123" s="100">
        <f t="shared" si="419"/>
        <v>0.86</v>
      </c>
      <c r="BE123" s="97">
        <f t="shared" si="420"/>
        <v>0.95200000000000007</v>
      </c>
      <c r="BG123" s="88">
        <v>886.55799999999999</v>
      </c>
      <c r="BH123" s="114">
        <f>BG123/$B$10</f>
        <v>0.3600001624259947</v>
      </c>
      <c r="BI123" s="115">
        <v>875.71799999999996</v>
      </c>
      <c r="BJ123" s="114">
        <f>BI123/$B$11</f>
        <v>0.5449396390790292</v>
      </c>
      <c r="BK123" s="115">
        <v>1121.4780000000001</v>
      </c>
      <c r="BL123" s="114">
        <f t="shared" si="421"/>
        <v>0.5784392407674851</v>
      </c>
      <c r="BN123" s="111">
        <v>55924.239000000001</v>
      </c>
      <c r="BO123" s="114">
        <f t="shared" si="422"/>
        <v>0.80327868852459017</v>
      </c>
      <c r="BQ123" s="142">
        <v>18734.704000000002</v>
      </c>
      <c r="BR123" s="131">
        <v>0</v>
      </c>
      <c r="BS123" s="143">
        <v>0</v>
      </c>
      <c r="BT123" s="105">
        <f t="shared" si="423"/>
        <v>0.57468417177914111</v>
      </c>
      <c r="BU123" s="20">
        <f t="shared" si="424"/>
        <v>0</v>
      </c>
      <c r="BV123" s="2">
        <v>0</v>
      </c>
      <c r="BW123" s="2">
        <v>0</v>
      </c>
      <c r="BX123" s="2">
        <v>0</v>
      </c>
      <c r="BY123" s="2">
        <v>1651.961</v>
      </c>
      <c r="BZ123" s="105">
        <f t="shared" si="425"/>
        <v>0.12256722065588366</v>
      </c>
      <c r="CA123" s="20">
        <f t="shared" si="426"/>
        <v>0</v>
      </c>
      <c r="CB123" s="5">
        <v>10800</v>
      </c>
      <c r="CC123" s="5">
        <v>0</v>
      </c>
      <c r="CE123" s="108">
        <v>-700</v>
      </c>
      <c r="CF123" s="153">
        <f t="shared" si="427"/>
        <v>0</v>
      </c>
      <c r="CG123" s="153">
        <v>4485</v>
      </c>
      <c r="CH123" s="153">
        <f t="shared" si="427"/>
        <v>4485</v>
      </c>
      <c r="CI123" s="153">
        <v>0</v>
      </c>
      <c r="CJ123" s="153">
        <f t="shared" ref="CJ123:CL123" si="762">IF(CI123&gt;0,CI123,0)</f>
        <v>0</v>
      </c>
      <c r="CK123" s="153">
        <v>5000</v>
      </c>
      <c r="CL123" s="153">
        <f t="shared" si="762"/>
        <v>5000</v>
      </c>
      <c r="CM123" s="153">
        <v>-5300</v>
      </c>
      <c r="CN123" s="153">
        <f t="shared" ref="CN123:CP123" si="763">IF(CM123&gt;0,CM123,0)</f>
        <v>0</v>
      </c>
      <c r="CO123" s="153">
        <v>-4000</v>
      </c>
      <c r="CP123" s="153">
        <f t="shared" si="763"/>
        <v>0</v>
      </c>
      <c r="CQ123" s="153">
        <v>-4800</v>
      </c>
      <c r="CR123" s="153">
        <f t="shared" ref="CR123:CT123" si="764">IF(CQ123&gt;0,CQ123,0)</f>
        <v>0</v>
      </c>
      <c r="CS123" s="153">
        <v>12220.270911269999</v>
      </c>
      <c r="CT123" s="153">
        <f t="shared" si="764"/>
        <v>12220.270911269999</v>
      </c>
      <c r="CU123" s="107">
        <f t="shared" si="431"/>
        <v>21705.270911269999</v>
      </c>
      <c r="CW123" s="108">
        <v>-700</v>
      </c>
      <c r="CX123" s="153">
        <f t="shared" si="432"/>
        <v>700</v>
      </c>
      <c r="CY123" s="153">
        <v>4485</v>
      </c>
      <c r="CZ123" s="153">
        <f t="shared" si="432"/>
        <v>0</v>
      </c>
      <c r="DA123" s="153">
        <v>0</v>
      </c>
      <c r="DB123" s="153">
        <f t="shared" ref="DB123:DD123" si="765">IF(DA123&lt;0,-DA123,0)</f>
        <v>0</v>
      </c>
      <c r="DC123" s="153">
        <v>5000</v>
      </c>
      <c r="DD123" s="153">
        <f t="shared" si="765"/>
        <v>0</v>
      </c>
      <c r="DE123" s="153">
        <v>-5300</v>
      </c>
      <c r="DF123" s="153">
        <f t="shared" ref="DF123:DH123" si="766">IF(DE123&lt;0,-DE123,0)</f>
        <v>5300</v>
      </c>
      <c r="DG123" s="153">
        <v>-4000</v>
      </c>
      <c r="DH123" s="153">
        <f t="shared" si="766"/>
        <v>4000</v>
      </c>
      <c r="DI123" s="153">
        <v>-4800</v>
      </c>
      <c r="DJ123" s="153">
        <f t="shared" ref="DJ123:DL123" si="767">IF(DI123&lt;0,-DI123,0)</f>
        <v>4800</v>
      </c>
      <c r="DK123" s="153">
        <v>12220.270911269999</v>
      </c>
      <c r="DL123" s="153">
        <f t="shared" si="767"/>
        <v>0</v>
      </c>
      <c r="DM123" s="107">
        <f t="shared" si="436"/>
        <v>14800</v>
      </c>
    </row>
    <row r="124" spans="13:117" s="5" customFormat="1" x14ac:dyDescent="0.35">
      <c r="M124" s="77">
        <f t="shared" si="437"/>
        <v>122</v>
      </c>
      <c r="N124" s="78">
        <v>0</v>
      </c>
      <c r="O124" s="79">
        <v>0</v>
      </c>
      <c r="P124" s="79">
        <v>0</v>
      </c>
      <c r="Q124" s="79">
        <v>32286.286</v>
      </c>
      <c r="R124" s="79">
        <v>950.67906937999999</v>
      </c>
      <c r="S124" s="79">
        <f t="shared" si="408"/>
        <v>33236.965069379999</v>
      </c>
      <c r="T124" s="78">
        <v>0</v>
      </c>
      <c r="U124" s="79">
        <v>0</v>
      </c>
      <c r="V124" s="79">
        <v>0.14799999999999999</v>
      </c>
      <c r="W124" s="79">
        <v>0.25599999999999995</v>
      </c>
      <c r="X124" s="79">
        <f t="shared" si="409"/>
        <v>0.40399999999999991</v>
      </c>
      <c r="Y124" s="79">
        <v>5246</v>
      </c>
      <c r="Z124" s="79">
        <v>0</v>
      </c>
      <c r="AA124" s="80">
        <f t="shared" si="410"/>
        <v>5246</v>
      </c>
      <c r="AB124" s="79"/>
      <c r="AC124" s="88">
        <v>0</v>
      </c>
      <c r="AD124" s="94">
        <f t="shared" si="411"/>
        <v>0</v>
      </c>
      <c r="AE124" s="89">
        <v>0</v>
      </c>
      <c r="AF124" s="94">
        <f t="shared" si="412"/>
        <v>0</v>
      </c>
      <c r="AG124" s="89">
        <v>0</v>
      </c>
      <c r="AH124" s="94">
        <f t="shared" si="413"/>
        <v>0</v>
      </c>
      <c r="AI124" s="89">
        <v>0</v>
      </c>
      <c r="AJ124" s="94">
        <f>AI124/$B$6</f>
        <v>0</v>
      </c>
      <c r="AK124" s="89">
        <v>0</v>
      </c>
      <c r="AL124" s="94">
        <f>AK124/$B$7</f>
        <v>0</v>
      </c>
      <c r="AM124" s="89">
        <v>0</v>
      </c>
      <c r="AN124" s="94">
        <f t="shared" si="414"/>
        <v>0</v>
      </c>
      <c r="AO124" s="89">
        <v>0</v>
      </c>
      <c r="AP124" s="94">
        <f t="shared" si="415"/>
        <v>0</v>
      </c>
      <c r="AQ124" s="79"/>
      <c r="AR124" s="88">
        <v>43965.9012</v>
      </c>
      <c r="AS124" s="76">
        <v>1465.1</v>
      </c>
      <c r="AT124" s="88">
        <v>318.5</v>
      </c>
      <c r="AU124" s="100">
        <f t="shared" si="416"/>
        <v>0.49399999999999999</v>
      </c>
      <c r="AV124" s="100">
        <f t="shared" si="417"/>
        <v>0.63700000000000001</v>
      </c>
      <c r="AW124" s="100">
        <f t="shared" si="418"/>
        <v>0.63700000000000001</v>
      </c>
      <c r="AX124" s="94">
        <v>95.608000000000004</v>
      </c>
      <c r="AY124" s="76">
        <v>2980.7615999999998</v>
      </c>
      <c r="AZ124" s="100">
        <f>AX124/$B$9</f>
        <v>0.14799999999999999</v>
      </c>
      <c r="BA124" s="97">
        <f>AY124/$B$8</f>
        <v>0.25599999999999995</v>
      </c>
      <c r="BB124" s="88">
        <v>36795</v>
      </c>
      <c r="BC124" s="76">
        <v>22301.25</v>
      </c>
      <c r="BD124" s="100">
        <f t="shared" si="419"/>
        <v>0.82499999999999996</v>
      </c>
      <c r="BE124" s="97">
        <f t="shared" si="420"/>
        <v>0.95</v>
      </c>
      <c r="BG124" s="88">
        <v>871.78200000000004</v>
      </c>
      <c r="BH124" s="114">
        <f>BG124/$B$10</f>
        <v>0.3540001461833952</v>
      </c>
      <c r="BI124" s="115">
        <v>867.94899999999996</v>
      </c>
      <c r="BJ124" s="114">
        <f>BI124/$B$11</f>
        <v>0.54010516490354699</v>
      </c>
      <c r="BK124" s="115">
        <v>1121.4780000000001</v>
      </c>
      <c r="BL124" s="114">
        <f t="shared" si="421"/>
        <v>0.5784392407674851</v>
      </c>
      <c r="BN124" s="111">
        <v>55924.239000000001</v>
      </c>
      <c r="BO124" s="114">
        <f t="shared" si="422"/>
        <v>0.80327868852459017</v>
      </c>
      <c r="BQ124" s="142">
        <v>18766.608</v>
      </c>
      <c r="BR124" s="131">
        <v>0</v>
      </c>
      <c r="BS124" s="143">
        <v>0</v>
      </c>
      <c r="BT124" s="105">
        <f t="shared" si="423"/>
        <v>0.57566282208588959</v>
      </c>
      <c r="BU124" s="20">
        <f t="shared" si="424"/>
        <v>0</v>
      </c>
      <c r="BV124" s="2">
        <v>0</v>
      </c>
      <c r="BW124" s="2">
        <v>0</v>
      </c>
      <c r="BX124" s="2">
        <v>0</v>
      </c>
      <c r="BY124" s="2">
        <v>1385.38</v>
      </c>
      <c r="BZ124" s="105">
        <f t="shared" si="425"/>
        <v>0.10278824751446804</v>
      </c>
      <c r="CA124" s="20">
        <f t="shared" si="426"/>
        <v>0</v>
      </c>
      <c r="CB124" s="5">
        <v>10800</v>
      </c>
      <c r="CC124" s="5">
        <v>0</v>
      </c>
      <c r="CE124" s="108">
        <v>-700</v>
      </c>
      <c r="CF124" s="153">
        <f t="shared" si="427"/>
        <v>0</v>
      </c>
      <c r="CG124" s="153">
        <v>4485</v>
      </c>
      <c r="CH124" s="153">
        <f t="shared" si="427"/>
        <v>4485</v>
      </c>
      <c r="CI124" s="153">
        <v>0</v>
      </c>
      <c r="CJ124" s="153">
        <f t="shared" ref="CJ124:CL124" si="768">IF(CI124&gt;0,CI124,0)</f>
        <v>0</v>
      </c>
      <c r="CK124" s="153">
        <v>5000</v>
      </c>
      <c r="CL124" s="153">
        <f t="shared" si="768"/>
        <v>5000</v>
      </c>
      <c r="CM124" s="153">
        <v>-5300</v>
      </c>
      <c r="CN124" s="153">
        <f t="shared" ref="CN124:CP124" si="769">IF(CM124&gt;0,CM124,0)</f>
        <v>0</v>
      </c>
      <c r="CO124" s="153">
        <v>-4000</v>
      </c>
      <c r="CP124" s="153">
        <f t="shared" si="769"/>
        <v>0</v>
      </c>
      <c r="CQ124" s="153">
        <v>-4800</v>
      </c>
      <c r="CR124" s="153">
        <f t="shared" ref="CR124:CT124" si="770">IF(CQ124&gt;0,CQ124,0)</f>
        <v>0</v>
      </c>
      <c r="CS124" s="153">
        <v>13063.90643606</v>
      </c>
      <c r="CT124" s="153">
        <f t="shared" si="770"/>
        <v>13063.90643606</v>
      </c>
      <c r="CU124" s="107">
        <f t="shared" si="431"/>
        <v>22548.906436060002</v>
      </c>
      <c r="CW124" s="108">
        <v>-700</v>
      </c>
      <c r="CX124" s="153">
        <f t="shared" si="432"/>
        <v>700</v>
      </c>
      <c r="CY124" s="153">
        <v>4485</v>
      </c>
      <c r="CZ124" s="153">
        <f t="shared" si="432"/>
        <v>0</v>
      </c>
      <c r="DA124" s="153">
        <v>0</v>
      </c>
      <c r="DB124" s="153">
        <f t="shared" ref="DB124:DD124" si="771">IF(DA124&lt;0,-DA124,0)</f>
        <v>0</v>
      </c>
      <c r="DC124" s="153">
        <v>5000</v>
      </c>
      <c r="DD124" s="153">
        <f t="shared" si="771"/>
        <v>0</v>
      </c>
      <c r="DE124" s="153">
        <v>-5300</v>
      </c>
      <c r="DF124" s="153">
        <f t="shared" ref="DF124:DH124" si="772">IF(DE124&lt;0,-DE124,0)</f>
        <v>5300</v>
      </c>
      <c r="DG124" s="153">
        <v>-4000</v>
      </c>
      <c r="DH124" s="153">
        <f t="shared" si="772"/>
        <v>4000</v>
      </c>
      <c r="DI124" s="153">
        <v>-4800</v>
      </c>
      <c r="DJ124" s="153">
        <f t="shared" ref="DJ124:DL124" si="773">IF(DI124&lt;0,-DI124,0)</f>
        <v>4800</v>
      </c>
      <c r="DK124" s="153">
        <v>13063.90643606</v>
      </c>
      <c r="DL124" s="153">
        <f t="shared" si="773"/>
        <v>0</v>
      </c>
      <c r="DM124" s="107">
        <f t="shared" si="436"/>
        <v>14800</v>
      </c>
    </row>
    <row r="125" spans="13:117" s="5" customFormat="1" x14ac:dyDescent="0.35">
      <c r="M125" s="77">
        <f t="shared" si="437"/>
        <v>123</v>
      </c>
      <c r="N125" s="78">
        <v>0</v>
      </c>
      <c r="O125" s="79">
        <v>0</v>
      </c>
      <c r="P125" s="79">
        <v>0</v>
      </c>
      <c r="Q125" s="79">
        <v>30708.298999999999</v>
      </c>
      <c r="R125" s="79">
        <v>1573.8567565000001</v>
      </c>
      <c r="S125" s="79">
        <f t="shared" si="408"/>
        <v>32282.1557565</v>
      </c>
      <c r="T125" s="78">
        <v>0</v>
      </c>
      <c r="U125" s="79">
        <v>0</v>
      </c>
      <c r="V125" s="79">
        <v>0.127</v>
      </c>
      <c r="W125" s="79">
        <v>0.221</v>
      </c>
      <c r="X125" s="79">
        <f t="shared" si="409"/>
        <v>0.34799999999999998</v>
      </c>
      <c r="Y125" s="79">
        <v>4773.5889999999999</v>
      </c>
      <c r="Z125" s="79">
        <v>0</v>
      </c>
      <c r="AA125" s="80">
        <f t="shared" si="410"/>
        <v>4773.5889999999999</v>
      </c>
      <c r="AB125" s="79"/>
      <c r="AC125" s="88">
        <v>0</v>
      </c>
      <c r="AD125" s="94">
        <f t="shared" si="411"/>
        <v>0</v>
      </c>
      <c r="AE125" s="89">
        <v>0</v>
      </c>
      <c r="AF125" s="94">
        <f t="shared" si="412"/>
        <v>0</v>
      </c>
      <c r="AG125" s="89">
        <v>0</v>
      </c>
      <c r="AH125" s="94">
        <f t="shared" si="413"/>
        <v>0</v>
      </c>
      <c r="AI125" s="89">
        <v>0</v>
      </c>
      <c r="AJ125" s="94">
        <f>AI125/$B$6</f>
        <v>0</v>
      </c>
      <c r="AK125" s="89">
        <v>0</v>
      </c>
      <c r="AL125" s="94">
        <f>AK125/$B$7</f>
        <v>0</v>
      </c>
      <c r="AM125" s="89">
        <v>0</v>
      </c>
      <c r="AN125" s="94">
        <f t="shared" si="414"/>
        <v>0</v>
      </c>
      <c r="AO125" s="89">
        <v>0</v>
      </c>
      <c r="AP125" s="94">
        <f t="shared" si="415"/>
        <v>0</v>
      </c>
      <c r="AQ125" s="79"/>
      <c r="AR125" s="88">
        <v>43342.902600000001</v>
      </c>
      <c r="AS125" s="76">
        <v>1485.8</v>
      </c>
      <c r="AT125" s="88">
        <v>323</v>
      </c>
      <c r="AU125" s="100">
        <f t="shared" si="416"/>
        <v>0.48699999999999999</v>
      </c>
      <c r="AV125" s="100">
        <f t="shared" si="417"/>
        <v>0.64600000000000002</v>
      </c>
      <c r="AW125" s="100">
        <f t="shared" si="418"/>
        <v>0.64600000000000002</v>
      </c>
      <c r="AX125" s="94">
        <v>82.042000000000002</v>
      </c>
      <c r="AY125" s="76">
        <v>2573.2356</v>
      </c>
      <c r="AZ125" s="100">
        <f>AX125/$B$9</f>
        <v>0.127</v>
      </c>
      <c r="BA125" s="97">
        <f>AY125/$B$8</f>
        <v>0.221</v>
      </c>
      <c r="BB125" s="88">
        <v>35323.199999999997</v>
      </c>
      <c r="BC125" s="76">
        <v>22277.775000000001</v>
      </c>
      <c r="BD125" s="100">
        <f t="shared" si="419"/>
        <v>0.79199999999999993</v>
      </c>
      <c r="BE125" s="97">
        <f t="shared" si="420"/>
        <v>0.94900000000000007</v>
      </c>
      <c r="BG125" s="88">
        <v>864.39400000000001</v>
      </c>
      <c r="BH125" s="114">
        <f>BG125/$B$10</f>
        <v>0.35100013806209546</v>
      </c>
      <c r="BI125" s="115">
        <v>865.53800000000001</v>
      </c>
      <c r="BJ125" s="114">
        <f>BI125/$B$11</f>
        <v>0.53860485376477907</v>
      </c>
      <c r="BK125" s="115">
        <v>1121.4780000000001</v>
      </c>
      <c r="BL125" s="114">
        <f t="shared" si="421"/>
        <v>0.5784392407674851</v>
      </c>
      <c r="BN125" s="111">
        <v>54782.928</v>
      </c>
      <c r="BO125" s="114">
        <f t="shared" si="422"/>
        <v>0.78688524590163933</v>
      </c>
      <c r="BQ125" s="142">
        <v>18516.809000000001</v>
      </c>
      <c r="BR125" s="131">
        <v>0</v>
      </c>
      <c r="BS125" s="143">
        <v>0</v>
      </c>
      <c r="BT125" s="105">
        <f t="shared" si="423"/>
        <v>0.56800027607361969</v>
      </c>
      <c r="BU125" s="20">
        <f t="shared" si="424"/>
        <v>0</v>
      </c>
      <c r="BV125" s="2">
        <v>0</v>
      </c>
      <c r="BW125" s="2">
        <v>0</v>
      </c>
      <c r="BX125" s="2">
        <v>0</v>
      </c>
      <c r="BY125" s="2">
        <v>1210.2760000000001</v>
      </c>
      <c r="BZ125" s="105">
        <f t="shared" si="425"/>
        <v>8.9796408962754121E-2</v>
      </c>
      <c r="CA125" s="20">
        <f t="shared" si="426"/>
        <v>0</v>
      </c>
      <c r="CB125" s="5">
        <v>10800</v>
      </c>
      <c r="CC125" s="5">
        <v>0</v>
      </c>
      <c r="CE125" s="108">
        <v>-700</v>
      </c>
      <c r="CF125" s="153">
        <f t="shared" si="427"/>
        <v>0</v>
      </c>
      <c r="CG125" s="153">
        <v>4485</v>
      </c>
      <c r="CH125" s="153">
        <f t="shared" si="427"/>
        <v>4485</v>
      </c>
      <c r="CI125" s="153">
        <v>0</v>
      </c>
      <c r="CJ125" s="153">
        <f t="shared" ref="CJ125:CL125" si="774">IF(CI125&gt;0,CI125,0)</f>
        <v>0</v>
      </c>
      <c r="CK125" s="153">
        <v>5000</v>
      </c>
      <c r="CL125" s="153">
        <f t="shared" si="774"/>
        <v>5000</v>
      </c>
      <c r="CM125" s="153">
        <v>-5300</v>
      </c>
      <c r="CN125" s="153">
        <f t="shared" ref="CN125:CP125" si="775">IF(CM125&gt;0,CM125,0)</f>
        <v>0</v>
      </c>
      <c r="CO125" s="153">
        <v>-4000</v>
      </c>
      <c r="CP125" s="153">
        <f t="shared" si="775"/>
        <v>0</v>
      </c>
      <c r="CQ125" s="153">
        <v>-4800</v>
      </c>
      <c r="CR125" s="153">
        <f t="shared" ref="CR125:CT125" si="776">IF(CQ125&gt;0,CQ125,0)</f>
        <v>0</v>
      </c>
      <c r="CS125" s="153">
        <v>12577.671658990001</v>
      </c>
      <c r="CT125" s="153">
        <f t="shared" si="776"/>
        <v>12577.671658990001</v>
      </c>
      <c r="CU125" s="107">
        <f t="shared" si="431"/>
        <v>22062.671658990002</v>
      </c>
      <c r="CW125" s="108">
        <v>-700</v>
      </c>
      <c r="CX125" s="153">
        <f t="shared" si="432"/>
        <v>700</v>
      </c>
      <c r="CY125" s="153">
        <v>4485</v>
      </c>
      <c r="CZ125" s="153">
        <f t="shared" si="432"/>
        <v>0</v>
      </c>
      <c r="DA125" s="153">
        <v>0</v>
      </c>
      <c r="DB125" s="153">
        <f t="shared" ref="DB125:DD125" si="777">IF(DA125&lt;0,-DA125,0)</f>
        <v>0</v>
      </c>
      <c r="DC125" s="153">
        <v>5000</v>
      </c>
      <c r="DD125" s="153">
        <f t="shared" si="777"/>
        <v>0</v>
      </c>
      <c r="DE125" s="153">
        <v>-5300</v>
      </c>
      <c r="DF125" s="153">
        <f t="shared" ref="DF125:DH125" si="778">IF(DE125&lt;0,-DE125,0)</f>
        <v>5300</v>
      </c>
      <c r="DG125" s="153">
        <v>-4000</v>
      </c>
      <c r="DH125" s="153">
        <f t="shared" si="778"/>
        <v>4000</v>
      </c>
      <c r="DI125" s="153">
        <v>-4800</v>
      </c>
      <c r="DJ125" s="153">
        <f t="shared" ref="DJ125:DL125" si="779">IF(DI125&lt;0,-DI125,0)</f>
        <v>4800</v>
      </c>
      <c r="DK125" s="153">
        <v>12577.671658990001</v>
      </c>
      <c r="DL125" s="153">
        <f t="shared" si="779"/>
        <v>0</v>
      </c>
      <c r="DM125" s="107">
        <f t="shared" si="436"/>
        <v>14800</v>
      </c>
    </row>
    <row r="126" spans="13:117" s="5" customFormat="1" x14ac:dyDescent="0.35">
      <c r="M126" s="77">
        <f t="shared" si="437"/>
        <v>124</v>
      </c>
      <c r="N126" s="78">
        <v>0</v>
      </c>
      <c r="O126" s="79">
        <v>0</v>
      </c>
      <c r="P126" s="79">
        <v>0</v>
      </c>
      <c r="Q126" s="79">
        <v>29613.284</v>
      </c>
      <c r="R126" s="79">
        <v>2506.5258746300001</v>
      </c>
      <c r="S126" s="79">
        <f t="shared" si="408"/>
        <v>32119.809874629998</v>
      </c>
      <c r="T126" s="78">
        <v>0</v>
      </c>
      <c r="U126" s="79">
        <v>0</v>
      </c>
      <c r="V126" s="79">
        <v>0.113</v>
      </c>
      <c r="W126" s="79">
        <v>0.19899999999999998</v>
      </c>
      <c r="X126" s="79">
        <f t="shared" si="409"/>
        <v>0.312</v>
      </c>
      <c r="Y126" s="79">
        <v>4611.43</v>
      </c>
      <c r="Z126" s="79">
        <v>0</v>
      </c>
      <c r="AA126" s="80">
        <f t="shared" si="410"/>
        <v>4611.43</v>
      </c>
      <c r="AB126" s="79"/>
      <c r="AC126" s="88">
        <v>0</v>
      </c>
      <c r="AD126" s="94">
        <f t="shared" si="411"/>
        <v>0</v>
      </c>
      <c r="AE126" s="89">
        <v>0</v>
      </c>
      <c r="AF126" s="94">
        <f t="shared" si="412"/>
        <v>0</v>
      </c>
      <c r="AG126" s="89">
        <v>0</v>
      </c>
      <c r="AH126" s="94">
        <f t="shared" si="413"/>
        <v>0</v>
      </c>
      <c r="AI126" s="89">
        <v>0</v>
      </c>
      <c r="AJ126" s="94">
        <f>AI126/$B$6</f>
        <v>0</v>
      </c>
      <c r="AK126" s="89">
        <v>0</v>
      </c>
      <c r="AL126" s="94">
        <f>AK126/$B$7</f>
        <v>0</v>
      </c>
      <c r="AM126" s="89">
        <v>0</v>
      </c>
      <c r="AN126" s="94">
        <f t="shared" si="414"/>
        <v>0</v>
      </c>
      <c r="AO126" s="89">
        <v>0</v>
      </c>
      <c r="AP126" s="94">
        <f t="shared" si="415"/>
        <v>0</v>
      </c>
      <c r="AQ126" s="79"/>
      <c r="AR126" s="88">
        <v>43253.902800000003</v>
      </c>
      <c r="AS126" s="76">
        <v>1501.9</v>
      </c>
      <c r="AT126" s="88">
        <v>326.5</v>
      </c>
      <c r="AU126" s="100">
        <f t="shared" si="416"/>
        <v>0.48600000000000004</v>
      </c>
      <c r="AV126" s="100">
        <f t="shared" si="417"/>
        <v>0.65300000000000002</v>
      </c>
      <c r="AW126" s="100">
        <f t="shared" si="418"/>
        <v>0.65300000000000002</v>
      </c>
      <c r="AX126" s="94">
        <v>72.998000000000005</v>
      </c>
      <c r="AY126" s="76">
        <v>2317.0763999999999</v>
      </c>
      <c r="AZ126" s="100">
        <f>AX126/$B$9</f>
        <v>0.113</v>
      </c>
      <c r="BA126" s="97">
        <f>AY126/$B$8</f>
        <v>0.19899999999999998</v>
      </c>
      <c r="BB126" s="88">
        <v>33896</v>
      </c>
      <c r="BC126" s="76">
        <v>22230.825000000001</v>
      </c>
      <c r="BD126" s="100">
        <f t="shared" si="419"/>
        <v>0.76</v>
      </c>
      <c r="BE126" s="97">
        <f t="shared" si="420"/>
        <v>0.94700000000000006</v>
      </c>
      <c r="BG126" s="88">
        <v>861.93100000000004</v>
      </c>
      <c r="BH126" s="114">
        <f>BG126/$B$10</f>
        <v>0.35000000000000003</v>
      </c>
      <c r="BI126" s="115">
        <v>873.54</v>
      </c>
      <c r="BJ126" s="114">
        <f>BI126/$B$11</f>
        <v>0.54358431860609835</v>
      </c>
      <c r="BK126" s="115">
        <v>1121.4780000000001</v>
      </c>
      <c r="BL126" s="114">
        <f t="shared" si="421"/>
        <v>0.5784392407674851</v>
      </c>
      <c r="BN126" s="111">
        <v>54782.928</v>
      </c>
      <c r="BO126" s="114">
        <f t="shared" si="422"/>
        <v>0.78688524590163933</v>
      </c>
      <c r="BQ126" s="142">
        <v>18469.036</v>
      </c>
      <c r="BR126" s="131">
        <v>0</v>
      </c>
      <c r="BS126" s="143">
        <v>0</v>
      </c>
      <c r="BT126" s="105">
        <f t="shared" si="423"/>
        <v>0.56653484662576692</v>
      </c>
      <c r="BU126" s="20">
        <f t="shared" si="424"/>
        <v>0</v>
      </c>
      <c r="BV126" s="2">
        <v>0</v>
      </c>
      <c r="BW126" s="2">
        <v>0</v>
      </c>
      <c r="BX126" s="2">
        <v>0</v>
      </c>
      <c r="BY126" s="2">
        <v>1103.001</v>
      </c>
      <c r="BZ126" s="105">
        <f t="shared" si="425"/>
        <v>8.183714200920017E-2</v>
      </c>
      <c r="CA126" s="20">
        <f t="shared" si="426"/>
        <v>0</v>
      </c>
      <c r="CB126" s="5">
        <v>10800</v>
      </c>
      <c r="CC126" s="5">
        <v>0</v>
      </c>
      <c r="CE126" s="108">
        <v>-700</v>
      </c>
      <c r="CF126" s="153">
        <f t="shared" si="427"/>
        <v>0</v>
      </c>
      <c r="CG126" s="153">
        <v>4485</v>
      </c>
      <c r="CH126" s="153">
        <f t="shared" si="427"/>
        <v>4485</v>
      </c>
      <c r="CI126" s="153">
        <v>0</v>
      </c>
      <c r="CJ126" s="153">
        <f t="shared" ref="CJ126:CL126" si="780">IF(CI126&gt;0,CI126,0)</f>
        <v>0</v>
      </c>
      <c r="CK126" s="153">
        <v>5000</v>
      </c>
      <c r="CL126" s="153">
        <f t="shared" si="780"/>
        <v>5000</v>
      </c>
      <c r="CM126" s="153">
        <v>-5300</v>
      </c>
      <c r="CN126" s="153">
        <f t="shared" ref="CN126:CP126" si="781">IF(CM126&gt;0,CM126,0)</f>
        <v>0</v>
      </c>
      <c r="CO126" s="153">
        <v>-4000</v>
      </c>
      <c r="CP126" s="153">
        <f t="shared" si="781"/>
        <v>0</v>
      </c>
      <c r="CQ126" s="153">
        <v>-4800</v>
      </c>
      <c r="CR126" s="153">
        <f t="shared" ref="CR126:CT126" si="782">IF(CQ126&gt;0,CQ126,0)</f>
        <v>0</v>
      </c>
      <c r="CS126" s="153">
        <v>12668.28613946</v>
      </c>
      <c r="CT126" s="153">
        <f t="shared" si="782"/>
        <v>12668.28613946</v>
      </c>
      <c r="CU126" s="107">
        <f t="shared" si="431"/>
        <v>22153.28613946</v>
      </c>
      <c r="CW126" s="108">
        <v>-700</v>
      </c>
      <c r="CX126" s="153">
        <f t="shared" si="432"/>
        <v>700</v>
      </c>
      <c r="CY126" s="153">
        <v>4485</v>
      </c>
      <c r="CZ126" s="153">
        <f t="shared" si="432"/>
        <v>0</v>
      </c>
      <c r="DA126" s="153">
        <v>0</v>
      </c>
      <c r="DB126" s="153">
        <f t="shared" ref="DB126:DD126" si="783">IF(DA126&lt;0,-DA126,0)</f>
        <v>0</v>
      </c>
      <c r="DC126" s="153">
        <v>5000</v>
      </c>
      <c r="DD126" s="153">
        <f t="shared" si="783"/>
        <v>0</v>
      </c>
      <c r="DE126" s="153">
        <v>-5300</v>
      </c>
      <c r="DF126" s="153">
        <f t="shared" ref="DF126:DH126" si="784">IF(DE126&lt;0,-DE126,0)</f>
        <v>5300</v>
      </c>
      <c r="DG126" s="153">
        <v>-4000</v>
      </c>
      <c r="DH126" s="153">
        <f t="shared" si="784"/>
        <v>4000</v>
      </c>
      <c r="DI126" s="153">
        <v>-4800</v>
      </c>
      <c r="DJ126" s="153">
        <f t="shared" ref="DJ126:DL126" si="785">IF(DI126&lt;0,-DI126,0)</f>
        <v>4800</v>
      </c>
      <c r="DK126" s="153">
        <v>12668.28613946</v>
      </c>
      <c r="DL126" s="153">
        <f t="shared" si="785"/>
        <v>0</v>
      </c>
      <c r="DM126" s="107">
        <f t="shared" si="436"/>
        <v>14800</v>
      </c>
    </row>
    <row r="127" spans="13:117" s="5" customFormat="1" x14ac:dyDescent="0.35">
      <c r="M127" s="77">
        <f t="shared" si="437"/>
        <v>125</v>
      </c>
      <c r="N127" s="78">
        <v>0</v>
      </c>
      <c r="O127" s="79">
        <v>0</v>
      </c>
      <c r="P127" s="79">
        <v>0</v>
      </c>
      <c r="Q127" s="79">
        <v>28629.774000000001</v>
      </c>
      <c r="R127" s="79">
        <v>2823.7174552699998</v>
      </c>
      <c r="S127" s="79">
        <f t="shared" si="408"/>
        <v>31453.491455269999</v>
      </c>
      <c r="T127" s="78">
        <v>0</v>
      </c>
      <c r="U127" s="79">
        <v>0</v>
      </c>
      <c r="V127" s="79">
        <v>0.107</v>
      </c>
      <c r="W127" s="79">
        <v>0.19899999999999998</v>
      </c>
      <c r="X127" s="79">
        <f t="shared" si="409"/>
        <v>0.30599999999999999</v>
      </c>
      <c r="Y127" s="79">
        <v>4572.915</v>
      </c>
      <c r="Z127" s="79">
        <v>0</v>
      </c>
      <c r="AA127" s="80">
        <f t="shared" si="410"/>
        <v>4572.915</v>
      </c>
      <c r="AB127" s="79"/>
      <c r="AC127" s="88">
        <v>0</v>
      </c>
      <c r="AD127" s="94">
        <f t="shared" si="411"/>
        <v>0</v>
      </c>
      <c r="AE127" s="89">
        <v>0</v>
      </c>
      <c r="AF127" s="94">
        <f t="shared" si="412"/>
        <v>0</v>
      </c>
      <c r="AG127" s="89">
        <v>0</v>
      </c>
      <c r="AH127" s="94">
        <f t="shared" si="413"/>
        <v>0</v>
      </c>
      <c r="AI127" s="89">
        <v>0</v>
      </c>
      <c r="AJ127" s="94">
        <f>AI127/$B$6</f>
        <v>0</v>
      </c>
      <c r="AK127" s="89">
        <v>0</v>
      </c>
      <c r="AL127" s="94">
        <f>AK127/$B$7</f>
        <v>0</v>
      </c>
      <c r="AM127" s="89">
        <v>0</v>
      </c>
      <c r="AN127" s="94">
        <f t="shared" si="414"/>
        <v>0</v>
      </c>
      <c r="AO127" s="89">
        <v>0</v>
      </c>
      <c r="AP127" s="94">
        <f t="shared" si="415"/>
        <v>0</v>
      </c>
      <c r="AQ127" s="79"/>
      <c r="AR127" s="88">
        <v>43075.903200000001</v>
      </c>
      <c r="AS127" s="76">
        <v>1520.3</v>
      </c>
      <c r="AT127" s="88">
        <v>330.5</v>
      </c>
      <c r="AU127" s="100">
        <f t="shared" si="416"/>
        <v>0.48399999999999999</v>
      </c>
      <c r="AV127" s="100">
        <f t="shared" si="417"/>
        <v>0.66100000000000003</v>
      </c>
      <c r="AW127" s="100">
        <f t="shared" si="418"/>
        <v>0.66100000000000003</v>
      </c>
      <c r="AX127" s="94">
        <v>69.122</v>
      </c>
      <c r="AY127" s="76">
        <v>2317.0763999999999</v>
      </c>
      <c r="AZ127" s="100">
        <f>AX127/$B$9</f>
        <v>0.107</v>
      </c>
      <c r="BA127" s="97">
        <f>AY127/$B$8</f>
        <v>0.19899999999999998</v>
      </c>
      <c r="BB127" s="88">
        <v>32379.599999999999</v>
      </c>
      <c r="BC127" s="76">
        <v>22183.875</v>
      </c>
      <c r="BD127" s="100">
        <f t="shared" si="419"/>
        <v>0.72599999999999998</v>
      </c>
      <c r="BE127" s="97">
        <f t="shared" si="420"/>
        <v>0.94499999999999995</v>
      </c>
      <c r="BG127" s="88">
        <v>859.46799999999996</v>
      </c>
      <c r="BH127" s="114">
        <f>BG127/$B$10</f>
        <v>0.34899986193790455</v>
      </c>
      <c r="BI127" s="115">
        <v>868.88400000000001</v>
      </c>
      <c r="BJ127" s="114">
        <f>BI127/$B$11</f>
        <v>0.54068699439950219</v>
      </c>
      <c r="BK127" s="115">
        <v>1121.4780000000001</v>
      </c>
      <c r="BL127" s="114">
        <f t="shared" si="421"/>
        <v>0.5784392407674851</v>
      </c>
      <c r="BN127" s="111">
        <v>54782.928</v>
      </c>
      <c r="BO127" s="114">
        <f t="shared" si="422"/>
        <v>0.78688524590163933</v>
      </c>
      <c r="BQ127" s="142">
        <v>18405.225999999999</v>
      </c>
      <c r="BR127" s="131">
        <v>0</v>
      </c>
      <c r="BS127" s="143">
        <v>0</v>
      </c>
      <c r="BT127" s="105">
        <f t="shared" si="423"/>
        <v>0.56457748466257662</v>
      </c>
      <c r="BU127" s="20">
        <f t="shared" si="424"/>
        <v>0</v>
      </c>
      <c r="BV127" s="2">
        <v>0</v>
      </c>
      <c r="BW127" s="2">
        <v>0</v>
      </c>
      <c r="BX127" s="2">
        <v>0</v>
      </c>
      <c r="BY127" s="2">
        <v>1070.383</v>
      </c>
      <c r="BZ127" s="105">
        <f t="shared" si="425"/>
        <v>7.9417050007419498E-2</v>
      </c>
      <c r="CA127" s="20">
        <f t="shared" si="426"/>
        <v>0</v>
      </c>
      <c r="CB127" s="5">
        <v>10800</v>
      </c>
      <c r="CC127" s="5">
        <v>0</v>
      </c>
      <c r="CE127" s="108">
        <v>-700</v>
      </c>
      <c r="CF127" s="153">
        <f t="shared" si="427"/>
        <v>0</v>
      </c>
      <c r="CG127" s="153">
        <v>4485</v>
      </c>
      <c r="CH127" s="153">
        <f t="shared" si="427"/>
        <v>4485</v>
      </c>
      <c r="CI127" s="153">
        <v>0</v>
      </c>
      <c r="CJ127" s="153">
        <f t="shared" ref="CJ127:CL127" si="786">IF(CI127&gt;0,CI127,0)</f>
        <v>0</v>
      </c>
      <c r="CK127" s="153">
        <v>5000</v>
      </c>
      <c r="CL127" s="153">
        <f t="shared" si="786"/>
        <v>5000</v>
      </c>
      <c r="CM127" s="153">
        <v>-5300</v>
      </c>
      <c r="CN127" s="153">
        <f t="shared" ref="CN127:CP127" si="787">IF(CM127&gt;0,CM127,0)</f>
        <v>0</v>
      </c>
      <c r="CO127" s="153">
        <v>-4000</v>
      </c>
      <c r="CP127" s="153">
        <f t="shared" si="787"/>
        <v>0</v>
      </c>
      <c r="CQ127" s="153">
        <v>-4800</v>
      </c>
      <c r="CR127" s="153">
        <f t="shared" ref="CR127:CT127" si="788">IF(CQ127&gt;0,CQ127,0)</f>
        <v>0</v>
      </c>
      <c r="CS127" s="153">
        <v>14235.40496736</v>
      </c>
      <c r="CT127" s="153">
        <f t="shared" si="788"/>
        <v>14235.40496736</v>
      </c>
      <c r="CU127" s="107">
        <f t="shared" si="431"/>
        <v>23720.404967360002</v>
      </c>
      <c r="CW127" s="108">
        <v>-700</v>
      </c>
      <c r="CX127" s="153">
        <f t="shared" si="432"/>
        <v>700</v>
      </c>
      <c r="CY127" s="153">
        <v>4485</v>
      </c>
      <c r="CZ127" s="153">
        <f t="shared" si="432"/>
        <v>0</v>
      </c>
      <c r="DA127" s="153">
        <v>0</v>
      </c>
      <c r="DB127" s="153">
        <f t="shared" ref="DB127:DD127" si="789">IF(DA127&lt;0,-DA127,0)</f>
        <v>0</v>
      </c>
      <c r="DC127" s="153">
        <v>5000</v>
      </c>
      <c r="DD127" s="153">
        <f t="shared" si="789"/>
        <v>0</v>
      </c>
      <c r="DE127" s="153">
        <v>-5300</v>
      </c>
      <c r="DF127" s="153">
        <f t="shared" ref="DF127:DH127" si="790">IF(DE127&lt;0,-DE127,0)</f>
        <v>5300</v>
      </c>
      <c r="DG127" s="153">
        <v>-4000</v>
      </c>
      <c r="DH127" s="153">
        <f t="shared" si="790"/>
        <v>4000</v>
      </c>
      <c r="DI127" s="153">
        <v>-4800</v>
      </c>
      <c r="DJ127" s="153">
        <f t="shared" ref="DJ127:DL127" si="791">IF(DI127&lt;0,-DI127,0)</f>
        <v>4800</v>
      </c>
      <c r="DK127" s="153">
        <v>14235.40496736</v>
      </c>
      <c r="DL127" s="153">
        <f t="shared" si="791"/>
        <v>0</v>
      </c>
      <c r="DM127" s="107">
        <f t="shared" si="436"/>
        <v>14800</v>
      </c>
    </row>
    <row r="128" spans="13:117" s="5" customFormat="1" x14ac:dyDescent="0.35">
      <c r="M128" s="77">
        <f t="shared" si="437"/>
        <v>126</v>
      </c>
      <c r="N128" s="78">
        <v>0</v>
      </c>
      <c r="O128" s="79">
        <v>0</v>
      </c>
      <c r="P128" s="79">
        <v>0</v>
      </c>
      <c r="Q128" s="79">
        <v>27657.187000000002</v>
      </c>
      <c r="R128" s="79">
        <v>3014.00003324</v>
      </c>
      <c r="S128" s="79">
        <f t="shared" si="408"/>
        <v>30671.187033240003</v>
      </c>
      <c r="T128" s="78">
        <v>0</v>
      </c>
      <c r="U128" s="79">
        <v>0</v>
      </c>
      <c r="V128" s="79">
        <v>0.111</v>
      </c>
      <c r="W128" s="79">
        <v>0.219</v>
      </c>
      <c r="X128" s="79">
        <f t="shared" si="409"/>
        <v>0.33</v>
      </c>
      <c r="Y128" s="79">
        <v>4625.1139999999996</v>
      </c>
      <c r="Z128" s="79">
        <v>0</v>
      </c>
      <c r="AA128" s="80">
        <f t="shared" si="410"/>
        <v>4625.1139999999996</v>
      </c>
      <c r="AB128" s="79"/>
      <c r="AC128" s="88">
        <v>0</v>
      </c>
      <c r="AD128" s="94">
        <f t="shared" si="411"/>
        <v>0</v>
      </c>
      <c r="AE128" s="89">
        <v>0</v>
      </c>
      <c r="AF128" s="94">
        <f t="shared" si="412"/>
        <v>0</v>
      </c>
      <c r="AG128" s="89">
        <v>0</v>
      </c>
      <c r="AH128" s="94">
        <f t="shared" si="413"/>
        <v>0</v>
      </c>
      <c r="AI128" s="89">
        <v>0</v>
      </c>
      <c r="AJ128" s="94">
        <f>AI128/$B$6</f>
        <v>0</v>
      </c>
      <c r="AK128" s="89">
        <v>0</v>
      </c>
      <c r="AL128" s="94">
        <f>AK128/$B$7</f>
        <v>0</v>
      </c>
      <c r="AM128" s="89">
        <v>0</v>
      </c>
      <c r="AN128" s="94">
        <f t="shared" si="414"/>
        <v>0</v>
      </c>
      <c r="AO128" s="89">
        <v>0</v>
      </c>
      <c r="AP128" s="94">
        <f t="shared" si="415"/>
        <v>0</v>
      </c>
      <c r="AQ128" s="79"/>
      <c r="AR128" s="88">
        <v>42630.904199999997</v>
      </c>
      <c r="AS128" s="76">
        <v>1545.6</v>
      </c>
      <c r="AT128" s="88">
        <v>336</v>
      </c>
      <c r="AU128" s="100">
        <f t="shared" si="416"/>
        <v>0.47899999999999993</v>
      </c>
      <c r="AV128" s="100">
        <f t="shared" si="417"/>
        <v>0.67199999999999993</v>
      </c>
      <c r="AW128" s="100">
        <f t="shared" si="418"/>
        <v>0.67200000000000004</v>
      </c>
      <c r="AX128" s="94">
        <v>71.706000000000003</v>
      </c>
      <c r="AY128" s="76">
        <v>2549.9484000000002</v>
      </c>
      <c r="AZ128" s="100">
        <f>AX128/$B$9</f>
        <v>0.111</v>
      </c>
      <c r="BA128" s="97">
        <f>AY128/$B$8</f>
        <v>0.219</v>
      </c>
      <c r="BB128" s="88">
        <v>30328</v>
      </c>
      <c r="BC128" s="76">
        <v>21996.075000000001</v>
      </c>
      <c r="BD128" s="100">
        <f t="shared" si="419"/>
        <v>0.68</v>
      </c>
      <c r="BE128" s="97">
        <f t="shared" si="420"/>
        <v>0.93700000000000006</v>
      </c>
      <c r="BG128" s="88">
        <v>861.93100000000004</v>
      </c>
      <c r="BH128" s="114">
        <f>BG128/$B$10</f>
        <v>0.35000000000000003</v>
      </c>
      <c r="BI128" s="115">
        <v>869.72199999999998</v>
      </c>
      <c r="BJ128" s="114">
        <f>BI128/$B$11</f>
        <v>0.54120846297448666</v>
      </c>
      <c r="BK128" s="115">
        <v>1121.4780000000001</v>
      </c>
      <c r="BL128" s="114">
        <f t="shared" si="421"/>
        <v>0.5784392407674851</v>
      </c>
      <c r="BN128" s="111">
        <v>54782.928</v>
      </c>
      <c r="BO128" s="114">
        <f t="shared" si="422"/>
        <v>0.78688524590163933</v>
      </c>
      <c r="BQ128" s="142">
        <v>18195.759999999998</v>
      </c>
      <c r="BR128" s="131">
        <v>0</v>
      </c>
      <c r="BS128" s="143">
        <v>0</v>
      </c>
      <c r="BT128" s="105">
        <f t="shared" si="423"/>
        <v>0.55815214723926376</v>
      </c>
      <c r="BU128" s="20">
        <f t="shared" si="424"/>
        <v>0</v>
      </c>
      <c r="BV128" s="2">
        <v>0</v>
      </c>
      <c r="BW128" s="2">
        <v>0</v>
      </c>
      <c r="BX128" s="2">
        <v>0</v>
      </c>
      <c r="BY128" s="2">
        <v>1130.0530000000001</v>
      </c>
      <c r="BZ128" s="105">
        <f t="shared" si="425"/>
        <v>8.3844264727704412E-2</v>
      </c>
      <c r="CA128" s="20">
        <f t="shared" si="426"/>
        <v>0</v>
      </c>
      <c r="CB128" s="5">
        <v>10800</v>
      </c>
      <c r="CC128" s="5">
        <v>0</v>
      </c>
      <c r="CE128" s="108">
        <v>-700</v>
      </c>
      <c r="CF128" s="153">
        <f t="shared" si="427"/>
        <v>0</v>
      </c>
      <c r="CG128" s="153">
        <v>4485</v>
      </c>
      <c r="CH128" s="153">
        <f t="shared" si="427"/>
        <v>4485</v>
      </c>
      <c r="CI128" s="153">
        <v>0</v>
      </c>
      <c r="CJ128" s="153">
        <f t="shared" ref="CJ128:CL128" si="792">IF(CI128&gt;0,CI128,0)</f>
        <v>0</v>
      </c>
      <c r="CK128" s="153">
        <v>5000</v>
      </c>
      <c r="CL128" s="153">
        <f t="shared" si="792"/>
        <v>5000</v>
      </c>
      <c r="CM128" s="153">
        <v>-5300</v>
      </c>
      <c r="CN128" s="153">
        <f t="shared" ref="CN128:CP128" si="793">IF(CM128&gt;0,CM128,0)</f>
        <v>0</v>
      </c>
      <c r="CO128" s="153">
        <v>-4000</v>
      </c>
      <c r="CP128" s="153">
        <f t="shared" si="793"/>
        <v>0</v>
      </c>
      <c r="CQ128" s="153">
        <v>-4800</v>
      </c>
      <c r="CR128" s="153">
        <f t="shared" ref="CR128:CT128" si="794">IF(CQ128&gt;0,CQ128,0)</f>
        <v>0</v>
      </c>
      <c r="CS128" s="153">
        <v>9656.2819886399993</v>
      </c>
      <c r="CT128" s="153">
        <f t="shared" si="794"/>
        <v>9656.2819886399993</v>
      </c>
      <c r="CU128" s="107">
        <f t="shared" si="431"/>
        <v>19141.281988639999</v>
      </c>
      <c r="CW128" s="108">
        <v>-700</v>
      </c>
      <c r="CX128" s="153">
        <f t="shared" si="432"/>
        <v>700</v>
      </c>
      <c r="CY128" s="153">
        <v>4485</v>
      </c>
      <c r="CZ128" s="153">
        <f t="shared" si="432"/>
        <v>0</v>
      </c>
      <c r="DA128" s="153">
        <v>0</v>
      </c>
      <c r="DB128" s="153">
        <f t="shared" ref="DB128:DD128" si="795">IF(DA128&lt;0,-DA128,0)</f>
        <v>0</v>
      </c>
      <c r="DC128" s="153">
        <v>5000</v>
      </c>
      <c r="DD128" s="153">
        <f t="shared" si="795"/>
        <v>0</v>
      </c>
      <c r="DE128" s="153">
        <v>-5300</v>
      </c>
      <c r="DF128" s="153">
        <f t="shared" ref="DF128:DH128" si="796">IF(DE128&lt;0,-DE128,0)</f>
        <v>5300</v>
      </c>
      <c r="DG128" s="153">
        <v>-4000</v>
      </c>
      <c r="DH128" s="153">
        <f t="shared" si="796"/>
        <v>4000</v>
      </c>
      <c r="DI128" s="153">
        <v>-4800</v>
      </c>
      <c r="DJ128" s="153">
        <f t="shared" ref="DJ128:DL128" si="797">IF(DI128&lt;0,-DI128,0)</f>
        <v>4800</v>
      </c>
      <c r="DK128" s="153">
        <v>9656.2819886399993</v>
      </c>
      <c r="DL128" s="153">
        <f t="shared" si="797"/>
        <v>0</v>
      </c>
      <c r="DM128" s="107">
        <f t="shared" si="436"/>
        <v>14800</v>
      </c>
    </row>
    <row r="129" spans="13:117" s="5" customFormat="1" x14ac:dyDescent="0.35">
      <c r="M129" s="77">
        <f t="shared" si="437"/>
        <v>127</v>
      </c>
      <c r="N129" s="78">
        <v>0</v>
      </c>
      <c r="O129" s="79">
        <v>0</v>
      </c>
      <c r="P129" s="79">
        <v>0</v>
      </c>
      <c r="Q129" s="79">
        <v>27583.937000000002</v>
      </c>
      <c r="R129" s="79">
        <v>3811.2824580199999</v>
      </c>
      <c r="S129" s="79">
        <f t="shared" si="408"/>
        <v>31395.219458020001</v>
      </c>
      <c r="T129" s="78">
        <v>0</v>
      </c>
      <c r="U129" s="79">
        <v>0</v>
      </c>
      <c r="V129" s="79">
        <v>0.111</v>
      </c>
      <c r="W129" s="79">
        <v>0.24799999999999997</v>
      </c>
      <c r="X129" s="79">
        <f t="shared" si="409"/>
        <v>0.35899999999999999</v>
      </c>
      <c r="Y129" s="79">
        <v>4739.2560000000003</v>
      </c>
      <c r="Z129" s="79">
        <v>0</v>
      </c>
      <c r="AA129" s="80">
        <f t="shared" si="410"/>
        <v>4739.2560000000003</v>
      </c>
      <c r="AB129" s="79"/>
      <c r="AC129" s="88">
        <v>0</v>
      </c>
      <c r="AD129" s="94">
        <f t="shared" si="411"/>
        <v>0</v>
      </c>
      <c r="AE129" s="89">
        <v>0</v>
      </c>
      <c r="AF129" s="94">
        <f t="shared" si="412"/>
        <v>0</v>
      </c>
      <c r="AG129" s="89">
        <v>0</v>
      </c>
      <c r="AH129" s="94">
        <f t="shared" si="413"/>
        <v>0</v>
      </c>
      <c r="AI129" s="89">
        <v>0</v>
      </c>
      <c r="AJ129" s="94">
        <f>AI129/$B$6</f>
        <v>0</v>
      </c>
      <c r="AK129" s="89">
        <v>0</v>
      </c>
      <c r="AL129" s="94">
        <f>AK129/$B$7</f>
        <v>0</v>
      </c>
      <c r="AM129" s="89">
        <v>0</v>
      </c>
      <c r="AN129" s="94">
        <f t="shared" si="414"/>
        <v>0</v>
      </c>
      <c r="AO129" s="89">
        <v>0</v>
      </c>
      <c r="AP129" s="94">
        <f t="shared" si="415"/>
        <v>0</v>
      </c>
      <c r="AQ129" s="79"/>
      <c r="AR129" s="88">
        <v>42096.905400000003</v>
      </c>
      <c r="AS129" s="76">
        <v>1570.9</v>
      </c>
      <c r="AT129" s="88">
        <v>341.5</v>
      </c>
      <c r="AU129" s="100">
        <f t="shared" si="416"/>
        <v>0.47300000000000003</v>
      </c>
      <c r="AV129" s="100">
        <f t="shared" si="417"/>
        <v>0.68300000000000005</v>
      </c>
      <c r="AW129" s="100">
        <f t="shared" si="418"/>
        <v>0.68300000000000005</v>
      </c>
      <c r="AX129" s="94">
        <v>71.706000000000003</v>
      </c>
      <c r="AY129" s="76">
        <v>2887.6127999999999</v>
      </c>
      <c r="AZ129" s="100">
        <f>AX129/$B$9</f>
        <v>0.111</v>
      </c>
      <c r="BA129" s="97">
        <f>AY129/$B$8</f>
        <v>0.24799999999999997</v>
      </c>
      <c r="BB129" s="88">
        <v>27830.400000000001</v>
      </c>
      <c r="BC129" s="76">
        <v>21550.05</v>
      </c>
      <c r="BD129" s="100">
        <f t="shared" si="419"/>
        <v>0.624</v>
      </c>
      <c r="BE129" s="97">
        <f t="shared" si="420"/>
        <v>0.91799999999999993</v>
      </c>
      <c r="BG129" s="88">
        <v>857.00599999999997</v>
      </c>
      <c r="BH129" s="114">
        <f>BG129/$B$10</f>
        <v>0.34800012994079571</v>
      </c>
      <c r="BI129" s="115">
        <v>889.26300000000003</v>
      </c>
      <c r="BJ129" s="114">
        <f>BI129/$B$11</f>
        <v>0.5533683883011824</v>
      </c>
      <c r="BK129" s="115">
        <v>1121.4780000000001</v>
      </c>
      <c r="BL129" s="114">
        <f t="shared" si="421"/>
        <v>0.5784392407674851</v>
      </c>
      <c r="BN129" s="111">
        <v>54782.928</v>
      </c>
      <c r="BO129" s="114">
        <f t="shared" si="422"/>
        <v>0.78688524590163933</v>
      </c>
      <c r="BQ129" s="142">
        <v>17964.437000000002</v>
      </c>
      <c r="BR129" s="131">
        <v>0</v>
      </c>
      <c r="BS129" s="143">
        <v>0</v>
      </c>
      <c r="BT129" s="105">
        <f t="shared" si="423"/>
        <v>0.55105634969325157</v>
      </c>
      <c r="BU129" s="20">
        <f t="shared" si="424"/>
        <v>0</v>
      </c>
      <c r="BV129" s="2">
        <v>0</v>
      </c>
      <c r="BW129" s="2">
        <v>0</v>
      </c>
      <c r="BX129" s="2">
        <v>0</v>
      </c>
      <c r="BY129" s="2">
        <v>1140.329</v>
      </c>
      <c r="BZ129" s="105">
        <f t="shared" si="425"/>
        <v>8.4606692387594593E-2</v>
      </c>
      <c r="CA129" s="20">
        <f t="shared" si="426"/>
        <v>0</v>
      </c>
      <c r="CB129" s="5">
        <v>10800</v>
      </c>
      <c r="CC129" s="5">
        <v>0</v>
      </c>
      <c r="CE129" s="108">
        <v>-700</v>
      </c>
      <c r="CF129" s="153">
        <f t="shared" si="427"/>
        <v>0</v>
      </c>
      <c r="CG129" s="153">
        <v>4485</v>
      </c>
      <c r="CH129" s="153">
        <f t="shared" si="427"/>
        <v>4485</v>
      </c>
      <c r="CI129" s="153">
        <v>0</v>
      </c>
      <c r="CJ129" s="153">
        <f t="shared" ref="CJ129:CL129" si="798">IF(CI129&gt;0,CI129,0)</f>
        <v>0</v>
      </c>
      <c r="CK129" s="153">
        <v>5000</v>
      </c>
      <c r="CL129" s="153">
        <f t="shared" si="798"/>
        <v>5000</v>
      </c>
      <c r="CM129" s="153">
        <v>-5300</v>
      </c>
      <c r="CN129" s="153">
        <f t="shared" ref="CN129:CP129" si="799">IF(CM129&gt;0,CM129,0)</f>
        <v>0</v>
      </c>
      <c r="CO129" s="153">
        <v>-4000</v>
      </c>
      <c r="CP129" s="153">
        <f t="shared" si="799"/>
        <v>0</v>
      </c>
      <c r="CQ129" s="153">
        <v>-4800</v>
      </c>
      <c r="CR129" s="153">
        <f t="shared" ref="CR129:CT129" si="800">IF(CQ129&gt;0,CQ129,0)</f>
        <v>0</v>
      </c>
      <c r="CS129" s="153">
        <v>9797.1520919699997</v>
      </c>
      <c r="CT129" s="153">
        <f t="shared" si="800"/>
        <v>9797.1520919699997</v>
      </c>
      <c r="CU129" s="107">
        <f t="shared" si="431"/>
        <v>19282.152091969998</v>
      </c>
      <c r="CW129" s="108">
        <v>-700</v>
      </c>
      <c r="CX129" s="153">
        <f t="shared" si="432"/>
        <v>700</v>
      </c>
      <c r="CY129" s="153">
        <v>4485</v>
      </c>
      <c r="CZ129" s="153">
        <f t="shared" si="432"/>
        <v>0</v>
      </c>
      <c r="DA129" s="153">
        <v>0</v>
      </c>
      <c r="DB129" s="153">
        <f t="shared" ref="DB129:DD129" si="801">IF(DA129&lt;0,-DA129,0)</f>
        <v>0</v>
      </c>
      <c r="DC129" s="153">
        <v>5000</v>
      </c>
      <c r="DD129" s="153">
        <f t="shared" si="801"/>
        <v>0</v>
      </c>
      <c r="DE129" s="153">
        <v>-5300</v>
      </c>
      <c r="DF129" s="153">
        <f t="shared" ref="DF129:DH129" si="802">IF(DE129&lt;0,-DE129,0)</f>
        <v>5300</v>
      </c>
      <c r="DG129" s="153">
        <v>-4000</v>
      </c>
      <c r="DH129" s="153">
        <f t="shared" si="802"/>
        <v>4000</v>
      </c>
      <c r="DI129" s="153">
        <v>-4800</v>
      </c>
      <c r="DJ129" s="153">
        <f t="shared" ref="DJ129:DL129" si="803">IF(DI129&lt;0,-DI129,0)</f>
        <v>4800</v>
      </c>
      <c r="DK129" s="153">
        <v>9797.1520919699997</v>
      </c>
      <c r="DL129" s="153">
        <f t="shared" si="803"/>
        <v>0</v>
      </c>
      <c r="DM129" s="107">
        <f t="shared" si="436"/>
        <v>14800</v>
      </c>
    </row>
    <row r="130" spans="13:117" s="5" customFormat="1" x14ac:dyDescent="0.35">
      <c r="M130" s="77">
        <f t="shared" si="437"/>
        <v>128</v>
      </c>
      <c r="N130" s="78">
        <v>0</v>
      </c>
      <c r="O130" s="79">
        <v>0</v>
      </c>
      <c r="P130" s="79">
        <v>0</v>
      </c>
      <c r="Q130" s="79">
        <v>28764.89</v>
      </c>
      <c r="R130" s="79">
        <v>4286.8717639500001</v>
      </c>
      <c r="S130" s="79">
        <f t="shared" si="408"/>
        <v>33051.761763950002</v>
      </c>
      <c r="T130" s="78">
        <v>0</v>
      </c>
      <c r="U130" s="79">
        <v>0</v>
      </c>
      <c r="V130" s="79">
        <v>0.11</v>
      </c>
      <c r="W130" s="79">
        <v>0.26999999999999996</v>
      </c>
      <c r="X130" s="79">
        <f t="shared" si="409"/>
        <v>0.37999999999999995</v>
      </c>
      <c r="Y130" s="79">
        <v>4803.72</v>
      </c>
      <c r="Z130" s="79">
        <v>0</v>
      </c>
      <c r="AA130" s="80">
        <f t="shared" si="410"/>
        <v>4803.72</v>
      </c>
      <c r="AB130" s="79"/>
      <c r="AC130" s="88">
        <v>0</v>
      </c>
      <c r="AD130" s="94">
        <f t="shared" si="411"/>
        <v>0</v>
      </c>
      <c r="AE130" s="89">
        <v>0</v>
      </c>
      <c r="AF130" s="94">
        <f t="shared" si="412"/>
        <v>0</v>
      </c>
      <c r="AG130" s="89">
        <v>0</v>
      </c>
      <c r="AH130" s="94">
        <f t="shared" si="413"/>
        <v>0</v>
      </c>
      <c r="AI130" s="89">
        <v>0</v>
      </c>
      <c r="AJ130" s="94">
        <f>AI130/$B$6</f>
        <v>0</v>
      </c>
      <c r="AK130" s="89">
        <v>0</v>
      </c>
      <c r="AL130" s="94">
        <f>AK130/$B$7</f>
        <v>0</v>
      </c>
      <c r="AM130" s="89">
        <v>0</v>
      </c>
      <c r="AN130" s="94">
        <f t="shared" si="414"/>
        <v>0</v>
      </c>
      <c r="AO130" s="89">
        <v>0</v>
      </c>
      <c r="AP130" s="94">
        <f t="shared" si="415"/>
        <v>0</v>
      </c>
      <c r="AQ130" s="79"/>
      <c r="AR130" s="88">
        <v>40672.908600000002</v>
      </c>
      <c r="AS130" s="76">
        <v>1607.7</v>
      </c>
      <c r="AT130" s="88">
        <v>349.5</v>
      </c>
      <c r="AU130" s="100">
        <f t="shared" si="416"/>
        <v>0.45700000000000002</v>
      </c>
      <c r="AV130" s="100">
        <f t="shared" si="417"/>
        <v>0.69900000000000007</v>
      </c>
      <c r="AW130" s="100">
        <f t="shared" si="418"/>
        <v>0.69899999999999995</v>
      </c>
      <c r="AX130" s="94">
        <v>71.06</v>
      </c>
      <c r="AY130" s="76">
        <v>3143.7719999999999</v>
      </c>
      <c r="AZ130" s="100">
        <f>AX130/$B$9</f>
        <v>0.11</v>
      </c>
      <c r="BA130" s="97">
        <f>AY130/$B$8</f>
        <v>0.26999999999999996</v>
      </c>
      <c r="BB130" s="88">
        <v>24886.799999999999</v>
      </c>
      <c r="BC130" s="76">
        <v>20822.325000000001</v>
      </c>
      <c r="BD130" s="100">
        <f t="shared" si="419"/>
        <v>0.55799999999999994</v>
      </c>
      <c r="BE130" s="97">
        <f t="shared" si="420"/>
        <v>0.88700000000000001</v>
      </c>
      <c r="BG130" s="88">
        <v>854.54300000000001</v>
      </c>
      <c r="BH130" s="114">
        <f>BG130/$B$10</f>
        <v>0.34699999187870029</v>
      </c>
      <c r="BI130" s="115">
        <v>932.255</v>
      </c>
      <c r="BJ130" s="114">
        <f>BI130/$B$11</f>
        <v>0.58012134411947724</v>
      </c>
      <c r="BK130" s="115">
        <v>1121.4780000000001</v>
      </c>
      <c r="BL130" s="114">
        <f t="shared" si="421"/>
        <v>0.5784392407674851</v>
      </c>
      <c r="BN130" s="111">
        <v>54782.928</v>
      </c>
      <c r="BO130" s="114">
        <f t="shared" si="422"/>
        <v>0.78688524590163933</v>
      </c>
      <c r="BQ130" s="142">
        <v>17384.257000000001</v>
      </c>
      <c r="BR130" s="131">
        <v>0</v>
      </c>
      <c r="BS130" s="143">
        <v>0</v>
      </c>
      <c r="BT130" s="105">
        <f t="shared" si="423"/>
        <v>0.53325941717791414</v>
      </c>
      <c r="BU130" s="20">
        <f t="shared" si="424"/>
        <v>0</v>
      </c>
      <c r="BV130" s="2">
        <v>0</v>
      </c>
      <c r="BW130" s="2">
        <v>0</v>
      </c>
      <c r="BX130" s="2">
        <v>0</v>
      </c>
      <c r="BY130" s="2">
        <v>1117.5709999999999</v>
      </c>
      <c r="BZ130" s="105">
        <f t="shared" si="425"/>
        <v>8.2918162932185777E-2</v>
      </c>
      <c r="CA130" s="20">
        <f t="shared" si="426"/>
        <v>0</v>
      </c>
      <c r="CB130" s="5">
        <v>10800</v>
      </c>
      <c r="CC130" s="5">
        <v>0</v>
      </c>
      <c r="CE130" s="108">
        <v>-700</v>
      </c>
      <c r="CF130" s="153">
        <f t="shared" si="427"/>
        <v>0</v>
      </c>
      <c r="CG130" s="153">
        <v>4485</v>
      </c>
      <c r="CH130" s="153">
        <f t="shared" si="427"/>
        <v>4485</v>
      </c>
      <c r="CI130" s="153">
        <v>0</v>
      </c>
      <c r="CJ130" s="153">
        <f t="shared" ref="CJ130:CL130" si="804">IF(CI130&gt;0,CI130,0)</f>
        <v>0</v>
      </c>
      <c r="CK130" s="153">
        <v>5000</v>
      </c>
      <c r="CL130" s="153">
        <f t="shared" si="804"/>
        <v>5000</v>
      </c>
      <c r="CM130" s="153">
        <v>-5300</v>
      </c>
      <c r="CN130" s="153">
        <f t="shared" ref="CN130:CP130" si="805">IF(CM130&gt;0,CM130,0)</f>
        <v>0</v>
      </c>
      <c r="CO130" s="153">
        <v>-4000</v>
      </c>
      <c r="CP130" s="153">
        <f t="shared" si="805"/>
        <v>0</v>
      </c>
      <c r="CQ130" s="153">
        <v>-4800</v>
      </c>
      <c r="CR130" s="153">
        <f t="shared" ref="CR130:CT130" si="806">IF(CQ130&gt;0,CQ130,0)</f>
        <v>0</v>
      </c>
      <c r="CS130" s="153">
        <v>15456.106359629999</v>
      </c>
      <c r="CT130" s="153">
        <f t="shared" si="806"/>
        <v>15456.106359629999</v>
      </c>
      <c r="CU130" s="107">
        <f t="shared" si="431"/>
        <v>24941.106359630001</v>
      </c>
      <c r="CW130" s="108">
        <v>-700</v>
      </c>
      <c r="CX130" s="153">
        <f t="shared" si="432"/>
        <v>700</v>
      </c>
      <c r="CY130" s="153">
        <v>4485</v>
      </c>
      <c r="CZ130" s="153">
        <f t="shared" si="432"/>
        <v>0</v>
      </c>
      <c r="DA130" s="153">
        <v>0</v>
      </c>
      <c r="DB130" s="153">
        <f t="shared" ref="DB130:DD130" si="807">IF(DA130&lt;0,-DA130,0)</f>
        <v>0</v>
      </c>
      <c r="DC130" s="153">
        <v>5000</v>
      </c>
      <c r="DD130" s="153">
        <f t="shared" si="807"/>
        <v>0</v>
      </c>
      <c r="DE130" s="153">
        <v>-5300</v>
      </c>
      <c r="DF130" s="153">
        <f t="shared" ref="DF130:DH130" si="808">IF(DE130&lt;0,-DE130,0)</f>
        <v>5300</v>
      </c>
      <c r="DG130" s="153">
        <v>-4000</v>
      </c>
      <c r="DH130" s="153">
        <f t="shared" si="808"/>
        <v>4000</v>
      </c>
      <c r="DI130" s="153">
        <v>-4800</v>
      </c>
      <c r="DJ130" s="153">
        <f t="shared" ref="DJ130:DL130" si="809">IF(DI130&lt;0,-DI130,0)</f>
        <v>4800</v>
      </c>
      <c r="DK130" s="153">
        <v>15456.106359629999</v>
      </c>
      <c r="DL130" s="153">
        <f t="shared" si="809"/>
        <v>0</v>
      </c>
      <c r="DM130" s="107">
        <f t="shared" si="436"/>
        <v>14800</v>
      </c>
    </row>
    <row r="131" spans="13:117" s="5" customFormat="1" x14ac:dyDescent="0.35">
      <c r="M131" s="77">
        <f t="shared" si="437"/>
        <v>129</v>
      </c>
      <c r="N131" s="78">
        <v>0</v>
      </c>
      <c r="O131" s="79">
        <v>0</v>
      </c>
      <c r="P131" s="79">
        <v>0</v>
      </c>
      <c r="Q131" s="79">
        <v>30670.205999999998</v>
      </c>
      <c r="R131" s="79">
        <v>4180.9137475400003</v>
      </c>
      <c r="S131" s="79">
        <f t="shared" si="408"/>
        <v>34851.119747539997</v>
      </c>
      <c r="T131" s="78">
        <v>0</v>
      </c>
      <c r="U131" s="79">
        <v>0</v>
      </c>
      <c r="V131" s="79">
        <v>0.11</v>
      </c>
      <c r="W131" s="79">
        <v>0.26999999999999996</v>
      </c>
      <c r="X131" s="79">
        <f t="shared" si="409"/>
        <v>0.37999999999999995</v>
      </c>
      <c r="Y131" s="79">
        <v>4894.0069999999996</v>
      </c>
      <c r="Z131" s="79">
        <v>0</v>
      </c>
      <c r="AA131" s="80">
        <f t="shared" si="410"/>
        <v>4894.0069999999996</v>
      </c>
      <c r="AB131" s="79"/>
      <c r="AC131" s="88">
        <v>0</v>
      </c>
      <c r="AD131" s="94">
        <f t="shared" si="411"/>
        <v>0</v>
      </c>
      <c r="AE131" s="89">
        <v>0</v>
      </c>
      <c r="AF131" s="94">
        <f t="shared" si="412"/>
        <v>0</v>
      </c>
      <c r="AG131" s="89">
        <v>0</v>
      </c>
      <c r="AH131" s="94">
        <f t="shared" si="413"/>
        <v>0</v>
      </c>
      <c r="AI131" s="89">
        <v>0</v>
      </c>
      <c r="AJ131" s="94">
        <f>AI131/$B$6</f>
        <v>0</v>
      </c>
      <c r="AK131" s="89">
        <v>0</v>
      </c>
      <c r="AL131" s="94">
        <f>AK131/$B$7</f>
        <v>0</v>
      </c>
      <c r="AM131" s="89">
        <v>0</v>
      </c>
      <c r="AN131" s="94">
        <f t="shared" si="414"/>
        <v>0</v>
      </c>
      <c r="AO131" s="89">
        <v>0</v>
      </c>
      <c r="AP131" s="94">
        <f t="shared" si="415"/>
        <v>0</v>
      </c>
      <c r="AQ131" s="79"/>
      <c r="AR131" s="88">
        <v>38892.912600000003</v>
      </c>
      <c r="AS131" s="76">
        <v>1639.9</v>
      </c>
      <c r="AT131" s="88">
        <v>356.5</v>
      </c>
      <c r="AU131" s="100">
        <f t="shared" si="416"/>
        <v>0.437</v>
      </c>
      <c r="AV131" s="100">
        <f t="shared" si="417"/>
        <v>0.71300000000000008</v>
      </c>
      <c r="AW131" s="100">
        <f t="shared" si="418"/>
        <v>0.71299999999999997</v>
      </c>
      <c r="AX131" s="94">
        <v>71.06</v>
      </c>
      <c r="AY131" s="76">
        <v>3143.7719999999999</v>
      </c>
      <c r="AZ131" s="100">
        <f>AX131/$B$9</f>
        <v>0.11</v>
      </c>
      <c r="BA131" s="97">
        <f>AY131/$B$8</f>
        <v>0.26999999999999996</v>
      </c>
      <c r="BB131" s="88">
        <v>21720.2</v>
      </c>
      <c r="BC131" s="76">
        <v>19742.474999999999</v>
      </c>
      <c r="BD131" s="100">
        <f t="shared" si="419"/>
        <v>0.48700000000000004</v>
      </c>
      <c r="BE131" s="97">
        <f t="shared" si="420"/>
        <v>0.84099999999999997</v>
      </c>
      <c r="BG131" s="88">
        <v>864.39400000000001</v>
      </c>
      <c r="BH131" s="114">
        <f>BG131/$B$10</f>
        <v>0.35100013806209546</v>
      </c>
      <c r="BI131" s="115">
        <v>945.16300000000001</v>
      </c>
      <c r="BJ131" s="114">
        <f>BI131/$B$11</f>
        <v>0.58815370255133792</v>
      </c>
      <c r="BK131" s="115">
        <v>1121.4780000000001</v>
      </c>
      <c r="BL131" s="114">
        <f t="shared" si="421"/>
        <v>0.5784392407674851</v>
      </c>
      <c r="BN131" s="111">
        <v>54782.928</v>
      </c>
      <c r="BO131" s="114">
        <f t="shared" si="422"/>
        <v>0.78688524590163933</v>
      </c>
      <c r="BQ131" s="142">
        <v>16762.947</v>
      </c>
      <c r="BR131" s="131">
        <v>0</v>
      </c>
      <c r="BS131" s="143">
        <v>0</v>
      </c>
      <c r="BT131" s="105">
        <f t="shared" si="423"/>
        <v>0.51420082822085889</v>
      </c>
      <c r="BU131" s="20">
        <f t="shared" si="424"/>
        <v>0</v>
      </c>
      <c r="BV131" s="2">
        <v>0</v>
      </c>
      <c r="BW131" s="2">
        <v>0</v>
      </c>
      <c r="BX131" s="2">
        <v>0</v>
      </c>
      <c r="BY131" s="2">
        <v>1092.5989999999999</v>
      </c>
      <c r="BZ131" s="105">
        <f t="shared" si="425"/>
        <v>8.1065365781273185E-2</v>
      </c>
      <c r="CA131" s="20">
        <f t="shared" si="426"/>
        <v>0</v>
      </c>
      <c r="CB131" s="5">
        <v>10800</v>
      </c>
      <c r="CC131" s="5">
        <v>0</v>
      </c>
      <c r="CE131" s="108">
        <v>-700</v>
      </c>
      <c r="CF131" s="153">
        <f t="shared" si="427"/>
        <v>0</v>
      </c>
      <c r="CG131" s="153">
        <v>4485</v>
      </c>
      <c r="CH131" s="153">
        <f t="shared" si="427"/>
        <v>4485</v>
      </c>
      <c r="CI131" s="153">
        <v>0</v>
      </c>
      <c r="CJ131" s="153">
        <f t="shared" ref="CJ131:CL131" si="810">IF(CI131&gt;0,CI131,0)</f>
        <v>0</v>
      </c>
      <c r="CK131" s="153">
        <v>5000</v>
      </c>
      <c r="CL131" s="153">
        <f t="shared" si="810"/>
        <v>5000</v>
      </c>
      <c r="CM131" s="153">
        <v>-5300</v>
      </c>
      <c r="CN131" s="153">
        <f t="shared" ref="CN131:CP131" si="811">IF(CM131&gt;0,CM131,0)</f>
        <v>0</v>
      </c>
      <c r="CO131" s="153">
        <v>-4000</v>
      </c>
      <c r="CP131" s="153">
        <f t="shared" si="811"/>
        <v>0</v>
      </c>
      <c r="CQ131" s="153">
        <v>-4800</v>
      </c>
      <c r="CR131" s="153">
        <f t="shared" ref="CR131:CT131" si="812">IF(CQ131&gt;0,CQ131,0)</f>
        <v>0</v>
      </c>
      <c r="CS131" s="153">
        <v>11004.664095390001</v>
      </c>
      <c r="CT131" s="153">
        <f t="shared" si="812"/>
        <v>11004.664095390001</v>
      </c>
      <c r="CU131" s="107">
        <f t="shared" si="431"/>
        <v>20489.664095389999</v>
      </c>
      <c r="CW131" s="108">
        <v>-700</v>
      </c>
      <c r="CX131" s="153">
        <f t="shared" si="432"/>
        <v>700</v>
      </c>
      <c r="CY131" s="153">
        <v>4485</v>
      </c>
      <c r="CZ131" s="153">
        <f t="shared" si="432"/>
        <v>0</v>
      </c>
      <c r="DA131" s="153">
        <v>0</v>
      </c>
      <c r="DB131" s="153">
        <f t="shared" ref="DB131:DD131" si="813">IF(DA131&lt;0,-DA131,0)</f>
        <v>0</v>
      </c>
      <c r="DC131" s="153">
        <v>5000</v>
      </c>
      <c r="DD131" s="153">
        <f t="shared" si="813"/>
        <v>0</v>
      </c>
      <c r="DE131" s="153">
        <v>-5300</v>
      </c>
      <c r="DF131" s="153">
        <f t="shared" ref="DF131:DH131" si="814">IF(DE131&lt;0,-DE131,0)</f>
        <v>5300</v>
      </c>
      <c r="DG131" s="153">
        <v>-4000</v>
      </c>
      <c r="DH131" s="153">
        <f t="shared" si="814"/>
        <v>4000</v>
      </c>
      <c r="DI131" s="153">
        <v>-4800</v>
      </c>
      <c r="DJ131" s="153">
        <f t="shared" ref="DJ131:DL131" si="815">IF(DI131&lt;0,-DI131,0)</f>
        <v>4800</v>
      </c>
      <c r="DK131" s="153">
        <v>11004.664095390001</v>
      </c>
      <c r="DL131" s="153">
        <f t="shared" si="815"/>
        <v>0</v>
      </c>
      <c r="DM131" s="107">
        <f t="shared" si="436"/>
        <v>14800</v>
      </c>
    </row>
    <row r="132" spans="13:117" s="5" customFormat="1" x14ac:dyDescent="0.35">
      <c r="M132" s="77">
        <f t="shared" si="437"/>
        <v>130</v>
      </c>
      <c r="N132" s="78">
        <v>0.01</v>
      </c>
      <c r="O132" s="79">
        <v>8.1000000000000003E-2</v>
      </c>
      <c r="P132" s="79">
        <v>0.127</v>
      </c>
      <c r="Q132" s="79">
        <v>33008.887999999999</v>
      </c>
      <c r="R132" s="79">
        <v>2626.8456460900002</v>
      </c>
      <c r="S132" s="79">
        <f t="shared" ref="S132:S170" si="816">Q132+R132</f>
        <v>35635.733646089997</v>
      </c>
      <c r="T132" s="78">
        <v>1.7000000000000001E-2</v>
      </c>
      <c r="U132" s="79">
        <v>1.7999999999999901E-2</v>
      </c>
      <c r="V132" s="79">
        <v>0.11799999999999999</v>
      </c>
      <c r="W132" s="79">
        <v>0.21299999999999999</v>
      </c>
      <c r="X132" s="79">
        <f t="shared" ref="X132:X170" si="817">V132+W132</f>
        <v>0.33099999999999996</v>
      </c>
      <c r="Y132" s="79">
        <v>5145.4859999999999</v>
      </c>
      <c r="Z132" s="79">
        <v>0</v>
      </c>
      <c r="AA132" s="80">
        <f t="shared" ref="AA132:AA170" si="818">Y132+Z132</f>
        <v>5145.4859999999999</v>
      </c>
      <c r="AB132" s="79"/>
      <c r="AC132" s="88">
        <v>9960</v>
      </c>
      <c r="AD132" s="94">
        <f t="shared" ref="AD132:AD170" si="819">AC132/$E$5</f>
        <v>0.12</v>
      </c>
      <c r="AE132" s="89">
        <v>389.20499999999998</v>
      </c>
      <c r="AF132" s="94">
        <f t="shared" ref="AF132:AF170" si="820">AE132/$E$8</f>
        <v>8.1000000000000003E-2</v>
      </c>
      <c r="AG132" s="89">
        <v>3810</v>
      </c>
      <c r="AH132" s="94">
        <f t="shared" ref="AH132:AH170" si="821">AG132/$E$17</f>
        <v>0.127</v>
      </c>
      <c r="AI132" s="89">
        <v>790.80100000000004</v>
      </c>
      <c r="AJ132" s="94">
        <f>AI132/$B$6</f>
        <v>5.5E-2</v>
      </c>
      <c r="AK132" s="89">
        <v>299.45690000000002</v>
      </c>
      <c r="AL132" s="94">
        <f>AK132/$B$7</f>
        <v>3.1000000000000003E-2</v>
      </c>
      <c r="AM132" s="89">
        <v>2828.1</v>
      </c>
      <c r="AN132" s="94">
        <f t="shared" ref="AN132:AN170" si="822">AM132/$K$6</f>
        <v>5.5E-2</v>
      </c>
      <c r="AO132" s="89">
        <v>2223.3984</v>
      </c>
      <c r="AP132" s="94">
        <f t="shared" ref="AP132:AP170" si="823">AO132/$K$16</f>
        <v>4.8000000000000001E-2</v>
      </c>
      <c r="AQ132" s="79"/>
      <c r="AR132" s="88">
        <v>38358.913800000002</v>
      </c>
      <c r="AS132" s="76">
        <v>1658.3</v>
      </c>
      <c r="AT132" s="88">
        <v>360.5</v>
      </c>
      <c r="AU132" s="100">
        <f t="shared" ref="AU132:AU170" si="824">AR132/$E$4</f>
        <v>0.43099999999999999</v>
      </c>
      <c r="AV132" s="100">
        <f t="shared" ref="AV132:AV170" si="825">AS132/$E$6</f>
        <v>0.72099999999999997</v>
      </c>
      <c r="AW132" s="100">
        <f t="shared" ref="AW132:AW170" si="826">AT132/$E$7</f>
        <v>0.72099999999999997</v>
      </c>
      <c r="AX132" s="94">
        <v>76.227999999999994</v>
      </c>
      <c r="AY132" s="76">
        <v>2480.0868</v>
      </c>
      <c r="AZ132" s="100">
        <f>AX132/$B$9</f>
        <v>0.11799999999999999</v>
      </c>
      <c r="BA132" s="97">
        <f>AY132/$B$8</f>
        <v>0.21299999999999999</v>
      </c>
      <c r="BB132" s="88">
        <v>18598.2</v>
      </c>
      <c r="BC132" s="76">
        <v>18287.025000000001</v>
      </c>
      <c r="BD132" s="100">
        <f t="shared" ref="BD132:BD170" si="827">BB132/$K$5</f>
        <v>0.41700000000000004</v>
      </c>
      <c r="BE132" s="97">
        <f t="shared" ref="BE132:BE170" si="828">BC132/$K$7</f>
        <v>0.77900000000000003</v>
      </c>
      <c r="BG132" s="88">
        <v>869.31899999999996</v>
      </c>
      <c r="BH132" s="114">
        <f>BG132/$B$10</f>
        <v>0.35300000812129972</v>
      </c>
      <c r="BI132" s="115">
        <v>947.83399999999995</v>
      </c>
      <c r="BJ132" s="114">
        <f>BI132/$B$11</f>
        <v>0.58981580584940885</v>
      </c>
      <c r="BK132" s="115">
        <v>1121.4780000000001</v>
      </c>
      <c r="BL132" s="114">
        <f t="shared" ref="BL132:BL170" si="829">BK132/$K$8</f>
        <v>0.5784392407674851</v>
      </c>
      <c r="BN132" s="111">
        <v>54782.928</v>
      </c>
      <c r="BO132" s="114">
        <f t="shared" ref="BO132:BO170" si="830">BN132/$K$3</f>
        <v>0.78688524590163933</v>
      </c>
      <c r="BQ132" s="142">
        <v>21083.649000000001</v>
      </c>
      <c r="BR132" s="131">
        <v>0</v>
      </c>
      <c r="BS132" s="143">
        <v>0</v>
      </c>
      <c r="BT132" s="105">
        <f t="shared" ref="BT132:BT170" si="831">BQ132/$E$20</f>
        <v>0.64673769938650305</v>
      </c>
      <c r="BU132" s="20">
        <f t="shared" ref="BU132:BU170" si="832">BR132/$E$18+BS132/$E$19</f>
        <v>0</v>
      </c>
      <c r="BV132" s="2">
        <v>0</v>
      </c>
      <c r="BW132" s="2">
        <v>0</v>
      </c>
      <c r="BX132" s="2">
        <v>0</v>
      </c>
      <c r="BY132" s="2">
        <v>1647.3340000000001</v>
      </c>
      <c r="BZ132" s="105">
        <f t="shared" ref="BZ132:BZ170" si="833">BY132/$H$17</f>
        <v>0.12222392046297671</v>
      </c>
      <c r="CA132" s="20">
        <f t="shared" ref="CA132:CA170" si="834">BV132/$H$14+BW132/$H$15+BX132/$H$16</f>
        <v>0</v>
      </c>
      <c r="CB132" s="5">
        <v>10800</v>
      </c>
      <c r="CC132" s="5">
        <v>0</v>
      </c>
      <c r="CE132" s="108">
        <v>-700</v>
      </c>
      <c r="CF132" s="153">
        <f t="shared" ref="CF132:CH170" si="835">IF(CE132&gt;0,CE132,0)</f>
        <v>0</v>
      </c>
      <c r="CG132" s="153">
        <v>4485</v>
      </c>
      <c r="CH132" s="153">
        <f t="shared" si="835"/>
        <v>4485</v>
      </c>
      <c r="CI132" s="153">
        <v>0</v>
      </c>
      <c r="CJ132" s="153">
        <f t="shared" ref="CJ132:CL132" si="836">IF(CI132&gt;0,CI132,0)</f>
        <v>0</v>
      </c>
      <c r="CK132" s="153">
        <v>5000</v>
      </c>
      <c r="CL132" s="153">
        <f t="shared" si="836"/>
        <v>5000</v>
      </c>
      <c r="CM132" s="153">
        <v>-5300</v>
      </c>
      <c r="CN132" s="153">
        <f t="shared" ref="CN132:CP132" si="837">IF(CM132&gt;0,CM132,0)</f>
        <v>0</v>
      </c>
      <c r="CO132" s="153">
        <v>-4000</v>
      </c>
      <c r="CP132" s="153">
        <f t="shared" si="837"/>
        <v>0</v>
      </c>
      <c r="CQ132" s="153">
        <v>-4800</v>
      </c>
      <c r="CR132" s="153">
        <f t="shared" ref="CR132:CT132" si="838">IF(CQ132&gt;0,CQ132,0)</f>
        <v>0</v>
      </c>
      <c r="CS132" s="153">
        <v>9604.15692657</v>
      </c>
      <c r="CT132" s="153">
        <f t="shared" si="838"/>
        <v>9604.15692657</v>
      </c>
      <c r="CU132" s="107">
        <f t="shared" ref="CU132:CU170" si="839">CF132+CH132+CJ132+CL132+CN132+CP132+CR132+CT132</f>
        <v>19089.156926570002</v>
      </c>
      <c r="CW132" s="108">
        <v>-700</v>
      </c>
      <c r="CX132" s="153">
        <f t="shared" ref="CX132:CZ170" si="840">IF(CW132&lt;0,-CW132,0)</f>
        <v>700</v>
      </c>
      <c r="CY132" s="153">
        <v>4485</v>
      </c>
      <c r="CZ132" s="153">
        <f t="shared" si="840"/>
        <v>0</v>
      </c>
      <c r="DA132" s="153">
        <v>0</v>
      </c>
      <c r="DB132" s="153">
        <f t="shared" ref="DB132:DD132" si="841">IF(DA132&lt;0,-DA132,0)</f>
        <v>0</v>
      </c>
      <c r="DC132" s="153">
        <v>5000</v>
      </c>
      <c r="DD132" s="153">
        <f t="shared" si="841"/>
        <v>0</v>
      </c>
      <c r="DE132" s="153">
        <v>-5300</v>
      </c>
      <c r="DF132" s="153">
        <f t="shared" ref="DF132:DH132" si="842">IF(DE132&lt;0,-DE132,0)</f>
        <v>5300</v>
      </c>
      <c r="DG132" s="153">
        <v>-4000</v>
      </c>
      <c r="DH132" s="153">
        <f t="shared" si="842"/>
        <v>4000</v>
      </c>
      <c r="DI132" s="153">
        <v>-4800</v>
      </c>
      <c r="DJ132" s="153">
        <f t="shared" ref="DJ132:DL132" si="843">IF(DI132&lt;0,-DI132,0)</f>
        <v>4800</v>
      </c>
      <c r="DK132" s="153">
        <v>9604.15692657</v>
      </c>
      <c r="DL132" s="153">
        <f t="shared" si="843"/>
        <v>0</v>
      </c>
      <c r="DM132" s="107">
        <f t="shared" ref="DM132:DM170" si="844">CX132+CZ132+DB132+DD132+DF132+DH132+DJ132+DL132</f>
        <v>14800</v>
      </c>
    </row>
    <row r="133" spans="13:117" s="5" customFormat="1" x14ac:dyDescent="0.35">
      <c r="M133" s="77">
        <f t="shared" ref="M133:M168" si="845">1+M132</f>
        <v>131</v>
      </c>
      <c r="N133" s="78">
        <v>3.59999999999999E-2</v>
      </c>
      <c r="O133" s="79">
        <v>0.21600000000000003</v>
      </c>
      <c r="P133" s="79">
        <v>0.29699999999999999</v>
      </c>
      <c r="Q133" s="79">
        <v>33449.326000000001</v>
      </c>
      <c r="R133" s="79">
        <v>2099.5337936800001</v>
      </c>
      <c r="S133" s="79">
        <f t="shared" si="816"/>
        <v>35548.85979368</v>
      </c>
      <c r="T133" s="78">
        <v>8.4000000000000005E-2</v>
      </c>
      <c r="U133" s="79">
        <v>8.900000000000001E-2</v>
      </c>
      <c r="V133" s="79">
        <v>0.124</v>
      </c>
      <c r="W133" s="79">
        <v>0.126</v>
      </c>
      <c r="X133" s="79">
        <f t="shared" si="817"/>
        <v>0.25</v>
      </c>
      <c r="Y133" s="79">
        <v>5222.2489999999998</v>
      </c>
      <c r="Z133" s="79">
        <v>0</v>
      </c>
      <c r="AA133" s="80">
        <f t="shared" si="818"/>
        <v>5222.2489999999998</v>
      </c>
      <c r="AB133" s="79"/>
      <c r="AC133" s="88">
        <v>25398</v>
      </c>
      <c r="AD133" s="94">
        <f t="shared" si="819"/>
        <v>0.30599999999999999</v>
      </c>
      <c r="AE133" s="89">
        <v>1037.8800000000001</v>
      </c>
      <c r="AF133" s="94">
        <f t="shared" si="820"/>
        <v>0.21600000000000003</v>
      </c>
      <c r="AG133" s="89">
        <v>8910</v>
      </c>
      <c r="AH133" s="94">
        <f t="shared" si="821"/>
        <v>0.29699999999999999</v>
      </c>
      <c r="AI133" s="89">
        <v>2933.1527999999998</v>
      </c>
      <c r="AJ133" s="94">
        <f>AI133/$B$6</f>
        <v>0.20399999999999999</v>
      </c>
      <c r="AK133" s="89">
        <v>1130.2083</v>
      </c>
      <c r="AL133" s="94">
        <f>AK133/$B$7</f>
        <v>0.11700000000000001</v>
      </c>
      <c r="AM133" s="89">
        <v>8227.2000000000007</v>
      </c>
      <c r="AN133" s="94">
        <f t="shared" si="822"/>
        <v>0.16</v>
      </c>
      <c r="AO133" s="89">
        <v>6206.9871999999996</v>
      </c>
      <c r="AP133" s="94">
        <f t="shared" si="823"/>
        <v>0.13399999999999998</v>
      </c>
      <c r="AQ133" s="79"/>
      <c r="AR133" s="88">
        <v>39070.912199999999</v>
      </c>
      <c r="AS133" s="76">
        <v>1674.4</v>
      </c>
      <c r="AT133" s="88">
        <v>364</v>
      </c>
      <c r="AU133" s="100">
        <f t="shared" si="824"/>
        <v>0.43899999999999995</v>
      </c>
      <c r="AV133" s="100">
        <f t="shared" si="825"/>
        <v>0.72800000000000009</v>
      </c>
      <c r="AW133" s="100">
        <f t="shared" si="826"/>
        <v>0.72799999999999998</v>
      </c>
      <c r="AX133" s="94">
        <v>80.103999999999999</v>
      </c>
      <c r="AY133" s="76">
        <v>1467.0935999999999</v>
      </c>
      <c r="AZ133" s="100">
        <f>AX133/$B$9</f>
        <v>0.124</v>
      </c>
      <c r="BA133" s="97">
        <f>AY133/$B$8</f>
        <v>0.126</v>
      </c>
      <c r="BB133" s="88">
        <v>16814.2</v>
      </c>
      <c r="BC133" s="76">
        <v>16268.174999999999</v>
      </c>
      <c r="BD133" s="100">
        <f t="shared" si="827"/>
        <v>0.377</v>
      </c>
      <c r="BE133" s="97">
        <f t="shared" si="828"/>
        <v>0.69299999999999995</v>
      </c>
      <c r="BG133" s="88">
        <v>861.93100000000004</v>
      </c>
      <c r="BH133" s="114">
        <f>BG133/$B$10</f>
        <v>0.35000000000000003</v>
      </c>
      <c r="BI133" s="115">
        <v>945.15200000000004</v>
      </c>
      <c r="BJ133" s="114">
        <f>BI133/$B$11</f>
        <v>0.58814685749844431</v>
      </c>
      <c r="BK133" s="115">
        <v>1121.4780000000001</v>
      </c>
      <c r="BL133" s="114">
        <f t="shared" si="829"/>
        <v>0.5784392407674851</v>
      </c>
      <c r="BN133" s="111">
        <v>54782.928</v>
      </c>
      <c r="BO133" s="114">
        <f t="shared" si="830"/>
        <v>0.78688524590163933</v>
      </c>
      <c r="BQ133" s="142">
        <v>28122.741999999998</v>
      </c>
      <c r="BR133" s="131">
        <v>0</v>
      </c>
      <c r="BS133" s="143">
        <v>0</v>
      </c>
      <c r="BT133" s="105">
        <f t="shared" si="831"/>
        <v>0.86266079754601221</v>
      </c>
      <c r="BU133" s="20">
        <f t="shared" si="832"/>
        <v>0</v>
      </c>
      <c r="BV133" s="2">
        <v>0</v>
      </c>
      <c r="BW133" s="2">
        <v>0</v>
      </c>
      <c r="BX133" s="2">
        <v>0</v>
      </c>
      <c r="BY133" s="2">
        <v>3150.95</v>
      </c>
      <c r="BZ133" s="105">
        <f t="shared" si="833"/>
        <v>0.23378468615521589</v>
      </c>
      <c r="CA133" s="20">
        <f t="shared" si="834"/>
        <v>0</v>
      </c>
      <c r="CB133" s="5">
        <v>10800</v>
      </c>
      <c r="CC133" s="5">
        <v>0</v>
      </c>
      <c r="CE133" s="108">
        <v>-700</v>
      </c>
      <c r="CF133" s="153">
        <f t="shared" si="835"/>
        <v>0</v>
      </c>
      <c r="CG133" s="153">
        <v>4485</v>
      </c>
      <c r="CH133" s="153">
        <f t="shared" si="835"/>
        <v>4485</v>
      </c>
      <c r="CI133" s="153">
        <v>0</v>
      </c>
      <c r="CJ133" s="153">
        <f t="shared" ref="CJ133:CL133" si="846">IF(CI133&gt;0,CI133,0)</f>
        <v>0</v>
      </c>
      <c r="CK133" s="153">
        <v>5000</v>
      </c>
      <c r="CL133" s="153">
        <f t="shared" si="846"/>
        <v>5000</v>
      </c>
      <c r="CM133" s="153">
        <v>-5300</v>
      </c>
      <c r="CN133" s="153">
        <f t="shared" ref="CN133:CP133" si="847">IF(CM133&gt;0,CM133,0)</f>
        <v>0</v>
      </c>
      <c r="CO133" s="153">
        <v>-4000</v>
      </c>
      <c r="CP133" s="153">
        <f t="shared" si="847"/>
        <v>0</v>
      </c>
      <c r="CQ133" s="153">
        <v>-4800</v>
      </c>
      <c r="CR133" s="153">
        <f t="shared" ref="CR133:CT133" si="848">IF(CQ133&gt;0,CQ133,0)</f>
        <v>0</v>
      </c>
      <c r="CS133" s="153">
        <v>8186.8005559100002</v>
      </c>
      <c r="CT133" s="153">
        <f t="shared" si="848"/>
        <v>8186.8005559100002</v>
      </c>
      <c r="CU133" s="107">
        <f t="shared" si="839"/>
        <v>17671.800555909998</v>
      </c>
      <c r="CW133" s="108">
        <v>-700</v>
      </c>
      <c r="CX133" s="153">
        <f t="shared" si="840"/>
        <v>700</v>
      </c>
      <c r="CY133" s="153">
        <v>4485</v>
      </c>
      <c r="CZ133" s="153">
        <f t="shared" si="840"/>
        <v>0</v>
      </c>
      <c r="DA133" s="153">
        <v>0</v>
      </c>
      <c r="DB133" s="153">
        <f t="shared" ref="DB133:DD133" si="849">IF(DA133&lt;0,-DA133,0)</f>
        <v>0</v>
      </c>
      <c r="DC133" s="153">
        <v>5000</v>
      </c>
      <c r="DD133" s="153">
        <f t="shared" si="849"/>
        <v>0</v>
      </c>
      <c r="DE133" s="153">
        <v>-5300</v>
      </c>
      <c r="DF133" s="153">
        <f t="shared" ref="DF133:DH133" si="850">IF(DE133&lt;0,-DE133,0)</f>
        <v>5300</v>
      </c>
      <c r="DG133" s="153">
        <v>-4000</v>
      </c>
      <c r="DH133" s="153">
        <f t="shared" si="850"/>
        <v>4000</v>
      </c>
      <c r="DI133" s="153">
        <v>-4800</v>
      </c>
      <c r="DJ133" s="153">
        <f t="shared" ref="DJ133:DL133" si="851">IF(DI133&lt;0,-DI133,0)</f>
        <v>4800</v>
      </c>
      <c r="DK133" s="153">
        <v>8186.8005559100002</v>
      </c>
      <c r="DL133" s="153">
        <f t="shared" si="851"/>
        <v>0</v>
      </c>
      <c r="DM133" s="107">
        <f t="shared" si="844"/>
        <v>14800</v>
      </c>
    </row>
    <row r="134" spans="13:117" s="5" customFormat="1" x14ac:dyDescent="0.35">
      <c r="M134" s="77">
        <f t="shared" si="845"/>
        <v>132</v>
      </c>
      <c r="N134" s="78">
        <v>6.2000000000000006E-2</v>
      </c>
      <c r="O134" s="79">
        <v>0.36</v>
      </c>
      <c r="P134" s="79">
        <v>0.43200000000000005</v>
      </c>
      <c r="Q134" s="79">
        <v>34221.461000000003</v>
      </c>
      <c r="R134" s="79">
        <v>2670.4199233099998</v>
      </c>
      <c r="S134" s="79">
        <f t="shared" si="816"/>
        <v>36891.880923310004</v>
      </c>
      <c r="T134" s="78">
        <v>0.125</v>
      </c>
      <c r="U134" s="79">
        <v>0.16699999999999998</v>
      </c>
      <c r="V134" s="79">
        <v>0.13200000000000001</v>
      </c>
      <c r="W134" s="79">
        <v>0.105</v>
      </c>
      <c r="X134" s="79">
        <f t="shared" si="817"/>
        <v>0.23699999999999999</v>
      </c>
      <c r="Y134" s="79">
        <v>5428.2359999999999</v>
      </c>
      <c r="Z134" s="79">
        <v>0</v>
      </c>
      <c r="AA134" s="80">
        <f t="shared" si="818"/>
        <v>5428.2359999999999</v>
      </c>
      <c r="AB134" s="79"/>
      <c r="AC134" s="88">
        <v>30959</v>
      </c>
      <c r="AD134" s="94">
        <f t="shared" si="819"/>
        <v>0.373</v>
      </c>
      <c r="AE134" s="89">
        <v>1729.8</v>
      </c>
      <c r="AF134" s="94">
        <f t="shared" si="820"/>
        <v>0.36</v>
      </c>
      <c r="AG134" s="89">
        <v>12960</v>
      </c>
      <c r="AH134" s="94">
        <f t="shared" si="821"/>
        <v>0.432</v>
      </c>
      <c r="AI134" s="89">
        <v>5017.9917999999998</v>
      </c>
      <c r="AJ134" s="94">
        <f>AI134/$B$6</f>
        <v>0.34899999999999998</v>
      </c>
      <c r="AK134" s="89">
        <v>1980.2795000000001</v>
      </c>
      <c r="AL134" s="94">
        <f>AK134/$B$7</f>
        <v>0.20500000000000002</v>
      </c>
      <c r="AM134" s="89">
        <v>13523.46</v>
      </c>
      <c r="AN134" s="94">
        <f t="shared" si="822"/>
        <v>0.26299999999999996</v>
      </c>
      <c r="AO134" s="89">
        <v>10005.292799999999</v>
      </c>
      <c r="AP134" s="94">
        <f t="shared" si="823"/>
        <v>0.21599999999999997</v>
      </c>
      <c r="AQ134" s="79"/>
      <c r="AR134" s="88">
        <v>40138.909800000001</v>
      </c>
      <c r="AS134" s="76">
        <v>1681.3</v>
      </c>
      <c r="AT134" s="88">
        <v>365.5</v>
      </c>
      <c r="AU134" s="100">
        <f t="shared" si="824"/>
        <v>0.45100000000000001</v>
      </c>
      <c r="AV134" s="100">
        <f t="shared" si="825"/>
        <v>0.73099999999999998</v>
      </c>
      <c r="AW134" s="100">
        <f t="shared" si="826"/>
        <v>0.73099999999999998</v>
      </c>
      <c r="AX134" s="94">
        <v>85.272000000000006</v>
      </c>
      <c r="AY134" s="76">
        <v>1222.578</v>
      </c>
      <c r="AZ134" s="100">
        <f>AX134/$B$9</f>
        <v>0.13200000000000001</v>
      </c>
      <c r="BA134" s="97">
        <f>AY134/$B$8</f>
        <v>0.105</v>
      </c>
      <c r="BB134" s="88">
        <v>14896.4</v>
      </c>
      <c r="BC134" s="76">
        <v>14108.475</v>
      </c>
      <c r="BD134" s="100">
        <f t="shared" si="827"/>
        <v>0.33400000000000002</v>
      </c>
      <c r="BE134" s="97">
        <f t="shared" si="828"/>
        <v>0.60099999999999998</v>
      </c>
      <c r="BG134" s="88">
        <v>859.46799999999996</v>
      </c>
      <c r="BH134" s="114">
        <f>BG134/$B$10</f>
        <v>0.34899986193790455</v>
      </c>
      <c r="BI134" s="115">
        <v>943.71100000000001</v>
      </c>
      <c r="BJ134" s="114">
        <f>BI134/$B$11</f>
        <v>0.58725015556938398</v>
      </c>
      <c r="BK134" s="115">
        <v>1121.4780000000001</v>
      </c>
      <c r="BL134" s="114">
        <f t="shared" si="829"/>
        <v>0.5784392407674851</v>
      </c>
      <c r="BN134" s="111">
        <v>54782.928</v>
      </c>
      <c r="BO134" s="114">
        <f t="shared" si="830"/>
        <v>0.78688524590163933</v>
      </c>
      <c r="BQ134" s="142">
        <v>32422.995999999999</v>
      </c>
      <c r="BR134" s="131">
        <v>0</v>
      </c>
      <c r="BS134" s="143">
        <v>0</v>
      </c>
      <c r="BT134" s="105">
        <f t="shared" si="831"/>
        <v>0.99457042944785279</v>
      </c>
      <c r="BU134" s="20">
        <f t="shared" si="832"/>
        <v>0</v>
      </c>
      <c r="BV134" s="2">
        <v>0</v>
      </c>
      <c r="BW134" s="2">
        <v>0</v>
      </c>
      <c r="BX134" s="2">
        <v>0</v>
      </c>
      <c r="BY134" s="2">
        <v>4677.8090000000002</v>
      </c>
      <c r="BZ134" s="105">
        <f t="shared" si="833"/>
        <v>0.3470699658703072</v>
      </c>
      <c r="CA134" s="20">
        <f t="shared" si="834"/>
        <v>0</v>
      </c>
      <c r="CB134" s="5">
        <v>10800</v>
      </c>
      <c r="CC134" s="5">
        <v>0</v>
      </c>
      <c r="CE134" s="108">
        <v>-700</v>
      </c>
      <c r="CF134" s="153">
        <f t="shared" si="835"/>
        <v>0</v>
      </c>
      <c r="CG134" s="153">
        <v>4485</v>
      </c>
      <c r="CH134" s="153">
        <f t="shared" si="835"/>
        <v>4485</v>
      </c>
      <c r="CI134" s="153">
        <v>0</v>
      </c>
      <c r="CJ134" s="153">
        <f t="shared" ref="CJ134:CL134" si="852">IF(CI134&gt;0,CI134,0)</f>
        <v>0</v>
      </c>
      <c r="CK134" s="153">
        <v>0</v>
      </c>
      <c r="CL134" s="153">
        <f t="shared" si="852"/>
        <v>0</v>
      </c>
      <c r="CM134" s="153">
        <v>-5300</v>
      </c>
      <c r="CN134" s="153">
        <f t="shared" ref="CN134:CP134" si="853">IF(CM134&gt;0,CM134,0)</f>
        <v>0</v>
      </c>
      <c r="CO134" s="153">
        <v>-4000</v>
      </c>
      <c r="CP134" s="153">
        <f t="shared" si="853"/>
        <v>0</v>
      </c>
      <c r="CQ134" s="153">
        <v>-4800</v>
      </c>
      <c r="CR134" s="153">
        <f t="shared" ref="CR134:CT134" si="854">IF(CQ134&gt;0,CQ134,0)</f>
        <v>0</v>
      </c>
      <c r="CS134" s="153">
        <v>8560.64515321</v>
      </c>
      <c r="CT134" s="153">
        <f t="shared" si="854"/>
        <v>8560.64515321</v>
      </c>
      <c r="CU134" s="107">
        <f t="shared" si="839"/>
        <v>13045.64515321</v>
      </c>
      <c r="CW134" s="108">
        <v>-700</v>
      </c>
      <c r="CX134" s="153">
        <f t="shared" si="840"/>
        <v>700</v>
      </c>
      <c r="CY134" s="153">
        <v>4485</v>
      </c>
      <c r="CZ134" s="153">
        <f t="shared" si="840"/>
        <v>0</v>
      </c>
      <c r="DA134" s="153">
        <v>0</v>
      </c>
      <c r="DB134" s="153">
        <f t="shared" ref="DB134:DD134" si="855">IF(DA134&lt;0,-DA134,0)</f>
        <v>0</v>
      </c>
      <c r="DC134" s="153">
        <v>0</v>
      </c>
      <c r="DD134" s="153">
        <f t="shared" si="855"/>
        <v>0</v>
      </c>
      <c r="DE134" s="153">
        <v>-5300</v>
      </c>
      <c r="DF134" s="153">
        <f t="shared" ref="DF134:DH134" si="856">IF(DE134&lt;0,-DE134,0)</f>
        <v>5300</v>
      </c>
      <c r="DG134" s="153">
        <v>-4000</v>
      </c>
      <c r="DH134" s="153">
        <f t="shared" si="856"/>
        <v>4000</v>
      </c>
      <c r="DI134" s="153">
        <v>-4800</v>
      </c>
      <c r="DJ134" s="153">
        <f t="shared" ref="DJ134:DL134" si="857">IF(DI134&lt;0,-DI134,0)</f>
        <v>4800</v>
      </c>
      <c r="DK134" s="153">
        <v>8560.64515321</v>
      </c>
      <c r="DL134" s="153">
        <f t="shared" si="857"/>
        <v>0</v>
      </c>
      <c r="DM134" s="107">
        <f t="shared" si="844"/>
        <v>14800</v>
      </c>
    </row>
    <row r="135" spans="13:117" s="5" customFormat="1" x14ac:dyDescent="0.35">
      <c r="M135" s="77">
        <f t="shared" si="845"/>
        <v>133</v>
      </c>
      <c r="N135" s="78">
        <v>6.7000000000000004E-2</v>
      </c>
      <c r="O135" s="79">
        <v>0.45799999999999996</v>
      </c>
      <c r="P135" s="79">
        <v>0.496</v>
      </c>
      <c r="Q135" s="79">
        <v>35155.864999999998</v>
      </c>
      <c r="R135" s="79">
        <v>2923.3451267599999</v>
      </c>
      <c r="S135" s="79">
        <f t="shared" si="816"/>
        <v>38079.210126760001</v>
      </c>
      <c r="T135" s="78">
        <v>0.12</v>
      </c>
      <c r="U135" s="79">
        <v>0.180999999999999</v>
      </c>
      <c r="V135" s="79">
        <v>0.15000000000000002</v>
      </c>
      <c r="W135" s="79">
        <v>0.17099999999999999</v>
      </c>
      <c r="X135" s="79">
        <f t="shared" si="817"/>
        <v>0.32100000000000001</v>
      </c>
      <c r="Y135" s="79">
        <v>5772.0529999999999</v>
      </c>
      <c r="Z135" s="79">
        <v>0</v>
      </c>
      <c r="AA135" s="80">
        <f t="shared" si="818"/>
        <v>5772.0529999999999</v>
      </c>
      <c r="AB135" s="79"/>
      <c r="AC135" s="88">
        <v>31872</v>
      </c>
      <c r="AD135" s="94">
        <f t="shared" si="819"/>
        <v>0.38400000000000001</v>
      </c>
      <c r="AE135" s="89">
        <v>2200.69</v>
      </c>
      <c r="AF135" s="94">
        <f t="shared" si="820"/>
        <v>0.45800000000000002</v>
      </c>
      <c r="AG135" s="89">
        <v>14880</v>
      </c>
      <c r="AH135" s="94">
        <f t="shared" si="821"/>
        <v>0.496</v>
      </c>
      <c r="AI135" s="89">
        <v>5909.4402</v>
      </c>
      <c r="AJ135" s="94">
        <f>AI135/$B$6</f>
        <v>0.41099999999999998</v>
      </c>
      <c r="AK135" s="89">
        <v>2424.6349</v>
      </c>
      <c r="AL135" s="94">
        <f>AK135/$B$7</f>
        <v>0.251</v>
      </c>
      <c r="AM135" s="89">
        <v>14911.8</v>
      </c>
      <c r="AN135" s="94">
        <f t="shared" si="822"/>
        <v>0.28999999999999998</v>
      </c>
      <c r="AO135" s="89">
        <v>11070.671200000001</v>
      </c>
      <c r="AP135" s="94">
        <f t="shared" si="823"/>
        <v>0.23899999999999999</v>
      </c>
      <c r="AQ135" s="79"/>
      <c r="AR135" s="88">
        <v>41918.9058</v>
      </c>
      <c r="AS135" s="76">
        <v>1695.1</v>
      </c>
      <c r="AT135" s="88">
        <v>368.5</v>
      </c>
      <c r="AU135" s="100">
        <f t="shared" si="824"/>
        <v>0.47099999999999997</v>
      </c>
      <c r="AV135" s="100">
        <f t="shared" si="825"/>
        <v>0.73699999999999999</v>
      </c>
      <c r="AW135" s="100">
        <f t="shared" si="826"/>
        <v>0.73699999999999999</v>
      </c>
      <c r="AX135" s="94">
        <v>96.9</v>
      </c>
      <c r="AY135" s="76">
        <v>1991.0555999999999</v>
      </c>
      <c r="AZ135" s="100">
        <f>AX135/$B$9</f>
        <v>0.15000000000000002</v>
      </c>
      <c r="BA135" s="97">
        <f>AY135/$B$8</f>
        <v>0.17099999999999999</v>
      </c>
      <c r="BB135" s="88">
        <v>13915.2</v>
      </c>
      <c r="BC135" s="76">
        <v>12418.275</v>
      </c>
      <c r="BD135" s="100">
        <f t="shared" si="827"/>
        <v>0.312</v>
      </c>
      <c r="BE135" s="97">
        <f t="shared" si="828"/>
        <v>0.52900000000000003</v>
      </c>
      <c r="BG135" s="88">
        <v>857.00599999999997</v>
      </c>
      <c r="BH135" s="114">
        <f>BG135/$B$10</f>
        <v>0.34800012994079571</v>
      </c>
      <c r="BI135" s="115">
        <v>951.82299999999998</v>
      </c>
      <c r="BJ135" s="114">
        <f>BI135/$B$11</f>
        <v>0.59229807093963904</v>
      </c>
      <c r="BK135" s="115">
        <v>1121.4780000000001</v>
      </c>
      <c r="BL135" s="114">
        <f t="shared" si="829"/>
        <v>0.5784392407674851</v>
      </c>
      <c r="BN135" s="111">
        <v>54782.928</v>
      </c>
      <c r="BO135" s="114">
        <f t="shared" si="830"/>
        <v>0.78688524590163933</v>
      </c>
      <c r="BQ135" s="142">
        <v>32600</v>
      </c>
      <c r="BR135" s="131">
        <v>982.97</v>
      </c>
      <c r="BS135" s="143">
        <v>1052.1990000000001</v>
      </c>
      <c r="BT135" s="105">
        <f t="shared" si="831"/>
        <v>1</v>
      </c>
      <c r="BU135" s="20">
        <f t="shared" si="832"/>
        <v>5.355752995814702E-2</v>
      </c>
      <c r="BV135" s="2">
        <v>0</v>
      </c>
      <c r="BW135" s="2">
        <v>0</v>
      </c>
      <c r="BX135" s="2">
        <v>0</v>
      </c>
      <c r="BY135" s="2">
        <v>5510.2169999999996</v>
      </c>
      <c r="BZ135" s="105">
        <f t="shared" si="833"/>
        <v>0.40883046446060245</v>
      </c>
      <c r="CA135" s="20">
        <f t="shared" si="834"/>
        <v>0</v>
      </c>
      <c r="CB135" s="5">
        <v>10800</v>
      </c>
      <c r="CC135" s="5">
        <v>0</v>
      </c>
      <c r="CE135" s="108">
        <v>-700</v>
      </c>
      <c r="CF135" s="153">
        <f t="shared" si="835"/>
        <v>0</v>
      </c>
      <c r="CG135" s="153">
        <v>4485</v>
      </c>
      <c r="CH135" s="153">
        <f t="shared" si="835"/>
        <v>4485</v>
      </c>
      <c r="CI135" s="153">
        <v>0</v>
      </c>
      <c r="CJ135" s="153">
        <f t="shared" ref="CJ135:CL135" si="858">IF(CI135&gt;0,CI135,0)</f>
        <v>0</v>
      </c>
      <c r="CK135" s="153">
        <v>0</v>
      </c>
      <c r="CL135" s="153">
        <f t="shared" si="858"/>
        <v>0</v>
      </c>
      <c r="CM135" s="153">
        <v>-5300</v>
      </c>
      <c r="CN135" s="153">
        <f t="shared" ref="CN135:CP135" si="859">IF(CM135&gt;0,CM135,0)</f>
        <v>0</v>
      </c>
      <c r="CO135" s="153">
        <v>-4000</v>
      </c>
      <c r="CP135" s="153">
        <f t="shared" si="859"/>
        <v>0</v>
      </c>
      <c r="CQ135" s="153">
        <v>-4800</v>
      </c>
      <c r="CR135" s="153">
        <f t="shared" ref="CR135:CT135" si="860">IF(CQ135&gt;0,CQ135,0)</f>
        <v>0</v>
      </c>
      <c r="CS135" s="153">
        <v>9267.7470492299999</v>
      </c>
      <c r="CT135" s="153">
        <f t="shared" si="860"/>
        <v>9267.7470492299999</v>
      </c>
      <c r="CU135" s="107">
        <f t="shared" si="839"/>
        <v>13752.74704923</v>
      </c>
      <c r="CW135" s="108">
        <v>-700</v>
      </c>
      <c r="CX135" s="153">
        <f t="shared" si="840"/>
        <v>700</v>
      </c>
      <c r="CY135" s="153">
        <v>4485</v>
      </c>
      <c r="CZ135" s="153">
        <f t="shared" si="840"/>
        <v>0</v>
      </c>
      <c r="DA135" s="153">
        <v>0</v>
      </c>
      <c r="DB135" s="153">
        <f t="shared" ref="DB135:DD135" si="861">IF(DA135&lt;0,-DA135,0)</f>
        <v>0</v>
      </c>
      <c r="DC135" s="153">
        <v>0</v>
      </c>
      <c r="DD135" s="153">
        <f t="shared" si="861"/>
        <v>0</v>
      </c>
      <c r="DE135" s="153">
        <v>-5300</v>
      </c>
      <c r="DF135" s="153">
        <f t="shared" ref="DF135:DH135" si="862">IF(DE135&lt;0,-DE135,0)</f>
        <v>5300</v>
      </c>
      <c r="DG135" s="153">
        <v>-4000</v>
      </c>
      <c r="DH135" s="153">
        <f t="shared" si="862"/>
        <v>4000</v>
      </c>
      <c r="DI135" s="153">
        <v>-4800</v>
      </c>
      <c r="DJ135" s="153">
        <f t="shared" ref="DJ135:DL135" si="863">IF(DI135&lt;0,-DI135,0)</f>
        <v>4800</v>
      </c>
      <c r="DK135" s="153">
        <v>9267.7470492299999</v>
      </c>
      <c r="DL135" s="153">
        <f t="shared" si="863"/>
        <v>0</v>
      </c>
      <c r="DM135" s="107">
        <f t="shared" si="844"/>
        <v>14800</v>
      </c>
    </row>
    <row r="136" spans="13:117" s="5" customFormat="1" x14ac:dyDescent="0.35">
      <c r="M136" s="77">
        <f t="shared" si="845"/>
        <v>134</v>
      </c>
      <c r="N136" s="78">
        <v>5.4000000000000006E-2</v>
      </c>
      <c r="O136" s="79">
        <v>0.48</v>
      </c>
      <c r="P136" s="79">
        <v>0.496</v>
      </c>
      <c r="Q136" s="79">
        <v>35486.675999999999</v>
      </c>
      <c r="R136" s="79">
        <v>2601.0009946300002</v>
      </c>
      <c r="S136" s="79">
        <f t="shared" si="816"/>
        <v>38087.676994629997</v>
      </c>
      <c r="T136" s="78">
        <v>0.114</v>
      </c>
      <c r="U136" s="79">
        <v>0.157</v>
      </c>
      <c r="V136" s="79">
        <v>0.17499999999999999</v>
      </c>
      <c r="W136" s="79">
        <v>0.27300000000000002</v>
      </c>
      <c r="X136" s="79">
        <f t="shared" si="817"/>
        <v>0.44800000000000001</v>
      </c>
      <c r="Y136" s="79">
        <v>5541.1480000000001</v>
      </c>
      <c r="Z136" s="79">
        <v>0</v>
      </c>
      <c r="AA136" s="80">
        <f t="shared" si="818"/>
        <v>5541.1480000000001</v>
      </c>
      <c r="AB136" s="79"/>
      <c r="AC136" s="88">
        <v>31623</v>
      </c>
      <c r="AD136" s="94">
        <f t="shared" si="819"/>
        <v>0.38100000000000001</v>
      </c>
      <c r="AE136" s="89">
        <v>2306.4</v>
      </c>
      <c r="AF136" s="94">
        <f t="shared" si="820"/>
        <v>0.48000000000000004</v>
      </c>
      <c r="AG136" s="89">
        <v>14880</v>
      </c>
      <c r="AH136" s="94">
        <f t="shared" si="821"/>
        <v>0.496</v>
      </c>
      <c r="AI136" s="89">
        <v>5866.3055999999997</v>
      </c>
      <c r="AJ136" s="94">
        <f>AI136/$B$6</f>
        <v>0.40799999999999997</v>
      </c>
      <c r="AK136" s="89">
        <v>2463.2745</v>
      </c>
      <c r="AL136" s="94">
        <f>AK136/$B$7</f>
        <v>0.255</v>
      </c>
      <c r="AM136" s="89">
        <v>13780.56</v>
      </c>
      <c r="AN136" s="94">
        <f t="shared" si="822"/>
        <v>0.26800000000000002</v>
      </c>
      <c r="AO136" s="89">
        <v>10236.8968</v>
      </c>
      <c r="AP136" s="94">
        <f t="shared" si="823"/>
        <v>0.221</v>
      </c>
      <c r="AQ136" s="79"/>
      <c r="AR136" s="88">
        <v>42274.904999999999</v>
      </c>
      <c r="AS136" s="76">
        <v>1713.5</v>
      </c>
      <c r="AT136" s="88">
        <v>372.5</v>
      </c>
      <c r="AU136" s="100">
        <f t="shared" si="824"/>
        <v>0.47499999999999998</v>
      </c>
      <c r="AV136" s="100">
        <f t="shared" si="825"/>
        <v>0.745</v>
      </c>
      <c r="AW136" s="100">
        <f t="shared" si="826"/>
        <v>0.745</v>
      </c>
      <c r="AX136" s="94">
        <v>113.05</v>
      </c>
      <c r="AY136" s="76">
        <v>3178.7028</v>
      </c>
      <c r="AZ136" s="100">
        <f>AX136/$B$9</f>
        <v>0.17499999999999999</v>
      </c>
      <c r="BA136" s="97">
        <f>AY136/$B$8</f>
        <v>0.27300000000000002</v>
      </c>
      <c r="BB136" s="88">
        <v>12354.2</v>
      </c>
      <c r="BC136" s="76">
        <v>11831.4</v>
      </c>
      <c r="BD136" s="100">
        <f t="shared" si="827"/>
        <v>0.27700000000000002</v>
      </c>
      <c r="BE136" s="97">
        <f t="shared" si="828"/>
        <v>0.504</v>
      </c>
      <c r="BG136" s="88">
        <v>859.46799999999996</v>
      </c>
      <c r="BH136" s="114">
        <f>BG136/$B$10</f>
        <v>0.34899986193790455</v>
      </c>
      <c r="BI136" s="115">
        <v>966.63800000000003</v>
      </c>
      <c r="BJ136" s="114">
        <f>BI136/$B$11</f>
        <v>0.60151711263223395</v>
      </c>
      <c r="BK136" s="115">
        <v>1121.4780000000001</v>
      </c>
      <c r="BL136" s="114">
        <f t="shared" si="829"/>
        <v>0.5784392407674851</v>
      </c>
      <c r="BN136" s="111">
        <v>54782.928</v>
      </c>
      <c r="BO136" s="114">
        <f t="shared" si="830"/>
        <v>0.78688524590163933</v>
      </c>
      <c r="BQ136" s="142">
        <v>32600</v>
      </c>
      <c r="BR136" s="131">
        <v>1012.544</v>
      </c>
      <c r="BS136" s="143">
        <v>1097.9839999999999</v>
      </c>
      <c r="BT136" s="105">
        <f t="shared" si="831"/>
        <v>1</v>
      </c>
      <c r="BU136" s="20">
        <f t="shared" si="832"/>
        <v>5.554067823729042E-2</v>
      </c>
      <c r="BV136" s="2">
        <v>0</v>
      </c>
      <c r="BW136" s="2">
        <v>0</v>
      </c>
      <c r="BX136" s="2">
        <v>0</v>
      </c>
      <c r="BY136" s="2">
        <v>5752.2330000000002</v>
      </c>
      <c r="BZ136" s="105">
        <f t="shared" si="833"/>
        <v>0.42678683780976406</v>
      </c>
      <c r="CA136" s="20">
        <f t="shared" si="834"/>
        <v>0</v>
      </c>
      <c r="CB136" s="5">
        <v>10800</v>
      </c>
      <c r="CC136" s="5">
        <v>0</v>
      </c>
      <c r="CE136" s="108">
        <v>-700</v>
      </c>
      <c r="CF136" s="153">
        <f t="shared" si="835"/>
        <v>0</v>
      </c>
      <c r="CG136" s="153">
        <v>4485</v>
      </c>
      <c r="CH136" s="153">
        <f t="shared" si="835"/>
        <v>4485</v>
      </c>
      <c r="CI136" s="153">
        <v>0</v>
      </c>
      <c r="CJ136" s="153">
        <f t="shared" ref="CJ136:CL136" si="864">IF(CI136&gt;0,CI136,0)</f>
        <v>0</v>
      </c>
      <c r="CK136" s="153">
        <v>-5000</v>
      </c>
      <c r="CL136" s="153">
        <f t="shared" si="864"/>
        <v>0</v>
      </c>
      <c r="CM136" s="153">
        <v>-5300</v>
      </c>
      <c r="CN136" s="153">
        <f t="shared" ref="CN136:CP136" si="865">IF(CM136&gt;0,CM136,0)</f>
        <v>0</v>
      </c>
      <c r="CO136" s="153">
        <v>-4000</v>
      </c>
      <c r="CP136" s="153">
        <f t="shared" si="865"/>
        <v>0</v>
      </c>
      <c r="CQ136" s="153">
        <v>-4800</v>
      </c>
      <c r="CR136" s="153">
        <f t="shared" ref="CR136:CT136" si="866">IF(CQ136&gt;0,CQ136,0)</f>
        <v>0</v>
      </c>
      <c r="CS136" s="153">
        <v>11783.784471749999</v>
      </c>
      <c r="CT136" s="153">
        <f t="shared" si="866"/>
        <v>11783.784471749999</v>
      </c>
      <c r="CU136" s="107">
        <f t="shared" si="839"/>
        <v>16268.784471749999</v>
      </c>
      <c r="CW136" s="108">
        <v>-700</v>
      </c>
      <c r="CX136" s="153">
        <f t="shared" si="840"/>
        <v>700</v>
      </c>
      <c r="CY136" s="153">
        <v>4485</v>
      </c>
      <c r="CZ136" s="153">
        <f t="shared" si="840"/>
        <v>0</v>
      </c>
      <c r="DA136" s="153">
        <v>0</v>
      </c>
      <c r="DB136" s="153">
        <f t="shared" ref="DB136:DD136" si="867">IF(DA136&lt;0,-DA136,0)</f>
        <v>0</v>
      </c>
      <c r="DC136" s="153">
        <v>-5000</v>
      </c>
      <c r="DD136" s="153">
        <f t="shared" si="867"/>
        <v>5000</v>
      </c>
      <c r="DE136" s="153">
        <v>-5300</v>
      </c>
      <c r="DF136" s="153">
        <f t="shared" ref="DF136:DH136" si="868">IF(DE136&lt;0,-DE136,0)</f>
        <v>5300</v>
      </c>
      <c r="DG136" s="153">
        <v>-4000</v>
      </c>
      <c r="DH136" s="153">
        <f t="shared" si="868"/>
        <v>4000</v>
      </c>
      <c r="DI136" s="153">
        <v>-4800</v>
      </c>
      <c r="DJ136" s="153">
        <f t="shared" ref="DJ136:DL136" si="869">IF(DI136&lt;0,-DI136,0)</f>
        <v>4800</v>
      </c>
      <c r="DK136" s="153">
        <v>11783.784471749999</v>
      </c>
      <c r="DL136" s="153">
        <f t="shared" si="869"/>
        <v>0</v>
      </c>
      <c r="DM136" s="107">
        <f t="shared" si="844"/>
        <v>19800</v>
      </c>
    </row>
    <row r="137" spans="13:117" s="5" customFormat="1" x14ac:dyDescent="0.35">
      <c r="M137" s="77">
        <f t="shared" si="845"/>
        <v>135</v>
      </c>
      <c r="N137" s="78">
        <v>3.1000000000000003E-2</v>
      </c>
      <c r="O137" s="79">
        <v>0.41699999999999904</v>
      </c>
      <c r="P137" s="79">
        <v>0.43799999999999994</v>
      </c>
      <c r="Q137" s="79">
        <v>34433.777999999998</v>
      </c>
      <c r="R137" s="79">
        <v>1949.9707367599999</v>
      </c>
      <c r="S137" s="79">
        <f t="shared" si="816"/>
        <v>36383.748736759997</v>
      </c>
      <c r="T137" s="78">
        <v>9.6999999999999989E-2</v>
      </c>
      <c r="U137" s="79">
        <v>0.107</v>
      </c>
      <c r="V137" s="79">
        <v>0.22099999999999997</v>
      </c>
      <c r="W137" s="79">
        <v>0.35600000000000004</v>
      </c>
      <c r="X137" s="79">
        <f t="shared" si="817"/>
        <v>0.57699999999999996</v>
      </c>
      <c r="Y137" s="79">
        <v>5346.7479999999996</v>
      </c>
      <c r="Z137" s="79">
        <v>0</v>
      </c>
      <c r="AA137" s="80">
        <f t="shared" si="818"/>
        <v>5346.7479999999996</v>
      </c>
      <c r="AB137" s="79"/>
      <c r="AC137" s="88">
        <v>30627</v>
      </c>
      <c r="AD137" s="94">
        <f t="shared" si="819"/>
        <v>0.36899999999999999</v>
      </c>
      <c r="AE137" s="89">
        <v>2003.6849999999999</v>
      </c>
      <c r="AF137" s="94">
        <f t="shared" si="820"/>
        <v>0.41699999999999998</v>
      </c>
      <c r="AG137" s="89">
        <v>13140</v>
      </c>
      <c r="AH137" s="94">
        <f t="shared" si="821"/>
        <v>0.438</v>
      </c>
      <c r="AI137" s="89">
        <v>5046.7482</v>
      </c>
      <c r="AJ137" s="94">
        <f>AI137/$B$6</f>
        <v>0.35099999999999998</v>
      </c>
      <c r="AK137" s="89">
        <v>2144.4978000000001</v>
      </c>
      <c r="AL137" s="94">
        <f>AK137/$B$7</f>
        <v>0.22200000000000003</v>
      </c>
      <c r="AM137" s="89">
        <v>10695.36</v>
      </c>
      <c r="AN137" s="94">
        <f t="shared" si="822"/>
        <v>0.20800000000000002</v>
      </c>
      <c r="AO137" s="89">
        <v>7828.2151999999996</v>
      </c>
      <c r="AP137" s="94">
        <f t="shared" si="823"/>
        <v>0.16899999999999998</v>
      </c>
      <c r="AQ137" s="79"/>
      <c r="AR137" s="88">
        <v>41028.907800000001</v>
      </c>
      <c r="AS137" s="76">
        <v>1734.2</v>
      </c>
      <c r="AT137" s="88">
        <v>377</v>
      </c>
      <c r="AU137" s="100">
        <f t="shared" si="824"/>
        <v>0.46100000000000002</v>
      </c>
      <c r="AV137" s="100">
        <f t="shared" si="825"/>
        <v>0.754</v>
      </c>
      <c r="AW137" s="100">
        <f t="shared" si="826"/>
        <v>0.754</v>
      </c>
      <c r="AX137" s="94">
        <v>142.76599999999999</v>
      </c>
      <c r="AY137" s="76">
        <v>4145.1216000000004</v>
      </c>
      <c r="AZ137" s="100">
        <f>AX137/$B$9</f>
        <v>0.22099999999999997</v>
      </c>
      <c r="BA137" s="97">
        <f>AY137/$B$8</f>
        <v>0.35600000000000004</v>
      </c>
      <c r="BB137" s="88">
        <v>10302.6</v>
      </c>
      <c r="BC137" s="76">
        <v>12746.924999999999</v>
      </c>
      <c r="BD137" s="100">
        <f t="shared" si="827"/>
        <v>0.23100000000000001</v>
      </c>
      <c r="BE137" s="97">
        <f t="shared" si="828"/>
        <v>0.54299999999999993</v>
      </c>
      <c r="BG137" s="88">
        <v>859.46799999999996</v>
      </c>
      <c r="BH137" s="114">
        <f>BG137/$B$10</f>
        <v>0.34899986193790455</v>
      </c>
      <c r="BI137" s="115">
        <v>980.21100000000001</v>
      </c>
      <c r="BJ137" s="114">
        <f>BI137/$B$11</f>
        <v>0.60996328562538893</v>
      </c>
      <c r="BK137" s="115">
        <v>1121.4780000000001</v>
      </c>
      <c r="BL137" s="114">
        <f t="shared" si="829"/>
        <v>0.5784392407674851</v>
      </c>
      <c r="BN137" s="111">
        <v>54782.928</v>
      </c>
      <c r="BO137" s="114">
        <f t="shared" si="830"/>
        <v>0.78688524590163933</v>
      </c>
      <c r="BQ137" s="142">
        <v>32600</v>
      </c>
      <c r="BR137" s="131">
        <v>116.871</v>
      </c>
      <c r="BS137" s="143">
        <v>133.58799999999999</v>
      </c>
      <c r="BT137" s="105">
        <f t="shared" si="831"/>
        <v>1</v>
      </c>
      <c r="BU137" s="20">
        <f t="shared" si="832"/>
        <v>6.5910818196363756E-3</v>
      </c>
      <c r="BV137" s="2">
        <v>0</v>
      </c>
      <c r="BW137" s="2">
        <v>0</v>
      </c>
      <c r="BX137" s="2">
        <v>0</v>
      </c>
      <c r="BY137" s="2">
        <v>5588.8590000000004</v>
      </c>
      <c r="BZ137" s="105">
        <f t="shared" si="833"/>
        <v>0.41466530642528565</v>
      </c>
      <c r="CA137" s="20">
        <f t="shared" si="834"/>
        <v>0</v>
      </c>
      <c r="CB137" s="5">
        <v>10800</v>
      </c>
      <c r="CC137" s="5">
        <v>0</v>
      </c>
      <c r="CE137" s="108">
        <v>-700</v>
      </c>
      <c r="CF137" s="153">
        <f t="shared" si="835"/>
        <v>0</v>
      </c>
      <c r="CG137" s="153">
        <v>4485</v>
      </c>
      <c r="CH137" s="153">
        <f t="shared" si="835"/>
        <v>4485</v>
      </c>
      <c r="CI137" s="153">
        <v>0</v>
      </c>
      <c r="CJ137" s="153">
        <f t="shared" ref="CJ137:CL137" si="870">IF(CI137&gt;0,CI137,0)</f>
        <v>0</v>
      </c>
      <c r="CK137" s="153">
        <v>-5000</v>
      </c>
      <c r="CL137" s="153">
        <f t="shared" si="870"/>
        <v>0</v>
      </c>
      <c r="CM137" s="153">
        <v>-5300</v>
      </c>
      <c r="CN137" s="153">
        <f t="shared" ref="CN137:CP137" si="871">IF(CM137&gt;0,CM137,0)</f>
        <v>0</v>
      </c>
      <c r="CO137" s="153">
        <v>-4000</v>
      </c>
      <c r="CP137" s="153">
        <f t="shared" si="871"/>
        <v>0</v>
      </c>
      <c r="CQ137" s="153">
        <v>-4800</v>
      </c>
      <c r="CR137" s="153">
        <f t="shared" ref="CR137:CT137" si="872">IF(CQ137&gt;0,CQ137,0)</f>
        <v>0</v>
      </c>
      <c r="CS137" s="153">
        <v>14347.064148580001</v>
      </c>
      <c r="CT137" s="153">
        <f t="shared" si="872"/>
        <v>14347.064148580001</v>
      </c>
      <c r="CU137" s="107">
        <f t="shared" si="839"/>
        <v>18832.064148580001</v>
      </c>
      <c r="CW137" s="108">
        <v>-700</v>
      </c>
      <c r="CX137" s="153">
        <f t="shared" si="840"/>
        <v>700</v>
      </c>
      <c r="CY137" s="153">
        <v>4485</v>
      </c>
      <c r="CZ137" s="153">
        <f t="shared" si="840"/>
        <v>0</v>
      </c>
      <c r="DA137" s="153">
        <v>0</v>
      </c>
      <c r="DB137" s="153">
        <f t="shared" ref="DB137:DD137" si="873">IF(DA137&lt;0,-DA137,0)</f>
        <v>0</v>
      </c>
      <c r="DC137" s="153">
        <v>-5000</v>
      </c>
      <c r="DD137" s="153">
        <f t="shared" si="873"/>
        <v>5000</v>
      </c>
      <c r="DE137" s="153">
        <v>-5300</v>
      </c>
      <c r="DF137" s="153">
        <f t="shared" ref="DF137:DH137" si="874">IF(DE137&lt;0,-DE137,0)</f>
        <v>5300</v>
      </c>
      <c r="DG137" s="153">
        <v>-4000</v>
      </c>
      <c r="DH137" s="153">
        <f t="shared" si="874"/>
        <v>4000</v>
      </c>
      <c r="DI137" s="153">
        <v>-4800</v>
      </c>
      <c r="DJ137" s="153">
        <f t="shared" ref="DJ137:DL137" si="875">IF(DI137&lt;0,-DI137,0)</f>
        <v>4800</v>
      </c>
      <c r="DK137" s="153">
        <v>14347.064148580001</v>
      </c>
      <c r="DL137" s="153">
        <f t="shared" si="875"/>
        <v>0</v>
      </c>
      <c r="DM137" s="107">
        <f t="shared" si="844"/>
        <v>19800</v>
      </c>
    </row>
    <row r="138" spans="13:117" s="5" customFormat="1" x14ac:dyDescent="0.35">
      <c r="M138" s="77">
        <f t="shared" si="845"/>
        <v>136</v>
      </c>
      <c r="N138" s="78">
        <v>0.01</v>
      </c>
      <c r="O138" s="79">
        <v>0.28899999999999998</v>
      </c>
      <c r="P138" s="79">
        <v>0.33500000000000002</v>
      </c>
      <c r="Q138" s="79">
        <v>33882.572999999997</v>
      </c>
      <c r="R138" s="79">
        <v>1661.6443127800001</v>
      </c>
      <c r="S138" s="79">
        <f t="shared" si="816"/>
        <v>35544.217312779998</v>
      </c>
      <c r="T138" s="78">
        <v>5.5E-2</v>
      </c>
      <c r="U138" s="79">
        <v>6.4000000000000001E-2</v>
      </c>
      <c r="V138" s="79">
        <v>0.29099999999999998</v>
      </c>
      <c r="W138" s="79">
        <v>0.40699999999999997</v>
      </c>
      <c r="X138" s="79">
        <f t="shared" si="817"/>
        <v>0.69799999999999995</v>
      </c>
      <c r="Y138" s="79">
        <v>5363.0209999999997</v>
      </c>
      <c r="Z138" s="79">
        <v>0</v>
      </c>
      <c r="AA138" s="80">
        <f t="shared" si="818"/>
        <v>5363.0209999999997</v>
      </c>
      <c r="AB138" s="79"/>
      <c r="AC138" s="88">
        <v>28137</v>
      </c>
      <c r="AD138" s="94">
        <f t="shared" si="819"/>
        <v>0.33900000000000002</v>
      </c>
      <c r="AE138" s="89">
        <v>1388.645</v>
      </c>
      <c r="AF138" s="94">
        <f t="shared" si="820"/>
        <v>0.28899999999999998</v>
      </c>
      <c r="AG138" s="89">
        <v>10050</v>
      </c>
      <c r="AH138" s="94">
        <f t="shared" si="821"/>
        <v>0.33500000000000002</v>
      </c>
      <c r="AI138" s="89">
        <v>3925.2485999999999</v>
      </c>
      <c r="AJ138" s="94">
        <f>AI138/$B$6</f>
        <v>0.27299999999999996</v>
      </c>
      <c r="AK138" s="89">
        <v>1680.8226</v>
      </c>
      <c r="AL138" s="94">
        <f>AK138/$B$7</f>
        <v>0.17400000000000002</v>
      </c>
      <c r="AM138" s="89">
        <v>7044.54</v>
      </c>
      <c r="AN138" s="94">
        <f t="shared" si="822"/>
        <v>0.13700000000000001</v>
      </c>
      <c r="AO138" s="89">
        <v>5048.9672</v>
      </c>
      <c r="AP138" s="94">
        <f t="shared" si="823"/>
        <v>0.109</v>
      </c>
      <c r="AQ138" s="79"/>
      <c r="AR138" s="88">
        <v>38625.913200000003</v>
      </c>
      <c r="AS138" s="76">
        <v>1743.4</v>
      </c>
      <c r="AT138" s="88">
        <v>379</v>
      </c>
      <c r="AU138" s="100">
        <f t="shared" si="824"/>
        <v>0.434</v>
      </c>
      <c r="AV138" s="100">
        <f t="shared" si="825"/>
        <v>0.75800000000000001</v>
      </c>
      <c r="AW138" s="100">
        <f t="shared" si="826"/>
        <v>0.75800000000000001</v>
      </c>
      <c r="AX138" s="94">
        <v>187.98599999999999</v>
      </c>
      <c r="AY138" s="76">
        <v>4738.9452000000001</v>
      </c>
      <c r="AZ138" s="100">
        <f>AX138/$B$9</f>
        <v>0.29099999999999998</v>
      </c>
      <c r="BA138" s="97">
        <f>AY138/$B$8</f>
        <v>0.40699999999999997</v>
      </c>
      <c r="BB138" s="88">
        <v>8741.6</v>
      </c>
      <c r="BC138" s="76">
        <v>13779.825000000001</v>
      </c>
      <c r="BD138" s="100">
        <f t="shared" si="827"/>
        <v>0.19600000000000001</v>
      </c>
      <c r="BE138" s="97">
        <f t="shared" si="828"/>
        <v>0.58700000000000008</v>
      </c>
      <c r="BG138" s="88">
        <v>854.54300000000001</v>
      </c>
      <c r="BH138" s="114">
        <f>BG138/$B$10</f>
        <v>0.34699999187870029</v>
      </c>
      <c r="BI138" s="115">
        <v>982.89499999999998</v>
      </c>
      <c r="BJ138" s="114">
        <f>BI138/$B$11</f>
        <v>0.61163347853142502</v>
      </c>
      <c r="BK138" s="115">
        <v>1121.4780000000001</v>
      </c>
      <c r="BL138" s="114">
        <f t="shared" si="829"/>
        <v>0.5784392407674851</v>
      </c>
      <c r="BN138" s="111">
        <v>54782.928</v>
      </c>
      <c r="BO138" s="114">
        <f t="shared" si="830"/>
        <v>0.78688524590163933</v>
      </c>
      <c r="BQ138" s="142">
        <v>29287.587</v>
      </c>
      <c r="BR138" s="131">
        <v>0</v>
      </c>
      <c r="BS138" s="143">
        <v>0</v>
      </c>
      <c r="BT138" s="105">
        <f t="shared" si="831"/>
        <v>0.89839223926380363</v>
      </c>
      <c r="BU138" s="20">
        <f t="shared" si="832"/>
        <v>0</v>
      </c>
      <c r="BV138" s="2">
        <v>0</v>
      </c>
      <c r="BW138" s="2">
        <v>0</v>
      </c>
      <c r="BX138" s="2">
        <v>0</v>
      </c>
      <c r="BY138" s="2">
        <v>5423.2290000000003</v>
      </c>
      <c r="BZ138" s="105">
        <f t="shared" si="833"/>
        <v>0.40237639115595786</v>
      </c>
      <c r="CA138" s="20">
        <f t="shared" si="834"/>
        <v>0</v>
      </c>
      <c r="CB138" s="5">
        <v>10800</v>
      </c>
      <c r="CC138" s="5">
        <v>0</v>
      </c>
      <c r="CE138" s="108">
        <v>-700</v>
      </c>
      <c r="CF138" s="153">
        <f t="shared" si="835"/>
        <v>0</v>
      </c>
      <c r="CG138" s="153">
        <v>4485</v>
      </c>
      <c r="CH138" s="153">
        <f t="shared" si="835"/>
        <v>4485</v>
      </c>
      <c r="CI138" s="153">
        <v>0</v>
      </c>
      <c r="CJ138" s="153">
        <f t="shared" ref="CJ138:CL138" si="876">IF(CI138&gt;0,CI138,0)</f>
        <v>0</v>
      </c>
      <c r="CK138" s="153">
        <v>-5000</v>
      </c>
      <c r="CL138" s="153">
        <f t="shared" si="876"/>
        <v>0</v>
      </c>
      <c r="CM138" s="153">
        <v>-5300</v>
      </c>
      <c r="CN138" s="153">
        <f t="shared" ref="CN138:CP138" si="877">IF(CM138&gt;0,CM138,0)</f>
        <v>0</v>
      </c>
      <c r="CO138" s="153">
        <v>-4000</v>
      </c>
      <c r="CP138" s="153">
        <f t="shared" si="877"/>
        <v>0</v>
      </c>
      <c r="CQ138" s="153">
        <v>-4800</v>
      </c>
      <c r="CR138" s="153">
        <f t="shared" ref="CR138:CT138" si="878">IF(CQ138&gt;0,CQ138,0)</f>
        <v>0</v>
      </c>
      <c r="CS138" s="153">
        <v>11782.291210720001</v>
      </c>
      <c r="CT138" s="153">
        <f t="shared" si="878"/>
        <v>11782.291210720001</v>
      </c>
      <c r="CU138" s="107">
        <f t="shared" si="839"/>
        <v>16267.291210720001</v>
      </c>
      <c r="CW138" s="108">
        <v>-700</v>
      </c>
      <c r="CX138" s="153">
        <f t="shared" si="840"/>
        <v>700</v>
      </c>
      <c r="CY138" s="153">
        <v>4485</v>
      </c>
      <c r="CZ138" s="153">
        <f t="shared" si="840"/>
        <v>0</v>
      </c>
      <c r="DA138" s="153">
        <v>0</v>
      </c>
      <c r="DB138" s="153">
        <f t="shared" ref="DB138:DD138" si="879">IF(DA138&lt;0,-DA138,0)</f>
        <v>0</v>
      </c>
      <c r="DC138" s="153">
        <v>-5000</v>
      </c>
      <c r="DD138" s="153">
        <f t="shared" si="879"/>
        <v>5000</v>
      </c>
      <c r="DE138" s="153">
        <v>-5300</v>
      </c>
      <c r="DF138" s="153">
        <f t="shared" ref="DF138:DH138" si="880">IF(DE138&lt;0,-DE138,0)</f>
        <v>5300</v>
      </c>
      <c r="DG138" s="153">
        <v>-4000</v>
      </c>
      <c r="DH138" s="153">
        <f t="shared" si="880"/>
        <v>4000</v>
      </c>
      <c r="DI138" s="153">
        <v>-4800</v>
      </c>
      <c r="DJ138" s="153">
        <f t="shared" ref="DJ138:DL138" si="881">IF(DI138&lt;0,-DI138,0)</f>
        <v>4800</v>
      </c>
      <c r="DK138" s="153">
        <v>11782.291210720001</v>
      </c>
      <c r="DL138" s="153">
        <f t="shared" si="881"/>
        <v>0</v>
      </c>
      <c r="DM138" s="107">
        <f t="shared" si="844"/>
        <v>19800</v>
      </c>
    </row>
    <row r="139" spans="13:117" s="5" customFormat="1" x14ac:dyDescent="0.35">
      <c r="M139" s="77">
        <f t="shared" si="845"/>
        <v>137</v>
      </c>
      <c r="N139" s="78">
        <v>0</v>
      </c>
      <c r="O139" s="79">
        <v>0.13699999999999998</v>
      </c>
      <c r="P139" s="79">
        <v>0.19800000000000001</v>
      </c>
      <c r="Q139" s="79">
        <v>34240.737000000001</v>
      </c>
      <c r="R139" s="79">
        <v>1673.73975726</v>
      </c>
      <c r="S139" s="79">
        <f t="shared" si="816"/>
        <v>35914.476757260003</v>
      </c>
      <c r="T139" s="78">
        <v>0</v>
      </c>
      <c r="U139" s="79">
        <v>1.7000000000000001E-2</v>
      </c>
      <c r="V139" s="79">
        <v>0.35399999999999998</v>
      </c>
      <c r="W139" s="79">
        <v>0.42799999999999999</v>
      </c>
      <c r="X139" s="79">
        <f t="shared" si="817"/>
        <v>0.78200000000000003</v>
      </c>
      <c r="Y139" s="79">
        <v>5578.4830000000002</v>
      </c>
      <c r="Z139" s="79">
        <v>0</v>
      </c>
      <c r="AA139" s="80">
        <f t="shared" si="818"/>
        <v>5578.4830000000002</v>
      </c>
      <c r="AB139" s="79"/>
      <c r="AC139" s="88">
        <v>19837</v>
      </c>
      <c r="AD139" s="94">
        <f t="shared" si="819"/>
        <v>0.23899999999999999</v>
      </c>
      <c r="AE139" s="89">
        <v>658.28499999999997</v>
      </c>
      <c r="AF139" s="94">
        <f t="shared" si="820"/>
        <v>0.13699999999999998</v>
      </c>
      <c r="AG139" s="89">
        <v>5940</v>
      </c>
      <c r="AH139" s="94">
        <f t="shared" si="821"/>
        <v>0.19800000000000001</v>
      </c>
      <c r="AI139" s="89">
        <v>2444.2939999999999</v>
      </c>
      <c r="AJ139" s="94">
        <f>AI139/$B$6</f>
        <v>0.16999999999999998</v>
      </c>
      <c r="AK139" s="89">
        <v>1033.6093000000001</v>
      </c>
      <c r="AL139" s="94">
        <f>AK139/$B$7</f>
        <v>0.10700000000000001</v>
      </c>
      <c r="AM139" s="89">
        <v>2930.94</v>
      </c>
      <c r="AN139" s="94">
        <f t="shared" si="822"/>
        <v>5.7000000000000002E-2</v>
      </c>
      <c r="AO139" s="89">
        <v>1991.7944</v>
      </c>
      <c r="AP139" s="94">
        <f t="shared" si="823"/>
        <v>4.2999999999999997E-2</v>
      </c>
      <c r="AQ139" s="79"/>
      <c r="AR139" s="88">
        <v>36756.917399999998</v>
      </c>
      <c r="AS139" s="76">
        <v>1741.1</v>
      </c>
      <c r="AT139" s="88">
        <v>378.5</v>
      </c>
      <c r="AU139" s="100">
        <f t="shared" si="824"/>
        <v>0.41299999999999998</v>
      </c>
      <c r="AV139" s="100">
        <f t="shared" si="825"/>
        <v>0.75700000000000001</v>
      </c>
      <c r="AW139" s="100">
        <f t="shared" si="826"/>
        <v>0.75700000000000001</v>
      </c>
      <c r="AX139" s="94">
        <v>228.684</v>
      </c>
      <c r="AY139" s="76">
        <v>4983.4607999999998</v>
      </c>
      <c r="AZ139" s="100">
        <f>AX139/$B$9</f>
        <v>0.35399999999999998</v>
      </c>
      <c r="BA139" s="97">
        <f>AY139/$B$8</f>
        <v>0.42799999999999999</v>
      </c>
      <c r="BB139" s="88">
        <v>8161.8</v>
      </c>
      <c r="BC139" s="76">
        <v>14765.775</v>
      </c>
      <c r="BD139" s="100">
        <f t="shared" si="827"/>
        <v>0.183</v>
      </c>
      <c r="BE139" s="97">
        <f t="shared" si="828"/>
        <v>0.629</v>
      </c>
      <c r="BG139" s="88">
        <v>859.46799999999996</v>
      </c>
      <c r="BH139" s="114">
        <f>BG139/$B$10</f>
        <v>0.34899986193790455</v>
      </c>
      <c r="BI139" s="115">
        <v>984.45500000000004</v>
      </c>
      <c r="BJ139" s="114">
        <f>BI139/$B$11</f>
        <v>0.6126042314872433</v>
      </c>
      <c r="BK139" s="115">
        <v>1121.4780000000001</v>
      </c>
      <c r="BL139" s="114">
        <f t="shared" si="829"/>
        <v>0.5784392407674851</v>
      </c>
      <c r="BN139" s="111">
        <v>54782.928</v>
      </c>
      <c r="BO139" s="114">
        <f t="shared" si="830"/>
        <v>0.78688524590163933</v>
      </c>
      <c r="BQ139" s="142">
        <v>23966.923999999999</v>
      </c>
      <c r="BR139" s="131">
        <v>0</v>
      </c>
      <c r="BS139" s="143">
        <v>0</v>
      </c>
      <c r="BT139" s="105">
        <f t="shared" si="831"/>
        <v>0.73518171779141106</v>
      </c>
      <c r="BU139" s="20">
        <f t="shared" si="832"/>
        <v>0</v>
      </c>
      <c r="BV139" s="2">
        <v>0</v>
      </c>
      <c r="BW139" s="2">
        <v>0</v>
      </c>
      <c r="BX139" s="2">
        <v>0</v>
      </c>
      <c r="BY139" s="2">
        <v>4912.4409999999998</v>
      </c>
      <c r="BZ139" s="105">
        <f t="shared" si="833"/>
        <v>0.36447848345451844</v>
      </c>
      <c r="CA139" s="20">
        <f t="shared" si="834"/>
        <v>0</v>
      </c>
      <c r="CB139" s="5">
        <v>10800</v>
      </c>
      <c r="CC139" s="5">
        <v>0</v>
      </c>
      <c r="CE139" s="108">
        <v>-700</v>
      </c>
      <c r="CF139" s="153">
        <f t="shared" si="835"/>
        <v>0</v>
      </c>
      <c r="CG139" s="153">
        <v>4485</v>
      </c>
      <c r="CH139" s="153">
        <f t="shared" si="835"/>
        <v>4485</v>
      </c>
      <c r="CI139" s="153">
        <v>0</v>
      </c>
      <c r="CJ139" s="153">
        <f t="shared" ref="CJ139:CL139" si="882">IF(CI139&gt;0,CI139,0)</f>
        <v>0</v>
      </c>
      <c r="CK139" s="153">
        <v>-5000</v>
      </c>
      <c r="CL139" s="153">
        <f t="shared" si="882"/>
        <v>0</v>
      </c>
      <c r="CM139" s="153">
        <v>-5300</v>
      </c>
      <c r="CN139" s="153">
        <f t="shared" ref="CN139:CP139" si="883">IF(CM139&gt;0,CM139,0)</f>
        <v>0</v>
      </c>
      <c r="CO139" s="153">
        <v>-4000</v>
      </c>
      <c r="CP139" s="153">
        <f t="shared" si="883"/>
        <v>0</v>
      </c>
      <c r="CQ139" s="153">
        <v>-4800</v>
      </c>
      <c r="CR139" s="153">
        <f t="shared" ref="CR139:CT139" si="884">IF(CQ139&gt;0,CQ139,0)</f>
        <v>0</v>
      </c>
      <c r="CS139" s="153">
        <v>9125.4132444999996</v>
      </c>
      <c r="CT139" s="153">
        <f t="shared" si="884"/>
        <v>9125.4132444999996</v>
      </c>
      <c r="CU139" s="107">
        <f t="shared" si="839"/>
        <v>13610.4132445</v>
      </c>
      <c r="CW139" s="108">
        <v>-700</v>
      </c>
      <c r="CX139" s="153">
        <f t="shared" si="840"/>
        <v>700</v>
      </c>
      <c r="CY139" s="153">
        <v>4485</v>
      </c>
      <c r="CZ139" s="153">
        <f t="shared" si="840"/>
        <v>0</v>
      </c>
      <c r="DA139" s="153">
        <v>0</v>
      </c>
      <c r="DB139" s="153">
        <f t="shared" ref="DB139:DD139" si="885">IF(DA139&lt;0,-DA139,0)</f>
        <v>0</v>
      </c>
      <c r="DC139" s="153">
        <v>-5000</v>
      </c>
      <c r="DD139" s="153">
        <f t="shared" si="885"/>
        <v>5000</v>
      </c>
      <c r="DE139" s="153">
        <v>-5300</v>
      </c>
      <c r="DF139" s="153">
        <f t="shared" ref="DF139:DH139" si="886">IF(DE139&lt;0,-DE139,0)</f>
        <v>5300</v>
      </c>
      <c r="DG139" s="153">
        <v>-4000</v>
      </c>
      <c r="DH139" s="153">
        <f t="shared" si="886"/>
        <v>4000</v>
      </c>
      <c r="DI139" s="153">
        <v>-4800</v>
      </c>
      <c r="DJ139" s="153">
        <f t="shared" ref="DJ139:DL139" si="887">IF(DI139&lt;0,-DI139,0)</f>
        <v>4800</v>
      </c>
      <c r="DK139" s="153">
        <v>9125.4132444999996</v>
      </c>
      <c r="DL139" s="153">
        <f t="shared" si="887"/>
        <v>0</v>
      </c>
      <c r="DM139" s="107">
        <f t="shared" si="844"/>
        <v>19800</v>
      </c>
    </row>
    <row r="140" spans="13:117" s="5" customFormat="1" x14ac:dyDescent="0.35">
      <c r="M140" s="77">
        <f t="shared" si="845"/>
        <v>138</v>
      </c>
      <c r="N140" s="78">
        <v>0</v>
      </c>
      <c r="O140" s="79">
        <v>1.7000000000000001E-2</v>
      </c>
      <c r="P140" s="79">
        <v>5.5E-2</v>
      </c>
      <c r="Q140" s="79">
        <v>36876.286</v>
      </c>
      <c r="R140" s="79">
        <v>1772.7842573099999</v>
      </c>
      <c r="S140" s="79">
        <f t="shared" si="816"/>
        <v>38649.070257309999</v>
      </c>
      <c r="T140" s="78">
        <v>0</v>
      </c>
      <c r="U140" s="79">
        <v>0</v>
      </c>
      <c r="V140" s="79">
        <v>0.40200000000000002</v>
      </c>
      <c r="W140" s="79">
        <v>0.28099999999999997</v>
      </c>
      <c r="X140" s="79">
        <f t="shared" si="817"/>
        <v>0.68300000000000005</v>
      </c>
      <c r="Y140" s="79">
        <v>6202.8130000000001</v>
      </c>
      <c r="Z140" s="79">
        <v>0</v>
      </c>
      <c r="AA140" s="80">
        <f t="shared" si="818"/>
        <v>6202.8130000000001</v>
      </c>
      <c r="AB140" s="79"/>
      <c r="AC140" s="88">
        <v>4648</v>
      </c>
      <c r="AD140" s="94">
        <f t="shared" si="819"/>
        <v>5.6000000000000001E-2</v>
      </c>
      <c r="AE140" s="89">
        <v>81.685000000000002</v>
      </c>
      <c r="AF140" s="94">
        <f t="shared" si="820"/>
        <v>1.7000000000000001E-2</v>
      </c>
      <c r="AG140" s="89">
        <v>1650</v>
      </c>
      <c r="AH140" s="94">
        <f t="shared" si="821"/>
        <v>5.5E-2</v>
      </c>
      <c r="AI140" s="89">
        <v>1006.474</v>
      </c>
      <c r="AJ140" s="94">
        <f>AI140/$B$6</f>
        <v>6.9999999999999993E-2</v>
      </c>
      <c r="AK140" s="89">
        <v>367.07619999999997</v>
      </c>
      <c r="AL140" s="94">
        <f>AK140/$B$7</f>
        <v>3.7999999999999999E-2</v>
      </c>
      <c r="AM140" s="89">
        <v>0</v>
      </c>
      <c r="AN140" s="94">
        <f t="shared" si="822"/>
        <v>0</v>
      </c>
      <c r="AO140" s="89">
        <v>0</v>
      </c>
      <c r="AP140" s="94">
        <f t="shared" si="823"/>
        <v>0</v>
      </c>
      <c r="AQ140" s="79"/>
      <c r="AR140" s="88">
        <v>30704.931</v>
      </c>
      <c r="AS140" s="76">
        <v>1731.9</v>
      </c>
      <c r="AT140" s="88">
        <v>376.5</v>
      </c>
      <c r="AU140" s="100">
        <f t="shared" si="824"/>
        <v>0.34499999999999997</v>
      </c>
      <c r="AV140" s="100">
        <f t="shared" si="825"/>
        <v>0.753</v>
      </c>
      <c r="AW140" s="100">
        <f t="shared" si="826"/>
        <v>0.753</v>
      </c>
      <c r="AX140" s="94">
        <v>259.69200000000001</v>
      </c>
      <c r="AY140" s="76">
        <v>3271.8516</v>
      </c>
      <c r="AZ140" s="100">
        <f>AX140/$B$9</f>
        <v>0.40200000000000002</v>
      </c>
      <c r="BA140" s="97">
        <f>AY140/$B$8</f>
        <v>0.28099999999999997</v>
      </c>
      <c r="BB140" s="88">
        <v>8072.6</v>
      </c>
      <c r="BC140" s="76">
        <v>15892.575000000001</v>
      </c>
      <c r="BD140" s="100">
        <f t="shared" si="827"/>
        <v>0.18100000000000002</v>
      </c>
      <c r="BE140" s="97">
        <f t="shared" si="828"/>
        <v>0.67700000000000005</v>
      </c>
      <c r="BG140" s="88">
        <v>884.09500000000003</v>
      </c>
      <c r="BH140" s="114">
        <f>BG140/$B$10</f>
        <v>0.35900002436389922</v>
      </c>
      <c r="BI140" s="115">
        <v>998.83299999999997</v>
      </c>
      <c r="BJ140" s="114">
        <f>BI140/$B$11</f>
        <v>0.62155133789670192</v>
      </c>
      <c r="BK140" s="115">
        <v>1121.4780000000001</v>
      </c>
      <c r="BL140" s="114">
        <f t="shared" si="829"/>
        <v>0.5784392407674851</v>
      </c>
      <c r="BN140" s="111">
        <v>54782.928</v>
      </c>
      <c r="BO140" s="114">
        <f t="shared" si="830"/>
        <v>0.78688524590163933</v>
      </c>
      <c r="BQ140" s="142">
        <v>15214.316999999999</v>
      </c>
      <c r="BR140" s="131">
        <v>0</v>
      </c>
      <c r="BS140" s="143">
        <v>0</v>
      </c>
      <c r="BT140" s="105">
        <f t="shared" si="831"/>
        <v>0.46669684049079752</v>
      </c>
      <c r="BU140" s="20">
        <f t="shared" si="832"/>
        <v>0</v>
      </c>
      <c r="BV140" s="2">
        <v>0</v>
      </c>
      <c r="BW140" s="2">
        <v>0</v>
      </c>
      <c r="BX140" s="2">
        <v>0</v>
      </c>
      <c r="BY140" s="2">
        <v>4285.4639999999999</v>
      </c>
      <c r="BZ140" s="105">
        <f t="shared" si="833"/>
        <v>0.31795993470841372</v>
      </c>
      <c r="CA140" s="20">
        <f t="shared" si="834"/>
        <v>0</v>
      </c>
      <c r="CB140" s="5">
        <v>10800</v>
      </c>
      <c r="CC140" s="5">
        <v>0</v>
      </c>
      <c r="CE140" s="108">
        <v>-700</v>
      </c>
      <c r="CF140" s="153">
        <f t="shared" si="835"/>
        <v>0</v>
      </c>
      <c r="CG140" s="153">
        <v>4485</v>
      </c>
      <c r="CH140" s="153">
        <f t="shared" si="835"/>
        <v>4485</v>
      </c>
      <c r="CI140" s="153">
        <v>0</v>
      </c>
      <c r="CJ140" s="153">
        <f t="shared" ref="CJ140:CL140" si="888">IF(CI140&gt;0,CI140,0)</f>
        <v>0</v>
      </c>
      <c r="CK140" s="153">
        <v>-5000</v>
      </c>
      <c r="CL140" s="153">
        <f t="shared" si="888"/>
        <v>0</v>
      </c>
      <c r="CM140" s="153">
        <v>-5300</v>
      </c>
      <c r="CN140" s="153">
        <f t="shared" ref="CN140:CP140" si="889">IF(CM140&gt;0,CM140,0)</f>
        <v>0</v>
      </c>
      <c r="CO140" s="153">
        <v>-4000</v>
      </c>
      <c r="CP140" s="153">
        <f t="shared" si="889"/>
        <v>0</v>
      </c>
      <c r="CQ140" s="153">
        <v>-4800</v>
      </c>
      <c r="CR140" s="153">
        <f t="shared" ref="CR140:CT140" si="890">IF(CQ140&gt;0,CQ140,0)</f>
        <v>0</v>
      </c>
      <c r="CS140" s="153">
        <v>11387.68849699</v>
      </c>
      <c r="CT140" s="153">
        <f t="shared" si="890"/>
        <v>11387.68849699</v>
      </c>
      <c r="CU140" s="107">
        <f t="shared" si="839"/>
        <v>15872.68849699</v>
      </c>
      <c r="CW140" s="108">
        <v>-700</v>
      </c>
      <c r="CX140" s="153">
        <f t="shared" si="840"/>
        <v>700</v>
      </c>
      <c r="CY140" s="153">
        <v>4485</v>
      </c>
      <c r="CZ140" s="153">
        <f t="shared" si="840"/>
        <v>0</v>
      </c>
      <c r="DA140" s="153">
        <v>0</v>
      </c>
      <c r="DB140" s="153">
        <f t="shared" ref="DB140:DD140" si="891">IF(DA140&lt;0,-DA140,0)</f>
        <v>0</v>
      </c>
      <c r="DC140" s="153">
        <v>-5000</v>
      </c>
      <c r="DD140" s="153">
        <f t="shared" si="891"/>
        <v>5000</v>
      </c>
      <c r="DE140" s="153">
        <v>-5300</v>
      </c>
      <c r="DF140" s="153">
        <f t="shared" ref="DF140:DH140" si="892">IF(DE140&lt;0,-DE140,0)</f>
        <v>5300</v>
      </c>
      <c r="DG140" s="153">
        <v>-4000</v>
      </c>
      <c r="DH140" s="153">
        <f t="shared" si="892"/>
        <v>4000</v>
      </c>
      <c r="DI140" s="153">
        <v>-4800</v>
      </c>
      <c r="DJ140" s="153">
        <f t="shared" ref="DJ140:DL140" si="893">IF(DI140&lt;0,-DI140,0)</f>
        <v>4800</v>
      </c>
      <c r="DK140" s="153">
        <v>11387.68849699</v>
      </c>
      <c r="DL140" s="153">
        <f t="shared" si="893"/>
        <v>0</v>
      </c>
      <c r="DM140" s="107">
        <f t="shared" si="844"/>
        <v>19800</v>
      </c>
    </row>
    <row r="141" spans="13:117" s="5" customFormat="1" x14ac:dyDescent="0.35">
      <c r="M141" s="77">
        <f t="shared" si="845"/>
        <v>139</v>
      </c>
      <c r="N141" s="78">
        <v>0</v>
      </c>
      <c r="O141" s="79">
        <v>0</v>
      </c>
      <c r="P141" s="79">
        <v>0</v>
      </c>
      <c r="Q141" s="79">
        <v>38816.682000000001</v>
      </c>
      <c r="R141" s="79">
        <v>1899.2357965000001</v>
      </c>
      <c r="S141" s="79">
        <f t="shared" si="816"/>
        <v>40715.917796499998</v>
      </c>
      <c r="T141" s="78">
        <v>0</v>
      </c>
      <c r="U141" s="79">
        <v>0</v>
      </c>
      <c r="V141" s="79">
        <v>0.45800000000000002</v>
      </c>
      <c r="W141" s="79">
        <v>0.23800000000000002</v>
      </c>
      <c r="X141" s="79">
        <f t="shared" si="817"/>
        <v>0.69600000000000006</v>
      </c>
      <c r="Y141" s="79">
        <v>6750.8119999999999</v>
      </c>
      <c r="Z141" s="79">
        <v>0</v>
      </c>
      <c r="AA141" s="80">
        <f t="shared" si="818"/>
        <v>6750.8119999999999</v>
      </c>
      <c r="AB141" s="79"/>
      <c r="AC141" s="88">
        <v>0</v>
      </c>
      <c r="AD141" s="94">
        <f t="shared" si="819"/>
        <v>0</v>
      </c>
      <c r="AE141" s="89">
        <v>0</v>
      </c>
      <c r="AF141" s="94">
        <f t="shared" si="820"/>
        <v>0</v>
      </c>
      <c r="AG141" s="89">
        <v>0</v>
      </c>
      <c r="AH141" s="94">
        <f t="shared" si="821"/>
        <v>0</v>
      </c>
      <c r="AI141" s="89">
        <v>0</v>
      </c>
      <c r="AJ141" s="94">
        <f>AI141/$B$6</f>
        <v>0</v>
      </c>
      <c r="AK141" s="89">
        <v>0</v>
      </c>
      <c r="AL141" s="94">
        <f>AK141/$B$7</f>
        <v>0</v>
      </c>
      <c r="AM141" s="89">
        <v>0</v>
      </c>
      <c r="AN141" s="94">
        <f t="shared" si="822"/>
        <v>0</v>
      </c>
      <c r="AO141" s="89">
        <v>0</v>
      </c>
      <c r="AP141" s="94">
        <f t="shared" si="823"/>
        <v>0</v>
      </c>
      <c r="AQ141" s="79"/>
      <c r="AR141" s="88">
        <v>30793.930799999998</v>
      </c>
      <c r="AS141" s="76">
        <v>1718.1</v>
      </c>
      <c r="AT141" s="88">
        <v>373.5</v>
      </c>
      <c r="AU141" s="100">
        <f t="shared" si="824"/>
        <v>0.34599999999999997</v>
      </c>
      <c r="AV141" s="100">
        <f t="shared" si="825"/>
        <v>0.747</v>
      </c>
      <c r="AW141" s="100">
        <f t="shared" si="826"/>
        <v>0.747</v>
      </c>
      <c r="AX141" s="94">
        <v>295.86799999999999</v>
      </c>
      <c r="AY141" s="76">
        <v>2771.1768000000002</v>
      </c>
      <c r="AZ141" s="100">
        <f>AX141/$B$9</f>
        <v>0.45800000000000002</v>
      </c>
      <c r="BA141" s="97">
        <f>AY141/$B$8</f>
        <v>0.23800000000000002</v>
      </c>
      <c r="BB141" s="88">
        <v>8830.7999999999993</v>
      </c>
      <c r="BC141" s="76">
        <v>16737.674999999999</v>
      </c>
      <c r="BD141" s="100">
        <f t="shared" si="827"/>
        <v>0.19799999999999998</v>
      </c>
      <c r="BE141" s="97">
        <f t="shared" si="828"/>
        <v>0.71299999999999997</v>
      </c>
      <c r="BG141" s="88">
        <v>916.11</v>
      </c>
      <c r="BH141" s="114">
        <f>BG141/$B$10</f>
        <v>0.37200019491119363</v>
      </c>
      <c r="BI141" s="115">
        <v>1006.634</v>
      </c>
      <c r="BJ141" s="114">
        <f>BI141/$B$11</f>
        <v>0.62640572495332925</v>
      </c>
      <c r="BK141" s="115">
        <v>1121.4780000000001</v>
      </c>
      <c r="BL141" s="114">
        <f t="shared" si="829"/>
        <v>0.5784392407674851</v>
      </c>
      <c r="BN141" s="111">
        <v>54782.928</v>
      </c>
      <c r="BO141" s="114">
        <f t="shared" si="830"/>
        <v>0.78688524590163933</v>
      </c>
      <c r="BQ141" s="142">
        <v>13155.22</v>
      </c>
      <c r="BR141" s="131">
        <v>0</v>
      </c>
      <c r="BS141" s="143">
        <v>0</v>
      </c>
      <c r="BT141" s="105">
        <f t="shared" si="831"/>
        <v>0.40353435582822084</v>
      </c>
      <c r="BU141" s="20">
        <f t="shared" si="832"/>
        <v>0</v>
      </c>
      <c r="BV141" s="2">
        <v>0</v>
      </c>
      <c r="BW141" s="2">
        <v>0</v>
      </c>
      <c r="BX141" s="2">
        <v>0</v>
      </c>
      <c r="BY141" s="2">
        <v>4156.5519999999997</v>
      </c>
      <c r="BZ141" s="105">
        <f t="shared" si="833"/>
        <v>0.30839531087698469</v>
      </c>
      <c r="CA141" s="20">
        <f t="shared" si="834"/>
        <v>0</v>
      </c>
      <c r="CB141" s="5">
        <v>10800</v>
      </c>
      <c r="CC141" s="5">
        <v>0</v>
      </c>
      <c r="CE141" s="108">
        <v>-700</v>
      </c>
      <c r="CF141" s="153">
        <f t="shared" si="835"/>
        <v>0</v>
      </c>
      <c r="CG141" s="153">
        <v>4485</v>
      </c>
      <c r="CH141" s="153">
        <f t="shared" si="835"/>
        <v>4485</v>
      </c>
      <c r="CI141" s="153">
        <v>0</v>
      </c>
      <c r="CJ141" s="153">
        <f t="shared" ref="CJ141:CL141" si="894">IF(CI141&gt;0,CI141,0)</f>
        <v>0</v>
      </c>
      <c r="CK141" s="153">
        <v>-5000</v>
      </c>
      <c r="CL141" s="153">
        <f t="shared" si="894"/>
        <v>0</v>
      </c>
      <c r="CM141" s="153">
        <v>-5300</v>
      </c>
      <c r="CN141" s="153">
        <f t="shared" ref="CN141:CP141" si="895">IF(CM141&gt;0,CM141,0)</f>
        <v>0</v>
      </c>
      <c r="CO141" s="153">
        <v>-4000</v>
      </c>
      <c r="CP141" s="153">
        <f t="shared" si="895"/>
        <v>0</v>
      </c>
      <c r="CQ141" s="153">
        <v>-4800</v>
      </c>
      <c r="CR141" s="153">
        <f t="shared" ref="CR141:CT141" si="896">IF(CQ141&gt;0,CQ141,0)</f>
        <v>0</v>
      </c>
      <c r="CS141" s="153">
        <v>11413.609467730001</v>
      </c>
      <c r="CT141" s="153">
        <f t="shared" si="896"/>
        <v>11413.609467730001</v>
      </c>
      <c r="CU141" s="107">
        <f t="shared" si="839"/>
        <v>15898.609467730001</v>
      </c>
      <c r="CW141" s="108">
        <v>-700</v>
      </c>
      <c r="CX141" s="153">
        <f t="shared" si="840"/>
        <v>700</v>
      </c>
      <c r="CY141" s="153">
        <v>4485</v>
      </c>
      <c r="CZ141" s="153">
        <f t="shared" si="840"/>
        <v>0</v>
      </c>
      <c r="DA141" s="153">
        <v>0</v>
      </c>
      <c r="DB141" s="153">
        <f t="shared" ref="DB141:DD141" si="897">IF(DA141&lt;0,-DA141,0)</f>
        <v>0</v>
      </c>
      <c r="DC141" s="153">
        <v>-5000</v>
      </c>
      <c r="DD141" s="153">
        <f t="shared" si="897"/>
        <v>5000</v>
      </c>
      <c r="DE141" s="153">
        <v>-5300</v>
      </c>
      <c r="DF141" s="153">
        <f t="shared" ref="DF141:DH141" si="898">IF(DE141&lt;0,-DE141,0)</f>
        <v>5300</v>
      </c>
      <c r="DG141" s="153">
        <v>-4000</v>
      </c>
      <c r="DH141" s="153">
        <f t="shared" si="898"/>
        <v>4000</v>
      </c>
      <c r="DI141" s="153">
        <v>-4800</v>
      </c>
      <c r="DJ141" s="153">
        <f t="shared" ref="DJ141:DL141" si="899">IF(DI141&lt;0,-DI141,0)</f>
        <v>4800</v>
      </c>
      <c r="DK141" s="153">
        <v>11413.609467730001</v>
      </c>
      <c r="DL141" s="153">
        <f t="shared" si="899"/>
        <v>0</v>
      </c>
      <c r="DM141" s="107">
        <f t="shared" si="844"/>
        <v>19800</v>
      </c>
    </row>
    <row r="142" spans="13:117" s="5" customFormat="1" x14ac:dyDescent="0.35">
      <c r="M142" s="77">
        <f t="shared" si="845"/>
        <v>140</v>
      </c>
      <c r="N142" s="78">
        <v>0</v>
      </c>
      <c r="O142" s="79">
        <v>0</v>
      </c>
      <c r="P142" s="79">
        <v>0</v>
      </c>
      <c r="Q142" s="79">
        <v>39459.180999999997</v>
      </c>
      <c r="R142" s="79">
        <v>2023.4358837899999</v>
      </c>
      <c r="S142" s="79">
        <f t="shared" si="816"/>
        <v>41482.616883789997</v>
      </c>
      <c r="T142" s="78">
        <v>0</v>
      </c>
      <c r="U142" s="79">
        <v>0</v>
      </c>
      <c r="V142" s="79">
        <v>0.50600000000000001</v>
      </c>
      <c r="W142" s="79">
        <v>0.253</v>
      </c>
      <c r="X142" s="79">
        <f t="shared" si="817"/>
        <v>0.75900000000000001</v>
      </c>
      <c r="Y142" s="79">
        <v>6825.0439999999999</v>
      </c>
      <c r="Z142" s="79">
        <v>0</v>
      </c>
      <c r="AA142" s="80">
        <f t="shared" si="818"/>
        <v>6825.0439999999999</v>
      </c>
      <c r="AB142" s="79"/>
      <c r="AC142" s="88">
        <v>0</v>
      </c>
      <c r="AD142" s="94">
        <f t="shared" si="819"/>
        <v>0</v>
      </c>
      <c r="AE142" s="89">
        <v>0</v>
      </c>
      <c r="AF142" s="94">
        <f t="shared" si="820"/>
        <v>0</v>
      </c>
      <c r="AG142" s="89">
        <v>0</v>
      </c>
      <c r="AH142" s="94">
        <f t="shared" si="821"/>
        <v>0</v>
      </c>
      <c r="AI142" s="89">
        <v>0</v>
      </c>
      <c r="AJ142" s="94">
        <f>AI142/$B$6</f>
        <v>0</v>
      </c>
      <c r="AK142" s="89">
        <v>0</v>
      </c>
      <c r="AL142" s="94">
        <f>AK142/$B$7</f>
        <v>0</v>
      </c>
      <c r="AM142" s="89">
        <v>0</v>
      </c>
      <c r="AN142" s="94">
        <f t="shared" si="822"/>
        <v>0</v>
      </c>
      <c r="AO142" s="89">
        <v>0</v>
      </c>
      <c r="AP142" s="94">
        <f t="shared" si="823"/>
        <v>0</v>
      </c>
      <c r="AQ142" s="79"/>
      <c r="AR142" s="88">
        <v>34175.923199999997</v>
      </c>
      <c r="AS142" s="76">
        <v>1725</v>
      </c>
      <c r="AT142" s="88">
        <v>375</v>
      </c>
      <c r="AU142" s="100">
        <f t="shared" si="824"/>
        <v>0.38399999999999995</v>
      </c>
      <c r="AV142" s="100">
        <f t="shared" si="825"/>
        <v>0.75</v>
      </c>
      <c r="AW142" s="100">
        <f t="shared" si="826"/>
        <v>0.75</v>
      </c>
      <c r="AX142" s="94">
        <v>326.87599999999998</v>
      </c>
      <c r="AY142" s="76">
        <v>2945.8308000000002</v>
      </c>
      <c r="AZ142" s="100">
        <f>AX142/$B$9</f>
        <v>0.50600000000000001</v>
      </c>
      <c r="BA142" s="97">
        <f>AY142/$B$8</f>
        <v>0.253</v>
      </c>
      <c r="BB142" s="88">
        <v>10704</v>
      </c>
      <c r="BC142" s="76">
        <v>17841</v>
      </c>
      <c r="BD142" s="100">
        <f t="shared" si="827"/>
        <v>0.24</v>
      </c>
      <c r="BE142" s="97">
        <f t="shared" si="828"/>
        <v>0.76</v>
      </c>
      <c r="BG142" s="88">
        <v>913.64700000000005</v>
      </c>
      <c r="BH142" s="114">
        <f>BG142/$B$10</f>
        <v>0.37100005684909815</v>
      </c>
      <c r="BI142" s="115">
        <v>1004.859</v>
      </c>
      <c r="BJ142" s="114">
        <f>BI142/$B$11</f>
        <v>0.62530118232731802</v>
      </c>
      <c r="BK142" s="115">
        <v>1121.4780000000001</v>
      </c>
      <c r="BL142" s="114">
        <f t="shared" si="829"/>
        <v>0.5784392407674851</v>
      </c>
      <c r="BN142" s="111">
        <v>54782.928</v>
      </c>
      <c r="BO142" s="114">
        <f t="shared" si="830"/>
        <v>0.78688524590163933</v>
      </c>
      <c r="BQ142" s="142">
        <v>14605.852000000001</v>
      </c>
      <c r="BR142" s="131">
        <v>0</v>
      </c>
      <c r="BS142" s="143">
        <v>0</v>
      </c>
      <c r="BT142" s="105">
        <f t="shared" si="831"/>
        <v>0.44803226993865031</v>
      </c>
      <c r="BU142" s="20">
        <f t="shared" si="832"/>
        <v>0</v>
      </c>
      <c r="BV142" s="2">
        <v>0</v>
      </c>
      <c r="BW142" s="2">
        <v>0</v>
      </c>
      <c r="BX142" s="2">
        <v>0</v>
      </c>
      <c r="BY142" s="2">
        <v>4540.826</v>
      </c>
      <c r="BZ142" s="105">
        <f t="shared" si="833"/>
        <v>0.33690651431963198</v>
      </c>
      <c r="CA142" s="20">
        <f t="shared" si="834"/>
        <v>0</v>
      </c>
      <c r="CB142" s="5">
        <v>10800</v>
      </c>
      <c r="CC142" s="5">
        <v>0</v>
      </c>
      <c r="CE142" s="108">
        <v>-700</v>
      </c>
      <c r="CF142" s="153">
        <f t="shared" si="835"/>
        <v>0</v>
      </c>
      <c r="CG142" s="153">
        <v>4485</v>
      </c>
      <c r="CH142" s="153">
        <f t="shared" si="835"/>
        <v>4485</v>
      </c>
      <c r="CI142" s="153">
        <v>0</v>
      </c>
      <c r="CJ142" s="153">
        <f t="shared" ref="CJ142:CL142" si="900">IF(CI142&gt;0,CI142,0)</f>
        <v>0</v>
      </c>
      <c r="CK142" s="153">
        <v>-5000</v>
      </c>
      <c r="CL142" s="153">
        <f t="shared" si="900"/>
        <v>0</v>
      </c>
      <c r="CM142" s="153">
        <v>-5300</v>
      </c>
      <c r="CN142" s="153">
        <f t="shared" ref="CN142:CP142" si="901">IF(CM142&gt;0,CM142,0)</f>
        <v>0</v>
      </c>
      <c r="CO142" s="153">
        <v>-4000</v>
      </c>
      <c r="CP142" s="153">
        <f t="shared" si="901"/>
        <v>0</v>
      </c>
      <c r="CQ142" s="153">
        <v>-4800</v>
      </c>
      <c r="CR142" s="153">
        <f t="shared" ref="CR142:CT142" si="902">IF(CQ142&gt;0,CQ142,0)</f>
        <v>0</v>
      </c>
      <c r="CS142" s="153">
        <v>11345.870615059999</v>
      </c>
      <c r="CT142" s="153">
        <f t="shared" si="902"/>
        <v>11345.870615059999</v>
      </c>
      <c r="CU142" s="107">
        <f t="shared" si="839"/>
        <v>15830.870615059999</v>
      </c>
      <c r="CW142" s="108">
        <v>-700</v>
      </c>
      <c r="CX142" s="153">
        <f t="shared" si="840"/>
        <v>700</v>
      </c>
      <c r="CY142" s="153">
        <v>4485</v>
      </c>
      <c r="CZ142" s="153">
        <f t="shared" si="840"/>
        <v>0</v>
      </c>
      <c r="DA142" s="153">
        <v>0</v>
      </c>
      <c r="DB142" s="153">
        <f t="shared" ref="DB142:DD142" si="903">IF(DA142&lt;0,-DA142,0)</f>
        <v>0</v>
      </c>
      <c r="DC142" s="153">
        <v>-5000</v>
      </c>
      <c r="DD142" s="153">
        <f t="shared" si="903"/>
        <v>5000</v>
      </c>
      <c r="DE142" s="153">
        <v>-5300</v>
      </c>
      <c r="DF142" s="153">
        <f t="shared" ref="DF142:DH142" si="904">IF(DE142&lt;0,-DE142,0)</f>
        <v>5300</v>
      </c>
      <c r="DG142" s="153">
        <v>-4000</v>
      </c>
      <c r="DH142" s="153">
        <f t="shared" si="904"/>
        <v>4000</v>
      </c>
      <c r="DI142" s="153">
        <v>-4800</v>
      </c>
      <c r="DJ142" s="153">
        <f t="shared" ref="DJ142:DL142" si="905">IF(DI142&lt;0,-DI142,0)</f>
        <v>4800</v>
      </c>
      <c r="DK142" s="153">
        <v>11345.870615059999</v>
      </c>
      <c r="DL142" s="153">
        <f t="shared" si="905"/>
        <v>0</v>
      </c>
      <c r="DM142" s="107">
        <f t="shared" si="844"/>
        <v>19800</v>
      </c>
    </row>
    <row r="143" spans="13:117" s="5" customFormat="1" x14ac:dyDescent="0.35">
      <c r="M143" s="77">
        <f t="shared" si="845"/>
        <v>141</v>
      </c>
      <c r="N143" s="78">
        <v>0</v>
      </c>
      <c r="O143" s="79">
        <v>0</v>
      </c>
      <c r="P143" s="79">
        <v>0</v>
      </c>
      <c r="Q143" s="79">
        <v>39457.144</v>
      </c>
      <c r="R143" s="79">
        <v>1985.4172930300001</v>
      </c>
      <c r="S143" s="79">
        <f t="shared" si="816"/>
        <v>41442.561293029998</v>
      </c>
      <c r="T143" s="78">
        <v>0</v>
      </c>
      <c r="U143" s="79">
        <v>0</v>
      </c>
      <c r="V143" s="79">
        <v>0.54799999999999993</v>
      </c>
      <c r="W143" s="79">
        <v>0.29599999999999999</v>
      </c>
      <c r="X143" s="79">
        <f t="shared" si="817"/>
        <v>0.84399999999999986</v>
      </c>
      <c r="Y143" s="79">
        <v>6558.56</v>
      </c>
      <c r="Z143" s="79">
        <v>0</v>
      </c>
      <c r="AA143" s="80">
        <f t="shared" si="818"/>
        <v>6558.56</v>
      </c>
      <c r="AB143" s="79"/>
      <c r="AC143" s="88">
        <v>0</v>
      </c>
      <c r="AD143" s="94">
        <f t="shared" si="819"/>
        <v>0</v>
      </c>
      <c r="AE143" s="89">
        <v>0</v>
      </c>
      <c r="AF143" s="94">
        <f t="shared" si="820"/>
        <v>0</v>
      </c>
      <c r="AG143" s="89">
        <v>0</v>
      </c>
      <c r="AH143" s="94">
        <f t="shared" si="821"/>
        <v>0</v>
      </c>
      <c r="AI143" s="89">
        <v>0</v>
      </c>
      <c r="AJ143" s="94">
        <f>AI143/$B$6</f>
        <v>0</v>
      </c>
      <c r="AK143" s="89">
        <v>0</v>
      </c>
      <c r="AL143" s="94">
        <f>AK143/$B$7</f>
        <v>0</v>
      </c>
      <c r="AM143" s="89">
        <v>0</v>
      </c>
      <c r="AN143" s="94">
        <f t="shared" si="822"/>
        <v>0</v>
      </c>
      <c r="AO143" s="89">
        <v>0</v>
      </c>
      <c r="AP143" s="94">
        <f t="shared" si="823"/>
        <v>0</v>
      </c>
      <c r="AQ143" s="79"/>
      <c r="AR143" s="88">
        <v>36845.917200000004</v>
      </c>
      <c r="AS143" s="76">
        <v>1734.2</v>
      </c>
      <c r="AT143" s="88">
        <v>377</v>
      </c>
      <c r="AU143" s="100">
        <f t="shared" si="824"/>
        <v>0.41400000000000003</v>
      </c>
      <c r="AV143" s="100">
        <f t="shared" si="825"/>
        <v>0.754</v>
      </c>
      <c r="AW143" s="100">
        <f t="shared" si="826"/>
        <v>0.754</v>
      </c>
      <c r="AX143" s="94">
        <v>354.00799999999998</v>
      </c>
      <c r="AY143" s="76">
        <v>3446.5056</v>
      </c>
      <c r="AZ143" s="100">
        <f>AX143/$B$9</f>
        <v>0.54799999999999993</v>
      </c>
      <c r="BA143" s="97">
        <f>AY143/$B$8</f>
        <v>0.29599999999999999</v>
      </c>
      <c r="BB143" s="88">
        <v>12978.6</v>
      </c>
      <c r="BC143" s="76">
        <v>19085.174999999999</v>
      </c>
      <c r="BD143" s="100">
        <f t="shared" si="827"/>
        <v>0.29099999999999998</v>
      </c>
      <c r="BE143" s="97">
        <f t="shared" si="828"/>
        <v>0.81299999999999994</v>
      </c>
      <c r="BG143" s="88">
        <v>908.72199999999998</v>
      </c>
      <c r="BH143" s="114">
        <f>BG143/$B$10</f>
        <v>0.36900018678989388</v>
      </c>
      <c r="BI143" s="115">
        <v>1004.706</v>
      </c>
      <c r="BJ143" s="114">
        <f>BI143/$B$11</f>
        <v>0.62520597386434351</v>
      </c>
      <c r="BK143" s="115">
        <v>1121.4780000000001</v>
      </c>
      <c r="BL143" s="114">
        <f t="shared" si="829"/>
        <v>0.5784392407674851</v>
      </c>
      <c r="BN143" s="111">
        <v>54782.928</v>
      </c>
      <c r="BO143" s="114">
        <f t="shared" si="830"/>
        <v>0.78688524590163933</v>
      </c>
      <c r="BQ143" s="142">
        <v>15718.287</v>
      </c>
      <c r="BR143" s="131">
        <v>0</v>
      </c>
      <c r="BS143" s="143">
        <v>0</v>
      </c>
      <c r="BT143" s="105">
        <f t="shared" si="831"/>
        <v>0.48215604294478526</v>
      </c>
      <c r="BU143" s="20">
        <f t="shared" si="832"/>
        <v>0</v>
      </c>
      <c r="BV143" s="2">
        <v>0</v>
      </c>
      <c r="BW143" s="2">
        <v>0</v>
      </c>
      <c r="BX143" s="2">
        <v>0</v>
      </c>
      <c r="BY143" s="2">
        <v>4914.1610000000001</v>
      </c>
      <c r="BZ143" s="105">
        <f t="shared" si="833"/>
        <v>0.36460609882771927</v>
      </c>
      <c r="CA143" s="20">
        <f t="shared" si="834"/>
        <v>0</v>
      </c>
      <c r="CB143" s="5">
        <v>10800</v>
      </c>
      <c r="CC143" s="5">
        <v>0</v>
      </c>
      <c r="CE143" s="108">
        <v>-700</v>
      </c>
      <c r="CF143" s="153">
        <f t="shared" si="835"/>
        <v>0</v>
      </c>
      <c r="CG143" s="153">
        <v>4485</v>
      </c>
      <c r="CH143" s="153">
        <f t="shared" si="835"/>
        <v>4485</v>
      </c>
      <c r="CI143" s="153">
        <v>0</v>
      </c>
      <c r="CJ143" s="153">
        <f t="shared" ref="CJ143:CL143" si="906">IF(CI143&gt;0,CI143,0)</f>
        <v>0</v>
      </c>
      <c r="CK143" s="153">
        <v>-5000</v>
      </c>
      <c r="CL143" s="153">
        <f t="shared" si="906"/>
        <v>0</v>
      </c>
      <c r="CM143" s="153">
        <v>-5300</v>
      </c>
      <c r="CN143" s="153">
        <f t="shared" ref="CN143:CP143" si="907">IF(CM143&gt;0,CM143,0)</f>
        <v>0</v>
      </c>
      <c r="CO143" s="153">
        <v>-4000</v>
      </c>
      <c r="CP143" s="153">
        <f t="shared" si="907"/>
        <v>0</v>
      </c>
      <c r="CQ143" s="153">
        <v>-4800</v>
      </c>
      <c r="CR143" s="153">
        <f t="shared" ref="CR143:CT143" si="908">IF(CQ143&gt;0,CQ143,0)</f>
        <v>0</v>
      </c>
      <c r="CS143" s="153">
        <v>13917.72010602</v>
      </c>
      <c r="CT143" s="153">
        <f t="shared" si="908"/>
        <v>13917.72010602</v>
      </c>
      <c r="CU143" s="107">
        <f t="shared" si="839"/>
        <v>18402.720106020002</v>
      </c>
      <c r="CW143" s="108">
        <v>-700</v>
      </c>
      <c r="CX143" s="153">
        <f t="shared" si="840"/>
        <v>700</v>
      </c>
      <c r="CY143" s="153">
        <v>4485</v>
      </c>
      <c r="CZ143" s="153">
        <f t="shared" si="840"/>
        <v>0</v>
      </c>
      <c r="DA143" s="153">
        <v>0</v>
      </c>
      <c r="DB143" s="153">
        <f t="shared" ref="DB143:DD143" si="909">IF(DA143&lt;0,-DA143,0)</f>
        <v>0</v>
      </c>
      <c r="DC143" s="153">
        <v>-5000</v>
      </c>
      <c r="DD143" s="153">
        <f t="shared" si="909"/>
        <v>5000</v>
      </c>
      <c r="DE143" s="153">
        <v>-5300</v>
      </c>
      <c r="DF143" s="153">
        <f t="shared" ref="DF143:DH143" si="910">IF(DE143&lt;0,-DE143,0)</f>
        <v>5300</v>
      </c>
      <c r="DG143" s="153">
        <v>-4000</v>
      </c>
      <c r="DH143" s="153">
        <f t="shared" si="910"/>
        <v>4000</v>
      </c>
      <c r="DI143" s="153">
        <v>-4800</v>
      </c>
      <c r="DJ143" s="153">
        <f t="shared" ref="DJ143:DL143" si="911">IF(DI143&lt;0,-DI143,0)</f>
        <v>4800</v>
      </c>
      <c r="DK143" s="153">
        <v>13917.72010602</v>
      </c>
      <c r="DL143" s="153">
        <f t="shared" si="911"/>
        <v>0</v>
      </c>
      <c r="DM143" s="107">
        <f t="shared" si="844"/>
        <v>19800</v>
      </c>
    </row>
    <row r="144" spans="13:117" s="5" customFormat="1" x14ac:dyDescent="0.35">
      <c r="M144" s="77">
        <f t="shared" si="845"/>
        <v>142</v>
      </c>
      <c r="N144" s="78">
        <v>0</v>
      </c>
      <c r="O144" s="79">
        <v>0</v>
      </c>
      <c r="P144" s="79">
        <v>0</v>
      </c>
      <c r="Q144" s="79">
        <v>38604.33</v>
      </c>
      <c r="R144" s="79">
        <v>1902.4026389000001</v>
      </c>
      <c r="S144" s="79">
        <f t="shared" si="816"/>
        <v>40506.732638900001</v>
      </c>
      <c r="T144" s="78">
        <v>0</v>
      </c>
      <c r="U144" s="79">
        <v>0</v>
      </c>
      <c r="V144" s="79">
        <v>0.58399999999999996</v>
      </c>
      <c r="W144" s="79">
        <v>0.374</v>
      </c>
      <c r="X144" s="79">
        <f t="shared" si="817"/>
        <v>0.95799999999999996</v>
      </c>
      <c r="Y144" s="79">
        <v>6112.9520000000002</v>
      </c>
      <c r="Z144" s="79">
        <v>0</v>
      </c>
      <c r="AA144" s="80">
        <f t="shared" si="818"/>
        <v>6112.9520000000002</v>
      </c>
      <c r="AB144" s="79"/>
      <c r="AC144" s="88">
        <v>0</v>
      </c>
      <c r="AD144" s="94">
        <f t="shared" si="819"/>
        <v>0</v>
      </c>
      <c r="AE144" s="89">
        <v>0</v>
      </c>
      <c r="AF144" s="94">
        <f t="shared" si="820"/>
        <v>0</v>
      </c>
      <c r="AG144" s="89">
        <v>0</v>
      </c>
      <c r="AH144" s="94">
        <f t="shared" si="821"/>
        <v>0</v>
      </c>
      <c r="AI144" s="89">
        <v>0</v>
      </c>
      <c r="AJ144" s="94">
        <f>AI144/$B$6</f>
        <v>0</v>
      </c>
      <c r="AK144" s="89">
        <v>0</v>
      </c>
      <c r="AL144" s="94">
        <f>AK144/$B$7</f>
        <v>0</v>
      </c>
      <c r="AM144" s="89">
        <v>0</v>
      </c>
      <c r="AN144" s="94">
        <f t="shared" si="822"/>
        <v>0</v>
      </c>
      <c r="AO144" s="89">
        <v>0</v>
      </c>
      <c r="AP144" s="94">
        <f t="shared" si="823"/>
        <v>0</v>
      </c>
      <c r="AQ144" s="79"/>
      <c r="AR144" s="88">
        <v>38447.9136</v>
      </c>
      <c r="AS144" s="76">
        <v>1766.4</v>
      </c>
      <c r="AT144" s="88">
        <v>384</v>
      </c>
      <c r="AU144" s="100">
        <f t="shared" si="824"/>
        <v>0.432</v>
      </c>
      <c r="AV144" s="100">
        <f t="shared" si="825"/>
        <v>0.76800000000000002</v>
      </c>
      <c r="AW144" s="100">
        <f t="shared" si="826"/>
        <v>0.76800000000000002</v>
      </c>
      <c r="AX144" s="94">
        <v>377.26400000000001</v>
      </c>
      <c r="AY144" s="76">
        <v>4354.7064</v>
      </c>
      <c r="AZ144" s="100">
        <f>AX144/$B$9</f>
        <v>0.58399999999999996</v>
      </c>
      <c r="BA144" s="97">
        <f>AY144/$B$8</f>
        <v>0.374</v>
      </c>
      <c r="BB144" s="88">
        <v>15476.2</v>
      </c>
      <c r="BC144" s="76">
        <v>20470.2</v>
      </c>
      <c r="BD144" s="100">
        <f t="shared" si="827"/>
        <v>0.34700000000000003</v>
      </c>
      <c r="BE144" s="97">
        <f t="shared" si="828"/>
        <v>0.872</v>
      </c>
      <c r="BG144" s="88">
        <v>911.18399999999997</v>
      </c>
      <c r="BH144" s="114">
        <f>BG144/$B$10</f>
        <v>0.36999991878700267</v>
      </c>
      <c r="BI144" s="115">
        <v>999.15300000000002</v>
      </c>
      <c r="BJ144" s="114">
        <f>BI144/$B$11</f>
        <v>0.62175046670815182</v>
      </c>
      <c r="BK144" s="115">
        <v>1121.4780000000001</v>
      </c>
      <c r="BL144" s="114">
        <f t="shared" si="829"/>
        <v>0.5784392407674851</v>
      </c>
      <c r="BN144" s="111">
        <v>53641.616999999998</v>
      </c>
      <c r="BO144" s="114">
        <f t="shared" si="830"/>
        <v>0.77049180327868849</v>
      </c>
      <c r="BQ144" s="142">
        <v>16423.629000000001</v>
      </c>
      <c r="BR144" s="131">
        <v>0</v>
      </c>
      <c r="BS144" s="143">
        <v>0</v>
      </c>
      <c r="BT144" s="105">
        <f t="shared" si="831"/>
        <v>0.503792300613497</v>
      </c>
      <c r="BU144" s="20">
        <f t="shared" si="832"/>
        <v>0</v>
      </c>
      <c r="BV144" s="2">
        <v>0</v>
      </c>
      <c r="BW144" s="2">
        <v>0</v>
      </c>
      <c r="BX144" s="2">
        <v>0</v>
      </c>
      <c r="BY144" s="2">
        <v>5236.0420000000004</v>
      </c>
      <c r="BZ144" s="105">
        <f t="shared" si="833"/>
        <v>0.38848805460750857</v>
      </c>
      <c r="CA144" s="20">
        <f t="shared" si="834"/>
        <v>0</v>
      </c>
      <c r="CB144" s="5">
        <v>10800</v>
      </c>
      <c r="CC144" s="5">
        <v>0</v>
      </c>
      <c r="CE144" s="108">
        <v>-700</v>
      </c>
      <c r="CF144" s="153">
        <f t="shared" si="835"/>
        <v>0</v>
      </c>
      <c r="CG144" s="153">
        <v>4485</v>
      </c>
      <c r="CH144" s="153">
        <f t="shared" si="835"/>
        <v>4485</v>
      </c>
      <c r="CI144" s="153">
        <v>0</v>
      </c>
      <c r="CJ144" s="153">
        <f t="shared" ref="CJ144:CL144" si="912">IF(CI144&gt;0,CI144,0)</f>
        <v>0</v>
      </c>
      <c r="CK144" s="153">
        <v>-5000</v>
      </c>
      <c r="CL144" s="153">
        <f t="shared" si="912"/>
        <v>0</v>
      </c>
      <c r="CM144" s="153">
        <v>-5300</v>
      </c>
      <c r="CN144" s="153">
        <f t="shared" ref="CN144:CP144" si="913">IF(CM144&gt;0,CM144,0)</f>
        <v>0</v>
      </c>
      <c r="CO144" s="153">
        <v>-4000</v>
      </c>
      <c r="CP144" s="153">
        <f t="shared" si="913"/>
        <v>0</v>
      </c>
      <c r="CQ144" s="153">
        <v>-4800</v>
      </c>
      <c r="CR144" s="153">
        <f t="shared" ref="CR144:CT144" si="914">IF(CQ144&gt;0,CQ144,0)</f>
        <v>0</v>
      </c>
      <c r="CS144" s="153">
        <v>18224.409051629998</v>
      </c>
      <c r="CT144" s="153">
        <f t="shared" si="914"/>
        <v>18224.409051629998</v>
      </c>
      <c r="CU144" s="107">
        <f t="shared" si="839"/>
        <v>22709.409051629998</v>
      </c>
      <c r="CW144" s="108">
        <v>-700</v>
      </c>
      <c r="CX144" s="153">
        <f t="shared" si="840"/>
        <v>700</v>
      </c>
      <c r="CY144" s="153">
        <v>4485</v>
      </c>
      <c r="CZ144" s="153">
        <f t="shared" si="840"/>
        <v>0</v>
      </c>
      <c r="DA144" s="153">
        <v>0</v>
      </c>
      <c r="DB144" s="153">
        <f t="shared" ref="DB144:DD144" si="915">IF(DA144&lt;0,-DA144,0)</f>
        <v>0</v>
      </c>
      <c r="DC144" s="153">
        <v>-5000</v>
      </c>
      <c r="DD144" s="153">
        <f t="shared" si="915"/>
        <v>5000</v>
      </c>
      <c r="DE144" s="153">
        <v>-5300</v>
      </c>
      <c r="DF144" s="153">
        <f t="shared" ref="DF144:DH144" si="916">IF(DE144&lt;0,-DE144,0)</f>
        <v>5300</v>
      </c>
      <c r="DG144" s="153">
        <v>-4000</v>
      </c>
      <c r="DH144" s="153">
        <f t="shared" si="916"/>
        <v>4000</v>
      </c>
      <c r="DI144" s="153">
        <v>-4800</v>
      </c>
      <c r="DJ144" s="153">
        <f t="shared" ref="DJ144:DL144" si="917">IF(DI144&lt;0,-DI144,0)</f>
        <v>4800</v>
      </c>
      <c r="DK144" s="153">
        <v>18224.409051629998</v>
      </c>
      <c r="DL144" s="153">
        <f t="shared" si="917"/>
        <v>0</v>
      </c>
      <c r="DM144" s="107">
        <f t="shared" si="844"/>
        <v>19800</v>
      </c>
    </row>
    <row r="145" spans="13:117" s="5" customFormat="1" x14ac:dyDescent="0.35">
      <c r="M145" s="77">
        <f t="shared" si="845"/>
        <v>143</v>
      </c>
      <c r="N145" s="78">
        <v>0</v>
      </c>
      <c r="O145" s="79">
        <v>0</v>
      </c>
      <c r="P145" s="79">
        <v>0</v>
      </c>
      <c r="Q145" s="79">
        <v>36813.754999999997</v>
      </c>
      <c r="R145" s="79">
        <v>1907.10974074</v>
      </c>
      <c r="S145" s="79">
        <f t="shared" si="816"/>
        <v>38720.864740739999</v>
      </c>
      <c r="T145" s="78">
        <v>0</v>
      </c>
      <c r="U145" s="79">
        <v>0</v>
      </c>
      <c r="V145" s="79">
        <v>0.61899999999999999</v>
      </c>
      <c r="W145" s="79">
        <v>0.45700000000000002</v>
      </c>
      <c r="X145" s="79">
        <f t="shared" si="817"/>
        <v>1.0760000000000001</v>
      </c>
      <c r="Y145" s="79">
        <v>6325.7550000000001</v>
      </c>
      <c r="Z145" s="79">
        <v>0</v>
      </c>
      <c r="AA145" s="80">
        <f t="shared" si="818"/>
        <v>6325.7550000000001</v>
      </c>
      <c r="AB145" s="79"/>
      <c r="AC145" s="88">
        <v>0</v>
      </c>
      <c r="AD145" s="94">
        <f t="shared" si="819"/>
        <v>0</v>
      </c>
      <c r="AE145" s="89">
        <v>0</v>
      </c>
      <c r="AF145" s="94">
        <f t="shared" si="820"/>
        <v>0</v>
      </c>
      <c r="AG145" s="89">
        <v>0</v>
      </c>
      <c r="AH145" s="94">
        <f t="shared" si="821"/>
        <v>0</v>
      </c>
      <c r="AI145" s="89">
        <v>0</v>
      </c>
      <c r="AJ145" s="94">
        <f>AI145/$B$6</f>
        <v>0</v>
      </c>
      <c r="AK145" s="89">
        <v>0</v>
      </c>
      <c r="AL145" s="94">
        <f>AK145/$B$7</f>
        <v>0</v>
      </c>
      <c r="AM145" s="89">
        <v>0</v>
      </c>
      <c r="AN145" s="94">
        <f t="shared" si="822"/>
        <v>0</v>
      </c>
      <c r="AO145" s="89">
        <v>0</v>
      </c>
      <c r="AP145" s="94">
        <f t="shared" si="823"/>
        <v>0</v>
      </c>
      <c r="AQ145" s="79"/>
      <c r="AR145" s="88">
        <v>40761.9084</v>
      </c>
      <c r="AS145" s="76">
        <v>1805.5</v>
      </c>
      <c r="AT145" s="88">
        <v>392.5</v>
      </c>
      <c r="AU145" s="100">
        <f t="shared" si="824"/>
        <v>0.45799999999999996</v>
      </c>
      <c r="AV145" s="100">
        <f t="shared" si="825"/>
        <v>0.78500000000000003</v>
      </c>
      <c r="AW145" s="100">
        <f t="shared" si="826"/>
        <v>0.78500000000000003</v>
      </c>
      <c r="AX145" s="94">
        <v>399.87400000000002</v>
      </c>
      <c r="AY145" s="76">
        <v>5321.1252000000004</v>
      </c>
      <c r="AZ145" s="100">
        <f>AX145/$B$9</f>
        <v>0.61899999999999999</v>
      </c>
      <c r="BA145" s="97">
        <f>AY145/$B$8</f>
        <v>0.45700000000000002</v>
      </c>
      <c r="BB145" s="88">
        <v>18018.400000000001</v>
      </c>
      <c r="BC145" s="76">
        <v>21338.775000000001</v>
      </c>
      <c r="BD145" s="100">
        <f t="shared" si="827"/>
        <v>0.40400000000000003</v>
      </c>
      <c r="BE145" s="97">
        <f t="shared" si="828"/>
        <v>0.90900000000000003</v>
      </c>
      <c r="BG145" s="88">
        <v>891.48299999999995</v>
      </c>
      <c r="BH145" s="114">
        <f>BG145/$B$10</f>
        <v>0.36200003248519891</v>
      </c>
      <c r="BI145" s="115">
        <v>984.97900000000004</v>
      </c>
      <c r="BJ145" s="114">
        <f>BI145/$B$11</f>
        <v>0.61293030491599254</v>
      </c>
      <c r="BK145" s="115">
        <v>1121.4780000000001</v>
      </c>
      <c r="BL145" s="114">
        <f t="shared" si="829"/>
        <v>0.5784392407674851</v>
      </c>
      <c r="BN145" s="111">
        <v>53641.616999999998</v>
      </c>
      <c r="BO145" s="114">
        <f t="shared" si="830"/>
        <v>0.77049180327868849</v>
      </c>
      <c r="BQ145" s="142">
        <v>17421.954000000002</v>
      </c>
      <c r="BR145" s="131">
        <v>0</v>
      </c>
      <c r="BS145" s="143">
        <v>0</v>
      </c>
      <c r="BT145" s="105">
        <f t="shared" si="831"/>
        <v>0.53441576687116565</v>
      </c>
      <c r="BU145" s="20">
        <f t="shared" si="832"/>
        <v>0</v>
      </c>
      <c r="BV145" s="2">
        <v>0</v>
      </c>
      <c r="BW145" s="2">
        <v>0</v>
      </c>
      <c r="BX145" s="2">
        <v>0</v>
      </c>
      <c r="BY145" s="2">
        <v>5544.1530000000002</v>
      </c>
      <c r="BZ145" s="105">
        <f t="shared" si="833"/>
        <v>0.41134834545184745</v>
      </c>
      <c r="CA145" s="20">
        <f t="shared" si="834"/>
        <v>0</v>
      </c>
      <c r="CB145" s="5">
        <v>10800</v>
      </c>
      <c r="CC145" s="5">
        <v>0</v>
      </c>
      <c r="CE145" s="108">
        <v>-700</v>
      </c>
      <c r="CF145" s="153">
        <f t="shared" si="835"/>
        <v>0</v>
      </c>
      <c r="CG145" s="153">
        <v>4485</v>
      </c>
      <c r="CH145" s="153">
        <f t="shared" si="835"/>
        <v>4485</v>
      </c>
      <c r="CI145" s="153">
        <v>0</v>
      </c>
      <c r="CJ145" s="153">
        <f t="shared" ref="CJ145:CL145" si="918">IF(CI145&gt;0,CI145,0)</f>
        <v>0</v>
      </c>
      <c r="CK145" s="153">
        <v>-5000</v>
      </c>
      <c r="CL145" s="153">
        <f t="shared" si="918"/>
        <v>0</v>
      </c>
      <c r="CM145" s="153">
        <v>-5300</v>
      </c>
      <c r="CN145" s="153">
        <f t="shared" ref="CN145:CP145" si="919">IF(CM145&gt;0,CM145,0)</f>
        <v>0</v>
      </c>
      <c r="CO145" s="153">
        <v>-4000</v>
      </c>
      <c r="CP145" s="153">
        <f t="shared" si="919"/>
        <v>0</v>
      </c>
      <c r="CQ145" s="153">
        <v>-4800</v>
      </c>
      <c r="CR145" s="153">
        <f t="shared" ref="CR145:CT145" si="920">IF(CQ145&gt;0,CQ145,0)</f>
        <v>0</v>
      </c>
      <c r="CS145" s="153">
        <v>14330.46466904</v>
      </c>
      <c r="CT145" s="153">
        <f t="shared" si="920"/>
        <v>14330.46466904</v>
      </c>
      <c r="CU145" s="107">
        <f t="shared" si="839"/>
        <v>18815.46466904</v>
      </c>
      <c r="CW145" s="108">
        <v>-700</v>
      </c>
      <c r="CX145" s="153">
        <f t="shared" si="840"/>
        <v>700</v>
      </c>
      <c r="CY145" s="153">
        <v>4485</v>
      </c>
      <c r="CZ145" s="153">
        <f t="shared" si="840"/>
        <v>0</v>
      </c>
      <c r="DA145" s="153">
        <v>0</v>
      </c>
      <c r="DB145" s="153">
        <f t="shared" ref="DB145:DD145" si="921">IF(DA145&lt;0,-DA145,0)</f>
        <v>0</v>
      </c>
      <c r="DC145" s="153">
        <v>-5000</v>
      </c>
      <c r="DD145" s="153">
        <f t="shared" si="921"/>
        <v>5000</v>
      </c>
      <c r="DE145" s="153">
        <v>-5300</v>
      </c>
      <c r="DF145" s="153">
        <f t="shared" ref="DF145:DH145" si="922">IF(DE145&lt;0,-DE145,0)</f>
        <v>5300</v>
      </c>
      <c r="DG145" s="153">
        <v>-4000</v>
      </c>
      <c r="DH145" s="153">
        <f t="shared" si="922"/>
        <v>4000</v>
      </c>
      <c r="DI145" s="153">
        <v>-4800</v>
      </c>
      <c r="DJ145" s="153">
        <f t="shared" ref="DJ145:DL145" si="923">IF(DI145&lt;0,-DI145,0)</f>
        <v>4800</v>
      </c>
      <c r="DK145" s="153">
        <v>14330.46466904</v>
      </c>
      <c r="DL145" s="153">
        <f t="shared" si="923"/>
        <v>0</v>
      </c>
      <c r="DM145" s="107">
        <f t="shared" si="844"/>
        <v>19800</v>
      </c>
    </row>
    <row r="146" spans="13:117" s="5" customFormat="1" x14ac:dyDescent="0.35">
      <c r="M146" s="77">
        <f t="shared" si="845"/>
        <v>144</v>
      </c>
      <c r="N146" s="78">
        <v>0</v>
      </c>
      <c r="O146" s="79">
        <v>0</v>
      </c>
      <c r="P146" s="79">
        <v>0</v>
      </c>
      <c r="Q146" s="79">
        <v>34282.080000000002</v>
      </c>
      <c r="R146" s="79">
        <v>1599.6443355199999</v>
      </c>
      <c r="S146" s="79">
        <f t="shared" si="816"/>
        <v>35881.724335520004</v>
      </c>
      <c r="T146" s="78">
        <v>0</v>
      </c>
      <c r="U146" s="79">
        <v>0</v>
      </c>
      <c r="V146" s="79">
        <v>0.65300000000000002</v>
      </c>
      <c r="W146" s="79">
        <v>0.53</v>
      </c>
      <c r="X146" s="79">
        <f t="shared" si="817"/>
        <v>1.1830000000000001</v>
      </c>
      <c r="Y146" s="79">
        <v>5965.1719999999996</v>
      </c>
      <c r="Z146" s="79">
        <v>0</v>
      </c>
      <c r="AA146" s="80">
        <f t="shared" si="818"/>
        <v>5965.1719999999996</v>
      </c>
      <c r="AB146" s="79"/>
      <c r="AC146" s="88">
        <v>0</v>
      </c>
      <c r="AD146" s="94">
        <f t="shared" si="819"/>
        <v>0</v>
      </c>
      <c r="AE146" s="89">
        <v>0</v>
      </c>
      <c r="AF146" s="94">
        <f t="shared" si="820"/>
        <v>0</v>
      </c>
      <c r="AG146" s="89">
        <v>0</v>
      </c>
      <c r="AH146" s="94">
        <f t="shared" si="821"/>
        <v>0</v>
      </c>
      <c r="AI146" s="89">
        <v>0</v>
      </c>
      <c r="AJ146" s="94">
        <f>AI146/$B$6</f>
        <v>0</v>
      </c>
      <c r="AK146" s="89">
        <v>0</v>
      </c>
      <c r="AL146" s="94">
        <f>AK146/$B$7</f>
        <v>0</v>
      </c>
      <c r="AM146" s="89">
        <v>0</v>
      </c>
      <c r="AN146" s="94">
        <f t="shared" si="822"/>
        <v>0</v>
      </c>
      <c r="AO146" s="89">
        <v>0</v>
      </c>
      <c r="AP146" s="94">
        <f t="shared" si="823"/>
        <v>0</v>
      </c>
      <c r="AQ146" s="79"/>
      <c r="AR146" s="88">
        <v>43253.902800000003</v>
      </c>
      <c r="AS146" s="76">
        <v>1851.5</v>
      </c>
      <c r="AT146" s="88">
        <v>402.5</v>
      </c>
      <c r="AU146" s="100">
        <f t="shared" si="824"/>
        <v>0.48600000000000004</v>
      </c>
      <c r="AV146" s="100">
        <f t="shared" si="825"/>
        <v>0.80500000000000005</v>
      </c>
      <c r="AW146" s="100">
        <f t="shared" si="826"/>
        <v>0.80500000000000005</v>
      </c>
      <c r="AX146" s="94">
        <v>421.83800000000002</v>
      </c>
      <c r="AY146" s="76">
        <v>6171.1080000000002</v>
      </c>
      <c r="AZ146" s="100">
        <f>AX146/$B$9</f>
        <v>0.65300000000000002</v>
      </c>
      <c r="BA146" s="97">
        <f>AY146/$B$8</f>
        <v>0.53</v>
      </c>
      <c r="BB146" s="88">
        <v>21809.4</v>
      </c>
      <c r="BC146" s="76">
        <v>21714.375</v>
      </c>
      <c r="BD146" s="100">
        <f t="shared" si="827"/>
        <v>0.48900000000000005</v>
      </c>
      <c r="BE146" s="97">
        <f t="shared" si="828"/>
        <v>0.92500000000000004</v>
      </c>
      <c r="BG146" s="88">
        <v>881.63199999999995</v>
      </c>
      <c r="BH146" s="114">
        <f>BG146/$B$10</f>
        <v>0.35799988630180374</v>
      </c>
      <c r="BI146" s="115">
        <v>972.048</v>
      </c>
      <c r="BJ146" s="114">
        <f>BI146/$B$11</f>
        <v>0.60488363410080892</v>
      </c>
      <c r="BK146" s="115">
        <v>1121.4780000000001</v>
      </c>
      <c r="BL146" s="114">
        <f t="shared" si="829"/>
        <v>0.5784392407674851</v>
      </c>
      <c r="BN146" s="111">
        <v>53641.616999999998</v>
      </c>
      <c r="BO146" s="114">
        <f t="shared" si="830"/>
        <v>0.77049180327868849</v>
      </c>
      <c r="BQ146" s="142">
        <v>18473.257000000001</v>
      </c>
      <c r="BR146" s="131">
        <v>0</v>
      </c>
      <c r="BS146" s="143">
        <v>0</v>
      </c>
      <c r="BT146" s="105">
        <f t="shared" si="831"/>
        <v>0.56666432515337428</v>
      </c>
      <c r="BU146" s="20">
        <f t="shared" si="832"/>
        <v>0</v>
      </c>
      <c r="BV146" s="2">
        <v>0</v>
      </c>
      <c r="BW146" s="2">
        <v>0</v>
      </c>
      <c r="BX146" s="2">
        <v>0</v>
      </c>
      <c r="BY146" s="2">
        <v>5853.1850000000004</v>
      </c>
      <c r="BZ146" s="105">
        <f t="shared" si="833"/>
        <v>0.43427696987683634</v>
      </c>
      <c r="CA146" s="20">
        <f t="shared" si="834"/>
        <v>0</v>
      </c>
      <c r="CB146" s="5">
        <v>10800</v>
      </c>
      <c r="CC146" s="5">
        <v>0</v>
      </c>
      <c r="CE146" s="108">
        <v>-700</v>
      </c>
      <c r="CF146" s="153">
        <f t="shared" si="835"/>
        <v>0</v>
      </c>
      <c r="CG146" s="153">
        <v>4485</v>
      </c>
      <c r="CH146" s="153">
        <f t="shared" si="835"/>
        <v>4485</v>
      </c>
      <c r="CI146" s="153">
        <v>0</v>
      </c>
      <c r="CJ146" s="153">
        <f t="shared" ref="CJ146:CL146" si="924">IF(CI146&gt;0,CI146,0)</f>
        <v>0</v>
      </c>
      <c r="CK146" s="153">
        <v>-5000</v>
      </c>
      <c r="CL146" s="153">
        <f t="shared" si="924"/>
        <v>0</v>
      </c>
      <c r="CM146" s="153">
        <v>-5300</v>
      </c>
      <c r="CN146" s="153">
        <f t="shared" ref="CN146:CP146" si="925">IF(CM146&gt;0,CM146,0)</f>
        <v>0</v>
      </c>
      <c r="CO146" s="153">
        <v>-4000</v>
      </c>
      <c r="CP146" s="153">
        <f t="shared" si="925"/>
        <v>0</v>
      </c>
      <c r="CQ146" s="153">
        <v>-4800</v>
      </c>
      <c r="CR146" s="153">
        <f t="shared" ref="CR146:CT146" si="926">IF(CQ146&gt;0,CQ146,0)</f>
        <v>0</v>
      </c>
      <c r="CS146" s="153">
        <v>12379.71611505</v>
      </c>
      <c r="CT146" s="153">
        <f t="shared" si="926"/>
        <v>12379.71611505</v>
      </c>
      <c r="CU146" s="107">
        <f t="shared" si="839"/>
        <v>16864.71611505</v>
      </c>
      <c r="CW146" s="108">
        <v>-700</v>
      </c>
      <c r="CX146" s="153">
        <f t="shared" si="840"/>
        <v>700</v>
      </c>
      <c r="CY146" s="153">
        <v>4485</v>
      </c>
      <c r="CZ146" s="153">
        <f t="shared" si="840"/>
        <v>0</v>
      </c>
      <c r="DA146" s="153">
        <v>0</v>
      </c>
      <c r="DB146" s="153">
        <f t="shared" ref="DB146:DD146" si="927">IF(DA146&lt;0,-DA146,0)</f>
        <v>0</v>
      </c>
      <c r="DC146" s="153">
        <v>-5000</v>
      </c>
      <c r="DD146" s="153">
        <f t="shared" si="927"/>
        <v>5000</v>
      </c>
      <c r="DE146" s="153">
        <v>-5300</v>
      </c>
      <c r="DF146" s="153">
        <f t="shared" ref="DF146:DH146" si="928">IF(DE146&lt;0,-DE146,0)</f>
        <v>5300</v>
      </c>
      <c r="DG146" s="153">
        <v>-4000</v>
      </c>
      <c r="DH146" s="153">
        <f t="shared" si="928"/>
        <v>4000</v>
      </c>
      <c r="DI146" s="153">
        <v>-4800</v>
      </c>
      <c r="DJ146" s="153">
        <f t="shared" ref="DJ146:DL146" si="929">IF(DI146&lt;0,-DI146,0)</f>
        <v>4800</v>
      </c>
      <c r="DK146" s="153">
        <v>12379.71611505</v>
      </c>
      <c r="DL146" s="153">
        <f t="shared" si="929"/>
        <v>0</v>
      </c>
      <c r="DM146" s="107">
        <f t="shared" si="844"/>
        <v>19800</v>
      </c>
    </row>
    <row r="147" spans="13:117" s="5" customFormat="1" x14ac:dyDescent="0.35">
      <c r="M147" s="77">
        <f t="shared" si="845"/>
        <v>145</v>
      </c>
      <c r="N147" s="78">
        <v>0</v>
      </c>
      <c r="O147" s="79">
        <v>0</v>
      </c>
      <c r="P147" s="79">
        <v>0</v>
      </c>
      <c r="Q147" s="79">
        <v>32633.776000000002</v>
      </c>
      <c r="R147" s="79">
        <v>1275.0043948499999</v>
      </c>
      <c r="S147" s="79">
        <f t="shared" si="816"/>
        <v>33908.78039485</v>
      </c>
      <c r="T147" s="78">
        <v>0</v>
      </c>
      <c r="U147" s="79">
        <v>0</v>
      </c>
      <c r="V147" s="79">
        <v>0.68300000000000005</v>
      </c>
      <c r="W147" s="79">
        <v>0.62</v>
      </c>
      <c r="X147" s="79">
        <f t="shared" si="817"/>
        <v>1.3029999999999999</v>
      </c>
      <c r="Y147" s="79">
        <v>5339.4930000000004</v>
      </c>
      <c r="Z147" s="79">
        <v>0</v>
      </c>
      <c r="AA147" s="80">
        <f t="shared" si="818"/>
        <v>5339.4930000000004</v>
      </c>
      <c r="AB147" s="79"/>
      <c r="AC147" s="88">
        <v>0</v>
      </c>
      <c r="AD147" s="94">
        <f t="shared" si="819"/>
        <v>0</v>
      </c>
      <c r="AE147" s="89">
        <v>0</v>
      </c>
      <c r="AF147" s="94">
        <f t="shared" si="820"/>
        <v>0</v>
      </c>
      <c r="AG147" s="89">
        <v>0</v>
      </c>
      <c r="AH147" s="94">
        <f t="shared" si="821"/>
        <v>0</v>
      </c>
      <c r="AI147" s="89">
        <v>0</v>
      </c>
      <c r="AJ147" s="94">
        <f>AI147/$B$6</f>
        <v>0</v>
      </c>
      <c r="AK147" s="89">
        <v>0</v>
      </c>
      <c r="AL147" s="94">
        <f>AK147/$B$7</f>
        <v>0</v>
      </c>
      <c r="AM147" s="89">
        <v>0</v>
      </c>
      <c r="AN147" s="94">
        <f t="shared" si="822"/>
        <v>0</v>
      </c>
      <c r="AO147" s="89">
        <v>0</v>
      </c>
      <c r="AP147" s="94">
        <f t="shared" si="823"/>
        <v>0</v>
      </c>
      <c r="AQ147" s="79"/>
      <c r="AR147" s="88">
        <v>46635.895199999999</v>
      </c>
      <c r="AS147" s="76">
        <v>1911.3</v>
      </c>
      <c r="AT147" s="88">
        <v>415.5</v>
      </c>
      <c r="AU147" s="100">
        <f t="shared" si="824"/>
        <v>0.52400000000000002</v>
      </c>
      <c r="AV147" s="100">
        <f t="shared" si="825"/>
        <v>0.83099999999999996</v>
      </c>
      <c r="AW147" s="100">
        <f t="shared" si="826"/>
        <v>0.83099999999999996</v>
      </c>
      <c r="AX147" s="94">
        <v>441.21800000000002</v>
      </c>
      <c r="AY147" s="76">
        <v>7219.0320000000002</v>
      </c>
      <c r="AZ147" s="100">
        <f>AX147/$B$9</f>
        <v>0.68300000000000005</v>
      </c>
      <c r="BA147" s="97">
        <f>AY147/$B$8</f>
        <v>0.62</v>
      </c>
      <c r="BB147" s="88">
        <v>25957.200000000001</v>
      </c>
      <c r="BC147" s="76">
        <v>21714.375</v>
      </c>
      <c r="BD147" s="100">
        <f t="shared" si="827"/>
        <v>0.58199999999999996</v>
      </c>
      <c r="BE147" s="97">
        <f t="shared" si="828"/>
        <v>0.92500000000000004</v>
      </c>
      <c r="BG147" s="88">
        <v>884.09500000000003</v>
      </c>
      <c r="BH147" s="114">
        <f>BG147/$B$10</f>
        <v>0.35900002436389922</v>
      </c>
      <c r="BI147" s="115">
        <v>919.899</v>
      </c>
      <c r="BJ147" s="114">
        <f>BI147/$B$11</f>
        <v>0.57243248288736781</v>
      </c>
      <c r="BK147" s="115">
        <v>1121.4780000000001</v>
      </c>
      <c r="BL147" s="114">
        <f t="shared" si="829"/>
        <v>0.5784392407674851</v>
      </c>
      <c r="BN147" s="111">
        <v>53641.616999999998</v>
      </c>
      <c r="BO147" s="114">
        <f t="shared" si="830"/>
        <v>0.77049180327868849</v>
      </c>
      <c r="BQ147" s="142">
        <v>19895.514999999999</v>
      </c>
      <c r="BR147" s="131">
        <v>0</v>
      </c>
      <c r="BS147" s="143">
        <v>0</v>
      </c>
      <c r="BT147" s="105">
        <f t="shared" si="831"/>
        <v>0.61029187116564421</v>
      </c>
      <c r="BU147" s="20">
        <f t="shared" si="832"/>
        <v>0</v>
      </c>
      <c r="BV147" s="2">
        <v>0</v>
      </c>
      <c r="BW147" s="2">
        <v>0</v>
      </c>
      <c r="BX147" s="2">
        <v>0</v>
      </c>
      <c r="BY147" s="2">
        <v>6119.268</v>
      </c>
      <c r="BZ147" s="105">
        <f t="shared" si="833"/>
        <v>0.4540189939160113</v>
      </c>
      <c r="CA147" s="20">
        <f t="shared" si="834"/>
        <v>0</v>
      </c>
      <c r="CB147" s="5">
        <v>10800</v>
      </c>
      <c r="CC147" s="5">
        <v>0</v>
      </c>
      <c r="CE147" s="108">
        <v>-700</v>
      </c>
      <c r="CF147" s="153">
        <f t="shared" si="835"/>
        <v>0</v>
      </c>
      <c r="CG147" s="153">
        <v>4485</v>
      </c>
      <c r="CH147" s="153">
        <f t="shared" si="835"/>
        <v>4485</v>
      </c>
      <c r="CI147" s="153">
        <v>0</v>
      </c>
      <c r="CJ147" s="153">
        <f t="shared" ref="CJ147:CL147" si="930">IF(CI147&gt;0,CI147,0)</f>
        <v>0</v>
      </c>
      <c r="CK147" s="153">
        <v>-5000</v>
      </c>
      <c r="CL147" s="153">
        <f t="shared" si="930"/>
        <v>0</v>
      </c>
      <c r="CM147" s="153">
        <v>-5300</v>
      </c>
      <c r="CN147" s="153">
        <f t="shared" ref="CN147:CP147" si="931">IF(CM147&gt;0,CM147,0)</f>
        <v>0</v>
      </c>
      <c r="CO147" s="153">
        <v>-4000</v>
      </c>
      <c r="CP147" s="153">
        <f t="shared" si="931"/>
        <v>0</v>
      </c>
      <c r="CQ147" s="153">
        <v>-4800</v>
      </c>
      <c r="CR147" s="153">
        <f t="shared" ref="CR147:CT147" si="932">IF(CQ147&gt;0,CQ147,0)</f>
        <v>0</v>
      </c>
      <c r="CS147" s="153">
        <v>14639.132617020001</v>
      </c>
      <c r="CT147" s="153">
        <f t="shared" si="932"/>
        <v>14639.132617020001</v>
      </c>
      <c r="CU147" s="107">
        <f t="shared" si="839"/>
        <v>19124.132617020001</v>
      </c>
      <c r="CW147" s="108">
        <v>-700</v>
      </c>
      <c r="CX147" s="153">
        <f t="shared" si="840"/>
        <v>700</v>
      </c>
      <c r="CY147" s="153">
        <v>4485</v>
      </c>
      <c r="CZ147" s="153">
        <f t="shared" si="840"/>
        <v>0</v>
      </c>
      <c r="DA147" s="153">
        <v>0</v>
      </c>
      <c r="DB147" s="153">
        <f t="shared" ref="DB147:DD147" si="933">IF(DA147&lt;0,-DA147,0)</f>
        <v>0</v>
      </c>
      <c r="DC147" s="153">
        <v>-5000</v>
      </c>
      <c r="DD147" s="153">
        <f t="shared" si="933"/>
        <v>5000</v>
      </c>
      <c r="DE147" s="153">
        <v>-5300</v>
      </c>
      <c r="DF147" s="153">
        <f t="shared" ref="DF147:DH147" si="934">IF(DE147&lt;0,-DE147,0)</f>
        <v>5300</v>
      </c>
      <c r="DG147" s="153">
        <v>-4000</v>
      </c>
      <c r="DH147" s="153">
        <f t="shared" si="934"/>
        <v>4000</v>
      </c>
      <c r="DI147" s="153">
        <v>-4800</v>
      </c>
      <c r="DJ147" s="153">
        <f t="shared" ref="DJ147:DL147" si="935">IF(DI147&lt;0,-DI147,0)</f>
        <v>4800</v>
      </c>
      <c r="DK147" s="153">
        <v>14639.132617020001</v>
      </c>
      <c r="DL147" s="153">
        <f t="shared" si="935"/>
        <v>0</v>
      </c>
      <c r="DM147" s="107">
        <f t="shared" si="844"/>
        <v>19800</v>
      </c>
    </row>
    <row r="148" spans="13:117" s="5" customFormat="1" x14ac:dyDescent="0.35">
      <c r="M148" s="77">
        <f t="shared" si="845"/>
        <v>146</v>
      </c>
      <c r="N148" s="78">
        <v>0</v>
      </c>
      <c r="O148" s="79">
        <v>0</v>
      </c>
      <c r="P148" s="79">
        <v>0</v>
      </c>
      <c r="Q148" s="79">
        <v>30727.126</v>
      </c>
      <c r="R148" s="79">
        <v>967.56677635000005</v>
      </c>
      <c r="S148" s="79">
        <f t="shared" si="816"/>
        <v>31694.692776349999</v>
      </c>
      <c r="T148" s="78">
        <v>0</v>
      </c>
      <c r="U148" s="79">
        <v>0</v>
      </c>
      <c r="V148" s="79">
        <v>0.70399999999999996</v>
      </c>
      <c r="W148" s="79">
        <v>0.70799999999999996</v>
      </c>
      <c r="X148" s="79">
        <f t="shared" si="817"/>
        <v>1.4119999999999999</v>
      </c>
      <c r="Y148" s="79">
        <v>4957.9459999999999</v>
      </c>
      <c r="Z148" s="79">
        <v>0</v>
      </c>
      <c r="AA148" s="80">
        <f t="shared" si="818"/>
        <v>4957.9459999999999</v>
      </c>
      <c r="AB148" s="79"/>
      <c r="AC148" s="88">
        <v>0</v>
      </c>
      <c r="AD148" s="94">
        <f t="shared" si="819"/>
        <v>0</v>
      </c>
      <c r="AE148" s="89">
        <v>0</v>
      </c>
      <c r="AF148" s="94">
        <f t="shared" si="820"/>
        <v>0</v>
      </c>
      <c r="AG148" s="89">
        <v>0</v>
      </c>
      <c r="AH148" s="94">
        <f t="shared" si="821"/>
        <v>0</v>
      </c>
      <c r="AI148" s="89">
        <v>0</v>
      </c>
      <c r="AJ148" s="94">
        <f>AI148/$B$6</f>
        <v>0</v>
      </c>
      <c r="AK148" s="89">
        <v>0</v>
      </c>
      <c r="AL148" s="94">
        <f>AK148/$B$7</f>
        <v>0</v>
      </c>
      <c r="AM148" s="89">
        <v>0</v>
      </c>
      <c r="AN148" s="94">
        <f t="shared" si="822"/>
        <v>0</v>
      </c>
      <c r="AO148" s="89">
        <v>0</v>
      </c>
      <c r="AP148" s="94">
        <f t="shared" si="823"/>
        <v>0</v>
      </c>
      <c r="AQ148" s="79"/>
      <c r="AR148" s="88">
        <v>50195.887199999997</v>
      </c>
      <c r="AS148" s="76">
        <v>1948.1</v>
      </c>
      <c r="AT148" s="88">
        <v>423.5</v>
      </c>
      <c r="AU148" s="100">
        <f t="shared" si="824"/>
        <v>0.56399999999999995</v>
      </c>
      <c r="AV148" s="100">
        <f t="shared" si="825"/>
        <v>0.84699999999999998</v>
      </c>
      <c r="AW148" s="100">
        <f t="shared" si="826"/>
        <v>0.84699999999999998</v>
      </c>
      <c r="AX148" s="94">
        <v>454.78399999999999</v>
      </c>
      <c r="AY148" s="76">
        <v>8243.6687999999995</v>
      </c>
      <c r="AZ148" s="100">
        <f>AX148/$B$9</f>
        <v>0.70399999999999996</v>
      </c>
      <c r="BA148" s="97">
        <f>AY148/$B$8</f>
        <v>0.70799999999999996</v>
      </c>
      <c r="BB148" s="88">
        <v>30149.599999999999</v>
      </c>
      <c r="BC148" s="76">
        <v>21432.674999999999</v>
      </c>
      <c r="BD148" s="100">
        <f t="shared" si="827"/>
        <v>0.67599999999999993</v>
      </c>
      <c r="BE148" s="97">
        <f t="shared" si="828"/>
        <v>0.91299999999999992</v>
      </c>
      <c r="BG148" s="88">
        <v>884.09500000000003</v>
      </c>
      <c r="BH148" s="114">
        <f>BG148/$B$10</f>
        <v>0.35900002436389922</v>
      </c>
      <c r="BI148" s="115">
        <v>922.79899999999998</v>
      </c>
      <c r="BJ148" s="114">
        <f>BI148/$B$11</f>
        <v>0.57423708774113258</v>
      </c>
      <c r="BK148" s="115">
        <v>1121.4780000000001</v>
      </c>
      <c r="BL148" s="114">
        <f t="shared" si="829"/>
        <v>0.5784392407674851</v>
      </c>
      <c r="BN148" s="111">
        <v>53641.616999999998</v>
      </c>
      <c r="BO148" s="114">
        <f t="shared" si="830"/>
        <v>0.77049180327868849</v>
      </c>
      <c r="BQ148" s="142">
        <v>21433.611000000001</v>
      </c>
      <c r="BR148" s="131">
        <v>0</v>
      </c>
      <c r="BS148" s="143">
        <v>0</v>
      </c>
      <c r="BT148" s="105">
        <f t="shared" si="831"/>
        <v>0.65747273006134976</v>
      </c>
      <c r="BU148" s="20">
        <f t="shared" si="832"/>
        <v>0</v>
      </c>
      <c r="BV148" s="2">
        <v>0</v>
      </c>
      <c r="BW148" s="2">
        <v>0</v>
      </c>
      <c r="BX148" s="2">
        <v>0</v>
      </c>
      <c r="BY148" s="2">
        <v>6305.2460000000001</v>
      </c>
      <c r="BZ148" s="105">
        <f t="shared" si="833"/>
        <v>0.46781762872829796</v>
      </c>
      <c r="CA148" s="20">
        <f t="shared" si="834"/>
        <v>0</v>
      </c>
      <c r="CB148" s="5">
        <v>10800</v>
      </c>
      <c r="CC148" s="5">
        <v>0</v>
      </c>
      <c r="CE148" s="108">
        <v>-700</v>
      </c>
      <c r="CF148" s="153">
        <f t="shared" si="835"/>
        <v>0</v>
      </c>
      <c r="CG148" s="153">
        <v>4485</v>
      </c>
      <c r="CH148" s="153">
        <f t="shared" si="835"/>
        <v>4485</v>
      </c>
      <c r="CI148" s="153">
        <v>0</v>
      </c>
      <c r="CJ148" s="153">
        <f t="shared" ref="CJ148:CL148" si="936">IF(CI148&gt;0,CI148,0)</f>
        <v>0</v>
      </c>
      <c r="CK148" s="153">
        <v>-5000</v>
      </c>
      <c r="CL148" s="153">
        <f t="shared" si="936"/>
        <v>0</v>
      </c>
      <c r="CM148" s="153">
        <v>-5300</v>
      </c>
      <c r="CN148" s="153">
        <f t="shared" ref="CN148:CP148" si="937">IF(CM148&gt;0,CM148,0)</f>
        <v>0</v>
      </c>
      <c r="CO148" s="153">
        <v>-4000</v>
      </c>
      <c r="CP148" s="153">
        <f t="shared" si="937"/>
        <v>0</v>
      </c>
      <c r="CQ148" s="153">
        <v>-4800</v>
      </c>
      <c r="CR148" s="153">
        <f t="shared" ref="CR148:CT148" si="938">IF(CQ148&gt;0,CQ148,0)</f>
        <v>0</v>
      </c>
      <c r="CS148" s="153">
        <v>16513.29453191</v>
      </c>
      <c r="CT148" s="153">
        <f t="shared" si="938"/>
        <v>16513.29453191</v>
      </c>
      <c r="CU148" s="107">
        <f t="shared" si="839"/>
        <v>20998.29453191</v>
      </c>
      <c r="CW148" s="108">
        <v>-700</v>
      </c>
      <c r="CX148" s="153">
        <f t="shared" si="840"/>
        <v>700</v>
      </c>
      <c r="CY148" s="153">
        <v>4485</v>
      </c>
      <c r="CZ148" s="153">
        <f t="shared" si="840"/>
        <v>0</v>
      </c>
      <c r="DA148" s="153">
        <v>0</v>
      </c>
      <c r="DB148" s="153">
        <f t="shared" ref="DB148:DD148" si="939">IF(DA148&lt;0,-DA148,0)</f>
        <v>0</v>
      </c>
      <c r="DC148" s="153">
        <v>-5000</v>
      </c>
      <c r="DD148" s="153">
        <f t="shared" si="939"/>
        <v>5000</v>
      </c>
      <c r="DE148" s="153">
        <v>-5300</v>
      </c>
      <c r="DF148" s="153">
        <f t="shared" ref="DF148:DH148" si="940">IF(DE148&lt;0,-DE148,0)</f>
        <v>5300</v>
      </c>
      <c r="DG148" s="153">
        <v>-4000</v>
      </c>
      <c r="DH148" s="153">
        <f t="shared" si="940"/>
        <v>4000</v>
      </c>
      <c r="DI148" s="153">
        <v>-4800</v>
      </c>
      <c r="DJ148" s="153">
        <f t="shared" ref="DJ148:DL148" si="941">IF(DI148&lt;0,-DI148,0)</f>
        <v>4800</v>
      </c>
      <c r="DK148" s="153">
        <v>16513.29453191</v>
      </c>
      <c r="DL148" s="153">
        <f t="shared" si="941"/>
        <v>0</v>
      </c>
      <c r="DM148" s="107">
        <f t="shared" si="844"/>
        <v>19800</v>
      </c>
    </row>
    <row r="149" spans="13:117" s="5" customFormat="1" x14ac:dyDescent="0.35">
      <c r="M149" s="77">
        <f t="shared" si="845"/>
        <v>147</v>
      </c>
      <c r="N149" s="78">
        <v>0</v>
      </c>
      <c r="O149" s="79">
        <v>0</v>
      </c>
      <c r="P149" s="79">
        <v>0</v>
      </c>
      <c r="Q149" s="79">
        <v>29460.581999999999</v>
      </c>
      <c r="R149" s="79">
        <v>1581.5952864999999</v>
      </c>
      <c r="S149" s="79">
        <f t="shared" si="816"/>
        <v>31042.177286499998</v>
      </c>
      <c r="T149" s="78">
        <v>0</v>
      </c>
      <c r="U149" s="79">
        <v>0</v>
      </c>
      <c r="V149" s="79">
        <v>0.72599999999999998</v>
      </c>
      <c r="W149" s="79">
        <v>0.75199999999999989</v>
      </c>
      <c r="X149" s="79">
        <f t="shared" si="817"/>
        <v>1.4779999999999998</v>
      </c>
      <c r="Y149" s="79">
        <v>4496.732</v>
      </c>
      <c r="Z149" s="79">
        <v>0</v>
      </c>
      <c r="AA149" s="80">
        <f t="shared" si="818"/>
        <v>4496.732</v>
      </c>
      <c r="AB149" s="79"/>
      <c r="AC149" s="88">
        <v>0</v>
      </c>
      <c r="AD149" s="94">
        <f t="shared" si="819"/>
        <v>0</v>
      </c>
      <c r="AE149" s="89">
        <v>0</v>
      </c>
      <c r="AF149" s="94">
        <f t="shared" si="820"/>
        <v>0</v>
      </c>
      <c r="AG149" s="89">
        <v>0</v>
      </c>
      <c r="AH149" s="94">
        <f t="shared" si="821"/>
        <v>0</v>
      </c>
      <c r="AI149" s="89">
        <v>0</v>
      </c>
      <c r="AJ149" s="94">
        <f>AI149/$B$6</f>
        <v>0</v>
      </c>
      <c r="AK149" s="89">
        <v>0</v>
      </c>
      <c r="AL149" s="94">
        <f>AK149/$B$7</f>
        <v>0</v>
      </c>
      <c r="AM149" s="89">
        <v>0</v>
      </c>
      <c r="AN149" s="94">
        <f t="shared" si="822"/>
        <v>0</v>
      </c>
      <c r="AO149" s="89">
        <v>0</v>
      </c>
      <c r="AP149" s="94">
        <f t="shared" si="823"/>
        <v>0</v>
      </c>
      <c r="AQ149" s="79"/>
      <c r="AR149" s="88">
        <v>53755.879200000003</v>
      </c>
      <c r="AS149" s="76">
        <v>1978</v>
      </c>
      <c r="AT149" s="88">
        <v>430</v>
      </c>
      <c r="AU149" s="100">
        <f t="shared" si="824"/>
        <v>0.60399999999999998</v>
      </c>
      <c r="AV149" s="100">
        <f t="shared" si="825"/>
        <v>0.86</v>
      </c>
      <c r="AW149" s="100">
        <f t="shared" si="826"/>
        <v>0.86</v>
      </c>
      <c r="AX149" s="94">
        <v>468.99599999999998</v>
      </c>
      <c r="AY149" s="76">
        <v>8755.9871999999996</v>
      </c>
      <c r="AZ149" s="100">
        <f>AX149/$B$9</f>
        <v>0.72599999999999998</v>
      </c>
      <c r="BA149" s="97">
        <f>AY149/$B$8</f>
        <v>0.75199999999999989</v>
      </c>
      <c r="BB149" s="88">
        <v>33450</v>
      </c>
      <c r="BC149" s="76">
        <v>21150.974999999999</v>
      </c>
      <c r="BD149" s="100">
        <f t="shared" si="827"/>
        <v>0.75</v>
      </c>
      <c r="BE149" s="97">
        <f t="shared" si="828"/>
        <v>0.90099999999999991</v>
      </c>
      <c r="BG149" s="88">
        <v>886.55799999999999</v>
      </c>
      <c r="BH149" s="114">
        <f>BG149/$B$10</f>
        <v>0.3600001624259947</v>
      </c>
      <c r="BI149" s="115">
        <v>926.03700000000003</v>
      </c>
      <c r="BJ149" s="114">
        <f>BI149/$B$11</f>
        <v>0.57625202240199136</v>
      </c>
      <c r="BK149" s="115">
        <v>1121.4780000000001</v>
      </c>
      <c r="BL149" s="114">
        <f t="shared" si="829"/>
        <v>0.5784392407674851</v>
      </c>
      <c r="BN149" s="111">
        <v>53641.616999999998</v>
      </c>
      <c r="BO149" s="114">
        <f t="shared" si="830"/>
        <v>0.77049180327868849</v>
      </c>
      <c r="BQ149" s="142">
        <v>22964.167000000001</v>
      </c>
      <c r="BR149" s="131">
        <v>0</v>
      </c>
      <c r="BS149" s="143">
        <v>0</v>
      </c>
      <c r="BT149" s="105">
        <f t="shared" si="831"/>
        <v>0.70442230061349698</v>
      </c>
      <c r="BU149" s="20">
        <f t="shared" si="832"/>
        <v>0</v>
      </c>
      <c r="BV149" s="2">
        <v>0</v>
      </c>
      <c r="BW149" s="2">
        <v>0</v>
      </c>
      <c r="BX149" s="2">
        <v>0</v>
      </c>
      <c r="BY149" s="2">
        <v>6507.5330000000004</v>
      </c>
      <c r="BZ149" s="105">
        <f t="shared" si="833"/>
        <v>0.48282630954147504</v>
      </c>
      <c r="CA149" s="20">
        <f t="shared" si="834"/>
        <v>0</v>
      </c>
      <c r="CB149" s="5">
        <v>10800</v>
      </c>
      <c r="CC149" s="5">
        <v>0</v>
      </c>
      <c r="CE149" s="108">
        <v>-700</v>
      </c>
      <c r="CF149" s="153">
        <f t="shared" si="835"/>
        <v>0</v>
      </c>
      <c r="CG149" s="153">
        <v>4485</v>
      </c>
      <c r="CH149" s="153">
        <f t="shared" si="835"/>
        <v>4485</v>
      </c>
      <c r="CI149" s="153">
        <v>0</v>
      </c>
      <c r="CJ149" s="153">
        <f t="shared" ref="CJ149:CL149" si="942">IF(CI149&gt;0,CI149,0)</f>
        <v>0</v>
      </c>
      <c r="CK149" s="153">
        <v>-5000</v>
      </c>
      <c r="CL149" s="153">
        <f t="shared" si="942"/>
        <v>0</v>
      </c>
      <c r="CM149" s="153">
        <v>-5300</v>
      </c>
      <c r="CN149" s="153">
        <f t="shared" ref="CN149:CP149" si="943">IF(CM149&gt;0,CM149,0)</f>
        <v>0</v>
      </c>
      <c r="CO149" s="153">
        <v>-4000</v>
      </c>
      <c r="CP149" s="153">
        <f t="shared" si="943"/>
        <v>0</v>
      </c>
      <c r="CQ149" s="153">
        <v>-4800</v>
      </c>
      <c r="CR149" s="153">
        <f t="shared" ref="CR149:CT149" si="944">IF(CQ149&gt;0,CQ149,0)</f>
        <v>0</v>
      </c>
      <c r="CS149" s="153">
        <v>22339.958574470002</v>
      </c>
      <c r="CT149" s="153">
        <f t="shared" si="944"/>
        <v>22339.958574470002</v>
      </c>
      <c r="CU149" s="107">
        <f t="shared" si="839"/>
        <v>26824.958574470002</v>
      </c>
      <c r="CW149" s="108">
        <v>-700</v>
      </c>
      <c r="CX149" s="153">
        <f t="shared" si="840"/>
        <v>700</v>
      </c>
      <c r="CY149" s="153">
        <v>4485</v>
      </c>
      <c r="CZ149" s="153">
        <f t="shared" si="840"/>
        <v>0</v>
      </c>
      <c r="DA149" s="153">
        <v>0</v>
      </c>
      <c r="DB149" s="153">
        <f t="shared" ref="DB149:DD149" si="945">IF(DA149&lt;0,-DA149,0)</f>
        <v>0</v>
      </c>
      <c r="DC149" s="153">
        <v>-5000</v>
      </c>
      <c r="DD149" s="153">
        <f t="shared" si="945"/>
        <v>5000</v>
      </c>
      <c r="DE149" s="153">
        <v>-5300</v>
      </c>
      <c r="DF149" s="153">
        <f t="shared" ref="DF149:DH149" si="946">IF(DE149&lt;0,-DE149,0)</f>
        <v>5300</v>
      </c>
      <c r="DG149" s="153">
        <v>-4000</v>
      </c>
      <c r="DH149" s="153">
        <f t="shared" si="946"/>
        <v>4000</v>
      </c>
      <c r="DI149" s="153">
        <v>-4800</v>
      </c>
      <c r="DJ149" s="153">
        <f t="shared" ref="DJ149:DL149" si="947">IF(DI149&lt;0,-DI149,0)</f>
        <v>4800</v>
      </c>
      <c r="DK149" s="153">
        <v>22339.958574470002</v>
      </c>
      <c r="DL149" s="153">
        <f t="shared" si="947"/>
        <v>0</v>
      </c>
      <c r="DM149" s="107">
        <f t="shared" si="844"/>
        <v>19800</v>
      </c>
    </row>
    <row r="150" spans="13:117" s="5" customFormat="1" x14ac:dyDescent="0.35">
      <c r="M150" s="77">
        <f t="shared" si="845"/>
        <v>148</v>
      </c>
      <c r="N150" s="78">
        <v>0</v>
      </c>
      <c r="O150" s="79">
        <v>0</v>
      </c>
      <c r="P150" s="79">
        <v>0</v>
      </c>
      <c r="Q150" s="79">
        <v>28758.135999999999</v>
      </c>
      <c r="R150" s="79">
        <v>2498.7366734900002</v>
      </c>
      <c r="S150" s="79">
        <f t="shared" si="816"/>
        <v>31256.872673489997</v>
      </c>
      <c r="T150" s="78">
        <v>0</v>
      </c>
      <c r="U150" s="79">
        <v>0</v>
      </c>
      <c r="V150" s="79">
        <v>0.73299999999999998</v>
      </c>
      <c r="W150" s="79">
        <v>0.78800000000000003</v>
      </c>
      <c r="X150" s="79">
        <f t="shared" si="817"/>
        <v>1.5209999999999999</v>
      </c>
      <c r="Y150" s="79">
        <v>4343.1559999999999</v>
      </c>
      <c r="Z150" s="79">
        <v>0</v>
      </c>
      <c r="AA150" s="80">
        <f t="shared" si="818"/>
        <v>4343.1559999999999</v>
      </c>
      <c r="AB150" s="79"/>
      <c r="AC150" s="88">
        <v>0</v>
      </c>
      <c r="AD150" s="94">
        <f t="shared" si="819"/>
        <v>0</v>
      </c>
      <c r="AE150" s="89">
        <v>0</v>
      </c>
      <c r="AF150" s="94">
        <f t="shared" si="820"/>
        <v>0</v>
      </c>
      <c r="AG150" s="89">
        <v>0</v>
      </c>
      <c r="AH150" s="94">
        <f t="shared" si="821"/>
        <v>0</v>
      </c>
      <c r="AI150" s="89">
        <v>0</v>
      </c>
      <c r="AJ150" s="94">
        <f>AI150/$B$6</f>
        <v>0</v>
      </c>
      <c r="AK150" s="89">
        <v>0</v>
      </c>
      <c r="AL150" s="94">
        <f>AK150/$B$7</f>
        <v>0</v>
      </c>
      <c r="AM150" s="89">
        <v>0</v>
      </c>
      <c r="AN150" s="94">
        <f t="shared" si="822"/>
        <v>0</v>
      </c>
      <c r="AO150" s="89">
        <v>0</v>
      </c>
      <c r="AP150" s="94">
        <f t="shared" si="823"/>
        <v>0</v>
      </c>
      <c r="AQ150" s="79"/>
      <c r="AR150" s="88">
        <v>57582.870600000002</v>
      </c>
      <c r="AS150" s="76">
        <v>2010.2</v>
      </c>
      <c r="AT150" s="88">
        <v>437</v>
      </c>
      <c r="AU150" s="100">
        <f t="shared" si="824"/>
        <v>0.64700000000000002</v>
      </c>
      <c r="AV150" s="100">
        <f t="shared" si="825"/>
        <v>0.874</v>
      </c>
      <c r="AW150" s="100">
        <f t="shared" si="826"/>
        <v>0.874</v>
      </c>
      <c r="AX150" s="94">
        <v>473.51799999999997</v>
      </c>
      <c r="AY150" s="76">
        <v>9175.1568000000007</v>
      </c>
      <c r="AZ150" s="100">
        <f>AX150/$B$9</f>
        <v>0.73299999999999998</v>
      </c>
      <c r="BA150" s="97">
        <f>AY150/$B$8</f>
        <v>0.78800000000000003</v>
      </c>
      <c r="BB150" s="88">
        <v>35546.199999999997</v>
      </c>
      <c r="BC150" s="76">
        <v>20611.05</v>
      </c>
      <c r="BD150" s="100">
        <f t="shared" si="827"/>
        <v>0.79699999999999993</v>
      </c>
      <c r="BE150" s="97">
        <f t="shared" si="828"/>
        <v>0.878</v>
      </c>
      <c r="BG150" s="88">
        <v>886.55799999999999</v>
      </c>
      <c r="BH150" s="114">
        <f>BG150/$B$10</f>
        <v>0.3600001624259947</v>
      </c>
      <c r="BI150" s="115">
        <v>932.17399999999998</v>
      </c>
      <c r="BJ150" s="114">
        <f>BI150/$B$11</f>
        <v>0.58007093963907896</v>
      </c>
      <c r="BK150" s="115">
        <v>1121.4780000000001</v>
      </c>
      <c r="BL150" s="114">
        <f t="shared" si="829"/>
        <v>0.5784392407674851</v>
      </c>
      <c r="BN150" s="111">
        <v>53641.616999999998</v>
      </c>
      <c r="BO150" s="114">
        <f t="shared" si="830"/>
        <v>0.77049180327868849</v>
      </c>
      <c r="BQ150" s="142">
        <v>24578.392</v>
      </c>
      <c r="BR150" s="131">
        <v>0</v>
      </c>
      <c r="BS150" s="143">
        <v>0</v>
      </c>
      <c r="BT150" s="105">
        <f t="shared" si="831"/>
        <v>0.75393840490797548</v>
      </c>
      <c r="BU150" s="20">
        <f t="shared" si="832"/>
        <v>0</v>
      </c>
      <c r="BV150" s="2">
        <v>0</v>
      </c>
      <c r="BW150" s="2">
        <v>0</v>
      </c>
      <c r="BX150" s="2">
        <v>0</v>
      </c>
      <c r="BY150" s="2">
        <v>6567.3729999999996</v>
      </c>
      <c r="BZ150" s="105">
        <f t="shared" si="833"/>
        <v>0.48726613740911112</v>
      </c>
      <c r="CA150" s="20">
        <f t="shared" si="834"/>
        <v>0</v>
      </c>
      <c r="CB150" s="5">
        <v>10800</v>
      </c>
      <c r="CC150" s="5">
        <v>0</v>
      </c>
      <c r="CE150" s="108">
        <v>-700</v>
      </c>
      <c r="CF150" s="153">
        <f t="shared" si="835"/>
        <v>0</v>
      </c>
      <c r="CG150" s="153">
        <v>4485</v>
      </c>
      <c r="CH150" s="153">
        <f t="shared" si="835"/>
        <v>4485</v>
      </c>
      <c r="CI150" s="153">
        <v>0</v>
      </c>
      <c r="CJ150" s="153">
        <f t="shared" ref="CJ150:CL150" si="948">IF(CI150&gt;0,CI150,0)</f>
        <v>0</v>
      </c>
      <c r="CK150" s="153">
        <v>-5000</v>
      </c>
      <c r="CL150" s="153">
        <f t="shared" si="948"/>
        <v>0</v>
      </c>
      <c r="CM150" s="153">
        <v>-5300</v>
      </c>
      <c r="CN150" s="153">
        <f t="shared" ref="CN150:CP150" si="949">IF(CM150&gt;0,CM150,0)</f>
        <v>0</v>
      </c>
      <c r="CO150" s="153">
        <v>-4000</v>
      </c>
      <c r="CP150" s="153">
        <f t="shared" si="949"/>
        <v>0</v>
      </c>
      <c r="CQ150" s="153">
        <v>-4800</v>
      </c>
      <c r="CR150" s="153">
        <f t="shared" ref="CR150:CT150" si="950">IF(CQ150&gt;0,CQ150,0)</f>
        <v>0</v>
      </c>
      <c r="CS150" s="153">
        <v>38048.08338787</v>
      </c>
      <c r="CT150" s="153">
        <f t="shared" si="950"/>
        <v>38048.08338787</v>
      </c>
      <c r="CU150" s="107">
        <f t="shared" si="839"/>
        <v>42533.08338787</v>
      </c>
      <c r="CW150" s="108">
        <v>-700</v>
      </c>
      <c r="CX150" s="153">
        <f t="shared" si="840"/>
        <v>700</v>
      </c>
      <c r="CY150" s="153">
        <v>4485</v>
      </c>
      <c r="CZ150" s="153">
        <f t="shared" si="840"/>
        <v>0</v>
      </c>
      <c r="DA150" s="153">
        <v>0</v>
      </c>
      <c r="DB150" s="153">
        <f t="shared" ref="DB150:DD150" si="951">IF(DA150&lt;0,-DA150,0)</f>
        <v>0</v>
      </c>
      <c r="DC150" s="153">
        <v>-5000</v>
      </c>
      <c r="DD150" s="153">
        <f t="shared" si="951"/>
        <v>5000</v>
      </c>
      <c r="DE150" s="153">
        <v>-5300</v>
      </c>
      <c r="DF150" s="153">
        <f t="shared" ref="DF150:DH150" si="952">IF(DE150&lt;0,-DE150,0)</f>
        <v>5300</v>
      </c>
      <c r="DG150" s="153">
        <v>-4000</v>
      </c>
      <c r="DH150" s="153">
        <f t="shared" si="952"/>
        <v>4000</v>
      </c>
      <c r="DI150" s="153">
        <v>-4800</v>
      </c>
      <c r="DJ150" s="153">
        <f t="shared" ref="DJ150:DL150" si="953">IF(DI150&lt;0,-DI150,0)</f>
        <v>4800</v>
      </c>
      <c r="DK150" s="153">
        <v>38048.08338787</v>
      </c>
      <c r="DL150" s="153">
        <f t="shared" si="953"/>
        <v>0</v>
      </c>
      <c r="DM150" s="107">
        <f t="shared" si="844"/>
        <v>19800</v>
      </c>
    </row>
    <row r="151" spans="13:117" s="5" customFormat="1" x14ac:dyDescent="0.35">
      <c r="M151" s="77">
        <f t="shared" si="845"/>
        <v>149</v>
      </c>
      <c r="N151" s="78">
        <v>0</v>
      </c>
      <c r="O151" s="79">
        <v>0</v>
      </c>
      <c r="P151" s="79">
        <v>0</v>
      </c>
      <c r="Q151" s="79">
        <v>28585.670999999998</v>
      </c>
      <c r="R151" s="79">
        <v>2804.0450830999998</v>
      </c>
      <c r="S151" s="79">
        <f t="shared" si="816"/>
        <v>31389.7160831</v>
      </c>
      <c r="T151" s="78">
        <v>0</v>
      </c>
      <c r="U151" s="79">
        <v>0</v>
      </c>
      <c r="V151" s="79">
        <v>0.72</v>
      </c>
      <c r="W151" s="79">
        <v>0.80799999999999994</v>
      </c>
      <c r="X151" s="79">
        <f t="shared" si="817"/>
        <v>1.528</v>
      </c>
      <c r="Y151" s="79">
        <v>4305.777</v>
      </c>
      <c r="Z151" s="79">
        <v>0</v>
      </c>
      <c r="AA151" s="80">
        <f t="shared" si="818"/>
        <v>4305.777</v>
      </c>
      <c r="AB151" s="79"/>
      <c r="AC151" s="88">
        <v>0</v>
      </c>
      <c r="AD151" s="94">
        <f t="shared" si="819"/>
        <v>0</v>
      </c>
      <c r="AE151" s="89">
        <v>0</v>
      </c>
      <c r="AF151" s="94">
        <f t="shared" si="820"/>
        <v>0</v>
      </c>
      <c r="AG151" s="89">
        <v>0</v>
      </c>
      <c r="AH151" s="94">
        <f t="shared" si="821"/>
        <v>0</v>
      </c>
      <c r="AI151" s="89">
        <v>0</v>
      </c>
      <c r="AJ151" s="94">
        <f>AI151/$B$6</f>
        <v>0</v>
      </c>
      <c r="AK151" s="89">
        <v>0</v>
      </c>
      <c r="AL151" s="94">
        <f>AK151/$B$7</f>
        <v>0</v>
      </c>
      <c r="AM151" s="89">
        <v>0</v>
      </c>
      <c r="AN151" s="94">
        <f t="shared" si="822"/>
        <v>0</v>
      </c>
      <c r="AO151" s="89">
        <v>0</v>
      </c>
      <c r="AP151" s="94">
        <f t="shared" si="823"/>
        <v>0</v>
      </c>
      <c r="AQ151" s="79"/>
      <c r="AR151" s="88">
        <v>61320.862200000003</v>
      </c>
      <c r="AS151" s="76">
        <v>2037.8</v>
      </c>
      <c r="AT151" s="88">
        <v>443</v>
      </c>
      <c r="AU151" s="100">
        <f t="shared" si="824"/>
        <v>0.68900000000000006</v>
      </c>
      <c r="AV151" s="100">
        <f t="shared" si="825"/>
        <v>0.88600000000000001</v>
      </c>
      <c r="AW151" s="100">
        <f t="shared" si="826"/>
        <v>0.88600000000000001</v>
      </c>
      <c r="AX151" s="94">
        <v>465.12</v>
      </c>
      <c r="AY151" s="76">
        <v>9408.0288</v>
      </c>
      <c r="AZ151" s="100">
        <f>AX151/$B$9</f>
        <v>0.72</v>
      </c>
      <c r="BA151" s="97">
        <f>AY151/$B$8</f>
        <v>0.80799999999999994</v>
      </c>
      <c r="BB151" s="88">
        <v>36304.400000000001</v>
      </c>
      <c r="BC151" s="76">
        <v>20000.7</v>
      </c>
      <c r="BD151" s="100">
        <f t="shared" si="827"/>
        <v>0.81400000000000006</v>
      </c>
      <c r="BE151" s="97">
        <f t="shared" si="828"/>
        <v>0.85199999999999998</v>
      </c>
      <c r="BG151" s="88">
        <v>879.17</v>
      </c>
      <c r="BH151" s="114">
        <f>BG151/$B$10</f>
        <v>0.35700015430469495</v>
      </c>
      <c r="BI151" s="115">
        <v>932.14700000000005</v>
      </c>
      <c r="BJ151" s="114">
        <f>BI151/$B$11</f>
        <v>0.58005413814561302</v>
      </c>
      <c r="BK151" s="115">
        <v>1121.4780000000001</v>
      </c>
      <c r="BL151" s="114">
        <f t="shared" si="829"/>
        <v>0.5784392407674851</v>
      </c>
      <c r="BN151" s="111">
        <v>53641.616999999998</v>
      </c>
      <c r="BO151" s="114">
        <f t="shared" si="830"/>
        <v>0.77049180327868849</v>
      </c>
      <c r="BQ151" s="142">
        <v>26177.436000000002</v>
      </c>
      <c r="BR151" s="131">
        <v>0</v>
      </c>
      <c r="BS151" s="143">
        <v>0</v>
      </c>
      <c r="BT151" s="105">
        <f t="shared" si="831"/>
        <v>0.80298883435582824</v>
      </c>
      <c r="BU151" s="20">
        <f t="shared" si="832"/>
        <v>0</v>
      </c>
      <c r="BV151" s="2">
        <v>0</v>
      </c>
      <c r="BW151" s="2">
        <v>0</v>
      </c>
      <c r="BX151" s="2">
        <v>0</v>
      </c>
      <c r="BY151" s="2">
        <v>6449.9719999999998</v>
      </c>
      <c r="BZ151" s="105">
        <f t="shared" si="833"/>
        <v>0.47855557204332988</v>
      </c>
      <c r="CA151" s="20">
        <f t="shared" si="834"/>
        <v>0</v>
      </c>
      <c r="CB151" s="5">
        <v>10800</v>
      </c>
      <c r="CC151" s="5">
        <v>0</v>
      </c>
      <c r="CE151" s="108">
        <v>-700</v>
      </c>
      <c r="CF151" s="153">
        <f t="shared" si="835"/>
        <v>0</v>
      </c>
      <c r="CG151" s="153">
        <v>4485</v>
      </c>
      <c r="CH151" s="153">
        <f t="shared" si="835"/>
        <v>4485</v>
      </c>
      <c r="CI151" s="153">
        <v>0</v>
      </c>
      <c r="CJ151" s="153">
        <f t="shared" ref="CJ151:CL151" si="954">IF(CI151&gt;0,CI151,0)</f>
        <v>0</v>
      </c>
      <c r="CK151" s="153">
        <v>-5000</v>
      </c>
      <c r="CL151" s="153">
        <f t="shared" si="954"/>
        <v>0</v>
      </c>
      <c r="CM151" s="153">
        <v>-5300</v>
      </c>
      <c r="CN151" s="153">
        <f t="shared" ref="CN151:CP151" si="955">IF(CM151&gt;0,CM151,0)</f>
        <v>0</v>
      </c>
      <c r="CO151" s="153">
        <v>-4000</v>
      </c>
      <c r="CP151" s="153">
        <f t="shared" si="955"/>
        <v>0</v>
      </c>
      <c r="CQ151" s="153">
        <v>-4800</v>
      </c>
      <c r="CR151" s="153">
        <f t="shared" ref="CR151:CT151" si="956">IF(CQ151&gt;0,CQ151,0)</f>
        <v>0</v>
      </c>
      <c r="CS151" s="153">
        <v>28564.700170209999</v>
      </c>
      <c r="CT151" s="153">
        <f t="shared" si="956"/>
        <v>28564.700170209999</v>
      </c>
      <c r="CU151" s="107">
        <f t="shared" si="839"/>
        <v>33049.700170209995</v>
      </c>
      <c r="CW151" s="108">
        <v>-700</v>
      </c>
      <c r="CX151" s="153">
        <f t="shared" si="840"/>
        <v>700</v>
      </c>
      <c r="CY151" s="153">
        <v>4485</v>
      </c>
      <c r="CZ151" s="153">
        <f t="shared" si="840"/>
        <v>0</v>
      </c>
      <c r="DA151" s="153">
        <v>0</v>
      </c>
      <c r="DB151" s="153">
        <f t="shared" ref="DB151:DD151" si="957">IF(DA151&lt;0,-DA151,0)</f>
        <v>0</v>
      </c>
      <c r="DC151" s="153">
        <v>-5000</v>
      </c>
      <c r="DD151" s="153">
        <f t="shared" si="957"/>
        <v>5000</v>
      </c>
      <c r="DE151" s="153">
        <v>-5300</v>
      </c>
      <c r="DF151" s="153">
        <f t="shared" ref="DF151:DH151" si="958">IF(DE151&lt;0,-DE151,0)</f>
        <v>5300</v>
      </c>
      <c r="DG151" s="153">
        <v>-4000</v>
      </c>
      <c r="DH151" s="153">
        <f t="shared" si="958"/>
        <v>4000</v>
      </c>
      <c r="DI151" s="153">
        <v>-4800</v>
      </c>
      <c r="DJ151" s="153">
        <f t="shared" ref="DJ151:DL151" si="959">IF(DI151&lt;0,-DI151,0)</f>
        <v>4800</v>
      </c>
      <c r="DK151" s="153">
        <v>28564.700170209999</v>
      </c>
      <c r="DL151" s="153">
        <f t="shared" si="959"/>
        <v>0</v>
      </c>
      <c r="DM151" s="107">
        <f t="shared" si="844"/>
        <v>19800</v>
      </c>
    </row>
    <row r="152" spans="13:117" s="5" customFormat="1" x14ac:dyDescent="0.35">
      <c r="M152" s="77">
        <f t="shared" si="845"/>
        <v>150</v>
      </c>
      <c r="N152" s="78">
        <v>0</v>
      </c>
      <c r="O152" s="79">
        <v>0</v>
      </c>
      <c r="P152" s="79">
        <v>0</v>
      </c>
      <c r="Q152" s="79">
        <v>28783.722000000002</v>
      </c>
      <c r="R152" s="79">
        <v>2984.8624044200001</v>
      </c>
      <c r="S152" s="79">
        <f t="shared" si="816"/>
        <v>31768.584404420002</v>
      </c>
      <c r="T152" s="78">
        <v>0</v>
      </c>
      <c r="U152" s="79">
        <v>0</v>
      </c>
      <c r="V152" s="79">
        <v>0.68899999999999995</v>
      </c>
      <c r="W152" s="79">
        <v>0.79500000000000004</v>
      </c>
      <c r="X152" s="79">
        <f t="shared" si="817"/>
        <v>1.484</v>
      </c>
      <c r="Y152" s="79">
        <v>4336.7520000000004</v>
      </c>
      <c r="Z152" s="79">
        <v>0</v>
      </c>
      <c r="AA152" s="80">
        <f t="shared" si="818"/>
        <v>4336.7520000000004</v>
      </c>
      <c r="AB152" s="79"/>
      <c r="AC152" s="88">
        <v>0</v>
      </c>
      <c r="AD152" s="94">
        <f t="shared" si="819"/>
        <v>0</v>
      </c>
      <c r="AE152" s="89">
        <v>0</v>
      </c>
      <c r="AF152" s="94">
        <f t="shared" si="820"/>
        <v>0</v>
      </c>
      <c r="AG152" s="89">
        <v>0</v>
      </c>
      <c r="AH152" s="94">
        <f t="shared" si="821"/>
        <v>0</v>
      </c>
      <c r="AI152" s="89">
        <v>0</v>
      </c>
      <c r="AJ152" s="94">
        <f>AI152/$B$6</f>
        <v>0</v>
      </c>
      <c r="AK152" s="89">
        <v>0</v>
      </c>
      <c r="AL152" s="94">
        <f>AK152/$B$7</f>
        <v>0</v>
      </c>
      <c r="AM152" s="89">
        <v>0</v>
      </c>
      <c r="AN152" s="94">
        <f t="shared" si="822"/>
        <v>0</v>
      </c>
      <c r="AO152" s="89">
        <v>0</v>
      </c>
      <c r="AP152" s="94">
        <f t="shared" si="823"/>
        <v>0</v>
      </c>
      <c r="AQ152" s="79"/>
      <c r="AR152" s="88">
        <v>63100.858200000002</v>
      </c>
      <c r="AS152" s="76">
        <v>2056.1999999999998</v>
      </c>
      <c r="AT152" s="88">
        <v>447</v>
      </c>
      <c r="AU152" s="100">
        <f t="shared" si="824"/>
        <v>0.70899999999999996</v>
      </c>
      <c r="AV152" s="100">
        <f t="shared" si="825"/>
        <v>0.89399999999999991</v>
      </c>
      <c r="AW152" s="100">
        <f t="shared" si="826"/>
        <v>0.89400000000000002</v>
      </c>
      <c r="AX152" s="94">
        <v>445.09399999999999</v>
      </c>
      <c r="AY152" s="76">
        <v>9256.6620000000003</v>
      </c>
      <c r="AZ152" s="100">
        <f>AX152/$B$9</f>
        <v>0.68899999999999995</v>
      </c>
      <c r="BA152" s="97">
        <f>AY152/$B$8</f>
        <v>0.79500000000000004</v>
      </c>
      <c r="BB152" s="88">
        <v>36616.6</v>
      </c>
      <c r="BC152" s="76">
        <v>19578.150000000001</v>
      </c>
      <c r="BD152" s="100">
        <f t="shared" si="827"/>
        <v>0.82099999999999995</v>
      </c>
      <c r="BE152" s="97">
        <f t="shared" si="828"/>
        <v>0.83400000000000007</v>
      </c>
      <c r="BG152" s="88">
        <v>884.09500000000003</v>
      </c>
      <c r="BH152" s="114">
        <f>BG152/$B$10</f>
        <v>0.35900002436389922</v>
      </c>
      <c r="BI152" s="115">
        <v>934.01599999999996</v>
      </c>
      <c r="BJ152" s="114">
        <f>BI152/$B$11</f>
        <v>0.58121717485998758</v>
      </c>
      <c r="BK152" s="115">
        <v>1121.4780000000001</v>
      </c>
      <c r="BL152" s="114">
        <f t="shared" si="829"/>
        <v>0.5784392407674851</v>
      </c>
      <c r="BN152" s="111">
        <v>53641.616999999998</v>
      </c>
      <c r="BO152" s="114">
        <f t="shared" si="830"/>
        <v>0.77049180327868849</v>
      </c>
      <c r="BQ152" s="142">
        <v>26939.273000000001</v>
      </c>
      <c r="BR152" s="131">
        <v>0</v>
      </c>
      <c r="BS152" s="143">
        <v>0</v>
      </c>
      <c r="BT152" s="105">
        <f t="shared" si="831"/>
        <v>0.82635806748466256</v>
      </c>
      <c r="BU152" s="20">
        <f t="shared" si="832"/>
        <v>0</v>
      </c>
      <c r="BV152" s="2">
        <v>0</v>
      </c>
      <c r="BW152" s="2">
        <v>0</v>
      </c>
      <c r="BX152" s="2">
        <v>0</v>
      </c>
      <c r="BY152" s="2">
        <v>6175.2070000000003</v>
      </c>
      <c r="BZ152" s="105">
        <f t="shared" si="833"/>
        <v>0.45816938714942873</v>
      </c>
      <c r="CA152" s="20">
        <f t="shared" si="834"/>
        <v>0</v>
      </c>
      <c r="CB152" s="5">
        <v>10800</v>
      </c>
      <c r="CC152" s="5">
        <v>0</v>
      </c>
      <c r="CE152" s="108">
        <v>-700</v>
      </c>
      <c r="CF152" s="153">
        <f t="shared" si="835"/>
        <v>0</v>
      </c>
      <c r="CG152" s="153">
        <v>4485</v>
      </c>
      <c r="CH152" s="153">
        <f t="shared" si="835"/>
        <v>4485</v>
      </c>
      <c r="CI152" s="153">
        <v>0</v>
      </c>
      <c r="CJ152" s="153">
        <f t="shared" ref="CJ152:CL152" si="960">IF(CI152&gt;0,CI152,0)</f>
        <v>0</v>
      </c>
      <c r="CK152" s="153">
        <v>-5000</v>
      </c>
      <c r="CL152" s="153">
        <f t="shared" si="960"/>
        <v>0</v>
      </c>
      <c r="CM152" s="153">
        <v>-5300</v>
      </c>
      <c r="CN152" s="153">
        <f t="shared" ref="CN152:CP152" si="961">IF(CM152&gt;0,CM152,0)</f>
        <v>0</v>
      </c>
      <c r="CO152" s="153">
        <v>-4000</v>
      </c>
      <c r="CP152" s="153">
        <f t="shared" si="961"/>
        <v>0</v>
      </c>
      <c r="CQ152" s="153">
        <v>-4800</v>
      </c>
      <c r="CR152" s="153">
        <f t="shared" ref="CR152:CT152" si="962">IF(CQ152&gt;0,CQ152,0)</f>
        <v>0</v>
      </c>
      <c r="CS152" s="153">
        <v>23454.642297869999</v>
      </c>
      <c r="CT152" s="153">
        <f t="shared" si="962"/>
        <v>23454.642297869999</v>
      </c>
      <c r="CU152" s="107">
        <f t="shared" si="839"/>
        <v>27939.642297869999</v>
      </c>
      <c r="CW152" s="108">
        <v>-700</v>
      </c>
      <c r="CX152" s="153">
        <f t="shared" si="840"/>
        <v>700</v>
      </c>
      <c r="CY152" s="153">
        <v>4485</v>
      </c>
      <c r="CZ152" s="153">
        <f t="shared" si="840"/>
        <v>0</v>
      </c>
      <c r="DA152" s="153">
        <v>0</v>
      </c>
      <c r="DB152" s="153">
        <f t="shared" ref="DB152:DD152" si="963">IF(DA152&lt;0,-DA152,0)</f>
        <v>0</v>
      </c>
      <c r="DC152" s="153">
        <v>-5000</v>
      </c>
      <c r="DD152" s="153">
        <f t="shared" si="963"/>
        <v>5000</v>
      </c>
      <c r="DE152" s="153">
        <v>-5300</v>
      </c>
      <c r="DF152" s="153">
        <f t="shared" ref="DF152:DH152" si="964">IF(DE152&lt;0,-DE152,0)</f>
        <v>5300</v>
      </c>
      <c r="DG152" s="153">
        <v>-4000</v>
      </c>
      <c r="DH152" s="153">
        <f t="shared" si="964"/>
        <v>4000</v>
      </c>
      <c r="DI152" s="153">
        <v>-4800</v>
      </c>
      <c r="DJ152" s="153">
        <f t="shared" ref="DJ152:DL152" si="965">IF(DI152&lt;0,-DI152,0)</f>
        <v>4800</v>
      </c>
      <c r="DK152" s="153">
        <v>23454.642297869999</v>
      </c>
      <c r="DL152" s="153">
        <f t="shared" si="965"/>
        <v>0</v>
      </c>
      <c r="DM152" s="107">
        <f t="shared" si="844"/>
        <v>19800</v>
      </c>
    </row>
    <row r="153" spans="13:117" s="5" customFormat="1" x14ac:dyDescent="0.35">
      <c r="M153" s="77">
        <f t="shared" si="845"/>
        <v>151</v>
      </c>
      <c r="N153" s="78">
        <v>0</v>
      </c>
      <c r="O153" s="79">
        <v>0</v>
      </c>
      <c r="P153" s="79">
        <v>0</v>
      </c>
      <c r="Q153" s="79">
        <v>29674.134999999998</v>
      </c>
      <c r="R153" s="79">
        <v>3746.0903539300002</v>
      </c>
      <c r="S153" s="79">
        <f t="shared" si="816"/>
        <v>33420.22535393</v>
      </c>
      <c r="T153" s="78">
        <v>0</v>
      </c>
      <c r="U153" s="79">
        <v>0</v>
      </c>
      <c r="V153" s="79">
        <v>0.69400000000000006</v>
      </c>
      <c r="W153" s="79">
        <v>0.78999999999999992</v>
      </c>
      <c r="X153" s="79">
        <f t="shared" si="817"/>
        <v>1.484</v>
      </c>
      <c r="Y153" s="79">
        <v>4388.3490000000002</v>
      </c>
      <c r="Z153" s="79">
        <v>0</v>
      </c>
      <c r="AA153" s="80">
        <f t="shared" si="818"/>
        <v>4388.3490000000002</v>
      </c>
      <c r="AB153" s="79"/>
      <c r="AC153" s="88">
        <v>0</v>
      </c>
      <c r="AD153" s="94">
        <f t="shared" si="819"/>
        <v>0</v>
      </c>
      <c r="AE153" s="89">
        <v>0</v>
      </c>
      <c r="AF153" s="94">
        <f t="shared" si="820"/>
        <v>0</v>
      </c>
      <c r="AG153" s="89">
        <v>0</v>
      </c>
      <c r="AH153" s="94">
        <f t="shared" si="821"/>
        <v>0</v>
      </c>
      <c r="AI153" s="89">
        <v>0</v>
      </c>
      <c r="AJ153" s="94">
        <f>AI153/$B$6</f>
        <v>0</v>
      </c>
      <c r="AK153" s="89">
        <v>0</v>
      </c>
      <c r="AL153" s="94">
        <f>AK153/$B$7</f>
        <v>0</v>
      </c>
      <c r="AM153" s="89">
        <v>0</v>
      </c>
      <c r="AN153" s="94">
        <f t="shared" si="822"/>
        <v>0</v>
      </c>
      <c r="AO153" s="89">
        <v>0</v>
      </c>
      <c r="AP153" s="94">
        <f t="shared" si="823"/>
        <v>0</v>
      </c>
      <c r="AQ153" s="79"/>
      <c r="AR153" s="88">
        <v>62032.8606</v>
      </c>
      <c r="AS153" s="76">
        <v>2060.8000000000002</v>
      </c>
      <c r="AT153" s="88">
        <v>448</v>
      </c>
      <c r="AU153" s="100">
        <f t="shared" si="824"/>
        <v>0.69699999999999995</v>
      </c>
      <c r="AV153" s="100">
        <f t="shared" si="825"/>
        <v>0.89600000000000013</v>
      </c>
      <c r="AW153" s="100">
        <f t="shared" si="826"/>
        <v>0.89600000000000002</v>
      </c>
      <c r="AX153" s="94">
        <v>448.32400000000001</v>
      </c>
      <c r="AY153" s="76">
        <v>9198.4439999999995</v>
      </c>
      <c r="AZ153" s="100">
        <f>AX153/$B$9</f>
        <v>0.69400000000000006</v>
      </c>
      <c r="BA153" s="97">
        <f>AY153/$B$8</f>
        <v>0.78999999999999992</v>
      </c>
      <c r="BB153" s="88">
        <v>37285.599999999999</v>
      </c>
      <c r="BC153" s="76">
        <v>19179.075000000001</v>
      </c>
      <c r="BD153" s="100">
        <f t="shared" si="827"/>
        <v>0.83599999999999997</v>
      </c>
      <c r="BE153" s="97">
        <f t="shared" si="828"/>
        <v>0.81700000000000006</v>
      </c>
      <c r="BG153" s="88">
        <v>889.02</v>
      </c>
      <c r="BH153" s="114">
        <f>BG153/$B$10</f>
        <v>0.36099989442310348</v>
      </c>
      <c r="BI153" s="115">
        <v>943.673</v>
      </c>
      <c r="BJ153" s="114">
        <f>BI153/$B$11</f>
        <v>0.58722650902302431</v>
      </c>
      <c r="BK153" s="115">
        <v>1121.4780000000001</v>
      </c>
      <c r="BL153" s="114">
        <f t="shared" si="829"/>
        <v>0.5784392407674851</v>
      </c>
      <c r="BN153" s="111">
        <v>53641.616999999998</v>
      </c>
      <c r="BO153" s="114">
        <f t="shared" si="830"/>
        <v>0.77049180327868849</v>
      </c>
      <c r="BQ153" s="142">
        <v>26489.846000000001</v>
      </c>
      <c r="BR153" s="131">
        <v>0</v>
      </c>
      <c r="BS153" s="143">
        <v>0</v>
      </c>
      <c r="BT153" s="105">
        <f t="shared" si="831"/>
        <v>0.8125719631901841</v>
      </c>
      <c r="BU153" s="20">
        <f t="shared" si="832"/>
        <v>0</v>
      </c>
      <c r="BV153" s="2">
        <v>0</v>
      </c>
      <c r="BW153" s="2">
        <v>0</v>
      </c>
      <c r="BX153" s="2">
        <v>0</v>
      </c>
      <c r="BY153" s="2">
        <v>6224.9139999999998</v>
      </c>
      <c r="BZ153" s="105">
        <f t="shared" si="833"/>
        <v>0.46185739723994657</v>
      </c>
      <c r="CA153" s="20">
        <f t="shared" si="834"/>
        <v>0</v>
      </c>
      <c r="CB153" s="5">
        <v>10800</v>
      </c>
      <c r="CC153" s="5">
        <v>0</v>
      </c>
      <c r="CE153" s="108">
        <v>-700</v>
      </c>
      <c r="CF153" s="153">
        <f t="shared" si="835"/>
        <v>0</v>
      </c>
      <c r="CG153" s="153">
        <v>4485</v>
      </c>
      <c r="CH153" s="153">
        <f t="shared" si="835"/>
        <v>4485</v>
      </c>
      <c r="CI153" s="153">
        <v>0</v>
      </c>
      <c r="CJ153" s="153">
        <f t="shared" ref="CJ153:CL153" si="966">IF(CI153&gt;0,CI153,0)</f>
        <v>0</v>
      </c>
      <c r="CK153" s="153">
        <v>-5000</v>
      </c>
      <c r="CL153" s="153">
        <f t="shared" si="966"/>
        <v>0</v>
      </c>
      <c r="CM153" s="153">
        <v>-5300</v>
      </c>
      <c r="CN153" s="153">
        <f t="shared" ref="CN153:CP153" si="967">IF(CM153&gt;0,CM153,0)</f>
        <v>0</v>
      </c>
      <c r="CO153" s="153">
        <v>-4000</v>
      </c>
      <c r="CP153" s="153">
        <f t="shared" si="967"/>
        <v>0</v>
      </c>
      <c r="CQ153" s="153">
        <v>-4800</v>
      </c>
      <c r="CR153" s="153">
        <f t="shared" ref="CR153:CT153" si="968">IF(CQ153&gt;0,CQ153,0)</f>
        <v>0</v>
      </c>
      <c r="CS153" s="153">
        <v>24177.85301649</v>
      </c>
      <c r="CT153" s="153">
        <f t="shared" si="968"/>
        <v>24177.85301649</v>
      </c>
      <c r="CU153" s="107">
        <f t="shared" si="839"/>
        <v>28662.85301649</v>
      </c>
      <c r="CW153" s="108">
        <v>-700</v>
      </c>
      <c r="CX153" s="153">
        <f t="shared" si="840"/>
        <v>700</v>
      </c>
      <c r="CY153" s="153">
        <v>4485</v>
      </c>
      <c r="CZ153" s="153">
        <f t="shared" si="840"/>
        <v>0</v>
      </c>
      <c r="DA153" s="153">
        <v>0</v>
      </c>
      <c r="DB153" s="153">
        <f t="shared" ref="DB153:DD153" si="969">IF(DA153&lt;0,-DA153,0)</f>
        <v>0</v>
      </c>
      <c r="DC153" s="153">
        <v>-5000</v>
      </c>
      <c r="DD153" s="153">
        <f t="shared" si="969"/>
        <v>5000</v>
      </c>
      <c r="DE153" s="153">
        <v>-5300</v>
      </c>
      <c r="DF153" s="153">
        <f t="shared" ref="DF153:DH153" si="970">IF(DE153&lt;0,-DE153,0)</f>
        <v>5300</v>
      </c>
      <c r="DG153" s="153">
        <v>-4000</v>
      </c>
      <c r="DH153" s="153">
        <f t="shared" si="970"/>
        <v>4000</v>
      </c>
      <c r="DI153" s="153">
        <v>-4800</v>
      </c>
      <c r="DJ153" s="153">
        <f t="shared" ref="DJ153:DL153" si="971">IF(DI153&lt;0,-DI153,0)</f>
        <v>4800</v>
      </c>
      <c r="DK153" s="153">
        <v>24177.85301649</v>
      </c>
      <c r="DL153" s="153">
        <f t="shared" si="971"/>
        <v>0</v>
      </c>
      <c r="DM153" s="107">
        <f t="shared" si="844"/>
        <v>19800</v>
      </c>
    </row>
    <row r="154" spans="13:117" s="5" customFormat="1" x14ac:dyDescent="0.35">
      <c r="M154" s="77">
        <f t="shared" si="845"/>
        <v>152</v>
      </c>
      <c r="N154" s="78">
        <v>0</v>
      </c>
      <c r="O154" s="79">
        <v>0</v>
      </c>
      <c r="P154" s="79">
        <v>0</v>
      </c>
      <c r="Q154" s="79">
        <v>31319.714</v>
      </c>
      <c r="R154" s="79">
        <v>4164.2738159500004</v>
      </c>
      <c r="S154" s="79">
        <f t="shared" si="816"/>
        <v>35483.98781595</v>
      </c>
      <c r="T154" s="78">
        <v>0</v>
      </c>
      <c r="U154" s="79">
        <v>0</v>
      </c>
      <c r="V154" s="79">
        <v>0.67500000000000004</v>
      </c>
      <c r="W154" s="79">
        <v>0.77799999999999991</v>
      </c>
      <c r="X154" s="79">
        <f t="shared" si="817"/>
        <v>1.4529999999999998</v>
      </c>
      <c r="Y154" s="79">
        <v>4334.1949999999997</v>
      </c>
      <c r="Z154" s="79">
        <v>0</v>
      </c>
      <c r="AA154" s="80">
        <f t="shared" si="818"/>
        <v>4334.1949999999997</v>
      </c>
      <c r="AB154" s="79"/>
      <c r="AC154" s="88">
        <v>0</v>
      </c>
      <c r="AD154" s="94">
        <f t="shared" si="819"/>
        <v>0</v>
      </c>
      <c r="AE154" s="89">
        <v>0</v>
      </c>
      <c r="AF154" s="94">
        <f t="shared" si="820"/>
        <v>0</v>
      </c>
      <c r="AG154" s="89">
        <v>0</v>
      </c>
      <c r="AH154" s="94">
        <f t="shared" si="821"/>
        <v>0</v>
      </c>
      <c r="AI154" s="89">
        <v>0</v>
      </c>
      <c r="AJ154" s="94">
        <f>AI154/$B$6</f>
        <v>0</v>
      </c>
      <c r="AK154" s="89">
        <v>0</v>
      </c>
      <c r="AL154" s="94">
        <f>AK154/$B$7</f>
        <v>0</v>
      </c>
      <c r="AM154" s="89">
        <v>0</v>
      </c>
      <c r="AN154" s="94">
        <f t="shared" si="822"/>
        <v>0</v>
      </c>
      <c r="AO154" s="89">
        <v>0</v>
      </c>
      <c r="AP154" s="94">
        <f t="shared" si="823"/>
        <v>0</v>
      </c>
      <c r="AQ154" s="79"/>
      <c r="AR154" s="88">
        <v>59718.8658</v>
      </c>
      <c r="AS154" s="76">
        <v>2079.1999999999998</v>
      </c>
      <c r="AT154" s="88">
        <v>452</v>
      </c>
      <c r="AU154" s="100">
        <f t="shared" si="824"/>
        <v>0.67099999999999993</v>
      </c>
      <c r="AV154" s="100">
        <f t="shared" si="825"/>
        <v>0.90399999999999991</v>
      </c>
      <c r="AW154" s="100">
        <f t="shared" si="826"/>
        <v>0.90400000000000003</v>
      </c>
      <c r="AX154" s="94">
        <v>436.05</v>
      </c>
      <c r="AY154" s="76">
        <v>9058.7207999999991</v>
      </c>
      <c r="AZ154" s="100">
        <f>AX154/$B$9</f>
        <v>0.67500000000000004</v>
      </c>
      <c r="BA154" s="97">
        <f>AY154/$B$8</f>
        <v>0.77799999999999991</v>
      </c>
      <c r="BB154" s="88">
        <v>37687</v>
      </c>
      <c r="BC154" s="76">
        <v>18850.424999999999</v>
      </c>
      <c r="BD154" s="100">
        <f t="shared" si="827"/>
        <v>0.84499999999999997</v>
      </c>
      <c r="BE154" s="97">
        <f t="shared" si="828"/>
        <v>0.80299999999999994</v>
      </c>
      <c r="BG154" s="88">
        <v>891.48299999999995</v>
      </c>
      <c r="BH154" s="114">
        <f>BG154/$B$10</f>
        <v>0.36200003248519891</v>
      </c>
      <c r="BI154" s="115">
        <v>1016.37</v>
      </c>
      <c r="BJ154" s="114">
        <f>BI154/$B$11</f>
        <v>0.63246421904169259</v>
      </c>
      <c r="BK154" s="115">
        <v>1121.4780000000001</v>
      </c>
      <c r="BL154" s="114">
        <f t="shared" si="829"/>
        <v>0.5784392407674851</v>
      </c>
      <c r="BN154" s="111">
        <v>53641.616999999998</v>
      </c>
      <c r="BO154" s="114">
        <f t="shared" si="830"/>
        <v>0.77049180327868849</v>
      </c>
      <c r="BQ154" s="142">
        <v>25487.447</v>
      </c>
      <c r="BR154" s="131">
        <v>0</v>
      </c>
      <c r="BS154" s="143">
        <v>0</v>
      </c>
      <c r="BT154" s="105">
        <f t="shared" si="831"/>
        <v>0.78182352760736196</v>
      </c>
      <c r="BU154" s="20">
        <f t="shared" si="832"/>
        <v>0</v>
      </c>
      <c r="BV154" s="2">
        <v>0</v>
      </c>
      <c r="BW154" s="2">
        <v>0</v>
      </c>
      <c r="BX154" s="2">
        <v>0</v>
      </c>
      <c r="BY154" s="2">
        <v>6055.6409999999996</v>
      </c>
      <c r="BZ154" s="105">
        <f t="shared" si="833"/>
        <v>0.44929818964238016</v>
      </c>
      <c r="CA154" s="20">
        <f t="shared" si="834"/>
        <v>0</v>
      </c>
      <c r="CB154" s="5">
        <v>10800</v>
      </c>
      <c r="CC154" s="5">
        <v>0</v>
      </c>
      <c r="CE154" s="108">
        <v>-700</v>
      </c>
      <c r="CF154" s="153">
        <f t="shared" si="835"/>
        <v>0</v>
      </c>
      <c r="CG154" s="153">
        <v>4485</v>
      </c>
      <c r="CH154" s="153">
        <f t="shared" si="835"/>
        <v>4485</v>
      </c>
      <c r="CI154" s="153">
        <v>0</v>
      </c>
      <c r="CJ154" s="153">
        <f t="shared" ref="CJ154:CL154" si="972">IF(CI154&gt;0,CI154,0)</f>
        <v>0</v>
      </c>
      <c r="CK154" s="153">
        <v>-5000</v>
      </c>
      <c r="CL154" s="153">
        <f t="shared" si="972"/>
        <v>0</v>
      </c>
      <c r="CM154" s="153">
        <v>-5300</v>
      </c>
      <c r="CN154" s="153">
        <f t="shared" ref="CN154:CP154" si="973">IF(CM154&gt;0,CM154,0)</f>
        <v>0</v>
      </c>
      <c r="CO154" s="153">
        <v>-4000</v>
      </c>
      <c r="CP154" s="153">
        <f t="shared" si="973"/>
        <v>0</v>
      </c>
      <c r="CQ154" s="153">
        <v>-4800</v>
      </c>
      <c r="CR154" s="153">
        <f t="shared" ref="CR154:CT154" si="974">IF(CQ154&gt;0,CQ154,0)</f>
        <v>0</v>
      </c>
      <c r="CS154" s="153">
        <v>18549.629253560001</v>
      </c>
      <c r="CT154" s="153">
        <f t="shared" si="974"/>
        <v>18549.629253560001</v>
      </c>
      <c r="CU154" s="107">
        <f t="shared" si="839"/>
        <v>23034.629253560001</v>
      </c>
      <c r="CW154" s="108">
        <v>-700</v>
      </c>
      <c r="CX154" s="153">
        <f t="shared" si="840"/>
        <v>700</v>
      </c>
      <c r="CY154" s="153">
        <v>4485</v>
      </c>
      <c r="CZ154" s="153">
        <f t="shared" si="840"/>
        <v>0</v>
      </c>
      <c r="DA154" s="153">
        <v>0</v>
      </c>
      <c r="DB154" s="153">
        <f t="shared" ref="DB154:DD154" si="975">IF(DA154&lt;0,-DA154,0)</f>
        <v>0</v>
      </c>
      <c r="DC154" s="153">
        <v>-5000</v>
      </c>
      <c r="DD154" s="153">
        <f t="shared" si="975"/>
        <v>5000</v>
      </c>
      <c r="DE154" s="153">
        <v>-5300</v>
      </c>
      <c r="DF154" s="153">
        <f t="shared" ref="DF154:DH154" si="976">IF(DE154&lt;0,-DE154,0)</f>
        <v>5300</v>
      </c>
      <c r="DG154" s="153">
        <v>-4000</v>
      </c>
      <c r="DH154" s="153">
        <f t="shared" si="976"/>
        <v>4000</v>
      </c>
      <c r="DI154" s="153">
        <v>-4800</v>
      </c>
      <c r="DJ154" s="153">
        <f t="shared" ref="DJ154:DL154" si="977">IF(DI154&lt;0,-DI154,0)</f>
        <v>4800</v>
      </c>
      <c r="DK154" s="153">
        <v>18549.629253560001</v>
      </c>
      <c r="DL154" s="153">
        <f t="shared" si="977"/>
        <v>0</v>
      </c>
      <c r="DM154" s="107">
        <f t="shared" si="844"/>
        <v>19800</v>
      </c>
    </row>
    <row r="155" spans="13:117" s="5" customFormat="1" x14ac:dyDescent="0.35">
      <c r="M155" s="77">
        <f t="shared" si="845"/>
        <v>153</v>
      </c>
      <c r="N155" s="78">
        <v>0</v>
      </c>
      <c r="O155" s="79">
        <v>0</v>
      </c>
      <c r="P155" s="79">
        <v>0</v>
      </c>
      <c r="Q155" s="79">
        <v>33635.925999999999</v>
      </c>
      <c r="R155" s="79">
        <v>4005.34518471</v>
      </c>
      <c r="S155" s="79">
        <f t="shared" si="816"/>
        <v>37641.27118471</v>
      </c>
      <c r="T155" s="78">
        <v>0</v>
      </c>
      <c r="U155" s="79">
        <v>0</v>
      </c>
      <c r="V155" s="79">
        <v>0.60499999999999998</v>
      </c>
      <c r="W155" s="79">
        <v>0.72</v>
      </c>
      <c r="X155" s="79">
        <f t="shared" si="817"/>
        <v>1.325</v>
      </c>
      <c r="Y155" s="79">
        <v>4342.3630000000003</v>
      </c>
      <c r="Z155" s="79">
        <v>0</v>
      </c>
      <c r="AA155" s="80">
        <f t="shared" si="818"/>
        <v>4342.3630000000003</v>
      </c>
      <c r="AB155" s="79"/>
      <c r="AC155" s="88">
        <v>0</v>
      </c>
      <c r="AD155" s="94">
        <f t="shared" si="819"/>
        <v>0</v>
      </c>
      <c r="AE155" s="89">
        <v>0</v>
      </c>
      <c r="AF155" s="94">
        <f t="shared" si="820"/>
        <v>0</v>
      </c>
      <c r="AG155" s="89">
        <v>0</v>
      </c>
      <c r="AH155" s="94">
        <f t="shared" si="821"/>
        <v>0</v>
      </c>
      <c r="AI155" s="89">
        <v>0</v>
      </c>
      <c r="AJ155" s="94">
        <f>AI155/$B$6</f>
        <v>0</v>
      </c>
      <c r="AK155" s="89">
        <v>0</v>
      </c>
      <c r="AL155" s="94">
        <f>AK155/$B$7</f>
        <v>0</v>
      </c>
      <c r="AM155" s="89">
        <v>0</v>
      </c>
      <c r="AN155" s="94">
        <f t="shared" si="822"/>
        <v>0</v>
      </c>
      <c r="AO155" s="89">
        <v>0</v>
      </c>
      <c r="AP155" s="94">
        <f t="shared" si="823"/>
        <v>0</v>
      </c>
      <c r="AQ155" s="79"/>
      <c r="AR155" s="88">
        <v>56959.872000000003</v>
      </c>
      <c r="AS155" s="76">
        <v>2097.6</v>
      </c>
      <c r="AT155" s="88">
        <v>456</v>
      </c>
      <c r="AU155" s="100">
        <f t="shared" si="824"/>
        <v>0.64</v>
      </c>
      <c r="AV155" s="100">
        <f t="shared" si="825"/>
        <v>0.91199999999999992</v>
      </c>
      <c r="AW155" s="100">
        <f t="shared" si="826"/>
        <v>0.91200000000000003</v>
      </c>
      <c r="AX155" s="94">
        <v>390.83</v>
      </c>
      <c r="AY155" s="76">
        <v>8383.3919999999998</v>
      </c>
      <c r="AZ155" s="100">
        <f>AX155/$B$9</f>
        <v>0.60499999999999998</v>
      </c>
      <c r="BA155" s="97">
        <f>AY155/$B$8</f>
        <v>0.72</v>
      </c>
      <c r="BB155" s="88">
        <v>37820.800000000003</v>
      </c>
      <c r="BC155" s="76">
        <v>18897.375</v>
      </c>
      <c r="BD155" s="100">
        <f t="shared" si="827"/>
        <v>0.84800000000000009</v>
      </c>
      <c r="BE155" s="97">
        <f t="shared" si="828"/>
        <v>0.80500000000000005</v>
      </c>
      <c r="BG155" s="88">
        <v>891.48299999999995</v>
      </c>
      <c r="BH155" s="114">
        <f>BG155/$B$10</f>
        <v>0.36200003248519891</v>
      </c>
      <c r="BI155" s="115">
        <v>1031.7850000000001</v>
      </c>
      <c r="BJ155" s="114">
        <f>BI155/$B$11</f>
        <v>0.64205662725575607</v>
      </c>
      <c r="BK155" s="115">
        <v>1121.4780000000001</v>
      </c>
      <c r="BL155" s="114">
        <f t="shared" si="829"/>
        <v>0.5784392407674851</v>
      </c>
      <c r="BN155" s="111">
        <v>53641.616999999998</v>
      </c>
      <c r="BO155" s="114">
        <f t="shared" si="830"/>
        <v>0.77049180327868849</v>
      </c>
      <c r="BQ155" s="142">
        <v>24359.144</v>
      </c>
      <c r="BR155" s="131">
        <v>0</v>
      </c>
      <c r="BS155" s="143">
        <v>0</v>
      </c>
      <c r="BT155" s="105">
        <f t="shared" si="831"/>
        <v>0.74721300613496933</v>
      </c>
      <c r="BU155" s="20">
        <f t="shared" si="832"/>
        <v>0</v>
      </c>
      <c r="BV155" s="2">
        <v>0</v>
      </c>
      <c r="BW155" s="2">
        <v>0</v>
      </c>
      <c r="BX155" s="2">
        <v>0</v>
      </c>
      <c r="BY155" s="2">
        <v>5428.94</v>
      </c>
      <c r="BZ155" s="105">
        <f t="shared" si="833"/>
        <v>0.40280011871197502</v>
      </c>
      <c r="CA155" s="20">
        <f t="shared" si="834"/>
        <v>0</v>
      </c>
      <c r="CB155" s="5">
        <v>10800</v>
      </c>
      <c r="CC155" s="5">
        <v>0</v>
      </c>
      <c r="CE155" s="108">
        <v>-700</v>
      </c>
      <c r="CF155" s="153">
        <f t="shared" si="835"/>
        <v>0</v>
      </c>
      <c r="CG155" s="153">
        <v>4485</v>
      </c>
      <c r="CH155" s="153">
        <f t="shared" si="835"/>
        <v>4485</v>
      </c>
      <c r="CI155" s="153">
        <v>0</v>
      </c>
      <c r="CJ155" s="153">
        <f t="shared" ref="CJ155:CL155" si="978">IF(CI155&gt;0,CI155,0)</f>
        <v>0</v>
      </c>
      <c r="CK155" s="153">
        <v>-5000</v>
      </c>
      <c r="CL155" s="153">
        <f t="shared" si="978"/>
        <v>0</v>
      </c>
      <c r="CM155" s="153">
        <v>-5300</v>
      </c>
      <c r="CN155" s="153">
        <f t="shared" ref="CN155:CP155" si="979">IF(CM155&gt;0,CM155,0)</f>
        <v>0</v>
      </c>
      <c r="CO155" s="153">
        <v>-4000</v>
      </c>
      <c r="CP155" s="153">
        <f t="shared" si="979"/>
        <v>0</v>
      </c>
      <c r="CQ155" s="153">
        <v>-4800</v>
      </c>
      <c r="CR155" s="153">
        <f t="shared" ref="CR155:CT155" si="980">IF(CQ155&gt;0,CQ155,0)</f>
        <v>0</v>
      </c>
      <c r="CS155" s="153">
        <v>20200.097486499999</v>
      </c>
      <c r="CT155" s="153">
        <f t="shared" si="980"/>
        <v>20200.097486499999</v>
      </c>
      <c r="CU155" s="107">
        <f t="shared" si="839"/>
        <v>24685.097486499999</v>
      </c>
      <c r="CW155" s="108">
        <v>-700</v>
      </c>
      <c r="CX155" s="153">
        <f t="shared" si="840"/>
        <v>700</v>
      </c>
      <c r="CY155" s="153">
        <v>4485</v>
      </c>
      <c r="CZ155" s="153">
        <f t="shared" si="840"/>
        <v>0</v>
      </c>
      <c r="DA155" s="153">
        <v>0</v>
      </c>
      <c r="DB155" s="153">
        <f t="shared" ref="DB155:DD155" si="981">IF(DA155&lt;0,-DA155,0)</f>
        <v>0</v>
      </c>
      <c r="DC155" s="153">
        <v>-5000</v>
      </c>
      <c r="DD155" s="153">
        <f t="shared" si="981"/>
        <v>5000</v>
      </c>
      <c r="DE155" s="153">
        <v>-5300</v>
      </c>
      <c r="DF155" s="153">
        <f t="shared" ref="DF155:DH155" si="982">IF(DE155&lt;0,-DE155,0)</f>
        <v>5300</v>
      </c>
      <c r="DG155" s="153">
        <v>-4000</v>
      </c>
      <c r="DH155" s="153">
        <f t="shared" si="982"/>
        <v>4000</v>
      </c>
      <c r="DI155" s="153">
        <v>-4800</v>
      </c>
      <c r="DJ155" s="153">
        <f t="shared" ref="DJ155:DL155" si="983">IF(DI155&lt;0,-DI155,0)</f>
        <v>4800</v>
      </c>
      <c r="DK155" s="153">
        <v>20200.097486499999</v>
      </c>
      <c r="DL155" s="153">
        <f t="shared" si="983"/>
        <v>0</v>
      </c>
      <c r="DM155" s="107">
        <f t="shared" si="844"/>
        <v>19800</v>
      </c>
    </row>
    <row r="156" spans="13:117" s="5" customFormat="1" x14ac:dyDescent="0.35">
      <c r="M156" s="77">
        <f t="shared" si="845"/>
        <v>154</v>
      </c>
      <c r="N156" s="78">
        <v>4.4999999999999998E-2</v>
      </c>
      <c r="O156" s="79">
        <v>0</v>
      </c>
      <c r="P156" s="79">
        <v>3.6999999999999901E-2</v>
      </c>
      <c r="Q156" s="79">
        <v>36023.576000000001</v>
      </c>
      <c r="R156" s="79">
        <v>2484.82856219</v>
      </c>
      <c r="S156" s="79">
        <f t="shared" si="816"/>
        <v>38508.40456219</v>
      </c>
      <c r="T156" s="78">
        <v>0</v>
      </c>
      <c r="U156" s="79">
        <v>0</v>
      </c>
      <c r="V156" s="79">
        <v>0.52800000000000002</v>
      </c>
      <c r="W156" s="79">
        <v>0.66499999999999992</v>
      </c>
      <c r="X156" s="79">
        <f t="shared" si="817"/>
        <v>1.1930000000000001</v>
      </c>
      <c r="Y156" s="79">
        <v>4640.1970000000001</v>
      </c>
      <c r="Z156" s="79">
        <v>0</v>
      </c>
      <c r="AA156" s="80">
        <f t="shared" si="818"/>
        <v>4640.1970000000001</v>
      </c>
      <c r="AB156" s="79"/>
      <c r="AC156" s="88">
        <v>2490</v>
      </c>
      <c r="AD156" s="94">
        <f t="shared" si="819"/>
        <v>0.03</v>
      </c>
      <c r="AE156" s="89">
        <v>0</v>
      </c>
      <c r="AF156" s="94">
        <f t="shared" si="820"/>
        <v>0</v>
      </c>
      <c r="AG156" s="89">
        <v>1110</v>
      </c>
      <c r="AH156" s="94">
        <f t="shared" si="821"/>
        <v>3.6999999999999998E-2</v>
      </c>
      <c r="AI156" s="89">
        <v>172.5384</v>
      </c>
      <c r="AJ156" s="94">
        <f>AI156/$B$6</f>
        <v>1.1999999999999999E-2</v>
      </c>
      <c r="AK156" s="89">
        <v>115.9188</v>
      </c>
      <c r="AL156" s="94">
        <f>AK156/$B$7</f>
        <v>1.2E-2</v>
      </c>
      <c r="AM156" s="89">
        <v>1079.82</v>
      </c>
      <c r="AN156" s="94">
        <f t="shared" si="822"/>
        <v>2.0999999999999998E-2</v>
      </c>
      <c r="AO156" s="89">
        <v>972.73680000000002</v>
      </c>
      <c r="AP156" s="94">
        <f t="shared" si="823"/>
        <v>2.0999999999999998E-2</v>
      </c>
      <c r="AQ156" s="79"/>
      <c r="AR156" s="88">
        <v>53933.878799999999</v>
      </c>
      <c r="AS156" s="76">
        <v>2099.9</v>
      </c>
      <c r="AT156" s="88">
        <v>456.5</v>
      </c>
      <c r="AU156" s="100">
        <f t="shared" si="824"/>
        <v>0.60599999999999998</v>
      </c>
      <c r="AV156" s="100">
        <f t="shared" si="825"/>
        <v>0.91300000000000003</v>
      </c>
      <c r="AW156" s="100">
        <f t="shared" si="826"/>
        <v>0.91300000000000003</v>
      </c>
      <c r="AX156" s="94">
        <v>341.08800000000002</v>
      </c>
      <c r="AY156" s="76">
        <v>7742.9939999999997</v>
      </c>
      <c r="AZ156" s="100">
        <f>AX156/$B$9</f>
        <v>0.52800000000000002</v>
      </c>
      <c r="BA156" s="97">
        <f>AY156/$B$8</f>
        <v>0.66499999999999992</v>
      </c>
      <c r="BB156" s="88">
        <v>37151.800000000003</v>
      </c>
      <c r="BC156" s="76">
        <v>19085.174999999999</v>
      </c>
      <c r="BD156" s="100">
        <f t="shared" si="827"/>
        <v>0.83300000000000007</v>
      </c>
      <c r="BE156" s="97">
        <f t="shared" si="828"/>
        <v>0.81299999999999994</v>
      </c>
      <c r="BG156" s="88">
        <v>906.25900000000001</v>
      </c>
      <c r="BH156" s="114">
        <f>BG156/$B$10</f>
        <v>0.3680000487277984</v>
      </c>
      <c r="BI156" s="115">
        <v>0</v>
      </c>
      <c r="BJ156" s="114">
        <f>BI156/$B$11</f>
        <v>0</v>
      </c>
      <c r="BK156" s="115">
        <v>1121.4780000000001</v>
      </c>
      <c r="BL156" s="114">
        <f t="shared" si="829"/>
        <v>0.5784392407674851</v>
      </c>
      <c r="BN156" s="111">
        <v>53641.616999999998</v>
      </c>
      <c r="BO156" s="114">
        <f t="shared" si="830"/>
        <v>0.77049180327868849</v>
      </c>
      <c r="BQ156" s="142">
        <v>24295.387999999999</v>
      </c>
      <c r="BR156" s="131">
        <v>0</v>
      </c>
      <c r="BS156" s="143">
        <v>0</v>
      </c>
      <c r="BT156" s="105">
        <f t="shared" si="831"/>
        <v>0.74525730061349693</v>
      </c>
      <c r="BU156" s="20">
        <f t="shared" si="832"/>
        <v>0</v>
      </c>
      <c r="BV156" s="2">
        <v>0</v>
      </c>
      <c r="BW156" s="2">
        <v>0</v>
      </c>
      <c r="BX156" s="2">
        <v>0</v>
      </c>
      <c r="BY156" s="2">
        <v>4891.6629999999996</v>
      </c>
      <c r="BZ156" s="105">
        <f t="shared" si="833"/>
        <v>0.36293686006825937</v>
      </c>
      <c r="CA156" s="20">
        <f t="shared" si="834"/>
        <v>0</v>
      </c>
      <c r="CB156" s="5">
        <v>10800</v>
      </c>
      <c r="CC156" s="5">
        <v>0</v>
      </c>
      <c r="CE156" s="108">
        <v>-700</v>
      </c>
      <c r="CF156" s="153">
        <f t="shared" si="835"/>
        <v>0</v>
      </c>
      <c r="CG156" s="153">
        <v>4485</v>
      </c>
      <c r="CH156" s="153">
        <f t="shared" si="835"/>
        <v>4485</v>
      </c>
      <c r="CI156" s="153">
        <v>0</v>
      </c>
      <c r="CJ156" s="153">
        <f t="shared" ref="CJ156:CL156" si="984">IF(CI156&gt;0,CI156,0)</f>
        <v>0</v>
      </c>
      <c r="CK156" s="153">
        <v>-5000</v>
      </c>
      <c r="CL156" s="153">
        <f t="shared" si="984"/>
        <v>0</v>
      </c>
      <c r="CM156" s="153">
        <v>-5300</v>
      </c>
      <c r="CN156" s="153">
        <f t="shared" ref="CN156:CP156" si="985">IF(CM156&gt;0,CM156,0)</f>
        <v>0</v>
      </c>
      <c r="CO156" s="153">
        <v>-4000</v>
      </c>
      <c r="CP156" s="153">
        <f t="shared" si="985"/>
        <v>0</v>
      </c>
      <c r="CQ156" s="153">
        <v>-4800</v>
      </c>
      <c r="CR156" s="153">
        <f t="shared" ref="CR156:CT156" si="986">IF(CQ156&gt;0,CQ156,0)</f>
        <v>0</v>
      </c>
      <c r="CS156" s="153">
        <v>20381.173239299998</v>
      </c>
      <c r="CT156" s="153">
        <f t="shared" si="986"/>
        <v>20381.173239299998</v>
      </c>
      <c r="CU156" s="107">
        <f t="shared" si="839"/>
        <v>24866.173239299998</v>
      </c>
      <c r="CW156" s="108">
        <v>-700</v>
      </c>
      <c r="CX156" s="153">
        <f t="shared" si="840"/>
        <v>700</v>
      </c>
      <c r="CY156" s="153">
        <v>4485</v>
      </c>
      <c r="CZ156" s="153">
        <f t="shared" si="840"/>
        <v>0</v>
      </c>
      <c r="DA156" s="153">
        <v>0</v>
      </c>
      <c r="DB156" s="153">
        <f t="shared" ref="DB156:DD156" si="987">IF(DA156&lt;0,-DA156,0)</f>
        <v>0</v>
      </c>
      <c r="DC156" s="153">
        <v>-5000</v>
      </c>
      <c r="DD156" s="153">
        <f t="shared" si="987"/>
        <v>5000</v>
      </c>
      <c r="DE156" s="153">
        <v>-5300</v>
      </c>
      <c r="DF156" s="153">
        <f t="shared" ref="DF156:DH156" si="988">IF(DE156&lt;0,-DE156,0)</f>
        <v>5300</v>
      </c>
      <c r="DG156" s="153">
        <v>-4000</v>
      </c>
      <c r="DH156" s="153">
        <f t="shared" si="988"/>
        <v>4000</v>
      </c>
      <c r="DI156" s="153">
        <v>-4800</v>
      </c>
      <c r="DJ156" s="153">
        <f t="shared" ref="DJ156:DL156" si="989">IF(DI156&lt;0,-DI156,0)</f>
        <v>4800</v>
      </c>
      <c r="DK156" s="153">
        <v>20381.173239299998</v>
      </c>
      <c r="DL156" s="153">
        <f t="shared" si="989"/>
        <v>0</v>
      </c>
      <c r="DM156" s="107">
        <f t="shared" si="844"/>
        <v>19800</v>
      </c>
    </row>
    <row r="157" spans="13:117" s="5" customFormat="1" x14ac:dyDescent="0.35">
      <c r="M157" s="77">
        <f t="shared" si="845"/>
        <v>155</v>
      </c>
      <c r="N157" s="78">
        <v>0.13900000000000001</v>
      </c>
      <c r="O157" s="79">
        <v>1.7000000000000001E-2</v>
      </c>
      <c r="P157" s="79">
        <v>0.107</v>
      </c>
      <c r="Q157" s="79">
        <v>36804.972999999998</v>
      </c>
      <c r="R157" s="79">
        <v>2000.9532392599999</v>
      </c>
      <c r="S157" s="79">
        <f t="shared" si="816"/>
        <v>38805.926239259999</v>
      </c>
      <c r="T157" s="78">
        <v>0.01</v>
      </c>
      <c r="U157" s="79">
        <v>1.2E-2</v>
      </c>
      <c r="V157" s="79">
        <v>0.44599999999999995</v>
      </c>
      <c r="W157" s="79">
        <v>0.621</v>
      </c>
      <c r="X157" s="79">
        <f t="shared" si="817"/>
        <v>1.0669999999999999</v>
      </c>
      <c r="Y157" s="79">
        <v>4886.9849999999997</v>
      </c>
      <c r="Z157" s="79">
        <v>0</v>
      </c>
      <c r="AA157" s="80">
        <f t="shared" si="818"/>
        <v>4886.9849999999997</v>
      </c>
      <c r="AB157" s="79"/>
      <c r="AC157" s="88">
        <v>6806</v>
      </c>
      <c r="AD157" s="94">
        <f t="shared" si="819"/>
        <v>8.2000000000000003E-2</v>
      </c>
      <c r="AE157" s="89">
        <v>81.685000000000002</v>
      </c>
      <c r="AF157" s="94">
        <f t="shared" si="820"/>
        <v>1.7000000000000001E-2</v>
      </c>
      <c r="AG157" s="89">
        <v>3210</v>
      </c>
      <c r="AH157" s="94">
        <f t="shared" si="821"/>
        <v>0.107</v>
      </c>
      <c r="AI157" s="89">
        <v>704.53179999999998</v>
      </c>
      <c r="AJ157" s="94">
        <f>AI157/$B$6</f>
        <v>4.8999999999999995E-2</v>
      </c>
      <c r="AK157" s="89">
        <v>540.95439999999996</v>
      </c>
      <c r="AL157" s="94">
        <f>AK157/$B$7</f>
        <v>5.6000000000000001E-2</v>
      </c>
      <c r="AM157" s="89">
        <v>4267.8599999999997</v>
      </c>
      <c r="AN157" s="94">
        <f t="shared" si="822"/>
        <v>8.299999999999999E-2</v>
      </c>
      <c r="AO157" s="89">
        <v>3427.7392</v>
      </c>
      <c r="AP157" s="94">
        <f t="shared" si="823"/>
        <v>7.3999999999999996E-2</v>
      </c>
      <c r="AQ157" s="79"/>
      <c r="AR157" s="88">
        <v>53666.879399999998</v>
      </c>
      <c r="AS157" s="76">
        <v>2093</v>
      </c>
      <c r="AT157" s="88">
        <v>455</v>
      </c>
      <c r="AU157" s="100">
        <f t="shared" si="824"/>
        <v>0.60299999999999998</v>
      </c>
      <c r="AV157" s="100">
        <f t="shared" si="825"/>
        <v>0.91</v>
      </c>
      <c r="AW157" s="100">
        <f t="shared" si="826"/>
        <v>0.91</v>
      </c>
      <c r="AX157" s="94">
        <v>288.11599999999999</v>
      </c>
      <c r="AY157" s="76">
        <v>7230.6755999999996</v>
      </c>
      <c r="AZ157" s="100">
        <f>AX157/$B$9</f>
        <v>0.44599999999999995</v>
      </c>
      <c r="BA157" s="97">
        <f>AY157/$B$8</f>
        <v>0.621</v>
      </c>
      <c r="BB157" s="88">
        <v>36705.800000000003</v>
      </c>
      <c r="BC157" s="76">
        <v>19695.525000000001</v>
      </c>
      <c r="BD157" s="100">
        <f t="shared" si="827"/>
        <v>0.82300000000000006</v>
      </c>
      <c r="BE157" s="97">
        <f t="shared" si="828"/>
        <v>0.83900000000000008</v>
      </c>
      <c r="BG157" s="88">
        <v>901.33399999999995</v>
      </c>
      <c r="BH157" s="114">
        <f>BG157/$B$10</f>
        <v>0.36600017866859413</v>
      </c>
      <c r="BI157" s="115">
        <v>1033.3889999999999</v>
      </c>
      <c r="BJ157" s="114">
        <f>BI157/$B$11</f>
        <v>0.64305476042314869</v>
      </c>
      <c r="BK157" s="115">
        <v>1121.4780000000001</v>
      </c>
      <c r="BL157" s="114">
        <f t="shared" si="829"/>
        <v>0.5784392407674851</v>
      </c>
      <c r="BN157" s="111">
        <v>53641.616999999998</v>
      </c>
      <c r="BO157" s="114">
        <f t="shared" si="830"/>
        <v>0.77049180327868849</v>
      </c>
      <c r="BQ157" s="142">
        <v>26488.441999999999</v>
      </c>
      <c r="BR157" s="131">
        <v>0</v>
      </c>
      <c r="BS157" s="143">
        <v>0</v>
      </c>
      <c r="BT157" s="105">
        <f t="shared" si="831"/>
        <v>0.81252889570552145</v>
      </c>
      <c r="BU157" s="20">
        <f t="shared" si="832"/>
        <v>0</v>
      </c>
      <c r="BV157" s="2">
        <v>0</v>
      </c>
      <c r="BW157" s="2">
        <v>0</v>
      </c>
      <c r="BX157" s="2">
        <v>0</v>
      </c>
      <c r="BY157" s="2">
        <v>4668.4679999999998</v>
      </c>
      <c r="BZ157" s="105">
        <f t="shared" si="833"/>
        <v>0.34637691052084879</v>
      </c>
      <c r="CA157" s="20">
        <f t="shared" si="834"/>
        <v>0</v>
      </c>
      <c r="CB157" s="5">
        <v>10800</v>
      </c>
      <c r="CC157" s="5">
        <v>0</v>
      </c>
      <c r="CE157" s="108">
        <v>-700</v>
      </c>
      <c r="CF157" s="153">
        <f t="shared" si="835"/>
        <v>0</v>
      </c>
      <c r="CG157" s="153">
        <v>4485</v>
      </c>
      <c r="CH157" s="153">
        <f t="shared" si="835"/>
        <v>4485</v>
      </c>
      <c r="CI157" s="153">
        <v>0</v>
      </c>
      <c r="CJ157" s="153">
        <f t="shared" ref="CJ157:CL157" si="990">IF(CI157&gt;0,CI157,0)</f>
        <v>0</v>
      </c>
      <c r="CK157" s="153">
        <v>-5000</v>
      </c>
      <c r="CL157" s="153">
        <f t="shared" si="990"/>
        <v>0</v>
      </c>
      <c r="CM157" s="153">
        <v>-5300</v>
      </c>
      <c r="CN157" s="153">
        <f t="shared" ref="CN157:CP157" si="991">IF(CM157&gt;0,CM157,0)</f>
        <v>0</v>
      </c>
      <c r="CO157" s="153">
        <v>-4000</v>
      </c>
      <c r="CP157" s="153">
        <f t="shared" si="991"/>
        <v>0</v>
      </c>
      <c r="CQ157" s="153">
        <v>-4800</v>
      </c>
      <c r="CR157" s="153">
        <f t="shared" ref="CR157:CT157" si="992">IF(CQ157&gt;0,CQ157,0)</f>
        <v>0</v>
      </c>
      <c r="CS157" s="153">
        <v>20889.164371880001</v>
      </c>
      <c r="CT157" s="153">
        <f t="shared" si="992"/>
        <v>20889.164371880001</v>
      </c>
      <c r="CU157" s="107">
        <f t="shared" si="839"/>
        <v>25374.164371880001</v>
      </c>
      <c r="CW157" s="108">
        <v>-700</v>
      </c>
      <c r="CX157" s="153">
        <f t="shared" si="840"/>
        <v>700</v>
      </c>
      <c r="CY157" s="153">
        <v>4485</v>
      </c>
      <c r="CZ157" s="153">
        <f t="shared" si="840"/>
        <v>0</v>
      </c>
      <c r="DA157" s="153">
        <v>0</v>
      </c>
      <c r="DB157" s="153">
        <f t="shared" ref="DB157:DD157" si="993">IF(DA157&lt;0,-DA157,0)</f>
        <v>0</v>
      </c>
      <c r="DC157" s="153">
        <v>-5000</v>
      </c>
      <c r="DD157" s="153">
        <f t="shared" si="993"/>
        <v>5000</v>
      </c>
      <c r="DE157" s="153">
        <v>-5300</v>
      </c>
      <c r="DF157" s="153">
        <f t="shared" ref="DF157:DH157" si="994">IF(DE157&lt;0,-DE157,0)</f>
        <v>5300</v>
      </c>
      <c r="DG157" s="153">
        <v>-4000</v>
      </c>
      <c r="DH157" s="153">
        <f t="shared" si="994"/>
        <v>4000</v>
      </c>
      <c r="DI157" s="153">
        <v>-4800</v>
      </c>
      <c r="DJ157" s="153">
        <f t="shared" ref="DJ157:DL157" si="995">IF(DI157&lt;0,-DI157,0)</f>
        <v>4800</v>
      </c>
      <c r="DK157" s="153">
        <v>20889.164371880001</v>
      </c>
      <c r="DL157" s="153">
        <f t="shared" si="995"/>
        <v>0</v>
      </c>
      <c r="DM157" s="107">
        <f t="shared" si="844"/>
        <v>19800</v>
      </c>
    </row>
    <row r="158" spans="13:117" s="5" customFormat="1" x14ac:dyDescent="0.35">
      <c r="M158" s="77">
        <f t="shared" si="845"/>
        <v>156</v>
      </c>
      <c r="N158" s="78">
        <v>0.19399999999999998</v>
      </c>
      <c r="O158" s="79">
        <v>2.7999999999999997E-2</v>
      </c>
      <c r="P158" s="79">
        <v>0.17899999999999999</v>
      </c>
      <c r="Q158" s="79">
        <v>37638.228000000003</v>
      </c>
      <c r="R158" s="79">
        <v>2578.0380017299999</v>
      </c>
      <c r="S158" s="79">
        <f t="shared" si="816"/>
        <v>40216.26600173</v>
      </c>
      <c r="T158" s="78">
        <v>1.3999999999999999E-2</v>
      </c>
      <c r="U158" s="79">
        <v>1.6E-2</v>
      </c>
      <c r="V158" s="79">
        <v>0.371</v>
      </c>
      <c r="W158" s="79">
        <v>0.57499999999999996</v>
      </c>
      <c r="X158" s="79">
        <f t="shared" si="817"/>
        <v>0.94599999999999995</v>
      </c>
      <c r="Y158" s="79">
        <v>5229.9260000000004</v>
      </c>
      <c r="Z158" s="79">
        <v>0</v>
      </c>
      <c r="AA158" s="80">
        <f t="shared" si="818"/>
        <v>5229.9260000000004</v>
      </c>
      <c r="AB158" s="79"/>
      <c r="AC158" s="88">
        <v>11288</v>
      </c>
      <c r="AD158" s="94">
        <f t="shared" si="819"/>
        <v>0.13600000000000001</v>
      </c>
      <c r="AE158" s="89">
        <v>134.54</v>
      </c>
      <c r="AF158" s="94">
        <f t="shared" si="820"/>
        <v>2.7999999999999997E-2</v>
      </c>
      <c r="AG158" s="89">
        <v>5370</v>
      </c>
      <c r="AH158" s="94">
        <f t="shared" si="821"/>
        <v>0.17899999999999999</v>
      </c>
      <c r="AI158" s="89">
        <v>1294.038</v>
      </c>
      <c r="AJ158" s="94">
        <f>AI158/$B$6</f>
        <v>0.09</v>
      </c>
      <c r="AK158" s="89">
        <v>1043.2692</v>
      </c>
      <c r="AL158" s="94">
        <f>AK158/$B$7</f>
        <v>0.108</v>
      </c>
      <c r="AM158" s="89">
        <v>8124.36</v>
      </c>
      <c r="AN158" s="94">
        <f t="shared" si="822"/>
        <v>0.158</v>
      </c>
      <c r="AO158" s="89">
        <v>6253.308</v>
      </c>
      <c r="AP158" s="94">
        <f t="shared" si="823"/>
        <v>0.13499999999999998</v>
      </c>
      <c r="AQ158" s="79"/>
      <c r="AR158" s="88">
        <v>55001.876400000001</v>
      </c>
      <c r="AS158" s="76">
        <v>2093</v>
      </c>
      <c r="AT158" s="88">
        <v>455</v>
      </c>
      <c r="AU158" s="100">
        <f t="shared" si="824"/>
        <v>0.61799999999999999</v>
      </c>
      <c r="AV158" s="100">
        <f t="shared" si="825"/>
        <v>0.91</v>
      </c>
      <c r="AW158" s="100">
        <f t="shared" si="826"/>
        <v>0.91</v>
      </c>
      <c r="AX158" s="94">
        <v>239.666</v>
      </c>
      <c r="AY158" s="76">
        <v>6695.07</v>
      </c>
      <c r="AZ158" s="100">
        <f>AX158/$B$9</f>
        <v>0.371</v>
      </c>
      <c r="BA158" s="97">
        <f>AY158/$B$8</f>
        <v>0.57499999999999996</v>
      </c>
      <c r="BB158" s="88">
        <v>36170.6</v>
      </c>
      <c r="BC158" s="76">
        <v>20634.525000000001</v>
      </c>
      <c r="BD158" s="100">
        <f t="shared" si="827"/>
        <v>0.81099999999999994</v>
      </c>
      <c r="BE158" s="97">
        <f t="shared" si="828"/>
        <v>0.87900000000000011</v>
      </c>
      <c r="BG158" s="88">
        <v>911.18399999999997</v>
      </c>
      <c r="BH158" s="114">
        <f>BG158/$B$10</f>
        <v>0.36999991878700267</v>
      </c>
      <c r="BI158" s="115">
        <v>1024.3230000000001</v>
      </c>
      <c r="BJ158" s="114">
        <f>BI158/$B$11</f>
        <v>0.63741319228375859</v>
      </c>
      <c r="BK158" s="115">
        <v>1121.4780000000001</v>
      </c>
      <c r="BL158" s="114">
        <f t="shared" si="829"/>
        <v>0.5784392407674851</v>
      </c>
      <c r="BN158" s="111">
        <v>53641.616999999998</v>
      </c>
      <c r="BO158" s="114">
        <f t="shared" si="830"/>
        <v>0.77049180327868849</v>
      </c>
      <c r="BQ158" s="142">
        <v>29483.574000000001</v>
      </c>
      <c r="BR158" s="131">
        <v>0</v>
      </c>
      <c r="BS158" s="143">
        <v>0</v>
      </c>
      <c r="BT158" s="105">
        <f t="shared" si="831"/>
        <v>0.9044041104294479</v>
      </c>
      <c r="BU158" s="20">
        <f t="shared" si="832"/>
        <v>0</v>
      </c>
      <c r="BV158" s="2">
        <v>0</v>
      </c>
      <c r="BW158" s="2">
        <v>0</v>
      </c>
      <c r="BX158" s="2">
        <v>0</v>
      </c>
      <c r="BY158" s="2">
        <v>4582.625</v>
      </c>
      <c r="BZ158" s="105">
        <f t="shared" si="833"/>
        <v>0.34000779047336399</v>
      </c>
      <c r="CA158" s="20">
        <f t="shared" si="834"/>
        <v>0</v>
      </c>
      <c r="CB158" s="5">
        <v>10800</v>
      </c>
      <c r="CC158" s="5">
        <v>0</v>
      </c>
      <c r="CE158" s="108">
        <v>-700</v>
      </c>
      <c r="CF158" s="153">
        <f t="shared" si="835"/>
        <v>0</v>
      </c>
      <c r="CG158" s="153">
        <v>4485</v>
      </c>
      <c r="CH158" s="153">
        <f t="shared" si="835"/>
        <v>4485</v>
      </c>
      <c r="CI158" s="153">
        <v>0</v>
      </c>
      <c r="CJ158" s="153">
        <f t="shared" ref="CJ158:CL158" si="996">IF(CI158&gt;0,CI158,0)</f>
        <v>0</v>
      </c>
      <c r="CK158" s="153">
        <v>-5000</v>
      </c>
      <c r="CL158" s="153">
        <f t="shared" si="996"/>
        <v>0</v>
      </c>
      <c r="CM158" s="153">
        <v>-5300</v>
      </c>
      <c r="CN158" s="153">
        <f t="shared" ref="CN158:CP158" si="997">IF(CM158&gt;0,CM158,0)</f>
        <v>0</v>
      </c>
      <c r="CO158" s="153">
        <v>-4000</v>
      </c>
      <c r="CP158" s="153">
        <f t="shared" si="997"/>
        <v>0</v>
      </c>
      <c r="CQ158" s="153">
        <v>-4800</v>
      </c>
      <c r="CR158" s="153">
        <f t="shared" ref="CR158:CT158" si="998">IF(CQ158&gt;0,CQ158,0)</f>
        <v>0</v>
      </c>
      <c r="CS158" s="153">
        <v>20592.227723399999</v>
      </c>
      <c r="CT158" s="153">
        <f t="shared" si="998"/>
        <v>20592.227723399999</v>
      </c>
      <c r="CU158" s="107">
        <f t="shared" si="839"/>
        <v>25077.227723399999</v>
      </c>
      <c r="CW158" s="108">
        <v>-700</v>
      </c>
      <c r="CX158" s="153">
        <f t="shared" si="840"/>
        <v>700</v>
      </c>
      <c r="CY158" s="153">
        <v>4485</v>
      </c>
      <c r="CZ158" s="153">
        <f t="shared" si="840"/>
        <v>0</v>
      </c>
      <c r="DA158" s="153">
        <v>0</v>
      </c>
      <c r="DB158" s="153">
        <f t="shared" ref="DB158:DD158" si="999">IF(DA158&lt;0,-DA158,0)</f>
        <v>0</v>
      </c>
      <c r="DC158" s="153">
        <v>-5000</v>
      </c>
      <c r="DD158" s="153">
        <f t="shared" si="999"/>
        <v>5000</v>
      </c>
      <c r="DE158" s="153">
        <v>-5300</v>
      </c>
      <c r="DF158" s="153">
        <f t="shared" ref="DF158:DH158" si="1000">IF(DE158&lt;0,-DE158,0)</f>
        <v>5300</v>
      </c>
      <c r="DG158" s="153">
        <v>-4000</v>
      </c>
      <c r="DH158" s="153">
        <f t="shared" si="1000"/>
        <v>4000</v>
      </c>
      <c r="DI158" s="153">
        <v>-4800</v>
      </c>
      <c r="DJ158" s="153">
        <f t="shared" ref="DJ158:DL158" si="1001">IF(DI158&lt;0,-DI158,0)</f>
        <v>4800</v>
      </c>
      <c r="DK158" s="153">
        <v>20592.227723399999</v>
      </c>
      <c r="DL158" s="153">
        <f t="shared" si="1001"/>
        <v>0</v>
      </c>
      <c r="DM158" s="107">
        <f t="shared" si="844"/>
        <v>19800</v>
      </c>
    </row>
    <row r="159" spans="13:117" s="5" customFormat="1" x14ac:dyDescent="0.35">
      <c r="M159" s="77">
        <f t="shared" si="845"/>
        <v>157</v>
      </c>
      <c r="N159" s="78">
        <v>0.189</v>
      </c>
      <c r="O159" s="79">
        <v>3.59999999999999E-2</v>
      </c>
      <c r="P159" s="79">
        <v>0.24</v>
      </c>
      <c r="Q159" s="79">
        <v>38535.195</v>
      </c>
      <c r="R159" s="79">
        <v>2861.3687009</v>
      </c>
      <c r="S159" s="79">
        <f t="shared" si="816"/>
        <v>41396.563700899998</v>
      </c>
      <c r="T159" s="78">
        <v>2.6000000000000002E-2</v>
      </c>
      <c r="U159" s="79">
        <v>2.5000000000000001E-2</v>
      </c>
      <c r="V159" s="79">
        <v>0.33100000000000002</v>
      </c>
      <c r="W159" s="79">
        <v>0.58399999999999996</v>
      </c>
      <c r="X159" s="79">
        <f t="shared" si="817"/>
        <v>0.91500000000000004</v>
      </c>
      <c r="Y159" s="79">
        <v>5596.19</v>
      </c>
      <c r="Z159" s="79">
        <v>0</v>
      </c>
      <c r="AA159" s="80">
        <f t="shared" si="818"/>
        <v>5596.19</v>
      </c>
      <c r="AB159" s="79"/>
      <c r="AC159" s="88">
        <v>15272</v>
      </c>
      <c r="AD159" s="94">
        <f t="shared" si="819"/>
        <v>0.184</v>
      </c>
      <c r="AE159" s="89">
        <v>172.98</v>
      </c>
      <c r="AF159" s="94">
        <f t="shared" si="820"/>
        <v>3.5999999999999997E-2</v>
      </c>
      <c r="AG159" s="89">
        <v>7200</v>
      </c>
      <c r="AH159" s="94">
        <f t="shared" si="821"/>
        <v>0.24</v>
      </c>
      <c r="AI159" s="89">
        <v>2185.4863999999998</v>
      </c>
      <c r="AJ159" s="94">
        <f>AI159/$B$6</f>
        <v>0.15199999999999997</v>
      </c>
      <c r="AK159" s="89">
        <v>1584.2236</v>
      </c>
      <c r="AL159" s="94">
        <f>AK159/$B$7</f>
        <v>0.16400000000000001</v>
      </c>
      <c r="AM159" s="89">
        <v>11466.66</v>
      </c>
      <c r="AN159" s="94">
        <f t="shared" si="822"/>
        <v>0.223</v>
      </c>
      <c r="AO159" s="89">
        <v>8847.2728000000006</v>
      </c>
      <c r="AP159" s="94">
        <f t="shared" si="823"/>
        <v>0.191</v>
      </c>
      <c r="AQ159" s="79"/>
      <c r="AR159" s="88">
        <v>58561.868399999999</v>
      </c>
      <c r="AS159" s="76">
        <v>2099.9</v>
      </c>
      <c r="AT159" s="88">
        <v>456.5</v>
      </c>
      <c r="AU159" s="100">
        <f t="shared" si="824"/>
        <v>0.65799999999999992</v>
      </c>
      <c r="AV159" s="100">
        <f t="shared" si="825"/>
        <v>0.91300000000000003</v>
      </c>
      <c r="AW159" s="100">
        <f t="shared" si="826"/>
        <v>0.91300000000000003</v>
      </c>
      <c r="AX159" s="94">
        <v>213.82599999999999</v>
      </c>
      <c r="AY159" s="76">
        <v>6799.8624</v>
      </c>
      <c r="AZ159" s="100">
        <f>AX159/$B$9</f>
        <v>0.33100000000000002</v>
      </c>
      <c r="BA159" s="97">
        <f>AY159/$B$8</f>
        <v>0.58399999999999996</v>
      </c>
      <c r="BB159" s="88">
        <v>35501.599999999999</v>
      </c>
      <c r="BC159" s="76">
        <v>21550.05</v>
      </c>
      <c r="BD159" s="100">
        <f t="shared" si="827"/>
        <v>0.79599999999999993</v>
      </c>
      <c r="BE159" s="97">
        <f t="shared" si="828"/>
        <v>0.91799999999999993</v>
      </c>
      <c r="BG159" s="88">
        <v>908.72199999999998</v>
      </c>
      <c r="BH159" s="114">
        <f>BG159/$B$10</f>
        <v>0.36900018678989388</v>
      </c>
      <c r="BI159" s="115">
        <v>1017.357</v>
      </c>
      <c r="BJ159" s="114">
        <f>BI159/$B$11</f>
        <v>0.63307840696950834</v>
      </c>
      <c r="BK159" s="115">
        <v>1121.4780000000001</v>
      </c>
      <c r="BL159" s="114">
        <f t="shared" si="829"/>
        <v>0.5784392407674851</v>
      </c>
      <c r="BN159" s="111">
        <v>53641.616999999998</v>
      </c>
      <c r="BO159" s="114">
        <f t="shared" si="830"/>
        <v>0.77049180327868849</v>
      </c>
      <c r="BQ159" s="142">
        <v>32600</v>
      </c>
      <c r="BR159" s="131">
        <v>117.562</v>
      </c>
      <c r="BS159" s="143">
        <v>364.91800000000001</v>
      </c>
      <c r="BT159" s="105">
        <f t="shared" si="831"/>
        <v>1</v>
      </c>
      <c r="BU159" s="20">
        <f t="shared" si="832"/>
        <v>1.2696949026939174E-2</v>
      </c>
      <c r="BV159" s="2">
        <v>0</v>
      </c>
      <c r="BW159" s="2">
        <v>0</v>
      </c>
      <c r="BX159" s="2">
        <v>0</v>
      </c>
      <c r="BY159" s="2">
        <v>4978.9620000000004</v>
      </c>
      <c r="BZ159" s="105">
        <f t="shared" si="833"/>
        <v>0.36941400801305835</v>
      </c>
      <c r="CA159" s="20">
        <f t="shared" si="834"/>
        <v>0</v>
      </c>
      <c r="CB159" s="5">
        <v>10800</v>
      </c>
      <c r="CC159" s="5">
        <v>0</v>
      </c>
      <c r="CE159" s="108">
        <v>-700</v>
      </c>
      <c r="CF159" s="153">
        <f t="shared" si="835"/>
        <v>0</v>
      </c>
      <c r="CG159" s="153">
        <v>4485</v>
      </c>
      <c r="CH159" s="153">
        <f t="shared" si="835"/>
        <v>4485</v>
      </c>
      <c r="CI159" s="153">
        <v>0</v>
      </c>
      <c r="CJ159" s="153">
        <f t="shared" ref="CJ159:CL159" si="1002">IF(CI159&gt;0,CI159,0)</f>
        <v>0</v>
      </c>
      <c r="CK159" s="153">
        <v>-5000</v>
      </c>
      <c r="CL159" s="153">
        <f t="shared" si="1002"/>
        <v>0</v>
      </c>
      <c r="CM159" s="153">
        <v>-5300</v>
      </c>
      <c r="CN159" s="153">
        <f t="shared" ref="CN159:CP159" si="1003">IF(CM159&gt;0,CM159,0)</f>
        <v>0</v>
      </c>
      <c r="CO159" s="153">
        <v>-4000</v>
      </c>
      <c r="CP159" s="153">
        <f t="shared" si="1003"/>
        <v>0</v>
      </c>
      <c r="CQ159" s="153">
        <v>-4800</v>
      </c>
      <c r="CR159" s="153">
        <f t="shared" ref="CR159:CT159" si="1004">IF(CQ159&gt;0,CQ159,0)</f>
        <v>0</v>
      </c>
      <c r="CS159" s="153">
        <v>23293.240979189999</v>
      </c>
      <c r="CT159" s="153">
        <f t="shared" si="1004"/>
        <v>23293.240979189999</v>
      </c>
      <c r="CU159" s="107">
        <f t="shared" si="839"/>
        <v>27778.240979189999</v>
      </c>
      <c r="CW159" s="108">
        <v>-700</v>
      </c>
      <c r="CX159" s="153">
        <f t="shared" si="840"/>
        <v>700</v>
      </c>
      <c r="CY159" s="153">
        <v>4485</v>
      </c>
      <c r="CZ159" s="153">
        <f t="shared" si="840"/>
        <v>0</v>
      </c>
      <c r="DA159" s="153">
        <v>0</v>
      </c>
      <c r="DB159" s="153">
        <f t="shared" ref="DB159:DD159" si="1005">IF(DA159&lt;0,-DA159,0)</f>
        <v>0</v>
      </c>
      <c r="DC159" s="153">
        <v>-5000</v>
      </c>
      <c r="DD159" s="153">
        <f t="shared" si="1005"/>
        <v>5000</v>
      </c>
      <c r="DE159" s="153">
        <v>-5300</v>
      </c>
      <c r="DF159" s="153">
        <f t="shared" ref="DF159:DH159" si="1006">IF(DE159&lt;0,-DE159,0)</f>
        <v>5300</v>
      </c>
      <c r="DG159" s="153">
        <v>-4000</v>
      </c>
      <c r="DH159" s="153">
        <f t="shared" si="1006"/>
        <v>4000</v>
      </c>
      <c r="DI159" s="153">
        <v>-4800</v>
      </c>
      <c r="DJ159" s="153">
        <f t="shared" ref="DJ159:DL159" si="1007">IF(DI159&lt;0,-DI159,0)</f>
        <v>4800</v>
      </c>
      <c r="DK159" s="153">
        <v>23293.240979189999</v>
      </c>
      <c r="DL159" s="153">
        <f t="shared" si="1007"/>
        <v>0</v>
      </c>
      <c r="DM159" s="107">
        <f t="shared" si="844"/>
        <v>19800</v>
      </c>
    </row>
    <row r="160" spans="13:117" s="5" customFormat="1" x14ac:dyDescent="0.35">
      <c r="M160" s="77">
        <f t="shared" si="845"/>
        <v>158</v>
      </c>
      <c r="N160" s="78">
        <v>0.159</v>
      </c>
      <c r="O160" s="79">
        <v>3.9E-2</v>
      </c>
      <c r="P160" s="79">
        <v>0.27200000000000002</v>
      </c>
      <c r="Q160" s="79">
        <v>38968.957000000002</v>
      </c>
      <c r="R160" s="79">
        <v>2565.52692428</v>
      </c>
      <c r="S160" s="79">
        <f t="shared" si="816"/>
        <v>41534.483924280001</v>
      </c>
      <c r="T160" s="78">
        <v>2.7999999999999997E-2</v>
      </c>
      <c r="U160" s="79">
        <v>0.03</v>
      </c>
      <c r="V160" s="79">
        <v>0.32400000000000001</v>
      </c>
      <c r="W160" s="79">
        <v>0.61899999999999999</v>
      </c>
      <c r="X160" s="79">
        <f t="shared" si="817"/>
        <v>0.94300000000000006</v>
      </c>
      <c r="Y160" s="79">
        <v>5280.6869999999999</v>
      </c>
      <c r="Z160" s="79">
        <v>0</v>
      </c>
      <c r="AA160" s="80">
        <f t="shared" si="818"/>
        <v>5280.6869999999999</v>
      </c>
      <c r="AB160" s="79"/>
      <c r="AC160" s="88">
        <v>17347</v>
      </c>
      <c r="AD160" s="94">
        <f t="shared" si="819"/>
        <v>0.20899999999999999</v>
      </c>
      <c r="AE160" s="89">
        <v>187.39500000000001</v>
      </c>
      <c r="AF160" s="94">
        <f t="shared" si="820"/>
        <v>3.9E-2</v>
      </c>
      <c r="AG160" s="89">
        <v>8160</v>
      </c>
      <c r="AH160" s="94">
        <f t="shared" si="821"/>
        <v>0.27200000000000002</v>
      </c>
      <c r="AI160" s="89">
        <v>2976.2874000000002</v>
      </c>
      <c r="AJ160" s="94">
        <f>AI160/$B$6</f>
        <v>0.20699999999999999</v>
      </c>
      <c r="AK160" s="89">
        <v>1970.6196</v>
      </c>
      <c r="AL160" s="94">
        <f>AK160/$B$7</f>
        <v>0.20400000000000001</v>
      </c>
      <c r="AM160" s="89">
        <v>13934.82</v>
      </c>
      <c r="AN160" s="94">
        <f t="shared" si="822"/>
        <v>0.27100000000000002</v>
      </c>
      <c r="AO160" s="89">
        <v>10514.821599999999</v>
      </c>
      <c r="AP160" s="94">
        <f t="shared" si="823"/>
        <v>0.22699999999999998</v>
      </c>
      <c r="AQ160" s="79"/>
      <c r="AR160" s="88">
        <v>61943.860800000002</v>
      </c>
      <c r="AS160" s="76">
        <v>2111.4</v>
      </c>
      <c r="AT160" s="88">
        <v>459</v>
      </c>
      <c r="AU160" s="100">
        <f t="shared" si="824"/>
        <v>0.69599999999999995</v>
      </c>
      <c r="AV160" s="100">
        <f t="shared" si="825"/>
        <v>0.91800000000000004</v>
      </c>
      <c r="AW160" s="100">
        <f t="shared" si="826"/>
        <v>0.91800000000000004</v>
      </c>
      <c r="AX160" s="94">
        <v>209.304</v>
      </c>
      <c r="AY160" s="76">
        <v>7207.3883999999998</v>
      </c>
      <c r="AZ160" s="100">
        <f>AX160/$B$9</f>
        <v>0.32400000000000001</v>
      </c>
      <c r="BA160" s="97">
        <f>AY160/$B$8</f>
        <v>0.61899999999999999</v>
      </c>
      <c r="BB160" s="88">
        <v>35590.800000000003</v>
      </c>
      <c r="BC160" s="76">
        <v>22207.35</v>
      </c>
      <c r="BD160" s="100">
        <f t="shared" si="827"/>
        <v>0.79800000000000004</v>
      </c>
      <c r="BE160" s="97">
        <f t="shared" si="828"/>
        <v>0.94599999999999995</v>
      </c>
      <c r="BG160" s="88">
        <v>911.18399999999997</v>
      </c>
      <c r="BH160" s="114">
        <f>BG160/$B$10</f>
        <v>0.36999991878700267</v>
      </c>
      <c r="BI160" s="115">
        <v>1014.687</v>
      </c>
      <c r="BJ160" s="114">
        <f>BI160/$B$11</f>
        <v>0.63141692594897325</v>
      </c>
      <c r="BK160" s="115">
        <v>1121.4780000000001</v>
      </c>
      <c r="BL160" s="114">
        <f t="shared" si="829"/>
        <v>0.5784392407674851</v>
      </c>
      <c r="BN160" s="111">
        <v>53641.616999999998</v>
      </c>
      <c r="BO160" s="114">
        <f t="shared" si="830"/>
        <v>0.77049180327868849</v>
      </c>
      <c r="BQ160" s="142">
        <v>32600</v>
      </c>
      <c r="BR160" s="131">
        <v>761.29499999999996</v>
      </c>
      <c r="BS160" s="143">
        <v>2202.5450000000001</v>
      </c>
      <c r="BT160" s="105">
        <f t="shared" si="831"/>
        <v>1</v>
      </c>
      <c r="BU160" s="20">
        <f t="shared" si="832"/>
        <v>7.7996446285863469E-2</v>
      </c>
      <c r="BV160" s="2">
        <v>0</v>
      </c>
      <c r="BW160" s="2">
        <v>0</v>
      </c>
      <c r="BX160" s="2">
        <v>0</v>
      </c>
      <c r="BY160" s="2">
        <v>5510.491</v>
      </c>
      <c r="BZ160" s="105">
        <f t="shared" si="833"/>
        <v>0.40885079388633327</v>
      </c>
      <c r="CA160" s="20">
        <f t="shared" si="834"/>
        <v>0</v>
      </c>
      <c r="CB160" s="5">
        <v>10800</v>
      </c>
      <c r="CC160" s="5">
        <v>0</v>
      </c>
      <c r="CE160" s="108">
        <v>-700</v>
      </c>
      <c r="CF160" s="153">
        <f t="shared" si="835"/>
        <v>0</v>
      </c>
      <c r="CG160" s="153">
        <v>4485</v>
      </c>
      <c r="CH160" s="153">
        <f t="shared" si="835"/>
        <v>4485</v>
      </c>
      <c r="CI160" s="153">
        <v>0</v>
      </c>
      <c r="CJ160" s="153">
        <f t="shared" ref="CJ160:CL160" si="1008">IF(CI160&gt;0,CI160,0)</f>
        <v>0</v>
      </c>
      <c r="CK160" s="153">
        <v>-5000</v>
      </c>
      <c r="CL160" s="153">
        <f t="shared" si="1008"/>
        <v>0</v>
      </c>
      <c r="CM160" s="153">
        <v>-5300</v>
      </c>
      <c r="CN160" s="153">
        <f t="shared" ref="CN160:CP160" si="1009">IF(CM160&gt;0,CM160,0)</f>
        <v>0</v>
      </c>
      <c r="CO160" s="153">
        <v>-4000</v>
      </c>
      <c r="CP160" s="153">
        <f t="shared" si="1009"/>
        <v>0</v>
      </c>
      <c r="CQ160" s="153">
        <v>-4800</v>
      </c>
      <c r="CR160" s="153">
        <f t="shared" ref="CR160:CT160" si="1010">IF(CQ160&gt;0,CQ160,0)</f>
        <v>0</v>
      </c>
      <c r="CS160" s="153">
        <v>25924.267542329999</v>
      </c>
      <c r="CT160" s="153">
        <f t="shared" si="1010"/>
        <v>25924.267542329999</v>
      </c>
      <c r="CU160" s="107">
        <f t="shared" si="839"/>
        <v>30409.267542329999</v>
      </c>
      <c r="CW160" s="108">
        <v>-700</v>
      </c>
      <c r="CX160" s="153">
        <f t="shared" si="840"/>
        <v>700</v>
      </c>
      <c r="CY160" s="153">
        <v>4485</v>
      </c>
      <c r="CZ160" s="153">
        <f t="shared" si="840"/>
        <v>0</v>
      </c>
      <c r="DA160" s="153">
        <v>0</v>
      </c>
      <c r="DB160" s="153">
        <f t="shared" ref="DB160:DD160" si="1011">IF(DA160&lt;0,-DA160,0)</f>
        <v>0</v>
      </c>
      <c r="DC160" s="153">
        <v>-5000</v>
      </c>
      <c r="DD160" s="153">
        <f t="shared" si="1011"/>
        <v>5000</v>
      </c>
      <c r="DE160" s="153">
        <v>-5300</v>
      </c>
      <c r="DF160" s="153">
        <f t="shared" ref="DF160:DH160" si="1012">IF(DE160&lt;0,-DE160,0)</f>
        <v>5300</v>
      </c>
      <c r="DG160" s="153">
        <v>-4000</v>
      </c>
      <c r="DH160" s="153">
        <f t="shared" si="1012"/>
        <v>4000</v>
      </c>
      <c r="DI160" s="153">
        <v>-4800</v>
      </c>
      <c r="DJ160" s="153">
        <f t="shared" ref="DJ160:DL160" si="1013">IF(DI160&lt;0,-DI160,0)</f>
        <v>4800</v>
      </c>
      <c r="DK160" s="153">
        <v>25924.267542329999</v>
      </c>
      <c r="DL160" s="153">
        <f t="shared" si="1013"/>
        <v>0</v>
      </c>
      <c r="DM160" s="107">
        <f t="shared" si="844"/>
        <v>19800</v>
      </c>
    </row>
    <row r="161" spans="13:117" s="5" customFormat="1" x14ac:dyDescent="0.35">
      <c r="M161" s="77">
        <f t="shared" si="845"/>
        <v>159</v>
      </c>
      <c r="N161" s="78">
        <v>9.9000000000000005E-2</v>
      </c>
      <c r="O161" s="79">
        <v>3.4000000000000002E-2</v>
      </c>
      <c r="P161" s="79">
        <v>0.26400000000000001</v>
      </c>
      <c r="Q161" s="79">
        <v>38089.428</v>
      </c>
      <c r="R161" s="79">
        <v>1930.21414779</v>
      </c>
      <c r="S161" s="79">
        <f t="shared" si="816"/>
        <v>40019.64214779</v>
      </c>
      <c r="T161" s="78">
        <v>2.3E-2</v>
      </c>
      <c r="U161" s="79">
        <v>2.7999999999999997E-2</v>
      </c>
      <c r="V161" s="79">
        <v>0.33200000000000002</v>
      </c>
      <c r="W161" s="79">
        <v>0.63</v>
      </c>
      <c r="X161" s="79">
        <f t="shared" si="817"/>
        <v>0.96199999999999997</v>
      </c>
      <c r="Y161" s="79">
        <v>4999.6120000000001</v>
      </c>
      <c r="Z161" s="79">
        <v>0</v>
      </c>
      <c r="AA161" s="80">
        <f t="shared" si="818"/>
        <v>4999.6120000000001</v>
      </c>
      <c r="AB161" s="79"/>
      <c r="AC161" s="88">
        <v>17347</v>
      </c>
      <c r="AD161" s="94">
        <f t="shared" si="819"/>
        <v>0.20899999999999999</v>
      </c>
      <c r="AE161" s="89">
        <v>163.37</v>
      </c>
      <c r="AF161" s="94">
        <f t="shared" si="820"/>
        <v>3.4000000000000002E-2</v>
      </c>
      <c r="AG161" s="89">
        <v>7920</v>
      </c>
      <c r="AH161" s="94">
        <f t="shared" si="821"/>
        <v>0.26400000000000001</v>
      </c>
      <c r="AI161" s="89">
        <v>3436.3897999999999</v>
      </c>
      <c r="AJ161" s="94">
        <f>AI161/$B$6</f>
        <v>0.23899999999999999</v>
      </c>
      <c r="AK161" s="89">
        <v>2057.5587</v>
      </c>
      <c r="AL161" s="94">
        <f>AK161/$B$7</f>
        <v>0.21300000000000002</v>
      </c>
      <c r="AM161" s="89">
        <v>14346.18</v>
      </c>
      <c r="AN161" s="94">
        <f t="shared" si="822"/>
        <v>0.27900000000000003</v>
      </c>
      <c r="AO161" s="89">
        <v>10329.538399999999</v>
      </c>
      <c r="AP161" s="94">
        <f t="shared" si="823"/>
        <v>0.22299999999999998</v>
      </c>
      <c r="AQ161" s="79"/>
      <c r="AR161" s="88">
        <v>64168.855799999998</v>
      </c>
      <c r="AS161" s="76">
        <v>2118.3000000000002</v>
      </c>
      <c r="AT161" s="88">
        <v>460.5</v>
      </c>
      <c r="AU161" s="100">
        <f t="shared" si="824"/>
        <v>0.72099999999999997</v>
      </c>
      <c r="AV161" s="100">
        <f t="shared" si="825"/>
        <v>0.92100000000000004</v>
      </c>
      <c r="AW161" s="100">
        <f t="shared" si="826"/>
        <v>0.92100000000000004</v>
      </c>
      <c r="AX161" s="94">
        <v>214.47200000000001</v>
      </c>
      <c r="AY161" s="76">
        <v>7335.4679999999998</v>
      </c>
      <c r="AZ161" s="100">
        <f>AX161/$B$9</f>
        <v>0.33200000000000002</v>
      </c>
      <c r="BA161" s="97">
        <f>AY161/$B$8</f>
        <v>0.63</v>
      </c>
      <c r="BB161" s="88">
        <v>36259.800000000003</v>
      </c>
      <c r="BC161" s="76">
        <v>22512.525000000001</v>
      </c>
      <c r="BD161" s="100">
        <f t="shared" si="827"/>
        <v>0.81300000000000006</v>
      </c>
      <c r="BE161" s="97">
        <f t="shared" si="828"/>
        <v>0.95900000000000007</v>
      </c>
      <c r="BG161" s="88">
        <v>913.64700000000005</v>
      </c>
      <c r="BH161" s="114">
        <f>BG161/$B$10</f>
        <v>0.37100005684909815</v>
      </c>
      <c r="BI161" s="115">
        <v>1004.417</v>
      </c>
      <c r="BJ161" s="114">
        <f>BI161/$B$11</f>
        <v>0.62502613565650278</v>
      </c>
      <c r="BK161" s="115">
        <v>1121.4780000000001</v>
      </c>
      <c r="BL161" s="114">
        <f t="shared" si="829"/>
        <v>0.5784392407674851</v>
      </c>
      <c r="BN161" s="111">
        <v>53641.616999999998</v>
      </c>
      <c r="BO161" s="114">
        <f t="shared" si="830"/>
        <v>0.77049180327868849</v>
      </c>
      <c r="BQ161" s="142">
        <v>32600</v>
      </c>
      <c r="BR161" s="131">
        <v>934.54600000000005</v>
      </c>
      <c r="BS161" s="143">
        <v>2844.4479999999999</v>
      </c>
      <c r="BT161" s="105">
        <f t="shared" si="831"/>
        <v>1</v>
      </c>
      <c r="BU161" s="20">
        <f t="shared" si="832"/>
        <v>9.9448047983561966E-2</v>
      </c>
      <c r="BV161" s="2">
        <v>0</v>
      </c>
      <c r="BW161" s="2">
        <v>0</v>
      </c>
      <c r="BX161" s="2">
        <v>0</v>
      </c>
      <c r="BY161" s="2">
        <v>5844.098</v>
      </c>
      <c r="BZ161" s="105">
        <f t="shared" si="833"/>
        <v>0.43360276005342041</v>
      </c>
      <c r="CA161" s="20">
        <f t="shared" si="834"/>
        <v>0</v>
      </c>
      <c r="CB161" s="5">
        <v>10800</v>
      </c>
      <c r="CC161" s="5">
        <v>0</v>
      </c>
      <c r="CE161" s="108">
        <v>-700</v>
      </c>
      <c r="CF161" s="153">
        <f t="shared" si="835"/>
        <v>0</v>
      </c>
      <c r="CG161" s="153">
        <v>4485</v>
      </c>
      <c r="CH161" s="153">
        <f t="shared" si="835"/>
        <v>4485</v>
      </c>
      <c r="CI161" s="153">
        <v>0</v>
      </c>
      <c r="CJ161" s="153">
        <f t="shared" ref="CJ161:CL161" si="1014">IF(CI161&gt;0,CI161,0)</f>
        <v>0</v>
      </c>
      <c r="CK161" s="153">
        <v>-5000</v>
      </c>
      <c r="CL161" s="153">
        <f t="shared" si="1014"/>
        <v>0</v>
      </c>
      <c r="CM161" s="153">
        <v>-5300</v>
      </c>
      <c r="CN161" s="153">
        <f t="shared" ref="CN161:CP161" si="1015">IF(CM161&gt;0,CM161,0)</f>
        <v>0</v>
      </c>
      <c r="CO161" s="153">
        <v>-4000</v>
      </c>
      <c r="CP161" s="153">
        <f t="shared" si="1015"/>
        <v>0</v>
      </c>
      <c r="CQ161" s="153">
        <v>-4800</v>
      </c>
      <c r="CR161" s="153">
        <f t="shared" ref="CR161:CT161" si="1016">IF(CQ161&gt;0,CQ161,0)</f>
        <v>0</v>
      </c>
      <c r="CS161" s="153">
        <v>26310.573710199998</v>
      </c>
      <c r="CT161" s="153">
        <f t="shared" si="1016"/>
        <v>26310.573710199998</v>
      </c>
      <c r="CU161" s="107">
        <f t="shared" si="839"/>
        <v>30795.573710199998</v>
      </c>
      <c r="CW161" s="108">
        <v>-700</v>
      </c>
      <c r="CX161" s="153">
        <f t="shared" si="840"/>
        <v>700</v>
      </c>
      <c r="CY161" s="153">
        <v>4485</v>
      </c>
      <c r="CZ161" s="153">
        <f t="shared" si="840"/>
        <v>0</v>
      </c>
      <c r="DA161" s="153">
        <v>0</v>
      </c>
      <c r="DB161" s="153">
        <f t="shared" ref="DB161:DD161" si="1017">IF(DA161&lt;0,-DA161,0)</f>
        <v>0</v>
      </c>
      <c r="DC161" s="153">
        <v>-5000</v>
      </c>
      <c r="DD161" s="153">
        <f t="shared" si="1017"/>
        <v>5000</v>
      </c>
      <c r="DE161" s="153">
        <v>-5300</v>
      </c>
      <c r="DF161" s="153">
        <f t="shared" ref="DF161:DH161" si="1018">IF(DE161&lt;0,-DE161,0)</f>
        <v>5300</v>
      </c>
      <c r="DG161" s="153">
        <v>-4000</v>
      </c>
      <c r="DH161" s="153">
        <f t="shared" si="1018"/>
        <v>4000</v>
      </c>
      <c r="DI161" s="153">
        <v>-4800</v>
      </c>
      <c r="DJ161" s="153">
        <f t="shared" ref="DJ161:DL161" si="1019">IF(DI161&lt;0,-DI161,0)</f>
        <v>4800</v>
      </c>
      <c r="DK161" s="153">
        <v>26310.573710199998</v>
      </c>
      <c r="DL161" s="153">
        <f t="shared" si="1019"/>
        <v>0</v>
      </c>
      <c r="DM161" s="107">
        <f t="shared" si="844"/>
        <v>19800</v>
      </c>
    </row>
    <row r="162" spans="13:117" s="5" customFormat="1" x14ac:dyDescent="0.35">
      <c r="M162" s="77">
        <f t="shared" si="845"/>
        <v>160</v>
      </c>
      <c r="N162" s="78">
        <v>3.4000000000000002E-2</v>
      </c>
      <c r="O162" s="79">
        <v>2.1999999999999898E-2</v>
      </c>
      <c r="P162" s="79">
        <v>0.20399999999999999</v>
      </c>
      <c r="Q162" s="79">
        <v>37514.300000000003</v>
      </c>
      <c r="R162" s="79">
        <v>1637.9073579999999</v>
      </c>
      <c r="S162" s="79">
        <f t="shared" si="816"/>
        <v>39152.207358</v>
      </c>
      <c r="T162" s="78">
        <v>1.4999999999999999E-2</v>
      </c>
      <c r="U162" s="79">
        <v>1.4999999999999999E-2</v>
      </c>
      <c r="V162" s="79">
        <v>0.34199999999999997</v>
      </c>
      <c r="W162" s="79">
        <v>0.61699999999999999</v>
      </c>
      <c r="X162" s="79">
        <f t="shared" si="817"/>
        <v>0.95899999999999996</v>
      </c>
      <c r="Y162" s="79">
        <v>5002.7030000000004</v>
      </c>
      <c r="Z162" s="79">
        <v>0</v>
      </c>
      <c r="AA162" s="80">
        <f t="shared" si="818"/>
        <v>5002.7030000000004</v>
      </c>
      <c r="AB162" s="79"/>
      <c r="AC162" s="88">
        <v>14442</v>
      </c>
      <c r="AD162" s="94">
        <f t="shared" si="819"/>
        <v>0.17399999999999999</v>
      </c>
      <c r="AE162" s="89">
        <v>105.71</v>
      </c>
      <c r="AF162" s="94">
        <f t="shared" si="820"/>
        <v>2.1999999999999999E-2</v>
      </c>
      <c r="AG162" s="89">
        <v>6120</v>
      </c>
      <c r="AH162" s="94">
        <f t="shared" si="821"/>
        <v>0.20399999999999999</v>
      </c>
      <c r="AI162" s="89">
        <v>3048.1783999999998</v>
      </c>
      <c r="AJ162" s="94">
        <f>AI162/$B$6</f>
        <v>0.21199999999999997</v>
      </c>
      <c r="AK162" s="89">
        <v>1680.8226</v>
      </c>
      <c r="AL162" s="94">
        <f>AK162/$B$7</f>
        <v>0.17400000000000002</v>
      </c>
      <c r="AM162" s="89">
        <v>9821.2199999999993</v>
      </c>
      <c r="AN162" s="94">
        <f t="shared" si="822"/>
        <v>0.19099999999999998</v>
      </c>
      <c r="AO162" s="89">
        <v>6855.4784</v>
      </c>
      <c r="AP162" s="94">
        <f t="shared" si="823"/>
        <v>0.14799999999999999</v>
      </c>
      <c r="AQ162" s="79"/>
      <c r="AR162" s="88">
        <v>65770.852199999994</v>
      </c>
      <c r="AS162" s="76">
        <v>2122.9</v>
      </c>
      <c r="AT162" s="88">
        <v>461.5</v>
      </c>
      <c r="AU162" s="100">
        <f t="shared" si="824"/>
        <v>0.73899999999999988</v>
      </c>
      <c r="AV162" s="100">
        <f t="shared" si="825"/>
        <v>0.92300000000000004</v>
      </c>
      <c r="AW162" s="100">
        <f t="shared" si="826"/>
        <v>0.92300000000000004</v>
      </c>
      <c r="AX162" s="94">
        <v>220.93199999999999</v>
      </c>
      <c r="AY162" s="76">
        <v>7184.1012000000001</v>
      </c>
      <c r="AZ162" s="100">
        <f>AX162/$B$9</f>
        <v>0.34199999999999997</v>
      </c>
      <c r="BA162" s="97">
        <f>AY162/$B$8</f>
        <v>0.61699999999999999</v>
      </c>
      <c r="BB162" s="88">
        <v>36928.800000000003</v>
      </c>
      <c r="BC162" s="76">
        <v>22536</v>
      </c>
      <c r="BD162" s="100">
        <f t="shared" si="827"/>
        <v>0.82800000000000007</v>
      </c>
      <c r="BE162" s="97">
        <f t="shared" si="828"/>
        <v>0.96</v>
      </c>
      <c r="BG162" s="88">
        <v>901.33399999999995</v>
      </c>
      <c r="BH162" s="114">
        <f>BG162/$B$10</f>
        <v>0.36600017866859413</v>
      </c>
      <c r="BI162" s="115">
        <v>998.851</v>
      </c>
      <c r="BJ162" s="114">
        <f>BI162/$B$11</f>
        <v>0.62156253889234603</v>
      </c>
      <c r="BK162" s="115">
        <v>1121.4780000000001</v>
      </c>
      <c r="BL162" s="114">
        <f t="shared" si="829"/>
        <v>0.5784392407674851</v>
      </c>
      <c r="BN162" s="111">
        <v>53641.616999999998</v>
      </c>
      <c r="BO162" s="114">
        <f t="shared" si="830"/>
        <v>0.77049180327868849</v>
      </c>
      <c r="BQ162" s="142">
        <v>32600</v>
      </c>
      <c r="BR162" s="131">
        <v>543.82500000000005</v>
      </c>
      <c r="BS162" s="143">
        <v>2128.3090000000002</v>
      </c>
      <c r="BT162" s="105">
        <f t="shared" si="831"/>
        <v>1</v>
      </c>
      <c r="BU162" s="20">
        <f t="shared" si="832"/>
        <v>7.0319907957119648E-2</v>
      </c>
      <c r="BV162" s="2">
        <v>0</v>
      </c>
      <c r="BW162" s="2">
        <v>0</v>
      </c>
      <c r="BX162" s="2">
        <v>0</v>
      </c>
      <c r="BY162" s="2">
        <v>5522.1390000000001</v>
      </c>
      <c r="BZ162" s="105">
        <f t="shared" si="833"/>
        <v>0.40971501706484642</v>
      </c>
      <c r="CA162" s="20">
        <f t="shared" si="834"/>
        <v>0</v>
      </c>
      <c r="CB162" s="5">
        <v>10800</v>
      </c>
      <c r="CC162" s="5">
        <v>0</v>
      </c>
      <c r="CE162" s="108">
        <v>-700</v>
      </c>
      <c r="CF162" s="153">
        <f t="shared" si="835"/>
        <v>0</v>
      </c>
      <c r="CG162" s="153">
        <v>4485</v>
      </c>
      <c r="CH162" s="153">
        <f t="shared" si="835"/>
        <v>4485</v>
      </c>
      <c r="CI162" s="153">
        <v>0</v>
      </c>
      <c r="CJ162" s="153">
        <f t="shared" ref="CJ162:CL162" si="1020">IF(CI162&gt;0,CI162,0)</f>
        <v>0</v>
      </c>
      <c r="CK162" s="153">
        <v>-5000</v>
      </c>
      <c r="CL162" s="153">
        <f t="shared" si="1020"/>
        <v>0</v>
      </c>
      <c r="CM162" s="153">
        <v>-5300</v>
      </c>
      <c r="CN162" s="153">
        <f t="shared" ref="CN162:CP162" si="1021">IF(CM162&gt;0,CM162,0)</f>
        <v>0</v>
      </c>
      <c r="CO162" s="153">
        <v>-4000</v>
      </c>
      <c r="CP162" s="153">
        <f t="shared" si="1021"/>
        <v>0</v>
      </c>
      <c r="CQ162" s="153">
        <v>-4800</v>
      </c>
      <c r="CR162" s="153">
        <f t="shared" ref="CR162:CT162" si="1022">IF(CQ162&gt;0,CQ162,0)</f>
        <v>0</v>
      </c>
      <c r="CS162" s="153">
        <v>25664.110382980001</v>
      </c>
      <c r="CT162" s="153">
        <f t="shared" si="1022"/>
        <v>25664.110382980001</v>
      </c>
      <c r="CU162" s="107">
        <f t="shared" si="839"/>
        <v>30149.110382980001</v>
      </c>
      <c r="CW162" s="108">
        <v>-700</v>
      </c>
      <c r="CX162" s="153">
        <f t="shared" si="840"/>
        <v>700</v>
      </c>
      <c r="CY162" s="153">
        <v>4485</v>
      </c>
      <c r="CZ162" s="153">
        <f t="shared" si="840"/>
        <v>0</v>
      </c>
      <c r="DA162" s="153">
        <v>0</v>
      </c>
      <c r="DB162" s="153">
        <f t="shared" ref="DB162:DD162" si="1023">IF(DA162&lt;0,-DA162,0)</f>
        <v>0</v>
      </c>
      <c r="DC162" s="153">
        <v>-5000</v>
      </c>
      <c r="DD162" s="153">
        <f t="shared" si="1023"/>
        <v>5000</v>
      </c>
      <c r="DE162" s="153">
        <v>-5300</v>
      </c>
      <c r="DF162" s="153">
        <f t="shared" ref="DF162:DH162" si="1024">IF(DE162&lt;0,-DE162,0)</f>
        <v>5300</v>
      </c>
      <c r="DG162" s="153">
        <v>-4000</v>
      </c>
      <c r="DH162" s="153">
        <f t="shared" si="1024"/>
        <v>4000</v>
      </c>
      <c r="DI162" s="153">
        <v>-4800</v>
      </c>
      <c r="DJ162" s="153">
        <f t="shared" ref="DJ162:DL162" si="1025">IF(DI162&lt;0,-DI162,0)</f>
        <v>4800</v>
      </c>
      <c r="DK162" s="153">
        <v>25664.110382980001</v>
      </c>
      <c r="DL162" s="153">
        <f t="shared" si="1025"/>
        <v>0</v>
      </c>
      <c r="DM162" s="107">
        <f t="shared" si="844"/>
        <v>19800</v>
      </c>
    </row>
    <row r="163" spans="13:117" s="5" customFormat="1" x14ac:dyDescent="0.35">
      <c r="M163" s="77">
        <f t="shared" si="845"/>
        <v>161</v>
      </c>
      <c r="N163" s="78">
        <v>0</v>
      </c>
      <c r="O163" s="79">
        <v>0</v>
      </c>
      <c r="P163" s="79">
        <v>0.11899999999999901</v>
      </c>
      <c r="Q163" s="79">
        <v>37580.499000000003</v>
      </c>
      <c r="R163" s="79">
        <v>1632.86020579</v>
      </c>
      <c r="S163" s="79">
        <f t="shared" si="816"/>
        <v>39213.359205790002</v>
      </c>
      <c r="T163" s="78">
        <v>0</v>
      </c>
      <c r="U163" s="79">
        <v>0</v>
      </c>
      <c r="V163" s="79">
        <v>0.34100000000000003</v>
      </c>
      <c r="W163" s="79">
        <v>0.61199999999999999</v>
      </c>
      <c r="X163" s="79">
        <f t="shared" si="817"/>
        <v>0.95300000000000007</v>
      </c>
      <c r="Y163" s="79">
        <v>5228.2780000000002</v>
      </c>
      <c r="Z163" s="79">
        <v>0</v>
      </c>
      <c r="AA163" s="80">
        <f t="shared" si="818"/>
        <v>5228.2780000000002</v>
      </c>
      <c r="AB163" s="79"/>
      <c r="AC163" s="88">
        <v>9296</v>
      </c>
      <c r="AD163" s="94">
        <f t="shared" si="819"/>
        <v>0.112</v>
      </c>
      <c r="AE163" s="89">
        <v>0</v>
      </c>
      <c r="AF163" s="94">
        <f t="shared" si="820"/>
        <v>0</v>
      </c>
      <c r="AG163" s="89">
        <v>3570</v>
      </c>
      <c r="AH163" s="94">
        <f t="shared" si="821"/>
        <v>0.11899999999999999</v>
      </c>
      <c r="AI163" s="89">
        <v>2300.5120000000002</v>
      </c>
      <c r="AJ163" s="94">
        <f>AI163/$B$6</f>
        <v>0.16</v>
      </c>
      <c r="AK163" s="89">
        <v>1081.9087999999999</v>
      </c>
      <c r="AL163" s="94">
        <f>AK163/$B$7</f>
        <v>0.112</v>
      </c>
      <c r="AM163" s="89">
        <v>4473.54</v>
      </c>
      <c r="AN163" s="94">
        <f t="shared" si="822"/>
        <v>8.6999999999999994E-2</v>
      </c>
      <c r="AO163" s="89">
        <v>2918.2103999999999</v>
      </c>
      <c r="AP163" s="94">
        <f t="shared" si="823"/>
        <v>6.3E-2</v>
      </c>
      <c r="AQ163" s="79"/>
      <c r="AR163" s="88">
        <v>69152.844599999997</v>
      </c>
      <c r="AS163" s="76">
        <v>2125.1999999999998</v>
      </c>
      <c r="AT163" s="88">
        <v>462</v>
      </c>
      <c r="AU163" s="100">
        <f t="shared" si="824"/>
        <v>0.77699999999999991</v>
      </c>
      <c r="AV163" s="100">
        <f t="shared" si="825"/>
        <v>0.92399999999999993</v>
      </c>
      <c r="AW163" s="100">
        <f t="shared" si="826"/>
        <v>0.92400000000000004</v>
      </c>
      <c r="AX163" s="94">
        <v>220.286</v>
      </c>
      <c r="AY163" s="76">
        <v>7125.8832000000002</v>
      </c>
      <c r="AZ163" s="100">
        <f>AX163/$B$9</f>
        <v>0.34100000000000003</v>
      </c>
      <c r="BA163" s="97">
        <f>AY163/$B$8</f>
        <v>0.61199999999999999</v>
      </c>
      <c r="BB163" s="88">
        <v>37241</v>
      </c>
      <c r="BC163" s="76">
        <v>22465.575000000001</v>
      </c>
      <c r="BD163" s="100">
        <f t="shared" si="827"/>
        <v>0.83499999999999996</v>
      </c>
      <c r="BE163" s="97">
        <f t="shared" si="828"/>
        <v>0.95700000000000007</v>
      </c>
      <c r="BG163" s="88">
        <v>916.11</v>
      </c>
      <c r="BH163" s="114">
        <f>BG163/$B$10</f>
        <v>0.37200019491119363</v>
      </c>
      <c r="BI163" s="115">
        <v>1003.027</v>
      </c>
      <c r="BJ163" s="114">
        <f>BI163/$B$11</f>
        <v>0.62416116988176729</v>
      </c>
      <c r="BK163" s="115">
        <v>1121.4780000000001</v>
      </c>
      <c r="BL163" s="114">
        <f t="shared" si="829"/>
        <v>0.5784392407674851</v>
      </c>
      <c r="BN163" s="111">
        <v>53641.616999999998</v>
      </c>
      <c r="BO163" s="114">
        <f t="shared" si="830"/>
        <v>0.77049180327868849</v>
      </c>
      <c r="BQ163" s="142">
        <v>32600</v>
      </c>
      <c r="BR163" s="131">
        <v>168.40600000000001</v>
      </c>
      <c r="BS163" s="143">
        <v>1135.7719999999999</v>
      </c>
      <c r="BT163" s="105">
        <f t="shared" si="831"/>
        <v>1</v>
      </c>
      <c r="BU163" s="20">
        <f t="shared" si="832"/>
        <v>3.4320762701159586E-2</v>
      </c>
      <c r="BV163" s="2">
        <v>0</v>
      </c>
      <c r="BW163" s="2">
        <v>0</v>
      </c>
      <c r="BX163" s="2">
        <v>0</v>
      </c>
      <c r="BY163" s="2">
        <v>4794.9759999999997</v>
      </c>
      <c r="BZ163" s="105">
        <f t="shared" si="833"/>
        <v>0.35576316960973436</v>
      </c>
      <c r="CA163" s="20">
        <f t="shared" si="834"/>
        <v>0</v>
      </c>
      <c r="CB163" s="5">
        <v>10800</v>
      </c>
      <c r="CC163" s="5">
        <v>0</v>
      </c>
      <c r="CE163" s="108">
        <v>-700</v>
      </c>
      <c r="CF163" s="153">
        <f t="shared" si="835"/>
        <v>0</v>
      </c>
      <c r="CG163" s="153">
        <v>4485</v>
      </c>
      <c r="CH163" s="153">
        <f t="shared" si="835"/>
        <v>4485</v>
      </c>
      <c r="CI163" s="153">
        <v>0</v>
      </c>
      <c r="CJ163" s="153">
        <f t="shared" ref="CJ163:CL163" si="1026">IF(CI163&gt;0,CI163,0)</f>
        <v>0</v>
      </c>
      <c r="CK163" s="153">
        <v>-5000</v>
      </c>
      <c r="CL163" s="153">
        <f t="shared" si="1026"/>
        <v>0</v>
      </c>
      <c r="CM163" s="153">
        <v>-5300</v>
      </c>
      <c r="CN163" s="153">
        <f t="shared" ref="CN163:CP163" si="1027">IF(CM163&gt;0,CM163,0)</f>
        <v>0</v>
      </c>
      <c r="CO163" s="153">
        <v>-4000</v>
      </c>
      <c r="CP163" s="153">
        <f t="shared" si="1027"/>
        <v>0</v>
      </c>
      <c r="CQ163" s="153">
        <v>-4800</v>
      </c>
      <c r="CR163" s="153">
        <f t="shared" ref="CR163:CT163" si="1028">IF(CQ163&gt;0,CQ163,0)</f>
        <v>0</v>
      </c>
      <c r="CS163" s="153">
        <v>21176.456659570002</v>
      </c>
      <c r="CT163" s="153">
        <f t="shared" si="1028"/>
        <v>21176.456659570002</v>
      </c>
      <c r="CU163" s="107">
        <f t="shared" si="839"/>
        <v>25661.456659570002</v>
      </c>
      <c r="CW163" s="108">
        <v>-700</v>
      </c>
      <c r="CX163" s="153">
        <f t="shared" si="840"/>
        <v>700</v>
      </c>
      <c r="CY163" s="153">
        <v>4485</v>
      </c>
      <c r="CZ163" s="153">
        <f t="shared" si="840"/>
        <v>0</v>
      </c>
      <c r="DA163" s="153">
        <v>0</v>
      </c>
      <c r="DB163" s="153">
        <f t="shared" ref="DB163:DD163" si="1029">IF(DA163&lt;0,-DA163,0)</f>
        <v>0</v>
      </c>
      <c r="DC163" s="153">
        <v>-5000</v>
      </c>
      <c r="DD163" s="153">
        <f t="shared" si="1029"/>
        <v>5000</v>
      </c>
      <c r="DE163" s="153">
        <v>-5300</v>
      </c>
      <c r="DF163" s="153">
        <f t="shared" ref="DF163:DH163" si="1030">IF(DE163&lt;0,-DE163,0)</f>
        <v>5300</v>
      </c>
      <c r="DG163" s="153">
        <v>-4000</v>
      </c>
      <c r="DH163" s="153">
        <f t="shared" si="1030"/>
        <v>4000</v>
      </c>
      <c r="DI163" s="153">
        <v>-4800</v>
      </c>
      <c r="DJ163" s="153">
        <f t="shared" ref="DJ163:DL163" si="1031">IF(DI163&lt;0,-DI163,0)</f>
        <v>4800</v>
      </c>
      <c r="DK163" s="153">
        <v>21176.456659570002</v>
      </c>
      <c r="DL163" s="153">
        <f t="shared" si="1031"/>
        <v>0</v>
      </c>
      <c r="DM163" s="107">
        <f t="shared" si="844"/>
        <v>19800</v>
      </c>
    </row>
    <row r="164" spans="13:117" s="5" customFormat="1" x14ac:dyDescent="0.35">
      <c r="M164" s="77">
        <f t="shared" si="845"/>
        <v>162</v>
      </c>
      <c r="N164" s="78">
        <v>0</v>
      </c>
      <c r="O164" s="79">
        <v>0</v>
      </c>
      <c r="P164" s="79">
        <v>3.2000000000000001E-2</v>
      </c>
      <c r="Q164" s="79">
        <v>39518.828999999998</v>
      </c>
      <c r="R164" s="79">
        <v>1706.74988115</v>
      </c>
      <c r="S164" s="79">
        <f t="shared" si="816"/>
        <v>41225.578881149995</v>
      </c>
      <c r="T164" s="78">
        <v>0</v>
      </c>
      <c r="U164" s="79">
        <v>0</v>
      </c>
      <c r="V164" s="79">
        <v>0.34300000000000003</v>
      </c>
      <c r="W164" s="79">
        <v>0.51700000000000002</v>
      </c>
      <c r="X164" s="79">
        <f t="shared" si="817"/>
        <v>0.8600000000000001</v>
      </c>
      <c r="Y164" s="79">
        <v>5872.1220000000003</v>
      </c>
      <c r="Z164" s="79">
        <v>0</v>
      </c>
      <c r="AA164" s="80">
        <f t="shared" si="818"/>
        <v>5872.1220000000003</v>
      </c>
      <c r="AB164" s="79"/>
      <c r="AC164" s="88">
        <v>2324</v>
      </c>
      <c r="AD164" s="94">
        <f t="shared" si="819"/>
        <v>2.8000000000000001E-2</v>
      </c>
      <c r="AE164" s="89">
        <v>0</v>
      </c>
      <c r="AF164" s="94">
        <f t="shared" si="820"/>
        <v>0</v>
      </c>
      <c r="AG164" s="89">
        <v>960</v>
      </c>
      <c r="AH164" s="94">
        <f t="shared" si="821"/>
        <v>3.2000000000000001E-2</v>
      </c>
      <c r="AI164" s="89">
        <v>1308.4161999999999</v>
      </c>
      <c r="AJ164" s="94">
        <f>AI164/$B$6</f>
        <v>9.0999999999999984E-2</v>
      </c>
      <c r="AK164" s="89">
        <v>434.69549999999998</v>
      </c>
      <c r="AL164" s="94">
        <f>AK164/$B$7</f>
        <v>4.4999999999999998E-2</v>
      </c>
      <c r="AM164" s="89">
        <v>0</v>
      </c>
      <c r="AN164" s="94">
        <f t="shared" si="822"/>
        <v>0</v>
      </c>
      <c r="AO164" s="89">
        <v>0</v>
      </c>
      <c r="AP164" s="94">
        <f t="shared" si="823"/>
        <v>0</v>
      </c>
      <c r="AQ164" s="79"/>
      <c r="AR164" s="88">
        <v>68173.846799999999</v>
      </c>
      <c r="AS164" s="76">
        <v>2122.9</v>
      </c>
      <c r="AT164" s="88">
        <v>461.5</v>
      </c>
      <c r="AU164" s="100">
        <f t="shared" si="824"/>
        <v>0.76600000000000001</v>
      </c>
      <c r="AV164" s="100">
        <f t="shared" si="825"/>
        <v>0.92300000000000004</v>
      </c>
      <c r="AW164" s="100">
        <f t="shared" si="826"/>
        <v>0.92300000000000004</v>
      </c>
      <c r="AX164" s="94">
        <v>221.578</v>
      </c>
      <c r="AY164" s="76">
        <v>6019.7412000000004</v>
      </c>
      <c r="AZ164" s="100">
        <f>AX164/$B$9</f>
        <v>0.34300000000000003</v>
      </c>
      <c r="BA164" s="97">
        <f>AY164/$B$8</f>
        <v>0.51700000000000002</v>
      </c>
      <c r="BB164" s="88">
        <v>35546.199999999997</v>
      </c>
      <c r="BC164" s="76">
        <v>22442.1</v>
      </c>
      <c r="BD164" s="100">
        <f t="shared" si="827"/>
        <v>0.79699999999999993</v>
      </c>
      <c r="BE164" s="97">
        <f t="shared" si="828"/>
        <v>0.95599999999999996</v>
      </c>
      <c r="BG164" s="88">
        <v>923.49699999999996</v>
      </c>
      <c r="BH164" s="114">
        <f>BG164/$B$10</f>
        <v>0.37499979696750668</v>
      </c>
      <c r="BI164" s="115">
        <v>1006.4059999999999</v>
      </c>
      <c r="BJ164" s="114">
        <f>BI164/$B$11</f>
        <v>0.62626384567517113</v>
      </c>
      <c r="BK164" s="115">
        <v>1121.4780000000001</v>
      </c>
      <c r="BL164" s="114">
        <f t="shared" si="829"/>
        <v>0.5784392407674851</v>
      </c>
      <c r="BN164" s="111">
        <v>53641.616999999998</v>
      </c>
      <c r="BO164" s="114">
        <f t="shared" si="830"/>
        <v>0.77049180327868849</v>
      </c>
      <c r="BQ164" s="142">
        <v>30243.231</v>
      </c>
      <c r="BR164" s="131">
        <v>0</v>
      </c>
      <c r="BS164" s="143">
        <v>0</v>
      </c>
      <c r="BT164" s="105">
        <f t="shared" si="831"/>
        <v>0.92770647239263804</v>
      </c>
      <c r="BU164" s="20">
        <f t="shared" si="832"/>
        <v>0</v>
      </c>
      <c r="BV164" s="2">
        <v>0</v>
      </c>
      <c r="BW164" s="2">
        <v>0</v>
      </c>
      <c r="BX164" s="2">
        <v>0</v>
      </c>
      <c r="BY164" s="2">
        <v>3960.0949999999998</v>
      </c>
      <c r="BZ164" s="105">
        <f t="shared" si="833"/>
        <v>0.29381918682297076</v>
      </c>
      <c r="CA164" s="20">
        <f t="shared" si="834"/>
        <v>0</v>
      </c>
      <c r="CB164" s="5">
        <v>10800</v>
      </c>
      <c r="CC164" s="5">
        <v>0</v>
      </c>
      <c r="CE164" s="108">
        <v>-700</v>
      </c>
      <c r="CF164" s="153">
        <f t="shared" si="835"/>
        <v>0</v>
      </c>
      <c r="CG164" s="153">
        <v>4485</v>
      </c>
      <c r="CH164" s="153">
        <f t="shared" si="835"/>
        <v>4485</v>
      </c>
      <c r="CI164" s="153">
        <v>0</v>
      </c>
      <c r="CJ164" s="153">
        <f t="shared" ref="CJ164:CL164" si="1032">IF(CI164&gt;0,CI164,0)</f>
        <v>0</v>
      </c>
      <c r="CK164" s="153">
        <v>-5000</v>
      </c>
      <c r="CL164" s="153">
        <f t="shared" si="1032"/>
        <v>0</v>
      </c>
      <c r="CM164" s="153">
        <v>-5300</v>
      </c>
      <c r="CN164" s="153">
        <f t="shared" ref="CN164:CP164" si="1033">IF(CM164&gt;0,CM164,0)</f>
        <v>0</v>
      </c>
      <c r="CO164" s="153">
        <v>-4000</v>
      </c>
      <c r="CP164" s="153">
        <f t="shared" si="1033"/>
        <v>0</v>
      </c>
      <c r="CQ164" s="153">
        <v>-4800</v>
      </c>
      <c r="CR164" s="153">
        <f t="shared" ref="CR164:CT164" si="1034">IF(CQ164&gt;0,CQ164,0)</f>
        <v>0</v>
      </c>
      <c r="CS164" s="153">
        <v>19961.347404259999</v>
      </c>
      <c r="CT164" s="153">
        <f t="shared" si="1034"/>
        <v>19961.347404259999</v>
      </c>
      <c r="CU164" s="107">
        <f t="shared" si="839"/>
        <v>24446.347404259999</v>
      </c>
      <c r="CW164" s="108">
        <v>-700</v>
      </c>
      <c r="CX164" s="153">
        <f t="shared" si="840"/>
        <v>700</v>
      </c>
      <c r="CY164" s="153">
        <v>4485</v>
      </c>
      <c r="CZ164" s="153">
        <f t="shared" si="840"/>
        <v>0</v>
      </c>
      <c r="DA164" s="153">
        <v>0</v>
      </c>
      <c r="DB164" s="153">
        <f t="shared" ref="DB164:DD164" si="1035">IF(DA164&lt;0,-DA164,0)</f>
        <v>0</v>
      </c>
      <c r="DC164" s="153">
        <v>-5000</v>
      </c>
      <c r="DD164" s="153">
        <f t="shared" si="1035"/>
        <v>5000</v>
      </c>
      <c r="DE164" s="153">
        <v>-5300</v>
      </c>
      <c r="DF164" s="153">
        <f t="shared" ref="DF164:DH164" si="1036">IF(DE164&lt;0,-DE164,0)</f>
        <v>5300</v>
      </c>
      <c r="DG164" s="153">
        <v>-4000</v>
      </c>
      <c r="DH164" s="153">
        <f t="shared" si="1036"/>
        <v>4000</v>
      </c>
      <c r="DI164" s="153">
        <v>-4800</v>
      </c>
      <c r="DJ164" s="153">
        <f t="shared" ref="DJ164:DL164" si="1037">IF(DI164&lt;0,-DI164,0)</f>
        <v>4800</v>
      </c>
      <c r="DK164" s="153">
        <v>19961.347404259999</v>
      </c>
      <c r="DL164" s="153">
        <f t="shared" si="1037"/>
        <v>0</v>
      </c>
      <c r="DM164" s="107">
        <f t="shared" si="844"/>
        <v>19800</v>
      </c>
    </row>
    <row r="165" spans="13:117" s="5" customFormat="1" x14ac:dyDescent="0.35">
      <c r="M165" s="77">
        <f t="shared" si="845"/>
        <v>163</v>
      </c>
      <c r="N165" s="78">
        <v>0</v>
      </c>
      <c r="O165" s="79">
        <v>0</v>
      </c>
      <c r="P165" s="79">
        <v>0</v>
      </c>
      <c r="Q165" s="79">
        <v>40568.230000000003</v>
      </c>
      <c r="R165" s="79">
        <v>1812.66727223</v>
      </c>
      <c r="S165" s="79">
        <f t="shared" si="816"/>
        <v>42380.897272230002</v>
      </c>
      <c r="T165" s="78">
        <v>0</v>
      </c>
      <c r="U165" s="79">
        <v>0</v>
      </c>
      <c r="V165" s="79">
        <v>0.33999999999999997</v>
      </c>
      <c r="W165" s="79">
        <v>0.32400000000000001</v>
      </c>
      <c r="X165" s="79">
        <f t="shared" si="817"/>
        <v>0.66399999999999992</v>
      </c>
      <c r="Y165" s="79">
        <v>6451.0309999999999</v>
      </c>
      <c r="Z165" s="79">
        <v>0</v>
      </c>
      <c r="AA165" s="80">
        <f t="shared" si="818"/>
        <v>6451.0309999999999</v>
      </c>
      <c r="AB165" s="79"/>
      <c r="AC165" s="88">
        <v>0</v>
      </c>
      <c r="AD165" s="94">
        <f t="shared" si="819"/>
        <v>0</v>
      </c>
      <c r="AE165" s="89">
        <v>0</v>
      </c>
      <c r="AF165" s="94">
        <f t="shared" si="820"/>
        <v>0</v>
      </c>
      <c r="AG165" s="89">
        <v>0</v>
      </c>
      <c r="AH165" s="94">
        <f t="shared" si="821"/>
        <v>0</v>
      </c>
      <c r="AI165" s="89">
        <v>0</v>
      </c>
      <c r="AJ165" s="94">
        <f>AI165/$B$6</f>
        <v>0</v>
      </c>
      <c r="AK165" s="89">
        <v>0</v>
      </c>
      <c r="AL165" s="94">
        <f>AK165/$B$7</f>
        <v>0</v>
      </c>
      <c r="AM165" s="89">
        <v>0</v>
      </c>
      <c r="AN165" s="94">
        <f t="shared" si="822"/>
        <v>0</v>
      </c>
      <c r="AO165" s="89">
        <v>0</v>
      </c>
      <c r="AP165" s="94">
        <f t="shared" si="823"/>
        <v>0</v>
      </c>
      <c r="AQ165" s="79"/>
      <c r="AR165" s="88">
        <v>63812.856599999999</v>
      </c>
      <c r="AS165" s="76">
        <v>2118.3000000000002</v>
      </c>
      <c r="AT165" s="88">
        <v>460.5</v>
      </c>
      <c r="AU165" s="100">
        <f t="shared" si="824"/>
        <v>0.71699999999999997</v>
      </c>
      <c r="AV165" s="100">
        <f t="shared" si="825"/>
        <v>0.92100000000000004</v>
      </c>
      <c r="AW165" s="100">
        <f t="shared" si="826"/>
        <v>0.92100000000000004</v>
      </c>
      <c r="AX165" s="94">
        <v>219.64</v>
      </c>
      <c r="AY165" s="76">
        <v>3772.5264000000002</v>
      </c>
      <c r="AZ165" s="100">
        <f>AX165/$B$9</f>
        <v>0.33999999999999997</v>
      </c>
      <c r="BA165" s="97">
        <f>AY165/$B$8</f>
        <v>0.32400000000000001</v>
      </c>
      <c r="BB165" s="88">
        <v>34386.6</v>
      </c>
      <c r="BC165" s="76">
        <v>22301.25</v>
      </c>
      <c r="BD165" s="100">
        <f t="shared" si="827"/>
        <v>0.77100000000000002</v>
      </c>
      <c r="BE165" s="97">
        <f t="shared" si="828"/>
        <v>0.95</v>
      </c>
      <c r="BG165" s="88">
        <v>925.96</v>
      </c>
      <c r="BH165" s="114">
        <f>BG165/$B$10</f>
        <v>0.37599993502960216</v>
      </c>
      <c r="BI165" s="115">
        <v>1007.8</v>
      </c>
      <c r="BJ165" s="114">
        <f>BI165/$B$11</f>
        <v>0.62713130056004973</v>
      </c>
      <c r="BK165" s="115">
        <v>1121.4780000000001</v>
      </c>
      <c r="BL165" s="114">
        <f t="shared" si="829"/>
        <v>0.5784392407674851</v>
      </c>
      <c r="BN165" s="111">
        <v>53641.616999999998</v>
      </c>
      <c r="BO165" s="114">
        <f t="shared" si="830"/>
        <v>0.77049180327868849</v>
      </c>
      <c r="BQ165" s="142">
        <v>27240.467000000001</v>
      </c>
      <c r="BR165" s="131">
        <v>0</v>
      </c>
      <c r="BS165" s="143">
        <v>0</v>
      </c>
      <c r="BT165" s="105">
        <f t="shared" si="831"/>
        <v>0.83559714723926382</v>
      </c>
      <c r="BU165" s="20">
        <f t="shared" si="832"/>
        <v>0</v>
      </c>
      <c r="BV165" s="2">
        <v>0</v>
      </c>
      <c r="BW165" s="2">
        <v>0</v>
      </c>
      <c r="BX165" s="2">
        <v>0</v>
      </c>
      <c r="BY165" s="2">
        <v>3136.3069999999998</v>
      </c>
      <c r="BZ165" s="105">
        <f t="shared" si="833"/>
        <v>0.23269824899836769</v>
      </c>
      <c r="CA165" s="20">
        <f t="shared" si="834"/>
        <v>0</v>
      </c>
      <c r="CB165" s="5">
        <v>10800</v>
      </c>
      <c r="CC165" s="5">
        <v>0</v>
      </c>
      <c r="CE165" s="108">
        <v>-700</v>
      </c>
      <c r="CF165" s="153">
        <f t="shared" si="835"/>
        <v>0</v>
      </c>
      <c r="CG165" s="153">
        <v>4485</v>
      </c>
      <c r="CH165" s="153">
        <f t="shared" si="835"/>
        <v>4485</v>
      </c>
      <c r="CI165" s="153">
        <v>0</v>
      </c>
      <c r="CJ165" s="153">
        <f t="shared" ref="CJ165:CL165" si="1038">IF(CI165&gt;0,CI165,0)</f>
        <v>0</v>
      </c>
      <c r="CK165" s="153">
        <v>-5000</v>
      </c>
      <c r="CL165" s="153">
        <f t="shared" si="1038"/>
        <v>0</v>
      </c>
      <c r="CM165" s="153">
        <v>-5300</v>
      </c>
      <c r="CN165" s="153">
        <f t="shared" ref="CN165:CP165" si="1039">IF(CM165&gt;0,CM165,0)</f>
        <v>0</v>
      </c>
      <c r="CO165" s="153">
        <v>-4000</v>
      </c>
      <c r="CP165" s="153">
        <f t="shared" si="1039"/>
        <v>0</v>
      </c>
      <c r="CQ165" s="153">
        <v>-4800</v>
      </c>
      <c r="CR165" s="153">
        <f t="shared" ref="CR165:CT165" si="1040">IF(CQ165&gt;0,CQ165,0)</f>
        <v>0</v>
      </c>
      <c r="CS165" s="153">
        <v>16343.858893619999</v>
      </c>
      <c r="CT165" s="153">
        <f t="shared" si="1040"/>
        <v>16343.858893619999</v>
      </c>
      <c r="CU165" s="107">
        <f t="shared" si="839"/>
        <v>20828.858893619999</v>
      </c>
      <c r="CW165" s="108">
        <v>-700</v>
      </c>
      <c r="CX165" s="153">
        <f t="shared" si="840"/>
        <v>700</v>
      </c>
      <c r="CY165" s="153">
        <v>4485</v>
      </c>
      <c r="CZ165" s="153">
        <f t="shared" si="840"/>
        <v>0</v>
      </c>
      <c r="DA165" s="153">
        <v>0</v>
      </c>
      <c r="DB165" s="153">
        <f t="shared" ref="DB165:DD165" si="1041">IF(DA165&lt;0,-DA165,0)</f>
        <v>0</v>
      </c>
      <c r="DC165" s="153">
        <v>-5000</v>
      </c>
      <c r="DD165" s="153">
        <f t="shared" si="1041"/>
        <v>5000</v>
      </c>
      <c r="DE165" s="153">
        <v>-5300</v>
      </c>
      <c r="DF165" s="153">
        <f t="shared" ref="DF165:DH165" si="1042">IF(DE165&lt;0,-DE165,0)</f>
        <v>5300</v>
      </c>
      <c r="DG165" s="153">
        <v>-4000</v>
      </c>
      <c r="DH165" s="153">
        <f t="shared" si="1042"/>
        <v>4000</v>
      </c>
      <c r="DI165" s="153">
        <v>-4800</v>
      </c>
      <c r="DJ165" s="153">
        <f t="shared" ref="DJ165:DL165" si="1043">IF(DI165&lt;0,-DI165,0)</f>
        <v>4800</v>
      </c>
      <c r="DK165" s="153">
        <v>16343.858893619999</v>
      </c>
      <c r="DL165" s="153">
        <f t="shared" si="1043"/>
        <v>0</v>
      </c>
      <c r="DM165" s="107">
        <f t="shared" si="844"/>
        <v>19800</v>
      </c>
    </row>
    <row r="166" spans="13:117" s="5" customFormat="1" x14ac:dyDescent="0.35">
      <c r="M166" s="77">
        <f t="shared" si="845"/>
        <v>164</v>
      </c>
      <c r="N166" s="78">
        <v>0</v>
      </c>
      <c r="O166" s="79">
        <v>0</v>
      </c>
      <c r="P166" s="79">
        <v>0</v>
      </c>
      <c r="Q166" s="79">
        <v>40863.873</v>
      </c>
      <c r="R166" s="79">
        <v>1932.65798305</v>
      </c>
      <c r="S166" s="79">
        <f t="shared" si="816"/>
        <v>42796.530983049997</v>
      </c>
      <c r="T166" s="78">
        <v>0</v>
      </c>
      <c r="U166" s="79">
        <v>0</v>
      </c>
      <c r="V166" s="79">
        <v>0.33800000000000002</v>
      </c>
      <c r="W166" s="79">
        <v>0.251</v>
      </c>
      <c r="X166" s="79">
        <f t="shared" si="817"/>
        <v>0.58899999999999997</v>
      </c>
      <c r="Y166" s="79">
        <v>6593.3879999999999</v>
      </c>
      <c r="Z166" s="79">
        <v>0</v>
      </c>
      <c r="AA166" s="80">
        <f t="shared" si="818"/>
        <v>6593.3879999999999</v>
      </c>
      <c r="AB166" s="79"/>
      <c r="AC166" s="88">
        <v>0</v>
      </c>
      <c r="AD166" s="94">
        <f t="shared" si="819"/>
        <v>0</v>
      </c>
      <c r="AE166" s="89">
        <v>0</v>
      </c>
      <c r="AF166" s="94">
        <f t="shared" si="820"/>
        <v>0</v>
      </c>
      <c r="AG166" s="89">
        <v>0</v>
      </c>
      <c r="AH166" s="94">
        <f t="shared" si="821"/>
        <v>0</v>
      </c>
      <c r="AI166" s="89">
        <v>0</v>
      </c>
      <c r="AJ166" s="94">
        <f>AI166/$B$6</f>
        <v>0</v>
      </c>
      <c r="AK166" s="89">
        <v>0</v>
      </c>
      <c r="AL166" s="94">
        <f>AK166/$B$7</f>
        <v>0</v>
      </c>
      <c r="AM166" s="89">
        <v>0</v>
      </c>
      <c r="AN166" s="94">
        <f t="shared" si="822"/>
        <v>0</v>
      </c>
      <c r="AO166" s="89">
        <v>0</v>
      </c>
      <c r="AP166" s="94">
        <f t="shared" si="823"/>
        <v>0</v>
      </c>
      <c r="AQ166" s="79"/>
      <c r="AR166" s="88">
        <v>62032.8606</v>
      </c>
      <c r="AS166" s="76">
        <v>2122.9</v>
      </c>
      <c r="AT166" s="88">
        <v>461.5</v>
      </c>
      <c r="AU166" s="100">
        <f t="shared" si="824"/>
        <v>0.69699999999999995</v>
      </c>
      <c r="AV166" s="100">
        <f t="shared" si="825"/>
        <v>0.92300000000000004</v>
      </c>
      <c r="AW166" s="100">
        <f t="shared" si="826"/>
        <v>0.92300000000000004</v>
      </c>
      <c r="AX166" s="94">
        <v>218.34800000000001</v>
      </c>
      <c r="AY166" s="76">
        <v>2922.5436</v>
      </c>
      <c r="AZ166" s="100">
        <f>AX166/$B$9</f>
        <v>0.33800000000000002</v>
      </c>
      <c r="BA166" s="97">
        <f>AY166/$B$8</f>
        <v>0.251</v>
      </c>
      <c r="BB166" s="88">
        <v>34431.199999999997</v>
      </c>
      <c r="BC166" s="76">
        <v>22043.025000000001</v>
      </c>
      <c r="BD166" s="100">
        <f t="shared" si="827"/>
        <v>0.77199999999999991</v>
      </c>
      <c r="BE166" s="97">
        <f t="shared" si="828"/>
        <v>0.93900000000000006</v>
      </c>
      <c r="BG166" s="88">
        <v>925.96</v>
      </c>
      <c r="BH166" s="114">
        <f>BG166/$B$10</f>
        <v>0.37599993502960216</v>
      </c>
      <c r="BI166" s="115">
        <v>1012.452</v>
      </c>
      <c r="BJ166" s="114">
        <f>BI166/$B$11</f>
        <v>0.63002613565650278</v>
      </c>
      <c r="BK166" s="115">
        <v>1121.4780000000001</v>
      </c>
      <c r="BL166" s="114">
        <f t="shared" si="829"/>
        <v>0.5784392407674851</v>
      </c>
      <c r="BN166" s="111">
        <v>53641.616999999998</v>
      </c>
      <c r="BO166" s="114">
        <f t="shared" si="830"/>
        <v>0.77049180327868849</v>
      </c>
      <c r="BQ166" s="142">
        <v>26492.048999999999</v>
      </c>
      <c r="BR166" s="131">
        <v>0</v>
      </c>
      <c r="BS166" s="143">
        <v>0</v>
      </c>
      <c r="BT166" s="105">
        <f t="shared" si="831"/>
        <v>0.81263953987730053</v>
      </c>
      <c r="BU166" s="20">
        <f t="shared" si="832"/>
        <v>0</v>
      </c>
      <c r="BV166" s="2">
        <v>0</v>
      </c>
      <c r="BW166" s="2">
        <v>0</v>
      </c>
      <c r="BX166" s="2">
        <v>0</v>
      </c>
      <c r="BY166" s="2">
        <v>3067.5390000000002</v>
      </c>
      <c r="BZ166" s="105">
        <f t="shared" si="833"/>
        <v>0.22759600830983828</v>
      </c>
      <c r="CA166" s="20">
        <f t="shared" si="834"/>
        <v>0</v>
      </c>
      <c r="CB166" s="5">
        <v>10800</v>
      </c>
      <c r="CC166" s="5">
        <v>0</v>
      </c>
      <c r="CE166" s="108">
        <v>-700</v>
      </c>
      <c r="CF166" s="153">
        <f t="shared" si="835"/>
        <v>0</v>
      </c>
      <c r="CG166" s="153">
        <v>4485</v>
      </c>
      <c r="CH166" s="153">
        <f t="shared" si="835"/>
        <v>4485</v>
      </c>
      <c r="CI166" s="153">
        <v>0</v>
      </c>
      <c r="CJ166" s="153">
        <f t="shared" ref="CJ166:CL166" si="1044">IF(CI166&gt;0,CI166,0)</f>
        <v>0</v>
      </c>
      <c r="CK166" s="153">
        <v>-5000</v>
      </c>
      <c r="CL166" s="153">
        <f t="shared" si="1044"/>
        <v>0</v>
      </c>
      <c r="CM166" s="153">
        <v>-5300</v>
      </c>
      <c r="CN166" s="153">
        <f t="shared" ref="CN166:CP166" si="1045">IF(CM166&gt;0,CM166,0)</f>
        <v>0</v>
      </c>
      <c r="CO166" s="153">
        <v>-4000</v>
      </c>
      <c r="CP166" s="153">
        <f t="shared" si="1045"/>
        <v>0</v>
      </c>
      <c r="CQ166" s="153">
        <v>-4800</v>
      </c>
      <c r="CR166" s="153">
        <f t="shared" ref="CR166:CT166" si="1046">IF(CQ166&gt;0,CQ166,0)</f>
        <v>0</v>
      </c>
      <c r="CS166" s="153">
        <v>26004.059856439999</v>
      </c>
      <c r="CT166" s="153">
        <f t="shared" si="1046"/>
        <v>26004.059856439999</v>
      </c>
      <c r="CU166" s="107">
        <f t="shared" si="839"/>
        <v>30489.059856439999</v>
      </c>
      <c r="CW166" s="108">
        <v>-700</v>
      </c>
      <c r="CX166" s="153">
        <f t="shared" si="840"/>
        <v>700</v>
      </c>
      <c r="CY166" s="153">
        <v>4485</v>
      </c>
      <c r="CZ166" s="153">
        <f t="shared" si="840"/>
        <v>0</v>
      </c>
      <c r="DA166" s="153">
        <v>0</v>
      </c>
      <c r="DB166" s="153">
        <f t="shared" ref="DB166:DD166" si="1047">IF(DA166&lt;0,-DA166,0)</f>
        <v>0</v>
      </c>
      <c r="DC166" s="153">
        <v>-5000</v>
      </c>
      <c r="DD166" s="153">
        <f t="shared" si="1047"/>
        <v>5000</v>
      </c>
      <c r="DE166" s="153">
        <v>-5300</v>
      </c>
      <c r="DF166" s="153">
        <f t="shared" ref="DF166:DH166" si="1048">IF(DE166&lt;0,-DE166,0)</f>
        <v>5300</v>
      </c>
      <c r="DG166" s="153">
        <v>-4000</v>
      </c>
      <c r="DH166" s="153">
        <f t="shared" si="1048"/>
        <v>4000</v>
      </c>
      <c r="DI166" s="153">
        <v>-4800</v>
      </c>
      <c r="DJ166" s="153">
        <f t="shared" ref="DJ166:DL166" si="1049">IF(DI166&lt;0,-DI166,0)</f>
        <v>4800</v>
      </c>
      <c r="DK166" s="153">
        <v>26004.059856439999</v>
      </c>
      <c r="DL166" s="153">
        <f t="shared" si="1049"/>
        <v>0</v>
      </c>
      <c r="DM166" s="107">
        <f t="shared" si="844"/>
        <v>19800</v>
      </c>
    </row>
    <row r="167" spans="13:117" s="5" customFormat="1" x14ac:dyDescent="0.35">
      <c r="M167" s="77">
        <f t="shared" si="845"/>
        <v>165</v>
      </c>
      <c r="N167" s="78">
        <v>0</v>
      </c>
      <c r="O167" s="79">
        <v>0</v>
      </c>
      <c r="P167" s="79">
        <v>0</v>
      </c>
      <c r="Q167" s="79">
        <v>40529.981</v>
      </c>
      <c r="R167" s="79">
        <v>1902.03408986</v>
      </c>
      <c r="S167" s="79">
        <f t="shared" si="816"/>
        <v>42432.015089859997</v>
      </c>
      <c r="T167" s="78">
        <v>0</v>
      </c>
      <c r="U167" s="79">
        <v>0</v>
      </c>
      <c r="V167" s="79">
        <v>0.35599999999999998</v>
      </c>
      <c r="W167" s="79">
        <v>0.22</v>
      </c>
      <c r="X167" s="79">
        <f t="shared" si="817"/>
        <v>0.57599999999999996</v>
      </c>
      <c r="Y167" s="79">
        <v>6426.7089999999998</v>
      </c>
      <c r="Z167" s="79">
        <v>0</v>
      </c>
      <c r="AA167" s="80">
        <f t="shared" si="818"/>
        <v>6426.7089999999998</v>
      </c>
      <c r="AB167" s="79"/>
      <c r="AC167" s="88">
        <v>0</v>
      </c>
      <c r="AD167" s="94">
        <f t="shared" si="819"/>
        <v>0</v>
      </c>
      <c r="AE167" s="89">
        <v>0</v>
      </c>
      <c r="AF167" s="94">
        <f t="shared" si="820"/>
        <v>0</v>
      </c>
      <c r="AG167" s="89">
        <v>0</v>
      </c>
      <c r="AH167" s="94">
        <f t="shared" si="821"/>
        <v>0</v>
      </c>
      <c r="AI167" s="89">
        <v>0</v>
      </c>
      <c r="AJ167" s="94">
        <f>AI167/$B$6</f>
        <v>0</v>
      </c>
      <c r="AK167" s="89">
        <v>0</v>
      </c>
      <c r="AL167" s="94">
        <f>AK167/$B$7</f>
        <v>0</v>
      </c>
      <c r="AM167" s="89">
        <v>0</v>
      </c>
      <c r="AN167" s="94">
        <f t="shared" si="822"/>
        <v>0</v>
      </c>
      <c r="AO167" s="89">
        <v>0</v>
      </c>
      <c r="AP167" s="94">
        <f t="shared" si="823"/>
        <v>0</v>
      </c>
      <c r="AQ167" s="79"/>
      <c r="AR167" s="88">
        <v>62566.859400000001</v>
      </c>
      <c r="AS167" s="76">
        <v>2129.8000000000002</v>
      </c>
      <c r="AT167" s="88">
        <v>463</v>
      </c>
      <c r="AU167" s="100">
        <f t="shared" si="824"/>
        <v>0.70299999999999996</v>
      </c>
      <c r="AV167" s="100">
        <f t="shared" si="825"/>
        <v>0.92600000000000005</v>
      </c>
      <c r="AW167" s="100">
        <f t="shared" si="826"/>
        <v>0.92600000000000005</v>
      </c>
      <c r="AX167" s="94">
        <v>229.976</v>
      </c>
      <c r="AY167" s="76">
        <v>2561.5920000000001</v>
      </c>
      <c r="AZ167" s="100">
        <f>AX167/$B$9</f>
        <v>0.35599999999999998</v>
      </c>
      <c r="BA167" s="97">
        <f>AY167/$B$8</f>
        <v>0.22</v>
      </c>
      <c r="BB167" s="88">
        <v>34877.199999999997</v>
      </c>
      <c r="BC167" s="76">
        <v>21831.75</v>
      </c>
      <c r="BD167" s="100">
        <f t="shared" si="827"/>
        <v>0.78199999999999992</v>
      </c>
      <c r="BE167" s="97">
        <f t="shared" si="828"/>
        <v>0.93</v>
      </c>
      <c r="BG167" s="88">
        <v>925.96</v>
      </c>
      <c r="BH167" s="114">
        <f>BG167/$B$10</f>
        <v>0.37599993502960216</v>
      </c>
      <c r="BI167" s="115">
        <v>1021.498</v>
      </c>
      <c r="BJ167" s="114">
        <f>BI167/$B$11</f>
        <v>0.63565525824517732</v>
      </c>
      <c r="BK167" s="115">
        <v>1121.4780000000001</v>
      </c>
      <c r="BL167" s="114">
        <f t="shared" si="829"/>
        <v>0.5784392407674851</v>
      </c>
      <c r="BN167" s="111">
        <v>53641.616999999998</v>
      </c>
      <c r="BO167" s="114">
        <f t="shared" si="830"/>
        <v>0.77049180327868849</v>
      </c>
      <c r="BQ167" s="142">
        <v>26700.264999999999</v>
      </c>
      <c r="BR167" s="131">
        <v>0</v>
      </c>
      <c r="BS167" s="143">
        <v>0</v>
      </c>
      <c r="BT167" s="105">
        <f t="shared" si="831"/>
        <v>0.81902653374233125</v>
      </c>
      <c r="BU167" s="20">
        <f t="shared" si="832"/>
        <v>0</v>
      </c>
      <c r="BV167" s="2">
        <v>0</v>
      </c>
      <c r="BW167" s="2">
        <v>0</v>
      </c>
      <c r="BX167" s="2">
        <v>0</v>
      </c>
      <c r="BY167" s="2">
        <v>3233.335</v>
      </c>
      <c r="BZ167" s="105">
        <f t="shared" si="833"/>
        <v>0.2398972399465796</v>
      </c>
      <c r="CA167" s="20">
        <f t="shared" si="834"/>
        <v>0</v>
      </c>
      <c r="CB167" s="5">
        <v>10800</v>
      </c>
      <c r="CC167" s="5">
        <v>0</v>
      </c>
      <c r="CE167" s="108">
        <v>-700</v>
      </c>
      <c r="CF167" s="153">
        <f t="shared" si="835"/>
        <v>0</v>
      </c>
      <c r="CG167" s="153">
        <v>4485</v>
      </c>
      <c r="CH167" s="153">
        <f t="shared" si="835"/>
        <v>4485</v>
      </c>
      <c r="CI167" s="153">
        <v>0</v>
      </c>
      <c r="CJ167" s="153">
        <f t="shared" ref="CJ167:CL167" si="1050">IF(CI167&gt;0,CI167,0)</f>
        <v>0</v>
      </c>
      <c r="CK167" s="153">
        <v>-5000</v>
      </c>
      <c r="CL167" s="153">
        <f t="shared" si="1050"/>
        <v>0</v>
      </c>
      <c r="CM167" s="153">
        <v>-5300</v>
      </c>
      <c r="CN167" s="153">
        <f t="shared" ref="CN167:CP167" si="1051">IF(CM167&gt;0,CM167,0)</f>
        <v>0</v>
      </c>
      <c r="CO167" s="153">
        <v>-4000</v>
      </c>
      <c r="CP167" s="153">
        <f t="shared" si="1051"/>
        <v>0</v>
      </c>
      <c r="CQ167" s="153">
        <v>-4800</v>
      </c>
      <c r="CR167" s="153">
        <f t="shared" ref="CR167:CT167" si="1052">IF(CQ167&gt;0,CQ167,0)</f>
        <v>0</v>
      </c>
      <c r="CS167" s="153">
        <v>18367.89102128</v>
      </c>
      <c r="CT167" s="153">
        <f t="shared" si="1052"/>
        <v>18367.89102128</v>
      </c>
      <c r="CU167" s="107">
        <f t="shared" si="839"/>
        <v>22852.89102128</v>
      </c>
      <c r="CW167" s="108">
        <v>-700</v>
      </c>
      <c r="CX167" s="153">
        <f t="shared" si="840"/>
        <v>700</v>
      </c>
      <c r="CY167" s="153">
        <v>4485</v>
      </c>
      <c r="CZ167" s="153">
        <f t="shared" si="840"/>
        <v>0</v>
      </c>
      <c r="DA167" s="153">
        <v>0</v>
      </c>
      <c r="DB167" s="153">
        <f t="shared" ref="DB167:DD167" si="1053">IF(DA167&lt;0,-DA167,0)</f>
        <v>0</v>
      </c>
      <c r="DC167" s="153">
        <v>-5000</v>
      </c>
      <c r="DD167" s="153">
        <f t="shared" si="1053"/>
        <v>5000</v>
      </c>
      <c r="DE167" s="153">
        <v>-5300</v>
      </c>
      <c r="DF167" s="153">
        <f t="shared" ref="DF167:DH167" si="1054">IF(DE167&lt;0,-DE167,0)</f>
        <v>5300</v>
      </c>
      <c r="DG167" s="153">
        <v>-4000</v>
      </c>
      <c r="DH167" s="153">
        <f t="shared" si="1054"/>
        <v>4000</v>
      </c>
      <c r="DI167" s="153">
        <v>-4800</v>
      </c>
      <c r="DJ167" s="153">
        <f t="shared" ref="DJ167:DL167" si="1055">IF(DI167&lt;0,-DI167,0)</f>
        <v>4800</v>
      </c>
      <c r="DK167" s="153">
        <v>18367.89102128</v>
      </c>
      <c r="DL167" s="153">
        <f t="shared" si="1055"/>
        <v>0</v>
      </c>
      <c r="DM167" s="107">
        <f t="shared" si="844"/>
        <v>19800</v>
      </c>
    </row>
    <row r="168" spans="13:117" s="5" customFormat="1" x14ac:dyDescent="0.35">
      <c r="M168" s="77">
        <f t="shared" si="845"/>
        <v>166</v>
      </c>
      <c r="N168" s="78">
        <v>0</v>
      </c>
      <c r="O168" s="79">
        <v>0</v>
      </c>
      <c r="P168" s="79">
        <v>0</v>
      </c>
      <c r="Q168" s="79">
        <v>39225.506000000001</v>
      </c>
      <c r="R168" s="79">
        <v>1827.86891896</v>
      </c>
      <c r="S168" s="79">
        <f t="shared" si="816"/>
        <v>41053.374918959998</v>
      </c>
      <c r="T168" s="78">
        <v>0</v>
      </c>
      <c r="U168" s="79">
        <v>0</v>
      </c>
      <c r="V168" s="79">
        <v>0.39499999999999996</v>
      </c>
      <c r="W168" s="79">
        <v>0.23299999999999998</v>
      </c>
      <c r="X168" s="79">
        <f t="shared" si="817"/>
        <v>0.62799999999999989</v>
      </c>
      <c r="Y168" s="79">
        <v>6037.9189999999999</v>
      </c>
      <c r="Z168" s="79">
        <v>0</v>
      </c>
      <c r="AA168" s="80">
        <f t="shared" si="818"/>
        <v>6037.9189999999999</v>
      </c>
      <c r="AB168" s="79"/>
      <c r="AC168" s="88">
        <v>0</v>
      </c>
      <c r="AD168" s="94">
        <f t="shared" si="819"/>
        <v>0</v>
      </c>
      <c r="AE168" s="89">
        <v>0</v>
      </c>
      <c r="AF168" s="94">
        <f t="shared" si="820"/>
        <v>0</v>
      </c>
      <c r="AG168" s="89">
        <v>0</v>
      </c>
      <c r="AH168" s="94">
        <f t="shared" si="821"/>
        <v>0</v>
      </c>
      <c r="AI168" s="89">
        <v>0</v>
      </c>
      <c r="AJ168" s="94">
        <f>AI168/$B$6</f>
        <v>0</v>
      </c>
      <c r="AK168" s="89">
        <v>0</v>
      </c>
      <c r="AL168" s="94">
        <f>AK168/$B$7</f>
        <v>0</v>
      </c>
      <c r="AM168" s="89">
        <v>0</v>
      </c>
      <c r="AN168" s="94">
        <f t="shared" si="822"/>
        <v>0</v>
      </c>
      <c r="AO168" s="89">
        <v>0</v>
      </c>
      <c r="AP168" s="94">
        <f t="shared" si="823"/>
        <v>0</v>
      </c>
      <c r="AQ168" s="79"/>
      <c r="AR168" s="88">
        <v>63812.856599999999</v>
      </c>
      <c r="AS168" s="76">
        <v>2136.6999999999998</v>
      </c>
      <c r="AT168" s="88">
        <v>464.5</v>
      </c>
      <c r="AU168" s="100">
        <f t="shared" si="824"/>
        <v>0.71699999999999997</v>
      </c>
      <c r="AV168" s="100">
        <f t="shared" si="825"/>
        <v>0.92899999999999994</v>
      </c>
      <c r="AW168" s="100">
        <f t="shared" si="826"/>
        <v>0.92900000000000005</v>
      </c>
      <c r="AX168" s="94">
        <v>255.17</v>
      </c>
      <c r="AY168" s="76">
        <v>2712.9587999999999</v>
      </c>
      <c r="AZ168" s="100">
        <f>AX168/$B$9</f>
        <v>0.39499999999999996</v>
      </c>
      <c r="BA168" s="97">
        <f>AY168/$B$8</f>
        <v>0.23299999999999998</v>
      </c>
      <c r="BB168" s="88">
        <v>35189.4</v>
      </c>
      <c r="BC168" s="76">
        <v>21385.724999999999</v>
      </c>
      <c r="BD168" s="100">
        <f t="shared" si="827"/>
        <v>0.78900000000000003</v>
      </c>
      <c r="BE168" s="97">
        <f t="shared" si="828"/>
        <v>0.91099999999999992</v>
      </c>
      <c r="BG168" s="88">
        <v>928.423</v>
      </c>
      <c r="BH168" s="114">
        <f>BG168/$B$10</f>
        <v>0.37700007309169764</v>
      </c>
      <c r="BI168" s="115">
        <v>1023.155</v>
      </c>
      <c r="BJ168" s="114">
        <f>BI168/$B$11</f>
        <v>0.63668637212196633</v>
      </c>
      <c r="BK168" s="115">
        <v>1121.4780000000001</v>
      </c>
      <c r="BL168" s="114">
        <f t="shared" si="829"/>
        <v>0.5784392407674851</v>
      </c>
      <c r="BN168" s="111">
        <v>53641.616999999998</v>
      </c>
      <c r="BO168" s="114">
        <f t="shared" si="830"/>
        <v>0.77049180327868849</v>
      </c>
      <c r="BQ168" s="142">
        <v>27241.19</v>
      </c>
      <c r="BR168" s="131">
        <v>0</v>
      </c>
      <c r="BS168" s="143">
        <v>0</v>
      </c>
      <c r="BT168" s="105">
        <f t="shared" si="831"/>
        <v>0.83561932515337423</v>
      </c>
      <c r="BU168" s="20">
        <f t="shared" si="832"/>
        <v>0</v>
      </c>
      <c r="BV168" s="2">
        <v>0</v>
      </c>
      <c r="BW168" s="2">
        <v>0</v>
      </c>
      <c r="BX168" s="2">
        <v>0</v>
      </c>
      <c r="BY168" s="2">
        <v>3574.53</v>
      </c>
      <c r="BZ168" s="105">
        <f t="shared" si="833"/>
        <v>0.26521219765543852</v>
      </c>
      <c r="CA168" s="20">
        <f t="shared" si="834"/>
        <v>0</v>
      </c>
      <c r="CB168" s="131">
        <v>10800</v>
      </c>
      <c r="CC168" s="131">
        <v>0</v>
      </c>
      <c r="CE168" s="108">
        <v>-700</v>
      </c>
      <c r="CF168" s="153">
        <f t="shared" si="835"/>
        <v>0</v>
      </c>
      <c r="CG168" s="153">
        <v>4485</v>
      </c>
      <c r="CH168" s="153">
        <f t="shared" si="835"/>
        <v>4485</v>
      </c>
      <c r="CI168" s="153">
        <v>0</v>
      </c>
      <c r="CJ168" s="153">
        <f t="shared" ref="CJ168:CL168" si="1056">IF(CI168&gt;0,CI168,0)</f>
        <v>0</v>
      </c>
      <c r="CK168" s="153">
        <v>-5000</v>
      </c>
      <c r="CL168" s="153">
        <f t="shared" si="1056"/>
        <v>0</v>
      </c>
      <c r="CM168" s="153">
        <v>-5300</v>
      </c>
      <c r="CN168" s="153">
        <f t="shared" ref="CN168:CP168" si="1057">IF(CM168&gt;0,CM168,0)</f>
        <v>0</v>
      </c>
      <c r="CO168" s="153">
        <v>-4000</v>
      </c>
      <c r="CP168" s="153">
        <f t="shared" si="1057"/>
        <v>0</v>
      </c>
      <c r="CQ168" s="153">
        <v>-4800</v>
      </c>
      <c r="CR168" s="153">
        <f t="shared" ref="CR168:CT168" si="1058">IF(CQ168&gt;0,CQ168,0)</f>
        <v>0</v>
      </c>
      <c r="CS168" s="153">
        <v>37664.787803940002</v>
      </c>
      <c r="CT168" s="153">
        <f t="shared" si="1058"/>
        <v>37664.787803940002</v>
      </c>
      <c r="CU168" s="107">
        <f t="shared" si="839"/>
        <v>42149.787803940002</v>
      </c>
      <c r="CW168" s="108">
        <v>-700</v>
      </c>
      <c r="CX168" s="153">
        <f t="shared" si="840"/>
        <v>700</v>
      </c>
      <c r="CY168" s="153">
        <v>4485</v>
      </c>
      <c r="CZ168" s="153">
        <f t="shared" si="840"/>
        <v>0</v>
      </c>
      <c r="DA168" s="153">
        <v>0</v>
      </c>
      <c r="DB168" s="153">
        <f t="shared" ref="DB168:DD168" si="1059">IF(DA168&lt;0,-DA168,0)</f>
        <v>0</v>
      </c>
      <c r="DC168" s="153">
        <v>-5000</v>
      </c>
      <c r="DD168" s="153">
        <f t="shared" si="1059"/>
        <v>5000</v>
      </c>
      <c r="DE168" s="153">
        <v>-5300</v>
      </c>
      <c r="DF168" s="153">
        <f t="shared" ref="DF168:DH168" si="1060">IF(DE168&lt;0,-DE168,0)</f>
        <v>5300</v>
      </c>
      <c r="DG168" s="153">
        <v>-4000</v>
      </c>
      <c r="DH168" s="153">
        <f t="shared" si="1060"/>
        <v>4000</v>
      </c>
      <c r="DI168" s="153">
        <v>-4800</v>
      </c>
      <c r="DJ168" s="153">
        <f t="shared" ref="DJ168:DL168" si="1061">IF(DI168&lt;0,-DI168,0)</f>
        <v>4800</v>
      </c>
      <c r="DK168" s="153">
        <v>37664.787803940002</v>
      </c>
      <c r="DL168" s="153">
        <f t="shared" si="1061"/>
        <v>0</v>
      </c>
      <c r="DM168" s="107">
        <f t="shared" si="844"/>
        <v>19800</v>
      </c>
    </row>
    <row r="169" spans="13:117" s="5" customFormat="1" x14ac:dyDescent="0.35">
      <c r="M169" s="77">
        <f>1+M168</f>
        <v>167</v>
      </c>
      <c r="N169" s="78">
        <v>0</v>
      </c>
      <c r="O169" s="79">
        <v>0</v>
      </c>
      <c r="P169" s="79">
        <v>0</v>
      </c>
      <c r="Q169" s="79">
        <v>37244.283000000003</v>
      </c>
      <c r="R169" s="79">
        <v>1840.56683034</v>
      </c>
      <c r="S169" s="79">
        <f t="shared" si="816"/>
        <v>39084.849830340005</v>
      </c>
      <c r="T169" s="78">
        <v>0</v>
      </c>
      <c r="U169" s="79">
        <v>0</v>
      </c>
      <c r="V169" s="79">
        <v>0.44800000000000001</v>
      </c>
      <c r="W169" s="79">
        <v>0.27699999999999997</v>
      </c>
      <c r="X169" s="79">
        <f t="shared" si="817"/>
        <v>0.72499999999999998</v>
      </c>
      <c r="Y169" s="79">
        <v>6241.08</v>
      </c>
      <c r="Z169" s="79">
        <v>0</v>
      </c>
      <c r="AA169" s="80">
        <f t="shared" si="818"/>
        <v>6241.08</v>
      </c>
      <c r="AB169" s="79"/>
      <c r="AC169" s="88">
        <v>0</v>
      </c>
      <c r="AD169" s="94">
        <f t="shared" si="819"/>
        <v>0</v>
      </c>
      <c r="AE169" s="89">
        <v>0</v>
      </c>
      <c r="AF169" s="94">
        <f t="shared" si="820"/>
        <v>0</v>
      </c>
      <c r="AG169" s="89">
        <v>0</v>
      </c>
      <c r="AH169" s="94">
        <f t="shared" si="821"/>
        <v>0</v>
      </c>
      <c r="AI169" s="89">
        <v>0</v>
      </c>
      <c r="AJ169" s="94">
        <f>AI169/$B$6</f>
        <v>0</v>
      </c>
      <c r="AK169" s="89">
        <v>0</v>
      </c>
      <c r="AL169" s="94">
        <f>AK169/$B$7</f>
        <v>0</v>
      </c>
      <c r="AM169" s="89">
        <v>0</v>
      </c>
      <c r="AN169" s="94">
        <f t="shared" si="822"/>
        <v>0</v>
      </c>
      <c r="AO169" s="89">
        <v>0</v>
      </c>
      <c r="AP169" s="94">
        <f t="shared" si="823"/>
        <v>0</v>
      </c>
      <c r="AQ169" s="79"/>
      <c r="AR169" s="88">
        <v>65325.853199999998</v>
      </c>
      <c r="AS169" s="89">
        <v>2141.3000000000002</v>
      </c>
      <c r="AT169" s="88">
        <v>465.5</v>
      </c>
      <c r="AU169" s="100">
        <f t="shared" si="824"/>
        <v>0.73399999999999999</v>
      </c>
      <c r="AV169" s="100">
        <f t="shared" si="825"/>
        <v>0.93100000000000005</v>
      </c>
      <c r="AW169" s="100">
        <f t="shared" si="826"/>
        <v>0.93100000000000005</v>
      </c>
      <c r="AX169" s="94">
        <v>289.40800000000002</v>
      </c>
      <c r="AY169" s="76">
        <v>3225.2772</v>
      </c>
      <c r="AZ169" s="100">
        <f>AX169/$B$9</f>
        <v>0.44800000000000001</v>
      </c>
      <c r="BA169" s="97">
        <f>AY169/$B$8</f>
        <v>0.27699999999999997</v>
      </c>
      <c r="BB169" s="88">
        <v>34788</v>
      </c>
      <c r="BC169" s="76">
        <v>20423.25</v>
      </c>
      <c r="BD169" s="100">
        <f t="shared" si="827"/>
        <v>0.78</v>
      </c>
      <c r="BE169" s="97">
        <f t="shared" si="828"/>
        <v>0.87</v>
      </c>
      <c r="BG169" s="88">
        <v>918.572</v>
      </c>
      <c r="BH169" s="114">
        <f>BG169/$B$10</f>
        <v>0.37299992690830241</v>
      </c>
      <c r="BI169" s="115">
        <v>1026.3009999999999</v>
      </c>
      <c r="BJ169" s="114">
        <f>BI169/$B$11</f>
        <v>0.63864405724953321</v>
      </c>
      <c r="BK169" s="115">
        <v>1121.4780000000001</v>
      </c>
      <c r="BL169" s="114">
        <f t="shared" si="829"/>
        <v>0.5784392407674851</v>
      </c>
      <c r="BN169" s="111">
        <v>53641.616999999998</v>
      </c>
      <c r="BO169" s="114">
        <f t="shared" si="830"/>
        <v>0.77049180327868849</v>
      </c>
      <c r="BQ169" s="142">
        <v>27874.29</v>
      </c>
      <c r="BR169" s="131">
        <v>0</v>
      </c>
      <c r="BS169" s="143">
        <v>0</v>
      </c>
      <c r="BT169" s="105">
        <f t="shared" si="831"/>
        <v>0.8550395705521473</v>
      </c>
      <c r="BU169" s="20">
        <f t="shared" si="832"/>
        <v>0</v>
      </c>
      <c r="BV169" s="2">
        <v>0</v>
      </c>
      <c r="BW169" s="2">
        <v>0</v>
      </c>
      <c r="BX169" s="2">
        <v>0</v>
      </c>
      <c r="BY169" s="2">
        <v>4051.326</v>
      </c>
      <c r="BZ169" s="105">
        <f t="shared" si="833"/>
        <v>0.3005880694465054</v>
      </c>
      <c r="CA169" s="20">
        <f t="shared" si="834"/>
        <v>0</v>
      </c>
      <c r="CB169" s="131">
        <v>10800</v>
      </c>
      <c r="CC169" s="131">
        <v>0</v>
      </c>
      <c r="CE169" s="108">
        <v>-700</v>
      </c>
      <c r="CF169" s="153">
        <f t="shared" si="835"/>
        <v>0</v>
      </c>
      <c r="CG169" s="153">
        <v>4485</v>
      </c>
      <c r="CH169" s="153">
        <f t="shared" si="835"/>
        <v>4485</v>
      </c>
      <c r="CI169" s="153">
        <v>0</v>
      </c>
      <c r="CJ169" s="153">
        <f t="shared" ref="CJ169:CL169" si="1062">IF(CI169&gt;0,CI169,0)</f>
        <v>0</v>
      </c>
      <c r="CK169" s="153">
        <v>-5000</v>
      </c>
      <c r="CL169" s="153">
        <f t="shared" si="1062"/>
        <v>0</v>
      </c>
      <c r="CM169" s="153">
        <v>-5300</v>
      </c>
      <c r="CN169" s="153">
        <f t="shared" ref="CN169:CP169" si="1063">IF(CM169&gt;0,CM169,0)</f>
        <v>0</v>
      </c>
      <c r="CO169" s="153">
        <v>-4000</v>
      </c>
      <c r="CP169" s="153">
        <f t="shared" si="1063"/>
        <v>0</v>
      </c>
      <c r="CQ169" s="153">
        <v>-4800</v>
      </c>
      <c r="CR169" s="153">
        <f t="shared" ref="CR169:CT169" si="1064">IF(CQ169&gt;0,CQ169,0)</f>
        <v>0</v>
      </c>
      <c r="CS169" s="153">
        <v>16650.940186889999</v>
      </c>
      <c r="CT169" s="153">
        <f t="shared" si="1064"/>
        <v>16650.940186889999</v>
      </c>
      <c r="CU169" s="107">
        <f t="shared" si="839"/>
        <v>21135.940186889999</v>
      </c>
      <c r="CW169" s="108">
        <v>-700</v>
      </c>
      <c r="CX169" s="153">
        <f t="shared" si="840"/>
        <v>700</v>
      </c>
      <c r="CY169" s="153">
        <v>4485</v>
      </c>
      <c r="CZ169" s="153">
        <f t="shared" si="840"/>
        <v>0</v>
      </c>
      <c r="DA169" s="153">
        <v>0</v>
      </c>
      <c r="DB169" s="153">
        <f t="shared" ref="DB169:DD169" si="1065">IF(DA169&lt;0,-DA169,0)</f>
        <v>0</v>
      </c>
      <c r="DC169" s="153">
        <v>-5000</v>
      </c>
      <c r="DD169" s="153">
        <f t="shared" si="1065"/>
        <v>5000</v>
      </c>
      <c r="DE169" s="153">
        <v>-5300</v>
      </c>
      <c r="DF169" s="153">
        <f t="shared" ref="DF169:DH169" si="1066">IF(DE169&lt;0,-DE169,0)</f>
        <v>5300</v>
      </c>
      <c r="DG169" s="153">
        <v>-4000</v>
      </c>
      <c r="DH169" s="153">
        <f t="shared" si="1066"/>
        <v>4000</v>
      </c>
      <c r="DI169" s="153">
        <v>-4800</v>
      </c>
      <c r="DJ169" s="153">
        <f t="shared" ref="DJ169:DL169" si="1067">IF(DI169&lt;0,-DI169,0)</f>
        <v>4800</v>
      </c>
      <c r="DK169" s="153">
        <v>16650.940186889999</v>
      </c>
      <c r="DL169" s="153">
        <f t="shared" si="1067"/>
        <v>0</v>
      </c>
      <c r="DM169" s="107">
        <f t="shared" si="844"/>
        <v>19800</v>
      </c>
    </row>
    <row r="170" spans="13:117" s="5" customFormat="1" x14ac:dyDescent="0.35">
      <c r="M170" s="81">
        <f t="shared" ref="M170" si="1068">1+M169</f>
        <v>168</v>
      </c>
      <c r="N170" s="82">
        <v>0</v>
      </c>
      <c r="O170" s="83">
        <v>0</v>
      </c>
      <c r="P170" s="83">
        <v>0</v>
      </c>
      <c r="Q170" s="83">
        <v>34857.546000000002</v>
      </c>
      <c r="R170" s="83">
        <v>1545.00162452</v>
      </c>
      <c r="S170" s="83">
        <f t="shared" si="816"/>
        <v>36402.547624520004</v>
      </c>
      <c r="T170" s="82">
        <v>0</v>
      </c>
      <c r="U170" s="79">
        <v>0</v>
      </c>
      <c r="V170" s="83">
        <v>0.50900000000000001</v>
      </c>
      <c r="W170" s="83">
        <v>0.34899999999999998</v>
      </c>
      <c r="X170" s="79">
        <f t="shared" si="817"/>
        <v>0.85799999999999998</v>
      </c>
      <c r="Y170" s="83">
        <v>5886.9840000000004</v>
      </c>
      <c r="Z170" s="83">
        <v>0</v>
      </c>
      <c r="AA170" s="84">
        <f t="shared" si="818"/>
        <v>5886.9840000000004</v>
      </c>
      <c r="AB170" s="79"/>
      <c r="AC170" s="91">
        <v>0</v>
      </c>
      <c r="AD170" s="94">
        <f t="shared" si="819"/>
        <v>0</v>
      </c>
      <c r="AE170" s="92">
        <v>0</v>
      </c>
      <c r="AF170" s="94">
        <f t="shared" si="820"/>
        <v>0</v>
      </c>
      <c r="AG170" s="92">
        <v>0</v>
      </c>
      <c r="AH170" s="94">
        <f t="shared" si="821"/>
        <v>0</v>
      </c>
      <c r="AI170" s="92">
        <v>0</v>
      </c>
      <c r="AJ170" s="95">
        <f>AI170/$B$6</f>
        <v>0</v>
      </c>
      <c r="AK170" s="92">
        <v>0</v>
      </c>
      <c r="AL170" s="95">
        <f>AK170/$B$7</f>
        <v>0</v>
      </c>
      <c r="AM170" s="92">
        <v>0</v>
      </c>
      <c r="AN170" s="95">
        <f t="shared" si="822"/>
        <v>0</v>
      </c>
      <c r="AO170" s="92">
        <v>0</v>
      </c>
      <c r="AP170" s="94">
        <f t="shared" si="823"/>
        <v>0</v>
      </c>
      <c r="AQ170" s="79"/>
      <c r="AR170" s="91">
        <v>67016.849400000006</v>
      </c>
      <c r="AS170" s="92">
        <v>2159.6999999999998</v>
      </c>
      <c r="AT170" s="91">
        <v>469.5</v>
      </c>
      <c r="AU170" s="101">
        <f t="shared" si="824"/>
        <v>0.753</v>
      </c>
      <c r="AV170" s="101">
        <f t="shared" si="825"/>
        <v>0.93899999999999995</v>
      </c>
      <c r="AW170" s="101">
        <f t="shared" si="826"/>
        <v>0.93899999999999995</v>
      </c>
      <c r="AX170" s="95">
        <v>328.81400000000002</v>
      </c>
      <c r="AY170" s="92">
        <v>4063.6163999999999</v>
      </c>
      <c r="AZ170" s="101">
        <f>AX170/$B$9</f>
        <v>0.50900000000000001</v>
      </c>
      <c r="BA170" s="98">
        <f>AY170/$B$8</f>
        <v>0.34899999999999998</v>
      </c>
      <c r="BB170" s="91">
        <v>33673</v>
      </c>
      <c r="BC170" s="92">
        <v>18803.474999999999</v>
      </c>
      <c r="BD170" s="101">
        <f t="shared" si="827"/>
        <v>0.755</v>
      </c>
      <c r="BE170" s="98">
        <f t="shared" si="828"/>
        <v>0.80099999999999993</v>
      </c>
      <c r="BG170" s="91">
        <v>908.72199999999998</v>
      </c>
      <c r="BH170" s="116">
        <f>BG170/$B$10</f>
        <v>0.36900018678989388</v>
      </c>
      <c r="BI170" s="117">
        <v>1026.0419999999999</v>
      </c>
      <c r="BJ170" s="116">
        <f>BI170/$B$11</f>
        <v>0.63848288736776593</v>
      </c>
      <c r="BK170" s="117">
        <v>1121.4780000000001</v>
      </c>
      <c r="BL170" s="116">
        <f t="shared" si="829"/>
        <v>0.5784392407674851</v>
      </c>
      <c r="BN170" s="112">
        <v>53641.616999999998</v>
      </c>
      <c r="BO170" s="116">
        <f t="shared" si="830"/>
        <v>0.77049180327868849</v>
      </c>
      <c r="BQ170" s="144">
        <v>28610.690999999999</v>
      </c>
      <c r="BR170" s="7">
        <v>0</v>
      </c>
      <c r="BS170" s="145">
        <v>0</v>
      </c>
      <c r="BT170" s="106">
        <f t="shared" si="831"/>
        <v>0.87762855828220854</v>
      </c>
      <c r="BU170" s="21">
        <f t="shared" si="832"/>
        <v>0</v>
      </c>
      <c r="BV170" s="2">
        <v>0</v>
      </c>
      <c r="BW170" s="2">
        <v>0</v>
      </c>
      <c r="BX170" s="2">
        <v>0</v>
      </c>
      <c r="BY170" s="2">
        <v>4604.9589999999998</v>
      </c>
      <c r="BZ170" s="105">
        <f t="shared" si="833"/>
        <v>0.34166486125537915</v>
      </c>
      <c r="CA170" s="20">
        <f t="shared" si="834"/>
        <v>0</v>
      </c>
      <c r="CB170" s="131">
        <v>10800</v>
      </c>
      <c r="CC170" s="131">
        <v>0</v>
      </c>
      <c r="CE170" s="110">
        <v>-700</v>
      </c>
      <c r="CF170" s="154">
        <f t="shared" si="835"/>
        <v>0</v>
      </c>
      <c r="CG170" s="154">
        <v>4485</v>
      </c>
      <c r="CH170" s="154">
        <f t="shared" si="835"/>
        <v>4485</v>
      </c>
      <c r="CI170" s="154">
        <v>0</v>
      </c>
      <c r="CJ170" s="154">
        <f t="shared" ref="CJ170:CL170" si="1069">IF(CI170&gt;0,CI170,0)</f>
        <v>0</v>
      </c>
      <c r="CK170" s="154">
        <v>-5000</v>
      </c>
      <c r="CL170" s="154">
        <f t="shared" si="1069"/>
        <v>0</v>
      </c>
      <c r="CM170" s="154">
        <v>-5300</v>
      </c>
      <c r="CN170" s="154">
        <f t="shared" ref="CN170:CP170" si="1070">IF(CM170&gt;0,CM170,0)</f>
        <v>0</v>
      </c>
      <c r="CO170" s="154">
        <v>-4000</v>
      </c>
      <c r="CP170" s="154">
        <f t="shared" si="1070"/>
        <v>0</v>
      </c>
      <c r="CQ170" s="154">
        <v>-4800</v>
      </c>
      <c r="CR170" s="154">
        <f t="shared" ref="CR170:CT170" si="1071">IF(CQ170&gt;0,CQ170,0)</f>
        <v>0</v>
      </c>
      <c r="CS170" s="154">
        <v>14539.764416599999</v>
      </c>
      <c r="CT170" s="154">
        <f t="shared" si="1071"/>
        <v>14539.764416599999</v>
      </c>
      <c r="CU170" s="109">
        <f t="shared" si="839"/>
        <v>19024.764416599999</v>
      </c>
      <c r="CW170" s="110">
        <v>-700</v>
      </c>
      <c r="CX170" s="153">
        <f t="shared" si="840"/>
        <v>700</v>
      </c>
      <c r="CY170" s="154">
        <v>4485</v>
      </c>
      <c r="CZ170" s="153">
        <f t="shared" si="840"/>
        <v>0</v>
      </c>
      <c r="DA170" s="154">
        <v>0</v>
      </c>
      <c r="DB170" s="153">
        <f t="shared" ref="DB170:DD170" si="1072">IF(DA170&lt;0,-DA170,0)</f>
        <v>0</v>
      </c>
      <c r="DC170" s="154">
        <v>-5000</v>
      </c>
      <c r="DD170" s="153">
        <f t="shared" si="1072"/>
        <v>5000</v>
      </c>
      <c r="DE170" s="154">
        <v>-5300</v>
      </c>
      <c r="DF170" s="153">
        <f t="shared" ref="DF170:DH170" si="1073">IF(DE170&lt;0,-DE170,0)</f>
        <v>5300</v>
      </c>
      <c r="DG170" s="154">
        <v>-4000</v>
      </c>
      <c r="DH170" s="153">
        <f t="shared" si="1073"/>
        <v>4000</v>
      </c>
      <c r="DI170" s="154">
        <v>-4800</v>
      </c>
      <c r="DJ170" s="153">
        <f t="shared" ref="DJ170:DL170" si="1074">IF(DI170&lt;0,-DI170,0)</f>
        <v>4800</v>
      </c>
      <c r="DK170" s="154">
        <v>14539.764416599999</v>
      </c>
      <c r="DL170" s="153">
        <f t="shared" si="1074"/>
        <v>0</v>
      </c>
      <c r="DM170" s="109">
        <f t="shared" si="844"/>
        <v>19800</v>
      </c>
    </row>
    <row r="171" spans="13:117" s="5" customFormat="1" x14ac:dyDescent="0.35">
      <c r="N171" s="44"/>
      <c r="O171" s="44"/>
      <c r="P171" s="44"/>
      <c r="Q171" s="44"/>
      <c r="R171" s="44"/>
      <c r="S171" s="44"/>
      <c r="T171" s="44"/>
      <c r="U171" s="44"/>
      <c r="V171" s="18"/>
      <c r="W171" s="18"/>
      <c r="X171" s="18"/>
      <c r="Y171" s="44"/>
      <c r="Z171" s="44"/>
      <c r="AA171" s="44"/>
      <c r="AB171" s="44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44"/>
      <c r="AR171" s="89"/>
      <c r="AS171" s="89"/>
      <c r="AT171" s="89"/>
      <c r="AU171" s="128"/>
      <c r="AV171" s="128"/>
      <c r="AW171" s="128"/>
      <c r="AX171" s="76"/>
      <c r="AY171" s="76"/>
      <c r="AZ171" s="44"/>
      <c r="BA171" s="44"/>
      <c r="BB171" s="76"/>
      <c r="BC171" s="76"/>
      <c r="BD171" s="44"/>
      <c r="BE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2"/>
      <c r="BS171" s="2"/>
      <c r="BV171" s="2"/>
      <c r="BW171" s="2"/>
      <c r="BX171" s="2"/>
      <c r="BY171" s="2"/>
      <c r="BZ171" s="105"/>
      <c r="CA171" s="20"/>
      <c r="CB171" s="131"/>
      <c r="CC171" s="131"/>
      <c r="CE171" s="131"/>
      <c r="CF171" s="131"/>
      <c r="CG171" s="131"/>
      <c r="CH171" s="131"/>
      <c r="CI171" s="131"/>
      <c r="CJ171" s="131"/>
      <c r="CK171" s="131"/>
      <c r="CL171" s="131"/>
      <c r="CM171" s="131"/>
      <c r="CN171" s="131"/>
      <c r="CO171" s="131"/>
      <c r="CP171" s="131"/>
      <c r="CQ171" s="131"/>
      <c r="CR171" s="131"/>
      <c r="CS171" s="131"/>
      <c r="CT171" s="131"/>
      <c r="CW171" s="131"/>
      <c r="CX171" s="131"/>
      <c r="CY171" s="131"/>
      <c r="CZ171" s="131"/>
      <c r="DA171" s="131"/>
      <c r="DB171" s="131"/>
      <c r="DC171" s="131"/>
      <c r="DD171" s="131"/>
      <c r="DE171" s="131"/>
      <c r="DF171" s="131"/>
      <c r="DG171" s="131"/>
      <c r="DH171" s="131"/>
      <c r="DI171" s="131"/>
      <c r="DJ171" s="131"/>
      <c r="DK171" s="131"/>
      <c r="DL171" s="131"/>
    </row>
    <row r="172" spans="13:117" x14ac:dyDescent="0.35">
      <c r="BI172" s="44"/>
      <c r="BJ172" s="44"/>
      <c r="BK172" s="44"/>
      <c r="BL172" s="44"/>
      <c r="BM172" s="44"/>
      <c r="BN172" s="44"/>
      <c r="BO172" s="44"/>
      <c r="BP172" s="44"/>
      <c r="BR172" s="5"/>
      <c r="BZ172" s="105"/>
      <c r="CA172" s="20"/>
    </row>
    <row r="173" spans="13:117" x14ac:dyDescent="0.35">
      <c r="BZ173" s="105"/>
      <c r="CA173" s="20"/>
    </row>
    <row r="174" spans="13:117" x14ac:dyDescent="0.35">
      <c r="BZ174" s="105"/>
      <c r="CA174" s="20"/>
    </row>
    <row r="175" spans="13:117" x14ac:dyDescent="0.35">
      <c r="BZ175" s="105"/>
      <c r="CA175" s="20"/>
    </row>
    <row r="176" spans="13:117" x14ac:dyDescent="0.35">
      <c r="BZ176" s="105"/>
      <c r="CA176" s="20"/>
    </row>
    <row r="177" spans="78:79" x14ac:dyDescent="0.35">
      <c r="BZ177" s="105"/>
      <c r="CA177" s="20"/>
    </row>
    <row r="178" spans="78:79" x14ac:dyDescent="0.35">
      <c r="BZ178" s="105"/>
      <c r="CA178" s="20"/>
    </row>
    <row r="179" spans="78:79" x14ac:dyDescent="0.35">
      <c r="BZ179" s="105"/>
      <c r="CA179" s="20"/>
    </row>
    <row r="180" spans="78:79" x14ac:dyDescent="0.35">
      <c r="BZ180" s="105"/>
      <c r="CA180" s="20"/>
    </row>
    <row r="181" spans="78:79" x14ac:dyDescent="0.35">
      <c r="BZ181" s="105"/>
      <c r="CA181" s="20"/>
    </row>
    <row r="182" spans="78:79" x14ac:dyDescent="0.35">
      <c r="BZ182" s="105"/>
      <c r="CA182" s="20"/>
    </row>
    <row r="183" spans="78:79" x14ac:dyDescent="0.35">
      <c r="BZ183" s="105"/>
      <c r="CA183" s="20"/>
    </row>
    <row r="184" spans="78:79" x14ac:dyDescent="0.35">
      <c r="BZ184" s="105"/>
      <c r="CA184" s="20"/>
    </row>
    <row r="185" spans="78:79" x14ac:dyDescent="0.35">
      <c r="BZ185" s="105"/>
      <c r="CA185" s="20"/>
    </row>
    <row r="186" spans="78:79" x14ac:dyDescent="0.35">
      <c r="BZ186" s="105"/>
      <c r="CA186" s="20"/>
    </row>
    <row r="187" spans="78:79" x14ac:dyDescent="0.35">
      <c r="BZ187" s="105"/>
      <c r="CA187" s="20"/>
    </row>
    <row r="188" spans="78:79" x14ac:dyDescent="0.35">
      <c r="BZ188" s="105"/>
      <c r="CA188" s="20"/>
    </row>
    <row r="189" spans="78:79" x14ac:dyDescent="0.35">
      <c r="BZ189" s="105"/>
      <c r="CA189" s="20"/>
    </row>
    <row r="190" spans="78:79" x14ac:dyDescent="0.35">
      <c r="BZ190" s="105"/>
      <c r="CA190" s="20"/>
    </row>
    <row r="191" spans="78:79" x14ac:dyDescent="0.35">
      <c r="BZ191" s="105"/>
      <c r="CA191" s="20"/>
    </row>
    <row r="192" spans="78:79" x14ac:dyDescent="0.35">
      <c r="BZ192" s="105"/>
      <c r="CA192" s="20"/>
    </row>
    <row r="193" spans="78:79" x14ac:dyDescent="0.35">
      <c r="BZ193" s="105"/>
      <c r="CA193" s="20"/>
    </row>
    <row r="194" spans="78:79" x14ac:dyDescent="0.35">
      <c r="BZ194" s="105"/>
      <c r="CA194" s="20"/>
    </row>
    <row r="195" spans="78:79" x14ac:dyDescent="0.35">
      <c r="BZ195" s="105"/>
      <c r="CA195" s="20"/>
    </row>
    <row r="196" spans="78:79" x14ac:dyDescent="0.35">
      <c r="BZ196" s="105"/>
      <c r="CA196" s="20"/>
    </row>
    <row r="197" spans="78:79" x14ac:dyDescent="0.35">
      <c r="BZ197" s="105"/>
      <c r="CA197" s="20"/>
    </row>
    <row r="198" spans="78:79" x14ac:dyDescent="0.35">
      <c r="BZ198" s="105"/>
      <c r="CA198" s="20"/>
    </row>
    <row r="199" spans="78:79" x14ac:dyDescent="0.35">
      <c r="BZ199" s="105"/>
      <c r="CA199" s="20"/>
    </row>
    <row r="200" spans="78:79" x14ac:dyDescent="0.35">
      <c r="BZ200" s="105"/>
      <c r="CA200" s="20"/>
    </row>
    <row r="201" spans="78:79" x14ac:dyDescent="0.35">
      <c r="BZ201" s="105"/>
      <c r="CA201" s="20"/>
    </row>
    <row r="202" spans="78:79" x14ac:dyDescent="0.35">
      <c r="BZ202" s="105"/>
      <c r="CA202" s="20"/>
    </row>
    <row r="203" spans="78:79" x14ac:dyDescent="0.35">
      <c r="BZ203" s="105"/>
      <c r="CA203" s="20"/>
    </row>
    <row r="204" spans="78:79" x14ac:dyDescent="0.35">
      <c r="BZ204" s="105"/>
      <c r="CA204" s="20"/>
    </row>
    <row r="205" spans="78:79" x14ac:dyDescent="0.35">
      <c r="BZ205" s="105"/>
      <c r="CA205" s="20"/>
    </row>
    <row r="206" spans="78:79" x14ac:dyDescent="0.35">
      <c r="BZ206" s="105"/>
      <c r="CA206" s="20"/>
    </row>
    <row r="207" spans="78:79" x14ac:dyDescent="0.35">
      <c r="BZ207" s="105"/>
      <c r="CA207" s="20"/>
    </row>
    <row r="208" spans="78:79" x14ac:dyDescent="0.35">
      <c r="BZ208" s="105"/>
      <c r="CA208" s="20"/>
    </row>
    <row r="209" spans="78:79" x14ac:dyDescent="0.35">
      <c r="BZ209" s="105"/>
      <c r="CA209" s="20"/>
    </row>
    <row r="210" spans="78:79" x14ac:dyDescent="0.35">
      <c r="BZ210" s="105"/>
      <c r="CA210" s="20"/>
    </row>
    <row r="211" spans="78:79" x14ac:dyDescent="0.35">
      <c r="BZ211" s="105"/>
      <c r="CA211" s="20"/>
    </row>
    <row r="212" spans="78:79" x14ac:dyDescent="0.35">
      <c r="BZ212" s="105"/>
      <c r="CA212" s="20"/>
    </row>
    <row r="213" spans="78:79" x14ac:dyDescent="0.35">
      <c r="BZ213" s="105"/>
      <c r="CA213" s="20"/>
    </row>
    <row r="214" spans="78:79" x14ac:dyDescent="0.35">
      <c r="BZ214" s="105"/>
      <c r="CA214" s="20"/>
    </row>
    <row r="215" spans="78:79" x14ac:dyDescent="0.35">
      <c r="BZ215" s="105"/>
      <c r="CA215" s="20"/>
    </row>
    <row r="216" spans="78:79" x14ac:dyDescent="0.35">
      <c r="BZ216" s="105"/>
      <c r="CA216" s="20"/>
    </row>
    <row r="217" spans="78:79" x14ac:dyDescent="0.35">
      <c r="BZ217" s="105"/>
      <c r="CA217" s="20"/>
    </row>
    <row r="218" spans="78:79" x14ac:dyDescent="0.35">
      <c r="BZ218" s="105"/>
      <c r="CA218" s="20"/>
    </row>
    <row r="219" spans="78:79" x14ac:dyDescent="0.35">
      <c r="BZ219" s="105"/>
      <c r="CA219" s="20"/>
    </row>
    <row r="220" spans="78:79" x14ac:dyDescent="0.35">
      <c r="BZ220" s="105"/>
      <c r="CA220" s="20"/>
    </row>
    <row r="221" spans="78:79" x14ac:dyDescent="0.35">
      <c r="BZ221" s="105"/>
      <c r="CA221" s="20"/>
    </row>
    <row r="222" spans="78:79" x14ac:dyDescent="0.35">
      <c r="BZ222" s="105"/>
      <c r="CA222" s="20"/>
    </row>
    <row r="223" spans="78:79" x14ac:dyDescent="0.35">
      <c r="BZ223" s="105"/>
      <c r="CA223" s="20"/>
    </row>
    <row r="224" spans="78:79" x14ac:dyDescent="0.35">
      <c r="BZ224" s="105"/>
      <c r="CA224" s="20"/>
    </row>
    <row r="225" spans="78:79" x14ac:dyDescent="0.35">
      <c r="BZ225" s="105"/>
      <c r="CA225" s="20"/>
    </row>
    <row r="226" spans="78:79" x14ac:dyDescent="0.35">
      <c r="BZ226" s="105"/>
      <c r="CA226" s="20"/>
    </row>
    <row r="227" spans="78:79" x14ac:dyDescent="0.35">
      <c r="BZ227" s="105"/>
      <c r="CA227" s="20"/>
    </row>
    <row r="228" spans="78:79" x14ac:dyDescent="0.35">
      <c r="BZ228" s="105"/>
      <c r="CA228" s="20"/>
    </row>
    <row r="229" spans="78:79" x14ac:dyDescent="0.35">
      <c r="BZ229" s="105"/>
      <c r="CA229" s="20"/>
    </row>
    <row r="230" spans="78:79" x14ac:dyDescent="0.35">
      <c r="BZ230" s="105"/>
      <c r="CA230" s="20"/>
    </row>
    <row r="231" spans="78:79" x14ac:dyDescent="0.35">
      <c r="BZ231" s="105"/>
      <c r="CA231" s="20"/>
    </row>
    <row r="232" spans="78:79" x14ac:dyDescent="0.35">
      <c r="BZ232" s="105"/>
      <c r="CA232" s="20"/>
    </row>
    <row r="233" spans="78:79" x14ac:dyDescent="0.35">
      <c r="BZ233" s="105"/>
      <c r="CA233" s="20"/>
    </row>
    <row r="234" spans="78:79" x14ac:dyDescent="0.35">
      <c r="BZ234" s="105"/>
      <c r="CA234" s="20"/>
    </row>
    <row r="235" spans="78:79" x14ac:dyDescent="0.35">
      <c r="BZ235" s="105"/>
      <c r="CA235" s="20"/>
    </row>
    <row r="236" spans="78:79" x14ac:dyDescent="0.35">
      <c r="BZ236" s="105"/>
      <c r="CA236" s="20"/>
    </row>
    <row r="237" spans="78:79" x14ac:dyDescent="0.35">
      <c r="BZ237" s="105"/>
      <c r="CA237" s="20"/>
    </row>
    <row r="238" spans="78:79" x14ac:dyDescent="0.35">
      <c r="BZ238" s="105"/>
      <c r="CA238" s="20"/>
    </row>
    <row r="239" spans="78:79" x14ac:dyDescent="0.35">
      <c r="BZ239" s="105"/>
      <c r="CA239" s="20"/>
    </row>
    <row r="240" spans="78:79" x14ac:dyDescent="0.35">
      <c r="BZ240" s="105"/>
      <c r="CA240" s="20"/>
    </row>
    <row r="241" spans="78:79" x14ac:dyDescent="0.35">
      <c r="BZ241" s="105"/>
      <c r="CA241" s="20"/>
    </row>
    <row r="242" spans="78:79" x14ac:dyDescent="0.35">
      <c r="BZ242" s="105"/>
      <c r="CA242" s="20"/>
    </row>
    <row r="243" spans="78:79" x14ac:dyDescent="0.35">
      <c r="BZ243" s="105"/>
      <c r="CA243" s="20"/>
    </row>
    <row r="244" spans="78:79" x14ac:dyDescent="0.35">
      <c r="BZ244" s="105"/>
      <c r="CA244" s="20"/>
    </row>
    <row r="245" spans="78:79" x14ac:dyDescent="0.35">
      <c r="BZ245" s="105"/>
      <c r="CA245" s="20"/>
    </row>
    <row r="246" spans="78:79" x14ac:dyDescent="0.35">
      <c r="BZ246" s="105"/>
      <c r="CA246" s="20"/>
    </row>
    <row r="247" spans="78:79" x14ac:dyDescent="0.35">
      <c r="BZ247" s="105"/>
      <c r="CA247" s="20"/>
    </row>
    <row r="248" spans="78:79" x14ac:dyDescent="0.35">
      <c r="BZ248" s="105"/>
      <c r="CA248" s="20"/>
    </row>
    <row r="249" spans="78:79" x14ac:dyDescent="0.35">
      <c r="BZ249" s="105"/>
      <c r="CA249" s="20"/>
    </row>
    <row r="250" spans="78:79" x14ac:dyDescent="0.35">
      <c r="BZ250" s="105"/>
      <c r="CA250" s="20"/>
    </row>
    <row r="251" spans="78:79" x14ac:dyDescent="0.35">
      <c r="BZ251" s="105"/>
      <c r="CA251" s="20"/>
    </row>
    <row r="252" spans="78:79" x14ac:dyDescent="0.35">
      <c r="BZ252" s="105"/>
      <c r="CA252" s="20"/>
    </row>
    <row r="253" spans="78:79" x14ac:dyDescent="0.35">
      <c r="BZ253" s="105"/>
      <c r="CA253" s="20"/>
    </row>
    <row r="254" spans="78:79" x14ac:dyDescent="0.35">
      <c r="BZ254" s="105"/>
      <c r="CA254" s="20"/>
    </row>
    <row r="255" spans="78:79" x14ac:dyDescent="0.35">
      <c r="BZ255" s="105"/>
      <c r="CA255" s="20"/>
    </row>
    <row r="256" spans="78:79" x14ac:dyDescent="0.35">
      <c r="BZ256" s="105"/>
      <c r="CA256" s="20"/>
    </row>
    <row r="257" spans="78:79" x14ac:dyDescent="0.35">
      <c r="BZ257" s="105"/>
      <c r="CA257" s="20"/>
    </row>
    <row r="258" spans="78:79" x14ac:dyDescent="0.35">
      <c r="BZ258" s="105"/>
      <c r="CA258" s="20"/>
    </row>
    <row r="259" spans="78:79" x14ac:dyDescent="0.35">
      <c r="BZ259" s="105"/>
      <c r="CA259" s="20"/>
    </row>
    <row r="260" spans="78:79" x14ac:dyDescent="0.35">
      <c r="BZ260" s="105"/>
      <c r="CA260" s="20"/>
    </row>
    <row r="261" spans="78:79" x14ac:dyDescent="0.35">
      <c r="BZ261" s="105"/>
      <c r="CA261" s="20"/>
    </row>
    <row r="262" spans="78:79" x14ac:dyDescent="0.35">
      <c r="BZ262" s="105"/>
      <c r="CA262" s="20"/>
    </row>
    <row r="263" spans="78:79" x14ac:dyDescent="0.35">
      <c r="BZ263" s="105"/>
      <c r="CA263" s="20"/>
    </row>
    <row r="264" spans="78:79" x14ac:dyDescent="0.35">
      <c r="BZ264" s="105"/>
      <c r="CA264" s="20"/>
    </row>
    <row r="265" spans="78:79" x14ac:dyDescent="0.35">
      <c r="BZ265" s="105"/>
      <c r="CA265" s="20"/>
    </row>
    <row r="266" spans="78:79" x14ac:dyDescent="0.35">
      <c r="BZ266" s="105"/>
      <c r="CA266" s="20"/>
    </row>
    <row r="267" spans="78:79" x14ac:dyDescent="0.35">
      <c r="BZ267" s="105"/>
      <c r="CA267" s="20"/>
    </row>
    <row r="268" spans="78:79" x14ac:dyDescent="0.35">
      <c r="BZ268" s="105"/>
      <c r="CA268" s="20"/>
    </row>
    <row r="269" spans="78:79" x14ac:dyDescent="0.35">
      <c r="BZ269" s="105"/>
      <c r="CA269" s="20"/>
    </row>
    <row r="270" spans="78:79" x14ac:dyDescent="0.35">
      <c r="BZ270" s="105"/>
      <c r="CA270" s="20"/>
    </row>
    <row r="271" spans="78:79" x14ac:dyDescent="0.35">
      <c r="BZ271" s="105"/>
      <c r="CA271" s="20"/>
    </row>
    <row r="272" spans="78:79" x14ac:dyDescent="0.35">
      <c r="BZ272" s="105"/>
      <c r="CA272" s="20"/>
    </row>
    <row r="273" spans="78:79" x14ac:dyDescent="0.35">
      <c r="BZ273" s="105"/>
      <c r="CA273" s="20"/>
    </row>
    <row r="274" spans="78:79" x14ac:dyDescent="0.35">
      <c r="BZ274" s="105"/>
      <c r="CA274" s="20"/>
    </row>
    <row r="275" spans="78:79" x14ac:dyDescent="0.35">
      <c r="BZ275" s="105"/>
      <c r="CA275" s="20"/>
    </row>
    <row r="276" spans="78:79" x14ac:dyDescent="0.35">
      <c r="BZ276" s="105"/>
      <c r="CA276" s="20"/>
    </row>
    <row r="277" spans="78:79" x14ac:dyDescent="0.35">
      <c r="BZ277" s="105"/>
      <c r="CA277" s="20"/>
    </row>
    <row r="278" spans="78:79" x14ac:dyDescent="0.35">
      <c r="BZ278" s="105"/>
      <c r="CA278" s="20"/>
    </row>
    <row r="279" spans="78:79" x14ac:dyDescent="0.35">
      <c r="BZ279" s="105"/>
      <c r="CA279" s="20"/>
    </row>
    <row r="280" spans="78:79" x14ac:dyDescent="0.35">
      <c r="BZ280" s="105"/>
      <c r="CA280" s="20"/>
    </row>
    <row r="281" spans="78:79" x14ac:dyDescent="0.35">
      <c r="BZ281" s="105"/>
      <c r="CA281" s="20"/>
    </row>
    <row r="282" spans="78:79" x14ac:dyDescent="0.35">
      <c r="BZ282" s="105"/>
      <c r="CA282" s="20"/>
    </row>
    <row r="283" spans="78:79" x14ac:dyDescent="0.35">
      <c r="BZ283" s="105"/>
      <c r="CA283" s="20"/>
    </row>
    <row r="284" spans="78:79" x14ac:dyDescent="0.35">
      <c r="BZ284" s="105"/>
      <c r="CA284" s="20"/>
    </row>
    <row r="285" spans="78:79" x14ac:dyDescent="0.35">
      <c r="BZ285" s="105"/>
      <c r="CA285" s="20"/>
    </row>
    <row r="286" spans="78:79" x14ac:dyDescent="0.35">
      <c r="BZ286" s="105"/>
      <c r="CA286" s="20"/>
    </row>
    <row r="287" spans="78:79" x14ac:dyDescent="0.35">
      <c r="BZ287" s="105"/>
      <c r="CA287" s="20"/>
    </row>
    <row r="288" spans="78:79" x14ac:dyDescent="0.35">
      <c r="BZ288" s="105"/>
      <c r="CA288" s="20"/>
    </row>
    <row r="289" spans="78:79" x14ac:dyDescent="0.35">
      <c r="BZ289" s="105"/>
      <c r="CA289" s="20"/>
    </row>
    <row r="290" spans="78:79" x14ac:dyDescent="0.35">
      <c r="BZ290" s="105"/>
      <c r="CA290" s="20"/>
    </row>
    <row r="291" spans="78:79" x14ac:dyDescent="0.35">
      <c r="BZ291" s="105"/>
      <c r="CA291" s="20"/>
    </row>
    <row r="292" spans="78:79" x14ac:dyDescent="0.35">
      <c r="BZ292" s="105"/>
      <c r="CA292" s="20"/>
    </row>
    <row r="293" spans="78:79" x14ac:dyDescent="0.35">
      <c r="BZ293" s="105"/>
      <c r="CA293" s="20"/>
    </row>
    <row r="294" spans="78:79" x14ac:dyDescent="0.35">
      <c r="BZ294" s="105"/>
      <c r="CA294" s="20"/>
    </row>
    <row r="295" spans="78:79" x14ac:dyDescent="0.35">
      <c r="BZ295" s="105"/>
      <c r="CA295" s="20"/>
    </row>
    <row r="296" spans="78:79" x14ac:dyDescent="0.35">
      <c r="BZ296" s="105"/>
      <c r="CA296" s="20"/>
    </row>
    <row r="297" spans="78:79" x14ac:dyDescent="0.35">
      <c r="BZ297" s="105"/>
      <c r="CA297" s="20"/>
    </row>
    <row r="298" spans="78:79" x14ac:dyDescent="0.35">
      <c r="BZ298" s="105"/>
      <c r="CA298" s="20"/>
    </row>
    <row r="299" spans="78:79" x14ac:dyDescent="0.35">
      <c r="BZ299" s="105"/>
      <c r="CA299" s="20"/>
    </row>
    <row r="300" spans="78:79" x14ac:dyDescent="0.35">
      <c r="BZ300" s="105"/>
      <c r="CA300" s="20"/>
    </row>
    <row r="301" spans="78:79" x14ac:dyDescent="0.35">
      <c r="BZ301" s="105"/>
      <c r="CA301" s="20"/>
    </row>
    <row r="302" spans="78:79" x14ac:dyDescent="0.35">
      <c r="BZ302" s="105"/>
      <c r="CA302" s="20"/>
    </row>
    <row r="303" spans="78:79" x14ac:dyDescent="0.35">
      <c r="BZ303" s="105"/>
      <c r="CA303" s="20"/>
    </row>
    <row r="304" spans="78:79" x14ac:dyDescent="0.35">
      <c r="BZ304" s="105"/>
      <c r="CA304" s="20"/>
    </row>
    <row r="305" spans="78:79" x14ac:dyDescent="0.35">
      <c r="BZ305" s="105"/>
      <c r="CA305" s="20"/>
    </row>
    <row r="306" spans="78:79" x14ac:dyDescent="0.35">
      <c r="BZ306" s="105"/>
      <c r="CA306" s="20"/>
    </row>
    <row r="307" spans="78:79" x14ac:dyDescent="0.35">
      <c r="BZ307" s="105"/>
      <c r="CA307" s="20"/>
    </row>
    <row r="308" spans="78:79" x14ac:dyDescent="0.35">
      <c r="BZ308" s="105"/>
      <c r="CA308" s="20"/>
    </row>
    <row r="309" spans="78:79" x14ac:dyDescent="0.35">
      <c r="BZ309" s="105"/>
      <c r="CA309" s="20"/>
    </row>
    <row r="310" spans="78:79" x14ac:dyDescent="0.35">
      <c r="BZ310" s="105"/>
      <c r="CA310" s="20"/>
    </row>
    <row r="311" spans="78:79" x14ac:dyDescent="0.35">
      <c r="BZ311" s="105"/>
      <c r="CA311" s="20"/>
    </row>
    <row r="312" spans="78:79" x14ac:dyDescent="0.35">
      <c r="BZ312" s="105"/>
      <c r="CA312" s="20"/>
    </row>
    <row r="313" spans="78:79" x14ac:dyDescent="0.35">
      <c r="BZ313" s="105"/>
      <c r="CA313" s="20"/>
    </row>
    <row r="314" spans="78:79" x14ac:dyDescent="0.35">
      <c r="BZ314" s="105"/>
      <c r="CA314" s="20"/>
    </row>
    <row r="315" spans="78:79" x14ac:dyDescent="0.35">
      <c r="BZ315" s="105"/>
      <c r="CA315" s="20"/>
    </row>
    <row r="316" spans="78:79" x14ac:dyDescent="0.35">
      <c r="BZ316" s="105"/>
      <c r="CA316" s="20"/>
    </row>
    <row r="317" spans="78:79" x14ac:dyDescent="0.35">
      <c r="BZ317" s="105"/>
      <c r="CA317" s="20"/>
    </row>
    <row r="318" spans="78:79" x14ac:dyDescent="0.35">
      <c r="BZ318" s="105"/>
      <c r="CA318" s="20"/>
    </row>
    <row r="319" spans="78:79" x14ac:dyDescent="0.35">
      <c r="BZ319" s="105"/>
      <c r="CA319" s="20"/>
    </row>
    <row r="320" spans="78:79" x14ac:dyDescent="0.35">
      <c r="BZ320" s="105"/>
      <c r="CA320" s="20"/>
    </row>
    <row r="321" spans="78:79" x14ac:dyDescent="0.35">
      <c r="BZ321" s="105"/>
      <c r="CA321" s="20"/>
    </row>
    <row r="322" spans="78:79" x14ac:dyDescent="0.35">
      <c r="BZ322" s="105"/>
      <c r="CA322" s="20"/>
    </row>
    <row r="323" spans="78:79" x14ac:dyDescent="0.35">
      <c r="BZ323" s="105"/>
      <c r="CA323" s="20"/>
    </row>
    <row r="324" spans="78:79" x14ac:dyDescent="0.35">
      <c r="BZ324" s="105"/>
      <c r="CA324" s="20"/>
    </row>
    <row r="325" spans="78:79" x14ac:dyDescent="0.35">
      <c r="BZ325" s="105"/>
      <c r="CA325" s="20"/>
    </row>
    <row r="326" spans="78:79" x14ac:dyDescent="0.35">
      <c r="BZ326" s="105"/>
      <c r="CA326" s="20"/>
    </row>
    <row r="327" spans="78:79" x14ac:dyDescent="0.35">
      <c r="BZ327" s="105"/>
      <c r="CA327" s="20"/>
    </row>
    <row r="328" spans="78:79" x14ac:dyDescent="0.35">
      <c r="BZ328" s="105"/>
      <c r="CA328" s="20"/>
    </row>
    <row r="329" spans="78:79" x14ac:dyDescent="0.35">
      <c r="BZ329" s="105"/>
      <c r="CA329" s="20"/>
    </row>
    <row r="330" spans="78:79" x14ac:dyDescent="0.35">
      <c r="BZ330" s="105"/>
      <c r="CA330" s="20"/>
    </row>
    <row r="331" spans="78:79" x14ac:dyDescent="0.35">
      <c r="BZ331" s="105"/>
      <c r="CA331" s="20"/>
    </row>
    <row r="332" spans="78:79" x14ac:dyDescent="0.35">
      <c r="BZ332" s="105"/>
      <c r="CA332" s="20"/>
    </row>
    <row r="333" spans="78:79" x14ac:dyDescent="0.35">
      <c r="BZ333" s="105"/>
      <c r="CA333" s="20"/>
    </row>
    <row r="334" spans="78:79" x14ac:dyDescent="0.35">
      <c r="BZ334" s="105"/>
      <c r="CA334" s="20"/>
    </row>
    <row r="335" spans="78:79" x14ac:dyDescent="0.35">
      <c r="BZ335" s="105"/>
      <c r="CA335" s="20"/>
    </row>
    <row r="336" spans="78:79" x14ac:dyDescent="0.35">
      <c r="BZ336" s="105"/>
      <c r="CA336" s="20"/>
    </row>
    <row r="337" spans="78:79" x14ac:dyDescent="0.35">
      <c r="BZ337" s="105"/>
      <c r="CA337" s="20"/>
    </row>
    <row r="338" spans="78:79" x14ac:dyDescent="0.35">
      <c r="BZ338" s="105"/>
      <c r="CA338" s="20"/>
    </row>
    <row r="339" spans="78:79" x14ac:dyDescent="0.35">
      <c r="BZ339" s="105"/>
      <c r="CA339" s="20"/>
    </row>
    <row r="340" spans="78:79" x14ac:dyDescent="0.35">
      <c r="BZ340" s="105"/>
      <c r="CA340" s="20"/>
    </row>
    <row r="341" spans="78:79" x14ac:dyDescent="0.35">
      <c r="BZ341" s="105"/>
      <c r="CA341" s="20"/>
    </row>
    <row r="342" spans="78:79" x14ac:dyDescent="0.35">
      <c r="BZ342" s="105"/>
      <c r="CA342" s="20"/>
    </row>
    <row r="343" spans="78:79" x14ac:dyDescent="0.35">
      <c r="BZ343" s="105"/>
      <c r="CA343" s="20"/>
    </row>
    <row r="344" spans="78:79" x14ac:dyDescent="0.35">
      <c r="BZ344" s="105"/>
      <c r="CA344" s="20"/>
    </row>
    <row r="345" spans="78:79" x14ac:dyDescent="0.35">
      <c r="BZ345" s="105"/>
      <c r="CA345" s="20"/>
    </row>
    <row r="346" spans="78:79" x14ac:dyDescent="0.35">
      <c r="BZ346" s="105"/>
      <c r="CA346" s="20"/>
    </row>
    <row r="347" spans="78:79" x14ac:dyDescent="0.35">
      <c r="BZ347" s="105"/>
      <c r="CA347" s="20"/>
    </row>
    <row r="348" spans="78:79" x14ac:dyDescent="0.35">
      <c r="BZ348" s="105"/>
      <c r="CA348" s="20"/>
    </row>
    <row r="349" spans="78:79" x14ac:dyDescent="0.35">
      <c r="BZ349" s="105"/>
      <c r="CA349" s="20"/>
    </row>
    <row r="350" spans="78:79" x14ac:dyDescent="0.35">
      <c r="BZ350" s="105"/>
      <c r="CA350" s="20"/>
    </row>
    <row r="351" spans="78:79" x14ac:dyDescent="0.35">
      <c r="BZ351" s="105"/>
      <c r="CA351" s="20"/>
    </row>
    <row r="352" spans="78:79" x14ac:dyDescent="0.35">
      <c r="BZ352" s="105"/>
      <c r="CA352" s="20"/>
    </row>
    <row r="353" spans="78:79" x14ac:dyDescent="0.35">
      <c r="BZ353" s="105"/>
      <c r="CA353" s="20"/>
    </row>
    <row r="354" spans="78:79" x14ac:dyDescent="0.35">
      <c r="BZ354" s="105"/>
      <c r="CA354" s="20"/>
    </row>
    <row r="355" spans="78:79" x14ac:dyDescent="0.35">
      <c r="BZ355" s="105"/>
      <c r="CA355" s="20"/>
    </row>
    <row r="356" spans="78:79" x14ac:dyDescent="0.35">
      <c r="BZ356" s="105"/>
      <c r="CA356" s="20"/>
    </row>
    <row r="357" spans="78:79" x14ac:dyDescent="0.35">
      <c r="BZ357" s="105"/>
      <c r="CA357" s="20"/>
    </row>
    <row r="358" spans="78:79" x14ac:dyDescent="0.35">
      <c r="BZ358" s="105"/>
      <c r="CA358" s="20"/>
    </row>
    <row r="359" spans="78:79" x14ac:dyDescent="0.35">
      <c r="BZ359" s="105"/>
      <c r="CA359" s="20"/>
    </row>
    <row r="360" spans="78:79" x14ac:dyDescent="0.35">
      <c r="BZ360" s="105"/>
      <c r="CA360" s="20"/>
    </row>
    <row r="361" spans="78:79" x14ac:dyDescent="0.35">
      <c r="BZ361" s="105"/>
      <c r="CA361" s="20"/>
    </row>
    <row r="362" spans="78:79" x14ac:dyDescent="0.35">
      <c r="BZ362" s="105"/>
      <c r="CA362" s="20"/>
    </row>
    <row r="363" spans="78:79" x14ac:dyDescent="0.35">
      <c r="BZ363" s="105"/>
      <c r="CA363" s="20"/>
    </row>
    <row r="364" spans="78:79" x14ac:dyDescent="0.35">
      <c r="BZ364" s="105"/>
      <c r="CA364" s="20"/>
    </row>
    <row r="365" spans="78:79" x14ac:dyDescent="0.35">
      <c r="BZ365" s="105"/>
      <c r="CA365" s="20"/>
    </row>
    <row r="366" spans="78:79" x14ac:dyDescent="0.35">
      <c r="BZ366" s="105"/>
      <c r="CA366" s="20"/>
    </row>
    <row r="367" spans="78:79" x14ac:dyDescent="0.35">
      <c r="BZ367" s="105"/>
      <c r="CA367" s="20"/>
    </row>
    <row r="368" spans="78:79" x14ac:dyDescent="0.35">
      <c r="BZ368" s="105"/>
      <c r="CA368" s="20"/>
    </row>
    <row r="369" spans="78:79" x14ac:dyDescent="0.35">
      <c r="BZ369" s="105"/>
      <c r="CA369" s="20"/>
    </row>
    <row r="370" spans="78:79" x14ac:dyDescent="0.35">
      <c r="BZ370" s="105"/>
      <c r="CA370" s="20"/>
    </row>
    <row r="371" spans="78:79" x14ac:dyDescent="0.35">
      <c r="BZ371" s="105"/>
      <c r="CA371" s="20"/>
    </row>
    <row r="372" spans="78:79" x14ac:dyDescent="0.35">
      <c r="BZ372" s="105"/>
      <c r="CA372" s="20"/>
    </row>
    <row r="373" spans="78:79" x14ac:dyDescent="0.35">
      <c r="BZ373" s="105"/>
      <c r="CA373" s="20"/>
    </row>
    <row r="374" spans="78:79" x14ac:dyDescent="0.35">
      <c r="BZ374" s="105"/>
      <c r="CA374" s="20"/>
    </row>
    <row r="375" spans="78:79" x14ac:dyDescent="0.35">
      <c r="BZ375" s="105"/>
      <c r="CA375" s="20"/>
    </row>
    <row r="376" spans="78:79" x14ac:dyDescent="0.35">
      <c r="BZ376" s="105"/>
      <c r="CA376" s="20"/>
    </row>
    <row r="377" spans="78:79" x14ac:dyDescent="0.35">
      <c r="BZ377" s="105"/>
      <c r="CA377" s="20"/>
    </row>
    <row r="378" spans="78:79" x14ac:dyDescent="0.35">
      <c r="BZ378" s="105"/>
      <c r="CA378" s="20"/>
    </row>
    <row r="379" spans="78:79" x14ac:dyDescent="0.35">
      <c r="BZ379" s="105"/>
      <c r="CA379" s="20"/>
    </row>
    <row r="380" spans="78:79" x14ac:dyDescent="0.35">
      <c r="BZ380" s="105"/>
      <c r="CA380" s="20"/>
    </row>
    <row r="381" spans="78:79" x14ac:dyDescent="0.35">
      <c r="BZ381" s="105"/>
      <c r="CA381" s="20"/>
    </row>
    <row r="382" spans="78:79" x14ac:dyDescent="0.35">
      <c r="BZ382" s="105"/>
      <c r="CA382" s="20"/>
    </row>
    <row r="383" spans="78:79" x14ac:dyDescent="0.35">
      <c r="BZ383" s="105"/>
      <c r="CA383" s="20"/>
    </row>
    <row r="384" spans="78:79" x14ac:dyDescent="0.35">
      <c r="BZ384" s="105"/>
      <c r="CA384" s="20"/>
    </row>
    <row r="385" spans="78:79" x14ac:dyDescent="0.35">
      <c r="BZ385" s="105"/>
      <c r="CA385" s="20"/>
    </row>
    <row r="386" spans="78:79" x14ac:dyDescent="0.35">
      <c r="BZ386" s="105"/>
      <c r="CA386" s="20"/>
    </row>
    <row r="387" spans="78:79" x14ac:dyDescent="0.35">
      <c r="BZ387" s="105"/>
      <c r="CA387" s="20"/>
    </row>
    <row r="388" spans="78:79" x14ac:dyDescent="0.35">
      <c r="BZ388" s="105"/>
      <c r="CA388" s="20"/>
    </row>
    <row r="389" spans="78:79" x14ac:dyDescent="0.35">
      <c r="BZ389" s="105"/>
      <c r="CA389" s="20"/>
    </row>
    <row r="390" spans="78:79" x14ac:dyDescent="0.35">
      <c r="BZ390" s="105"/>
      <c r="CA390" s="20"/>
    </row>
    <row r="391" spans="78:79" x14ac:dyDescent="0.35">
      <c r="BZ391" s="105"/>
      <c r="CA391" s="20"/>
    </row>
    <row r="392" spans="78:79" x14ac:dyDescent="0.35">
      <c r="BZ392" s="105"/>
      <c r="CA392" s="20"/>
    </row>
    <row r="393" spans="78:79" x14ac:dyDescent="0.35">
      <c r="BZ393" s="105"/>
      <c r="CA393" s="20"/>
    </row>
    <row r="394" spans="78:79" x14ac:dyDescent="0.35">
      <c r="BZ394" s="105"/>
      <c r="CA394" s="20"/>
    </row>
    <row r="395" spans="78:79" x14ac:dyDescent="0.35">
      <c r="BZ395" s="105"/>
      <c r="CA395" s="20"/>
    </row>
    <row r="396" spans="78:79" x14ac:dyDescent="0.35">
      <c r="BZ396" s="105"/>
      <c r="CA396" s="20"/>
    </row>
    <row r="397" spans="78:79" x14ac:dyDescent="0.35">
      <c r="BZ397" s="105"/>
      <c r="CA397" s="20"/>
    </row>
    <row r="398" spans="78:79" x14ac:dyDescent="0.35">
      <c r="BZ398" s="105"/>
      <c r="CA398" s="20"/>
    </row>
    <row r="399" spans="78:79" x14ac:dyDescent="0.35">
      <c r="BZ399" s="105"/>
      <c r="CA399" s="20"/>
    </row>
    <row r="400" spans="78:79" x14ac:dyDescent="0.35">
      <c r="BZ400" s="105"/>
      <c r="CA400" s="20"/>
    </row>
    <row r="401" spans="78:79" x14ac:dyDescent="0.35">
      <c r="BZ401" s="105"/>
      <c r="CA401" s="20"/>
    </row>
    <row r="402" spans="78:79" x14ac:dyDescent="0.35">
      <c r="BZ402" s="105"/>
      <c r="CA402" s="20"/>
    </row>
    <row r="403" spans="78:79" x14ac:dyDescent="0.35">
      <c r="BZ403" s="105"/>
      <c r="CA403" s="20"/>
    </row>
    <row r="404" spans="78:79" x14ac:dyDescent="0.35">
      <c r="BZ404" s="105"/>
      <c r="CA404" s="20"/>
    </row>
    <row r="405" spans="78:79" x14ac:dyDescent="0.35">
      <c r="BZ405" s="105"/>
      <c r="CA405" s="20"/>
    </row>
    <row r="406" spans="78:79" x14ac:dyDescent="0.35">
      <c r="BZ406" s="105"/>
      <c r="CA406" s="20"/>
    </row>
    <row r="407" spans="78:79" x14ac:dyDescent="0.35">
      <c r="BZ407" s="105"/>
      <c r="CA407" s="20"/>
    </row>
    <row r="408" spans="78:79" x14ac:dyDescent="0.35">
      <c r="BZ408" s="105"/>
      <c r="CA408" s="20"/>
    </row>
    <row r="409" spans="78:79" x14ac:dyDescent="0.35">
      <c r="BZ409" s="105"/>
      <c r="CA409" s="20"/>
    </row>
    <row r="410" spans="78:79" x14ac:dyDescent="0.35">
      <c r="BZ410" s="105"/>
      <c r="CA410" s="20"/>
    </row>
    <row r="411" spans="78:79" x14ac:dyDescent="0.35">
      <c r="BZ411" s="105"/>
      <c r="CA411" s="20"/>
    </row>
    <row r="412" spans="78:79" x14ac:dyDescent="0.35">
      <c r="BZ412" s="105"/>
      <c r="CA412" s="20"/>
    </row>
    <row r="413" spans="78:79" x14ac:dyDescent="0.35">
      <c r="BZ413" s="105"/>
      <c r="CA413" s="20"/>
    </row>
    <row r="414" spans="78:79" x14ac:dyDescent="0.35">
      <c r="BZ414" s="105"/>
      <c r="CA414" s="20"/>
    </row>
    <row r="415" spans="78:79" x14ac:dyDescent="0.35">
      <c r="BZ415" s="105"/>
      <c r="CA415" s="20"/>
    </row>
    <row r="416" spans="78:79" x14ac:dyDescent="0.35">
      <c r="BZ416" s="105"/>
      <c r="CA416" s="20"/>
    </row>
    <row r="417" spans="78:79" x14ac:dyDescent="0.35">
      <c r="BZ417" s="105"/>
      <c r="CA417" s="20"/>
    </row>
    <row r="418" spans="78:79" x14ac:dyDescent="0.35">
      <c r="BZ418" s="105"/>
      <c r="CA418" s="20"/>
    </row>
    <row r="419" spans="78:79" x14ac:dyDescent="0.35">
      <c r="BZ419" s="105"/>
      <c r="CA419" s="20"/>
    </row>
    <row r="420" spans="78:79" x14ac:dyDescent="0.35">
      <c r="BZ420" s="105"/>
      <c r="CA420" s="20"/>
    </row>
    <row r="421" spans="78:79" x14ac:dyDescent="0.35">
      <c r="BZ421" s="105"/>
      <c r="CA421" s="20"/>
    </row>
    <row r="422" spans="78:79" x14ac:dyDescent="0.35">
      <c r="BZ422" s="105"/>
      <c r="CA422" s="20"/>
    </row>
    <row r="423" spans="78:79" x14ac:dyDescent="0.35">
      <c r="BZ423" s="105"/>
      <c r="CA423" s="20"/>
    </row>
    <row r="424" spans="78:79" x14ac:dyDescent="0.35">
      <c r="BZ424" s="105"/>
      <c r="CA424" s="20"/>
    </row>
    <row r="425" spans="78:79" x14ac:dyDescent="0.35">
      <c r="BZ425" s="105"/>
      <c r="CA425" s="20"/>
    </row>
    <row r="426" spans="78:79" x14ac:dyDescent="0.35">
      <c r="BZ426" s="105"/>
      <c r="CA426" s="20"/>
    </row>
    <row r="427" spans="78:79" x14ac:dyDescent="0.35">
      <c r="BZ427" s="105"/>
      <c r="CA427" s="20"/>
    </row>
    <row r="428" spans="78:79" x14ac:dyDescent="0.35">
      <c r="BZ428" s="105"/>
      <c r="CA428" s="20"/>
    </row>
    <row r="429" spans="78:79" x14ac:dyDescent="0.35">
      <c r="BZ429" s="105"/>
      <c r="CA429" s="20"/>
    </row>
    <row r="430" spans="78:79" x14ac:dyDescent="0.35">
      <c r="BZ430" s="105"/>
      <c r="CA430" s="20"/>
    </row>
    <row r="431" spans="78:79" x14ac:dyDescent="0.35">
      <c r="BZ431" s="105"/>
      <c r="CA431" s="20"/>
    </row>
    <row r="432" spans="78:79" x14ac:dyDescent="0.35">
      <c r="BZ432" s="105"/>
      <c r="CA432" s="20"/>
    </row>
    <row r="433" spans="78:79" x14ac:dyDescent="0.35">
      <c r="BZ433" s="105"/>
      <c r="CA433" s="20"/>
    </row>
    <row r="434" spans="78:79" x14ac:dyDescent="0.35">
      <c r="BZ434" s="105"/>
      <c r="CA434" s="20"/>
    </row>
    <row r="435" spans="78:79" x14ac:dyDescent="0.35">
      <c r="BZ435" s="105"/>
      <c r="CA435" s="20"/>
    </row>
    <row r="436" spans="78:79" x14ac:dyDescent="0.35">
      <c r="BZ436" s="105"/>
      <c r="CA436" s="20"/>
    </row>
    <row r="437" spans="78:79" x14ac:dyDescent="0.35">
      <c r="BZ437" s="105"/>
      <c r="CA437" s="20"/>
    </row>
    <row r="438" spans="78:79" x14ac:dyDescent="0.35">
      <c r="BZ438" s="105"/>
      <c r="CA438" s="20"/>
    </row>
    <row r="439" spans="78:79" x14ac:dyDescent="0.35">
      <c r="BZ439" s="105"/>
      <c r="CA439" s="20"/>
    </row>
    <row r="440" spans="78:79" x14ac:dyDescent="0.35">
      <c r="BZ440" s="105"/>
      <c r="CA440" s="20"/>
    </row>
    <row r="441" spans="78:79" x14ac:dyDescent="0.35">
      <c r="BZ441" s="105"/>
      <c r="CA441" s="20"/>
    </row>
    <row r="442" spans="78:79" x14ac:dyDescent="0.35">
      <c r="BZ442" s="105"/>
      <c r="CA442" s="20"/>
    </row>
    <row r="443" spans="78:79" x14ac:dyDescent="0.35">
      <c r="BZ443" s="105"/>
      <c r="CA443" s="20"/>
    </row>
    <row r="444" spans="78:79" x14ac:dyDescent="0.35">
      <c r="BZ444" s="105"/>
      <c r="CA444" s="20"/>
    </row>
    <row r="445" spans="78:79" x14ac:dyDescent="0.35">
      <c r="BZ445" s="105"/>
      <c r="CA445" s="20"/>
    </row>
    <row r="446" spans="78:79" x14ac:dyDescent="0.35">
      <c r="BZ446" s="105"/>
      <c r="CA446" s="20"/>
    </row>
    <row r="447" spans="78:79" x14ac:dyDescent="0.35">
      <c r="BZ447" s="105"/>
      <c r="CA447" s="20"/>
    </row>
    <row r="448" spans="78:79" x14ac:dyDescent="0.35">
      <c r="BZ448" s="105"/>
      <c r="CA448" s="20"/>
    </row>
    <row r="449" spans="78:79" x14ac:dyDescent="0.35">
      <c r="BZ449" s="105"/>
      <c r="CA449" s="20"/>
    </row>
    <row r="450" spans="78:79" x14ac:dyDescent="0.35">
      <c r="BZ450" s="105"/>
      <c r="CA450" s="20"/>
    </row>
    <row r="451" spans="78:79" x14ac:dyDescent="0.35">
      <c r="BZ451" s="105"/>
      <c r="CA451" s="20"/>
    </row>
    <row r="452" spans="78:79" x14ac:dyDescent="0.35">
      <c r="BZ452" s="105"/>
      <c r="CA452" s="20"/>
    </row>
    <row r="453" spans="78:79" x14ac:dyDescent="0.35">
      <c r="BZ453" s="105"/>
      <c r="CA453" s="20"/>
    </row>
    <row r="454" spans="78:79" x14ac:dyDescent="0.35">
      <c r="BZ454" s="105"/>
      <c r="CA454" s="20"/>
    </row>
    <row r="455" spans="78:79" x14ac:dyDescent="0.35">
      <c r="BZ455" s="105"/>
      <c r="CA455" s="20"/>
    </row>
    <row r="456" spans="78:79" x14ac:dyDescent="0.35">
      <c r="BZ456" s="105"/>
      <c r="CA456" s="20"/>
    </row>
    <row r="457" spans="78:79" x14ac:dyDescent="0.35">
      <c r="BZ457" s="105"/>
      <c r="CA457" s="20"/>
    </row>
    <row r="458" spans="78:79" x14ac:dyDescent="0.35">
      <c r="BZ458" s="105"/>
      <c r="CA458" s="20"/>
    </row>
    <row r="459" spans="78:79" x14ac:dyDescent="0.35">
      <c r="BZ459" s="105"/>
      <c r="CA459" s="20"/>
    </row>
    <row r="460" spans="78:79" x14ac:dyDescent="0.35">
      <c r="BZ460" s="105"/>
      <c r="CA460" s="20"/>
    </row>
    <row r="461" spans="78:79" x14ac:dyDescent="0.35">
      <c r="BZ461" s="105"/>
      <c r="CA461" s="20"/>
    </row>
    <row r="462" spans="78:79" x14ac:dyDescent="0.35">
      <c r="BZ462" s="105"/>
      <c r="CA462" s="20"/>
    </row>
    <row r="463" spans="78:79" x14ac:dyDescent="0.35">
      <c r="BZ463" s="105"/>
      <c r="CA463" s="20"/>
    </row>
    <row r="464" spans="78:79" x14ac:dyDescent="0.35">
      <c r="BZ464" s="105"/>
      <c r="CA464" s="20"/>
    </row>
    <row r="465" spans="78:79" x14ac:dyDescent="0.35">
      <c r="BZ465" s="105"/>
      <c r="CA465" s="20"/>
    </row>
    <row r="466" spans="78:79" x14ac:dyDescent="0.35">
      <c r="BZ466" s="105"/>
      <c r="CA466" s="20"/>
    </row>
    <row r="467" spans="78:79" x14ac:dyDescent="0.35">
      <c r="BZ467" s="105"/>
      <c r="CA467" s="20"/>
    </row>
    <row r="468" spans="78:79" x14ac:dyDescent="0.35">
      <c r="BZ468" s="105"/>
      <c r="CA468" s="20"/>
    </row>
    <row r="469" spans="78:79" x14ac:dyDescent="0.35">
      <c r="BZ469" s="105"/>
      <c r="CA469" s="20"/>
    </row>
    <row r="470" spans="78:79" x14ac:dyDescent="0.35">
      <c r="BZ470" s="105"/>
      <c r="CA470" s="20"/>
    </row>
    <row r="471" spans="78:79" x14ac:dyDescent="0.35">
      <c r="BZ471" s="105"/>
      <c r="CA471" s="20"/>
    </row>
    <row r="472" spans="78:79" x14ac:dyDescent="0.35">
      <c r="BZ472" s="105"/>
      <c r="CA472" s="20"/>
    </row>
    <row r="473" spans="78:79" x14ac:dyDescent="0.35">
      <c r="BZ473" s="105"/>
      <c r="CA473" s="20"/>
    </row>
    <row r="474" spans="78:79" x14ac:dyDescent="0.35">
      <c r="BZ474" s="105"/>
      <c r="CA474" s="20"/>
    </row>
    <row r="475" spans="78:79" x14ac:dyDescent="0.35">
      <c r="BZ475" s="105"/>
      <c r="CA475" s="20"/>
    </row>
    <row r="476" spans="78:79" x14ac:dyDescent="0.35">
      <c r="BZ476" s="105"/>
      <c r="CA476" s="20"/>
    </row>
    <row r="477" spans="78:79" x14ac:dyDescent="0.35">
      <c r="BZ477" s="105"/>
      <c r="CA477" s="20"/>
    </row>
    <row r="478" spans="78:79" x14ac:dyDescent="0.35">
      <c r="BZ478" s="105"/>
      <c r="CA478" s="20"/>
    </row>
    <row r="479" spans="78:79" x14ac:dyDescent="0.35">
      <c r="BZ479" s="105"/>
      <c r="CA479" s="20"/>
    </row>
    <row r="480" spans="78:79" x14ac:dyDescent="0.35">
      <c r="BZ480" s="105"/>
      <c r="CA480" s="20"/>
    </row>
    <row r="481" spans="78:79" x14ac:dyDescent="0.35">
      <c r="BZ481" s="105"/>
      <c r="CA481" s="20"/>
    </row>
    <row r="482" spans="78:79" x14ac:dyDescent="0.35">
      <c r="BZ482" s="105"/>
      <c r="CA482" s="20"/>
    </row>
    <row r="483" spans="78:79" x14ac:dyDescent="0.35">
      <c r="BZ483" s="105"/>
      <c r="CA483" s="20"/>
    </row>
    <row r="484" spans="78:79" x14ac:dyDescent="0.35">
      <c r="BZ484" s="105"/>
      <c r="CA484" s="20"/>
    </row>
    <row r="485" spans="78:79" x14ac:dyDescent="0.35">
      <c r="BZ485" s="105"/>
      <c r="CA485" s="20"/>
    </row>
    <row r="486" spans="78:79" x14ac:dyDescent="0.35">
      <c r="BZ486" s="105"/>
      <c r="CA486" s="20"/>
    </row>
    <row r="487" spans="78:79" x14ac:dyDescent="0.35">
      <c r="BZ487" s="105"/>
      <c r="CA487" s="20"/>
    </row>
    <row r="488" spans="78:79" x14ac:dyDescent="0.35">
      <c r="BZ488" s="105"/>
      <c r="CA488" s="20"/>
    </row>
    <row r="489" spans="78:79" x14ac:dyDescent="0.35">
      <c r="BZ489" s="105"/>
      <c r="CA489" s="20"/>
    </row>
    <row r="490" spans="78:79" x14ac:dyDescent="0.35">
      <c r="BZ490" s="105"/>
      <c r="CA490" s="20"/>
    </row>
    <row r="491" spans="78:79" x14ac:dyDescent="0.35">
      <c r="BZ491" s="105"/>
      <c r="CA491" s="20"/>
    </row>
    <row r="492" spans="78:79" x14ac:dyDescent="0.35">
      <c r="BZ492" s="105"/>
      <c r="CA492" s="20"/>
    </row>
    <row r="493" spans="78:79" x14ac:dyDescent="0.35">
      <c r="BZ493" s="105"/>
      <c r="CA493" s="20"/>
    </row>
    <row r="494" spans="78:79" x14ac:dyDescent="0.35">
      <c r="BZ494" s="105"/>
      <c r="CA494" s="20"/>
    </row>
    <row r="495" spans="78:79" x14ac:dyDescent="0.35">
      <c r="BZ495" s="105"/>
      <c r="CA495" s="20"/>
    </row>
    <row r="496" spans="78:79" x14ac:dyDescent="0.35">
      <c r="BZ496" s="105"/>
      <c r="CA496" s="20"/>
    </row>
    <row r="497" spans="78:79" x14ac:dyDescent="0.35">
      <c r="BZ497" s="105"/>
      <c r="CA497" s="20"/>
    </row>
    <row r="498" spans="78:79" x14ac:dyDescent="0.35">
      <c r="BZ498" s="105"/>
      <c r="CA498" s="20"/>
    </row>
    <row r="499" spans="78:79" x14ac:dyDescent="0.35">
      <c r="BZ499" s="105"/>
      <c r="CA499" s="20"/>
    </row>
    <row r="500" spans="78:79" x14ac:dyDescent="0.35">
      <c r="BZ500" s="105"/>
      <c r="CA500" s="20"/>
    </row>
    <row r="501" spans="78:79" x14ac:dyDescent="0.35">
      <c r="BZ501" s="105"/>
      <c r="CA501" s="20"/>
    </row>
    <row r="502" spans="78:79" x14ac:dyDescent="0.35">
      <c r="BZ502" s="105"/>
      <c r="CA502" s="20"/>
    </row>
    <row r="503" spans="78:79" x14ac:dyDescent="0.35">
      <c r="BZ503" s="105"/>
      <c r="CA503" s="20"/>
    </row>
    <row r="504" spans="78:79" x14ac:dyDescent="0.35">
      <c r="BZ504" s="105"/>
      <c r="CA504" s="20"/>
    </row>
    <row r="505" spans="78:79" x14ac:dyDescent="0.35">
      <c r="BZ505" s="105"/>
      <c r="CA505" s="20"/>
    </row>
    <row r="506" spans="78:79" x14ac:dyDescent="0.35">
      <c r="BZ506" s="105"/>
      <c r="CA506" s="20"/>
    </row>
    <row r="507" spans="78:79" x14ac:dyDescent="0.35">
      <c r="BZ507" s="105"/>
      <c r="CA507" s="20"/>
    </row>
    <row r="508" spans="78:79" x14ac:dyDescent="0.35">
      <c r="BZ508" s="105"/>
      <c r="CA508" s="20"/>
    </row>
    <row r="509" spans="78:79" x14ac:dyDescent="0.35">
      <c r="BZ509" s="105"/>
      <c r="CA509" s="20"/>
    </row>
    <row r="510" spans="78:79" x14ac:dyDescent="0.35">
      <c r="BZ510" s="105"/>
      <c r="CA510" s="20"/>
    </row>
    <row r="511" spans="78:79" x14ac:dyDescent="0.35">
      <c r="BZ511" s="105"/>
      <c r="CA511" s="20"/>
    </row>
    <row r="512" spans="78:79" x14ac:dyDescent="0.35">
      <c r="BZ512" s="105"/>
      <c r="CA512" s="20"/>
    </row>
    <row r="513" spans="78:79" x14ac:dyDescent="0.35">
      <c r="BZ513" s="105"/>
      <c r="CA513" s="20"/>
    </row>
    <row r="514" spans="78:79" x14ac:dyDescent="0.35">
      <c r="BZ514" s="105"/>
      <c r="CA514" s="20"/>
    </row>
    <row r="515" spans="78:79" x14ac:dyDescent="0.35">
      <c r="BZ515" s="105"/>
      <c r="CA515" s="20"/>
    </row>
    <row r="516" spans="78:79" x14ac:dyDescent="0.35">
      <c r="BZ516" s="105"/>
      <c r="CA516" s="20"/>
    </row>
    <row r="517" spans="78:79" x14ac:dyDescent="0.35">
      <c r="BZ517" s="105"/>
      <c r="CA517" s="20"/>
    </row>
    <row r="518" spans="78:79" x14ac:dyDescent="0.35">
      <c r="BZ518" s="105"/>
      <c r="CA518" s="20"/>
    </row>
    <row r="519" spans="78:79" x14ac:dyDescent="0.35">
      <c r="BZ519" s="105"/>
      <c r="CA519" s="20"/>
    </row>
    <row r="520" spans="78:79" x14ac:dyDescent="0.35">
      <c r="BZ520" s="105"/>
      <c r="CA520" s="20"/>
    </row>
    <row r="521" spans="78:79" x14ac:dyDescent="0.35">
      <c r="BZ521" s="105"/>
      <c r="CA521" s="20"/>
    </row>
    <row r="522" spans="78:79" x14ac:dyDescent="0.35">
      <c r="BZ522" s="105"/>
      <c r="CA522" s="20"/>
    </row>
    <row r="523" spans="78:79" x14ac:dyDescent="0.35">
      <c r="BZ523" s="105"/>
      <c r="CA523" s="20"/>
    </row>
    <row r="524" spans="78:79" x14ac:dyDescent="0.35">
      <c r="BZ524" s="105"/>
      <c r="CA524" s="20"/>
    </row>
    <row r="525" spans="78:79" x14ac:dyDescent="0.35">
      <c r="BZ525" s="105"/>
      <c r="CA525" s="20"/>
    </row>
    <row r="526" spans="78:79" x14ac:dyDescent="0.35">
      <c r="BZ526" s="105"/>
      <c r="CA526" s="20"/>
    </row>
    <row r="527" spans="78:79" x14ac:dyDescent="0.35">
      <c r="BZ527" s="105"/>
      <c r="CA527" s="20"/>
    </row>
    <row r="528" spans="78:79" x14ac:dyDescent="0.35">
      <c r="BZ528" s="105"/>
      <c r="CA528" s="20"/>
    </row>
    <row r="529" spans="78:79" x14ac:dyDescent="0.35">
      <c r="BZ529" s="105"/>
      <c r="CA529" s="20"/>
    </row>
    <row r="530" spans="78:79" x14ac:dyDescent="0.35">
      <c r="BZ530" s="105"/>
      <c r="CA530" s="20"/>
    </row>
    <row r="531" spans="78:79" x14ac:dyDescent="0.35">
      <c r="BZ531" s="105"/>
      <c r="CA531" s="20"/>
    </row>
    <row r="532" spans="78:79" x14ac:dyDescent="0.35">
      <c r="BZ532" s="105"/>
      <c r="CA532" s="20"/>
    </row>
    <row r="533" spans="78:79" x14ac:dyDescent="0.35">
      <c r="BZ533" s="105"/>
      <c r="CA533" s="20"/>
    </row>
    <row r="534" spans="78:79" x14ac:dyDescent="0.35">
      <c r="BZ534" s="105"/>
      <c r="CA534" s="20"/>
    </row>
    <row r="535" spans="78:79" x14ac:dyDescent="0.35">
      <c r="BZ535" s="105"/>
      <c r="CA535" s="20"/>
    </row>
    <row r="536" spans="78:79" x14ac:dyDescent="0.35">
      <c r="BZ536" s="105"/>
      <c r="CA536" s="20"/>
    </row>
    <row r="537" spans="78:79" x14ac:dyDescent="0.35">
      <c r="BZ537" s="105"/>
      <c r="CA537" s="20"/>
    </row>
    <row r="538" spans="78:79" x14ac:dyDescent="0.35">
      <c r="BZ538" s="105"/>
      <c r="CA538" s="20"/>
    </row>
    <row r="539" spans="78:79" x14ac:dyDescent="0.35">
      <c r="BZ539" s="105"/>
      <c r="CA539" s="20"/>
    </row>
    <row r="540" spans="78:79" x14ac:dyDescent="0.35">
      <c r="BZ540" s="105"/>
      <c r="CA540" s="20"/>
    </row>
    <row r="541" spans="78:79" x14ac:dyDescent="0.35">
      <c r="BZ541" s="105"/>
      <c r="CA541" s="20"/>
    </row>
    <row r="542" spans="78:79" x14ac:dyDescent="0.35">
      <c r="BZ542" s="105"/>
      <c r="CA542" s="20"/>
    </row>
    <row r="543" spans="78:79" x14ac:dyDescent="0.35">
      <c r="BZ543" s="105"/>
      <c r="CA543" s="20"/>
    </row>
    <row r="544" spans="78:79" x14ac:dyDescent="0.35">
      <c r="BZ544" s="105"/>
      <c r="CA544" s="20"/>
    </row>
    <row r="545" spans="78:79" x14ac:dyDescent="0.35">
      <c r="BZ545" s="105"/>
      <c r="CA545" s="20"/>
    </row>
    <row r="546" spans="78:79" x14ac:dyDescent="0.35">
      <c r="BZ546" s="105"/>
      <c r="CA546" s="20"/>
    </row>
    <row r="547" spans="78:79" x14ac:dyDescent="0.35">
      <c r="BZ547" s="105"/>
      <c r="CA547" s="20"/>
    </row>
    <row r="548" spans="78:79" x14ac:dyDescent="0.35">
      <c r="BZ548" s="105"/>
      <c r="CA548" s="20"/>
    </row>
    <row r="549" spans="78:79" x14ac:dyDescent="0.35">
      <c r="BZ549" s="105"/>
      <c r="CA549" s="20"/>
    </row>
    <row r="550" spans="78:79" x14ac:dyDescent="0.35">
      <c r="BZ550" s="105"/>
      <c r="CA550" s="20"/>
    </row>
    <row r="551" spans="78:79" x14ac:dyDescent="0.35">
      <c r="BZ551" s="105"/>
      <c r="CA551" s="20"/>
    </row>
    <row r="552" spans="78:79" x14ac:dyDescent="0.35">
      <c r="BZ552" s="105"/>
      <c r="CA552" s="20"/>
    </row>
    <row r="553" spans="78:79" x14ac:dyDescent="0.35">
      <c r="BZ553" s="105"/>
      <c r="CA553" s="20"/>
    </row>
    <row r="554" spans="78:79" x14ac:dyDescent="0.35">
      <c r="BZ554" s="105"/>
      <c r="CA554" s="20"/>
    </row>
    <row r="555" spans="78:79" x14ac:dyDescent="0.35">
      <c r="BZ555" s="105"/>
      <c r="CA555" s="20"/>
    </row>
    <row r="556" spans="78:79" x14ac:dyDescent="0.35">
      <c r="BZ556" s="105"/>
      <c r="CA556" s="20"/>
    </row>
    <row r="557" spans="78:79" x14ac:dyDescent="0.35">
      <c r="BZ557" s="105"/>
      <c r="CA557" s="20"/>
    </row>
    <row r="558" spans="78:79" x14ac:dyDescent="0.35">
      <c r="BZ558" s="105"/>
      <c r="CA558" s="20"/>
    </row>
    <row r="559" spans="78:79" x14ac:dyDescent="0.35">
      <c r="BZ559" s="105"/>
      <c r="CA559" s="20"/>
    </row>
    <row r="560" spans="78:79" x14ac:dyDescent="0.35">
      <c r="BZ560" s="105"/>
      <c r="CA560" s="20"/>
    </row>
    <row r="561" spans="78:79" x14ac:dyDescent="0.35">
      <c r="BZ561" s="105"/>
      <c r="CA561" s="20"/>
    </row>
    <row r="562" spans="78:79" x14ac:dyDescent="0.35">
      <c r="BZ562" s="105"/>
      <c r="CA562" s="20"/>
    </row>
    <row r="563" spans="78:79" x14ac:dyDescent="0.35">
      <c r="BZ563" s="105"/>
      <c r="CA563" s="20"/>
    </row>
    <row r="564" spans="78:79" x14ac:dyDescent="0.35">
      <c r="BZ564" s="105"/>
      <c r="CA564" s="20"/>
    </row>
    <row r="565" spans="78:79" x14ac:dyDescent="0.35">
      <c r="BZ565" s="105"/>
      <c r="CA565" s="20"/>
    </row>
    <row r="566" spans="78:79" x14ac:dyDescent="0.35">
      <c r="BZ566" s="105"/>
      <c r="CA566" s="20"/>
    </row>
    <row r="567" spans="78:79" x14ac:dyDescent="0.35">
      <c r="BZ567" s="105"/>
      <c r="CA567" s="20"/>
    </row>
    <row r="568" spans="78:79" x14ac:dyDescent="0.35">
      <c r="BZ568" s="105"/>
      <c r="CA568" s="20"/>
    </row>
    <row r="569" spans="78:79" x14ac:dyDescent="0.35">
      <c r="BZ569" s="105"/>
      <c r="CA569" s="20"/>
    </row>
    <row r="570" spans="78:79" x14ac:dyDescent="0.35">
      <c r="BZ570" s="105"/>
      <c r="CA570" s="20"/>
    </row>
    <row r="571" spans="78:79" x14ac:dyDescent="0.35">
      <c r="BZ571" s="105"/>
      <c r="CA571" s="20"/>
    </row>
    <row r="572" spans="78:79" x14ac:dyDescent="0.35">
      <c r="BZ572" s="105"/>
      <c r="CA572" s="20"/>
    </row>
    <row r="573" spans="78:79" x14ac:dyDescent="0.35">
      <c r="BZ573" s="105"/>
      <c r="CA573" s="20"/>
    </row>
    <row r="574" spans="78:79" x14ac:dyDescent="0.35">
      <c r="BZ574" s="105"/>
      <c r="CA574" s="20"/>
    </row>
    <row r="575" spans="78:79" x14ac:dyDescent="0.35">
      <c r="BZ575" s="105"/>
      <c r="CA575" s="20"/>
    </row>
    <row r="576" spans="78:79" x14ac:dyDescent="0.35">
      <c r="BZ576" s="105"/>
      <c r="CA576" s="20"/>
    </row>
    <row r="577" spans="78:79" x14ac:dyDescent="0.35">
      <c r="BZ577" s="105"/>
      <c r="CA577" s="20"/>
    </row>
    <row r="578" spans="78:79" x14ac:dyDescent="0.35">
      <c r="BZ578" s="105"/>
      <c r="CA578" s="20"/>
    </row>
    <row r="579" spans="78:79" x14ac:dyDescent="0.35">
      <c r="BZ579" s="105"/>
      <c r="CA579" s="20"/>
    </row>
    <row r="580" spans="78:79" x14ac:dyDescent="0.35">
      <c r="BZ580" s="105"/>
      <c r="CA580" s="20"/>
    </row>
    <row r="581" spans="78:79" x14ac:dyDescent="0.35">
      <c r="BZ581" s="105"/>
      <c r="CA581" s="20"/>
    </row>
    <row r="582" spans="78:79" x14ac:dyDescent="0.35">
      <c r="BZ582" s="105"/>
      <c r="CA582" s="20"/>
    </row>
    <row r="583" spans="78:79" x14ac:dyDescent="0.35">
      <c r="BZ583" s="105"/>
      <c r="CA583" s="20"/>
    </row>
    <row r="584" spans="78:79" x14ac:dyDescent="0.35">
      <c r="BZ584" s="105"/>
      <c r="CA584" s="20"/>
    </row>
    <row r="585" spans="78:79" x14ac:dyDescent="0.35">
      <c r="BZ585" s="105"/>
      <c r="CA585" s="20"/>
    </row>
    <row r="586" spans="78:79" x14ac:dyDescent="0.35">
      <c r="BZ586" s="105"/>
      <c r="CA586" s="20"/>
    </row>
    <row r="587" spans="78:79" x14ac:dyDescent="0.35">
      <c r="BZ587" s="105"/>
      <c r="CA587" s="20"/>
    </row>
    <row r="588" spans="78:79" x14ac:dyDescent="0.35">
      <c r="BZ588" s="105"/>
      <c r="CA588" s="20"/>
    </row>
    <row r="589" spans="78:79" x14ac:dyDescent="0.35">
      <c r="BZ589" s="105"/>
      <c r="CA589" s="20"/>
    </row>
    <row r="590" spans="78:79" x14ac:dyDescent="0.35">
      <c r="BZ590" s="105"/>
      <c r="CA590" s="20"/>
    </row>
    <row r="591" spans="78:79" x14ac:dyDescent="0.35">
      <c r="BZ591" s="105"/>
      <c r="CA591" s="20"/>
    </row>
    <row r="592" spans="78:79" x14ac:dyDescent="0.35">
      <c r="BZ592" s="105"/>
      <c r="CA592" s="20"/>
    </row>
    <row r="593" spans="78:79" x14ac:dyDescent="0.35">
      <c r="BZ593" s="105"/>
      <c r="CA593" s="20"/>
    </row>
    <row r="594" spans="78:79" x14ac:dyDescent="0.35">
      <c r="BZ594" s="105"/>
      <c r="CA594" s="20"/>
    </row>
    <row r="595" spans="78:79" x14ac:dyDescent="0.35">
      <c r="BZ595" s="105"/>
      <c r="CA595" s="20"/>
    </row>
    <row r="596" spans="78:79" x14ac:dyDescent="0.35">
      <c r="BZ596" s="105"/>
      <c r="CA596" s="20"/>
    </row>
    <row r="597" spans="78:79" x14ac:dyDescent="0.35">
      <c r="BZ597" s="105"/>
      <c r="CA597" s="20"/>
    </row>
    <row r="598" spans="78:79" x14ac:dyDescent="0.35">
      <c r="BZ598" s="105"/>
      <c r="CA598" s="20"/>
    </row>
    <row r="599" spans="78:79" x14ac:dyDescent="0.35">
      <c r="BZ599" s="105"/>
      <c r="CA599" s="20"/>
    </row>
    <row r="600" spans="78:79" x14ac:dyDescent="0.35">
      <c r="BZ600" s="105"/>
      <c r="CA600" s="20"/>
    </row>
    <row r="601" spans="78:79" x14ac:dyDescent="0.35">
      <c r="BZ601" s="105"/>
      <c r="CA601" s="20"/>
    </row>
    <row r="602" spans="78:79" x14ac:dyDescent="0.35">
      <c r="BZ602" s="105"/>
      <c r="CA602" s="20"/>
    </row>
    <row r="603" spans="78:79" x14ac:dyDescent="0.35">
      <c r="BZ603" s="105"/>
      <c r="CA603" s="20"/>
    </row>
    <row r="604" spans="78:79" x14ac:dyDescent="0.35">
      <c r="BZ604" s="105"/>
      <c r="CA604" s="20"/>
    </row>
    <row r="605" spans="78:79" x14ac:dyDescent="0.35">
      <c r="BZ605" s="105"/>
      <c r="CA605" s="20"/>
    </row>
    <row r="606" spans="78:79" x14ac:dyDescent="0.35">
      <c r="BZ606" s="105"/>
      <c r="CA606" s="20"/>
    </row>
    <row r="607" spans="78:79" x14ac:dyDescent="0.35">
      <c r="BZ607" s="105"/>
      <c r="CA607" s="20"/>
    </row>
    <row r="608" spans="78:79" x14ac:dyDescent="0.35">
      <c r="BZ608" s="105"/>
      <c r="CA608" s="20"/>
    </row>
    <row r="609" spans="78:79" x14ac:dyDescent="0.35">
      <c r="BZ609" s="105"/>
      <c r="CA609" s="20"/>
    </row>
    <row r="610" spans="78:79" x14ac:dyDescent="0.35">
      <c r="BZ610" s="105"/>
      <c r="CA610" s="20"/>
    </row>
    <row r="611" spans="78:79" x14ac:dyDescent="0.35">
      <c r="BZ611" s="105"/>
      <c r="CA611" s="20"/>
    </row>
    <row r="612" spans="78:79" x14ac:dyDescent="0.35">
      <c r="BZ612" s="105"/>
      <c r="CA612" s="20"/>
    </row>
    <row r="613" spans="78:79" x14ac:dyDescent="0.35">
      <c r="BZ613" s="105"/>
      <c r="CA613" s="20"/>
    </row>
    <row r="614" spans="78:79" x14ac:dyDescent="0.35">
      <c r="BZ614" s="105"/>
      <c r="CA614" s="20"/>
    </row>
    <row r="615" spans="78:79" x14ac:dyDescent="0.35">
      <c r="BZ615" s="105"/>
      <c r="CA615" s="20"/>
    </row>
    <row r="616" spans="78:79" x14ac:dyDescent="0.35">
      <c r="BZ616" s="105"/>
      <c r="CA616" s="20"/>
    </row>
    <row r="617" spans="78:79" x14ac:dyDescent="0.35">
      <c r="BZ617" s="105"/>
      <c r="CA617" s="20"/>
    </row>
    <row r="618" spans="78:79" x14ac:dyDescent="0.35">
      <c r="BZ618" s="105"/>
      <c r="CA618" s="20"/>
    </row>
    <row r="619" spans="78:79" x14ac:dyDescent="0.35">
      <c r="BZ619" s="105"/>
      <c r="CA619" s="20"/>
    </row>
    <row r="620" spans="78:79" x14ac:dyDescent="0.35">
      <c r="BZ620" s="105"/>
      <c r="CA620" s="20"/>
    </row>
    <row r="621" spans="78:79" x14ac:dyDescent="0.35">
      <c r="BZ621" s="105"/>
      <c r="CA621" s="20"/>
    </row>
    <row r="622" spans="78:79" x14ac:dyDescent="0.35">
      <c r="BZ622" s="105"/>
      <c r="CA622" s="20"/>
    </row>
    <row r="623" spans="78:79" x14ac:dyDescent="0.35">
      <c r="BZ623" s="105"/>
      <c r="CA623" s="20"/>
    </row>
    <row r="624" spans="78:79" x14ac:dyDescent="0.35">
      <c r="BZ624" s="105"/>
      <c r="CA624" s="20"/>
    </row>
    <row r="625" spans="78:79" x14ac:dyDescent="0.35">
      <c r="BZ625" s="105"/>
      <c r="CA625" s="20"/>
    </row>
    <row r="626" spans="78:79" x14ac:dyDescent="0.35">
      <c r="BZ626" s="105"/>
      <c r="CA626" s="20"/>
    </row>
    <row r="627" spans="78:79" x14ac:dyDescent="0.35">
      <c r="BZ627" s="105"/>
      <c r="CA627" s="20"/>
    </row>
    <row r="628" spans="78:79" x14ac:dyDescent="0.35">
      <c r="BZ628" s="105"/>
      <c r="CA628" s="20"/>
    </row>
    <row r="629" spans="78:79" x14ac:dyDescent="0.35">
      <c r="BZ629" s="105"/>
      <c r="CA629" s="20"/>
    </row>
    <row r="630" spans="78:79" x14ac:dyDescent="0.35">
      <c r="BZ630" s="105"/>
      <c r="CA630" s="20"/>
    </row>
    <row r="631" spans="78:79" x14ac:dyDescent="0.35">
      <c r="BZ631" s="105"/>
      <c r="CA631" s="20"/>
    </row>
    <row r="632" spans="78:79" x14ac:dyDescent="0.35">
      <c r="BZ632" s="105"/>
      <c r="CA632" s="20"/>
    </row>
    <row r="633" spans="78:79" x14ac:dyDescent="0.35">
      <c r="BZ633" s="105"/>
      <c r="CA633" s="20"/>
    </row>
    <row r="634" spans="78:79" x14ac:dyDescent="0.35">
      <c r="BZ634" s="105"/>
      <c r="CA634" s="20"/>
    </row>
    <row r="635" spans="78:79" x14ac:dyDescent="0.35">
      <c r="BZ635" s="105"/>
      <c r="CA635" s="20"/>
    </row>
    <row r="636" spans="78:79" x14ac:dyDescent="0.35">
      <c r="BZ636" s="105"/>
      <c r="CA636" s="20"/>
    </row>
    <row r="637" spans="78:79" x14ac:dyDescent="0.35">
      <c r="BZ637" s="105"/>
      <c r="CA637" s="20"/>
    </row>
    <row r="638" spans="78:79" x14ac:dyDescent="0.35">
      <c r="BZ638" s="105"/>
      <c r="CA638" s="20"/>
    </row>
    <row r="639" spans="78:79" x14ac:dyDescent="0.35">
      <c r="BZ639" s="105"/>
      <c r="CA639" s="20"/>
    </row>
    <row r="640" spans="78:79" x14ac:dyDescent="0.35">
      <c r="BZ640" s="105"/>
      <c r="CA640" s="20"/>
    </row>
    <row r="641" spans="78:79" x14ac:dyDescent="0.35">
      <c r="BZ641" s="105"/>
      <c r="CA641" s="20"/>
    </row>
    <row r="642" spans="78:79" x14ac:dyDescent="0.35">
      <c r="BZ642" s="105"/>
      <c r="CA642" s="20"/>
    </row>
    <row r="643" spans="78:79" x14ac:dyDescent="0.35">
      <c r="BZ643" s="105"/>
      <c r="CA643" s="20"/>
    </row>
    <row r="644" spans="78:79" x14ac:dyDescent="0.35">
      <c r="BZ644" s="105"/>
      <c r="CA644" s="20"/>
    </row>
    <row r="645" spans="78:79" x14ac:dyDescent="0.35">
      <c r="BZ645" s="105"/>
      <c r="CA645" s="20"/>
    </row>
    <row r="646" spans="78:79" x14ac:dyDescent="0.35">
      <c r="BZ646" s="105"/>
      <c r="CA646" s="20"/>
    </row>
    <row r="647" spans="78:79" x14ac:dyDescent="0.35">
      <c r="BZ647" s="105"/>
      <c r="CA647" s="20"/>
    </row>
    <row r="648" spans="78:79" x14ac:dyDescent="0.35">
      <c r="BZ648" s="105"/>
      <c r="CA648" s="20"/>
    </row>
    <row r="649" spans="78:79" x14ac:dyDescent="0.35">
      <c r="BZ649" s="105"/>
      <c r="CA649" s="20"/>
    </row>
    <row r="650" spans="78:79" x14ac:dyDescent="0.35">
      <c r="BZ650" s="105"/>
      <c r="CA650" s="20"/>
    </row>
    <row r="651" spans="78:79" x14ac:dyDescent="0.35">
      <c r="BZ651" s="105"/>
      <c r="CA651" s="20"/>
    </row>
    <row r="652" spans="78:79" x14ac:dyDescent="0.35">
      <c r="BZ652" s="105"/>
      <c r="CA652" s="20"/>
    </row>
    <row r="653" spans="78:79" x14ac:dyDescent="0.35">
      <c r="BZ653" s="105"/>
      <c r="CA653" s="20"/>
    </row>
    <row r="654" spans="78:79" x14ac:dyDescent="0.35">
      <c r="BZ654" s="105"/>
      <c r="CA654" s="20"/>
    </row>
    <row r="655" spans="78:79" x14ac:dyDescent="0.35">
      <c r="BZ655" s="105"/>
      <c r="CA655" s="20"/>
    </row>
    <row r="656" spans="78:79" x14ac:dyDescent="0.35">
      <c r="BZ656" s="105"/>
      <c r="CA656" s="20"/>
    </row>
    <row r="657" spans="78:79" x14ac:dyDescent="0.35">
      <c r="BZ657" s="105"/>
      <c r="CA657" s="20"/>
    </row>
    <row r="658" spans="78:79" x14ac:dyDescent="0.35">
      <c r="BZ658" s="105"/>
      <c r="CA658" s="20"/>
    </row>
    <row r="659" spans="78:79" x14ac:dyDescent="0.35">
      <c r="BZ659" s="105"/>
      <c r="CA659" s="20"/>
    </row>
    <row r="660" spans="78:79" x14ac:dyDescent="0.35">
      <c r="BZ660" s="105"/>
      <c r="CA660" s="20"/>
    </row>
    <row r="661" spans="78:79" x14ac:dyDescent="0.35">
      <c r="BZ661" s="105"/>
      <c r="CA661" s="20"/>
    </row>
    <row r="662" spans="78:79" x14ac:dyDescent="0.35">
      <c r="BZ662" s="105"/>
      <c r="CA662" s="20"/>
    </row>
    <row r="663" spans="78:79" x14ac:dyDescent="0.35">
      <c r="BZ663" s="105"/>
      <c r="CA663" s="20"/>
    </row>
    <row r="664" spans="78:79" x14ac:dyDescent="0.35">
      <c r="BZ664" s="105"/>
      <c r="CA664" s="20"/>
    </row>
    <row r="665" spans="78:79" x14ac:dyDescent="0.35">
      <c r="BZ665" s="105"/>
      <c r="CA665" s="20"/>
    </row>
    <row r="666" spans="78:79" x14ac:dyDescent="0.35">
      <c r="BZ666" s="105"/>
      <c r="CA666" s="20"/>
    </row>
    <row r="667" spans="78:79" x14ac:dyDescent="0.35">
      <c r="BZ667" s="105"/>
      <c r="CA667" s="20"/>
    </row>
    <row r="668" spans="78:79" x14ac:dyDescent="0.35">
      <c r="BZ668" s="105"/>
      <c r="CA668" s="20"/>
    </row>
    <row r="669" spans="78:79" x14ac:dyDescent="0.35">
      <c r="BZ669" s="105"/>
      <c r="CA669" s="20"/>
    </row>
    <row r="670" spans="78:79" x14ac:dyDescent="0.35">
      <c r="BZ670" s="105"/>
      <c r="CA670" s="20"/>
    </row>
    <row r="671" spans="78:79" x14ac:dyDescent="0.35">
      <c r="BZ671" s="105"/>
      <c r="CA671" s="20"/>
    </row>
    <row r="672" spans="78:79" x14ac:dyDescent="0.35">
      <c r="BZ672" s="105"/>
      <c r="CA672" s="20"/>
    </row>
    <row r="673" spans="78:79" x14ac:dyDescent="0.35">
      <c r="BZ673" s="105"/>
      <c r="CA673" s="20"/>
    </row>
    <row r="674" spans="78:79" x14ac:dyDescent="0.35">
      <c r="BZ674" s="105"/>
      <c r="CA674" s="20"/>
    </row>
    <row r="675" spans="78:79" x14ac:dyDescent="0.35">
      <c r="BZ675" s="105"/>
      <c r="CA675" s="20"/>
    </row>
    <row r="676" spans="78:79" x14ac:dyDescent="0.35">
      <c r="BZ676" s="105"/>
      <c r="CA676" s="20"/>
    </row>
    <row r="677" spans="78:79" x14ac:dyDescent="0.35">
      <c r="BZ677" s="105"/>
      <c r="CA677" s="20"/>
    </row>
    <row r="678" spans="78:79" x14ac:dyDescent="0.35">
      <c r="BZ678" s="105"/>
      <c r="CA678" s="20"/>
    </row>
    <row r="679" spans="78:79" x14ac:dyDescent="0.35">
      <c r="BZ679" s="105"/>
      <c r="CA679" s="20"/>
    </row>
    <row r="680" spans="78:79" x14ac:dyDescent="0.35">
      <c r="BZ680" s="105"/>
      <c r="CA680" s="20"/>
    </row>
    <row r="681" spans="78:79" x14ac:dyDescent="0.35">
      <c r="BZ681" s="105"/>
      <c r="CA681" s="20"/>
    </row>
    <row r="682" spans="78:79" x14ac:dyDescent="0.35">
      <c r="BZ682" s="105"/>
      <c r="CA682" s="20"/>
    </row>
    <row r="683" spans="78:79" x14ac:dyDescent="0.35">
      <c r="BZ683" s="105"/>
      <c r="CA683" s="20"/>
    </row>
    <row r="684" spans="78:79" x14ac:dyDescent="0.35">
      <c r="BZ684" s="105"/>
      <c r="CA684" s="20"/>
    </row>
    <row r="685" spans="78:79" x14ac:dyDescent="0.35">
      <c r="BZ685" s="105"/>
      <c r="CA685" s="20"/>
    </row>
    <row r="686" spans="78:79" x14ac:dyDescent="0.35">
      <c r="BZ686" s="105"/>
      <c r="CA686" s="20"/>
    </row>
    <row r="687" spans="78:79" x14ac:dyDescent="0.35">
      <c r="BZ687" s="105"/>
      <c r="CA687" s="20"/>
    </row>
    <row r="688" spans="78:79" x14ac:dyDescent="0.35">
      <c r="BZ688" s="105"/>
      <c r="CA688" s="20"/>
    </row>
    <row r="689" spans="78:79" x14ac:dyDescent="0.35">
      <c r="BZ689" s="105"/>
      <c r="CA689" s="20"/>
    </row>
    <row r="690" spans="78:79" x14ac:dyDescent="0.35">
      <c r="BZ690" s="105"/>
      <c r="CA690" s="20"/>
    </row>
    <row r="691" spans="78:79" x14ac:dyDescent="0.35">
      <c r="BZ691" s="105"/>
      <c r="CA691" s="20"/>
    </row>
    <row r="692" spans="78:79" x14ac:dyDescent="0.35">
      <c r="BZ692" s="105"/>
      <c r="CA692" s="20"/>
    </row>
    <row r="693" spans="78:79" x14ac:dyDescent="0.35">
      <c r="BZ693" s="105"/>
      <c r="CA693" s="20"/>
    </row>
    <row r="694" spans="78:79" x14ac:dyDescent="0.35">
      <c r="BZ694" s="105"/>
      <c r="CA694" s="20"/>
    </row>
    <row r="695" spans="78:79" x14ac:dyDescent="0.35">
      <c r="BZ695" s="105"/>
      <c r="CA695" s="20"/>
    </row>
    <row r="696" spans="78:79" x14ac:dyDescent="0.35">
      <c r="BZ696" s="105"/>
      <c r="CA696" s="20"/>
    </row>
    <row r="697" spans="78:79" x14ac:dyDescent="0.35">
      <c r="BZ697" s="105"/>
      <c r="CA697" s="20"/>
    </row>
    <row r="698" spans="78:79" x14ac:dyDescent="0.35">
      <c r="BZ698" s="105"/>
      <c r="CA698" s="20"/>
    </row>
    <row r="699" spans="78:79" x14ac:dyDescent="0.35">
      <c r="BZ699" s="105"/>
      <c r="CA699" s="20"/>
    </row>
    <row r="700" spans="78:79" x14ac:dyDescent="0.35">
      <c r="BZ700" s="105"/>
      <c r="CA700" s="20"/>
    </row>
    <row r="701" spans="78:79" x14ac:dyDescent="0.35">
      <c r="BZ701" s="105"/>
      <c r="CA701" s="20"/>
    </row>
    <row r="702" spans="78:79" x14ac:dyDescent="0.35">
      <c r="BZ702" s="105"/>
      <c r="CA702" s="20"/>
    </row>
    <row r="703" spans="78:79" x14ac:dyDescent="0.35">
      <c r="BZ703" s="105"/>
      <c r="CA703" s="20"/>
    </row>
    <row r="704" spans="78:79" x14ac:dyDescent="0.35">
      <c r="BZ704" s="105"/>
      <c r="CA704" s="20"/>
    </row>
    <row r="705" spans="78:79" x14ac:dyDescent="0.35">
      <c r="BZ705" s="105"/>
      <c r="CA705" s="20"/>
    </row>
    <row r="706" spans="78:79" x14ac:dyDescent="0.35">
      <c r="BZ706" s="105"/>
      <c r="CA706" s="20"/>
    </row>
    <row r="707" spans="78:79" x14ac:dyDescent="0.35">
      <c r="BZ707" s="105"/>
      <c r="CA707" s="20"/>
    </row>
    <row r="708" spans="78:79" x14ac:dyDescent="0.35">
      <c r="BZ708" s="105"/>
      <c r="CA708" s="20"/>
    </row>
    <row r="709" spans="78:79" x14ac:dyDescent="0.35">
      <c r="BZ709" s="105"/>
      <c r="CA709" s="20"/>
    </row>
    <row r="710" spans="78:79" x14ac:dyDescent="0.35">
      <c r="BZ710" s="105"/>
      <c r="CA710" s="20"/>
    </row>
    <row r="711" spans="78:79" x14ac:dyDescent="0.35">
      <c r="BZ711" s="105"/>
      <c r="CA711" s="20"/>
    </row>
    <row r="712" spans="78:79" x14ac:dyDescent="0.35">
      <c r="BZ712" s="105"/>
      <c r="CA712" s="20"/>
    </row>
    <row r="713" spans="78:79" x14ac:dyDescent="0.35">
      <c r="BZ713" s="105"/>
      <c r="CA713" s="20"/>
    </row>
    <row r="714" spans="78:79" x14ac:dyDescent="0.35">
      <c r="BZ714" s="105"/>
      <c r="CA714" s="20"/>
    </row>
    <row r="715" spans="78:79" x14ac:dyDescent="0.35">
      <c r="BZ715" s="105"/>
      <c r="CA715" s="20"/>
    </row>
    <row r="716" spans="78:79" x14ac:dyDescent="0.35">
      <c r="BZ716" s="105"/>
      <c r="CA716" s="20"/>
    </row>
    <row r="717" spans="78:79" x14ac:dyDescent="0.35">
      <c r="BZ717" s="105"/>
      <c r="CA717" s="20"/>
    </row>
    <row r="718" spans="78:79" x14ac:dyDescent="0.35">
      <c r="BZ718" s="105"/>
      <c r="CA718" s="20"/>
    </row>
    <row r="719" spans="78:79" x14ac:dyDescent="0.35">
      <c r="BZ719" s="105"/>
      <c r="CA719" s="20"/>
    </row>
    <row r="720" spans="78:79" x14ac:dyDescent="0.35">
      <c r="BZ720" s="105"/>
      <c r="CA720" s="20"/>
    </row>
    <row r="721" spans="78:79" x14ac:dyDescent="0.35">
      <c r="BZ721" s="105"/>
      <c r="CA721" s="20"/>
    </row>
    <row r="722" spans="78:79" x14ac:dyDescent="0.35">
      <c r="BZ722" s="105"/>
      <c r="CA722" s="20"/>
    </row>
    <row r="723" spans="78:79" x14ac:dyDescent="0.35">
      <c r="BZ723" s="105"/>
      <c r="CA723" s="20"/>
    </row>
    <row r="724" spans="78:79" x14ac:dyDescent="0.35">
      <c r="BZ724" s="105"/>
      <c r="CA724" s="20"/>
    </row>
    <row r="725" spans="78:79" x14ac:dyDescent="0.35">
      <c r="BZ725" s="105"/>
      <c r="CA725" s="20"/>
    </row>
    <row r="726" spans="78:79" x14ac:dyDescent="0.35">
      <c r="BZ726" s="105"/>
      <c r="CA726" s="20"/>
    </row>
    <row r="727" spans="78:79" x14ac:dyDescent="0.35">
      <c r="BZ727" s="105"/>
      <c r="CA727" s="20"/>
    </row>
    <row r="728" spans="78:79" x14ac:dyDescent="0.35">
      <c r="BZ728" s="105"/>
      <c r="CA728" s="20"/>
    </row>
    <row r="729" spans="78:79" x14ac:dyDescent="0.35">
      <c r="BZ729" s="105"/>
      <c r="CA729" s="20"/>
    </row>
    <row r="730" spans="78:79" x14ac:dyDescent="0.35">
      <c r="BZ730" s="105"/>
      <c r="CA730" s="20"/>
    </row>
    <row r="731" spans="78:79" x14ac:dyDescent="0.35">
      <c r="BZ731" s="105"/>
      <c r="CA731" s="20"/>
    </row>
    <row r="732" spans="78:79" x14ac:dyDescent="0.35">
      <c r="BZ732" s="105"/>
      <c r="CA732" s="20"/>
    </row>
    <row r="733" spans="78:79" x14ac:dyDescent="0.35">
      <c r="BZ733" s="105"/>
      <c r="CA733" s="20"/>
    </row>
    <row r="734" spans="78:79" x14ac:dyDescent="0.35">
      <c r="BZ734" s="105"/>
      <c r="CA734" s="20"/>
    </row>
    <row r="735" spans="78:79" x14ac:dyDescent="0.35">
      <c r="BZ735" s="105"/>
      <c r="CA735" s="20"/>
    </row>
    <row r="736" spans="78:79" x14ac:dyDescent="0.35">
      <c r="BZ736" s="105"/>
      <c r="CA736" s="20"/>
    </row>
    <row r="737" spans="78:79" x14ac:dyDescent="0.35">
      <c r="BZ737" s="105"/>
      <c r="CA737" s="20"/>
    </row>
    <row r="738" spans="78:79" x14ac:dyDescent="0.35">
      <c r="BZ738" s="105"/>
      <c r="CA738" s="20"/>
    </row>
    <row r="739" spans="78:79" x14ac:dyDescent="0.35">
      <c r="BZ739" s="105"/>
      <c r="CA739" s="20"/>
    </row>
    <row r="740" spans="78:79" x14ac:dyDescent="0.35">
      <c r="BZ740" s="105"/>
      <c r="CA740" s="20"/>
    </row>
    <row r="741" spans="78:79" x14ac:dyDescent="0.35">
      <c r="BZ741" s="105"/>
      <c r="CA741" s="20"/>
    </row>
    <row r="742" spans="78:79" x14ac:dyDescent="0.35">
      <c r="BZ742" s="105"/>
      <c r="CA742" s="20"/>
    </row>
    <row r="743" spans="78:79" x14ac:dyDescent="0.35">
      <c r="BZ743" s="105"/>
      <c r="CA743" s="20"/>
    </row>
    <row r="744" spans="78:79" x14ac:dyDescent="0.35">
      <c r="BZ744" s="105"/>
      <c r="CA744" s="20"/>
    </row>
    <row r="745" spans="78:79" x14ac:dyDescent="0.35">
      <c r="BZ745" s="105"/>
      <c r="CA745" s="20"/>
    </row>
    <row r="746" spans="78:79" x14ac:dyDescent="0.35">
      <c r="BZ746" s="105"/>
      <c r="CA746" s="20"/>
    </row>
    <row r="747" spans="78:79" x14ac:dyDescent="0.35">
      <c r="BZ747" s="105"/>
      <c r="CA747" s="20"/>
    </row>
    <row r="748" spans="78:79" x14ac:dyDescent="0.35">
      <c r="BZ748" s="105"/>
      <c r="CA748" s="20"/>
    </row>
    <row r="749" spans="78:79" x14ac:dyDescent="0.35">
      <c r="BZ749" s="105"/>
      <c r="CA749" s="20"/>
    </row>
    <row r="750" spans="78:79" x14ac:dyDescent="0.35">
      <c r="BZ750" s="105"/>
      <c r="CA750" s="20"/>
    </row>
    <row r="751" spans="78:79" x14ac:dyDescent="0.35">
      <c r="BZ751" s="105"/>
      <c r="CA751" s="20"/>
    </row>
    <row r="752" spans="78:79" x14ac:dyDescent="0.35">
      <c r="BZ752" s="105"/>
      <c r="CA752" s="20"/>
    </row>
    <row r="753" spans="78:79" x14ac:dyDescent="0.35">
      <c r="BZ753" s="105"/>
      <c r="CA753" s="20"/>
    </row>
    <row r="754" spans="78:79" x14ac:dyDescent="0.35">
      <c r="BZ754" s="105"/>
      <c r="CA754" s="20"/>
    </row>
    <row r="755" spans="78:79" x14ac:dyDescent="0.35">
      <c r="BZ755" s="105"/>
      <c r="CA755" s="20"/>
    </row>
    <row r="756" spans="78:79" x14ac:dyDescent="0.35">
      <c r="BZ756" s="105"/>
      <c r="CA756" s="20"/>
    </row>
    <row r="757" spans="78:79" x14ac:dyDescent="0.35">
      <c r="BZ757" s="105"/>
      <c r="CA757" s="20"/>
    </row>
    <row r="758" spans="78:79" x14ac:dyDescent="0.35">
      <c r="BZ758" s="105"/>
      <c r="CA758" s="20"/>
    </row>
    <row r="759" spans="78:79" x14ac:dyDescent="0.35">
      <c r="BZ759" s="105"/>
      <c r="CA759" s="20"/>
    </row>
    <row r="760" spans="78:79" x14ac:dyDescent="0.35">
      <c r="BZ760" s="105"/>
      <c r="CA760" s="20"/>
    </row>
    <row r="761" spans="78:79" x14ac:dyDescent="0.35">
      <c r="BZ761" s="105"/>
      <c r="CA761" s="20"/>
    </row>
    <row r="762" spans="78:79" x14ac:dyDescent="0.35">
      <c r="BZ762" s="105"/>
      <c r="CA762" s="20"/>
    </row>
    <row r="763" spans="78:79" x14ac:dyDescent="0.35">
      <c r="BZ763" s="105"/>
      <c r="CA763" s="20"/>
    </row>
    <row r="764" spans="78:79" x14ac:dyDescent="0.35">
      <c r="BZ764" s="105"/>
      <c r="CA764" s="20"/>
    </row>
    <row r="765" spans="78:79" x14ac:dyDescent="0.35">
      <c r="BZ765" s="105"/>
      <c r="CA765" s="20"/>
    </row>
    <row r="766" spans="78:79" x14ac:dyDescent="0.35">
      <c r="BZ766" s="105"/>
      <c r="CA766" s="20"/>
    </row>
    <row r="767" spans="78:79" x14ac:dyDescent="0.35">
      <c r="BZ767" s="105"/>
      <c r="CA767" s="20"/>
    </row>
    <row r="768" spans="78:79" x14ac:dyDescent="0.35">
      <c r="BZ768" s="105"/>
      <c r="CA768" s="20"/>
    </row>
    <row r="769" spans="78:79" x14ac:dyDescent="0.35">
      <c r="BZ769" s="105"/>
      <c r="CA769" s="20"/>
    </row>
    <row r="770" spans="78:79" x14ac:dyDescent="0.35">
      <c r="BZ770" s="105"/>
      <c r="CA770" s="20"/>
    </row>
    <row r="771" spans="78:79" x14ac:dyDescent="0.35">
      <c r="BZ771" s="105"/>
      <c r="CA771" s="20"/>
    </row>
    <row r="772" spans="78:79" x14ac:dyDescent="0.35">
      <c r="BZ772" s="105"/>
      <c r="CA772" s="20"/>
    </row>
    <row r="773" spans="78:79" x14ac:dyDescent="0.35">
      <c r="BZ773" s="105"/>
      <c r="CA773" s="20"/>
    </row>
    <row r="774" spans="78:79" x14ac:dyDescent="0.35">
      <c r="BZ774" s="105"/>
      <c r="CA774" s="20"/>
    </row>
    <row r="775" spans="78:79" x14ac:dyDescent="0.35">
      <c r="BZ775" s="105"/>
      <c r="CA775" s="20"/>
    </row>
    <row r="776" spans="78:79" x14ac:dyDescent="0.35">
      <c r="BZ776" s="105"/>
      <c r="CA776" s="20"/>
    </row>
    <row r="777" spans="78:79" x14ac:dyDescent="0.35">
      <c r="BZ777" s="105"/>
      <c r="CA777" s="20"/>
    </row>
    <row r="778" spans="78:79" x14ac:dyDescent="0.35">
      <c r="BZ778" s="105"/>
      <c r="CA778" s="20"/>
    </row>
    <row r="779" spans="78:79" x14ac:dyDescent="0.35">
      <c r="BZ779" s="105"/>
      <c r="CA779" s="20"/>
    </row>
    <row r="780" spans="78:79" x14ac:dyDescent="0.35">
      <c r="BZ780" s="105"/>
      <c r="CA780" s="20"/>
    </row>
    <row r="781" spans="78:79" x14ac:dyDescent="0.35">
      <c r="BZ781" s="105"/>
      <c r="CA781" s="20"/>
    </row>
    <row r="782" spans="78:79" x14ac:dyDescent="0.35">
      <c r="BZ782" s="105"/>
      <c r="CA782" s="20"/>
    </row>
    <row r="783" spans="78:79" x14ac:dyDescent="0.35">
      <c r="BZ783" s="105"/>
      <c r="CA783" s="20"/>
    </row>
    <row r="784" spans="78:79" x14ac:dyDescent="0.35">
      <c r="BZ784" s="105"/>
      <c r="CA784" s="20"/>
    </row>
    <row r="785" spans="78:79" x14ac:dyDescent="0.35">
      <c r="BZ785" s="105"/>
      <c r="CA785" s="20"/>
    </row>
    <row r="786" spans="78:79" x14ac:dyDescent="0.35">
      <c r="BZ786" s="105"/>
      <c r="CA786" s="20"/>
    </row>
    <row r="787" spans="78:79" x14ac:dyDescent="0.35">
      <c r="BZ787" s="105"/>
      <c r="CA787" s="20"/>
    </row>
    <row r="788" spans="78:79" x14ac:dyDescent="0.35">
      <c r="BZ788" s="105"/>
      <c r="CA788" s="20"/>
    </row>
    <row r="789" spans="78:79" x14ac:dyDescent="0.35">
      <c r="BZ789" s="105"/>
      <c r="CA789" s="20"/>
    </row>
    <row r="790" spans="78:79" x14ac:dyDescent="0.35">
      <c r="BZ790" s="105"/>
      <c r="CA790" s="20"/>
    </row>
    <row r="791" spans="78:79" x14ac:dyDescent="0.35">
      <c r="BZ791" s="105"/>
      <c r="CA791" s="20"/>
    </row>
    <row r="792" spans="78:79" x14ac:dyDescent="0.35">
      <c r="BZ792" s="105"/>
      <c r="CA792" s="20"/>
    </row>
    <row r="793" spans="78:79" x14ac:dyDescent="0.35">
      <c r="BZ793" s="105"/>
      <c r="CA793" s="20"/>
    </row>
    <row r="794" spans="78:79" x14ac:dyDescent="0.35">
      <c r="BZ794" s="105"/>
      <c r="CA794" s="20"/>
    </row>
    <row r="795" spans="78:79" x14ac:dyDescent="0.35">
      <c r="BZ795" s="105"/>
      <c r="CA795" s="20"/>
    </row>
    <row r="796" spans="78:79" x14ac:dyDescent="0.35">
      <c r="BZ796" s="105"/>
      <c r="CA796" s="20"/>
    </row>
    <row r="797" spans="78:79" x14ac:dyDescent="0.35">
      <c r="BZ797" s="105"/>
      <c r="CA797" s="20"/>
    </row>
    <row r="798" spans="78:79" x14ac:dyDescent="0.35">
      <c r="BZ798" s="105"/>
      <c r="CA798" s="20"/>
    </row>
    <row r="799" spans="78:79" x14ac:dyDescent="0.35">
      <c r="BZ799" s="105"/>
      <c r="CA799" s="20"/>
    </row>
    <row r="800" spans="78:79" x14ac:dyDescent="0.35">
      <c r="BZ800" s="105"/>
      <c r="CA800" s="20"/>
    </row>
    <row r="801" spans="78:79" x14ac:dyDescent="0.35">
      <c r="BZ801" s="105"/>
      <c r="CA801" s="20"/>
    </row>
    <row r="802" spans="78:79" x14ac:dyDescent="0.35">
      <c r="BZ802" s="105"/>
      <c r="CA802" s="20"/>
    </row>
    <row r="803" spans="78:79" x14ac:dyDescent="0.35">
      <c r="BZ803" s="105"/>
      <c r="CA803" s="20"/>
    </row>
    <row r="804" spans="78:79" x14ac:dyDescent="0.35">
      <c r="BZ804" s="105"/>
      <c r="CA804" s="20"/>
    </row>
    <row r="805" spans="78:79" x14ac:dyDescent="0.35">
      <c r="BZ805" s="105"/>
      <c r="CA805" s="20"/>
    </row>
    <row r="806" spans="78:79" x14ac:dyDescent="0.35">
      <c r="BZ806" s="105"/>
      <c r="CA806" s="20"/>
    </row>
    <row r="807" spans="78:79" x14ac:dyDescent="0.35">
      <c r="BZ807" s="105"/>
      <c r="CA807" s="20"/>
    </row>
    <row r="808" spans="78:79" x14ac:dyDescent="0.35">
      <c r="BZ808" s="105"/>
      <c r="CA808" s="20"/>
    </row>
    <row r="809" spans="78:79" x14ac:dyDescent="0.35">
      <c r="BZ809" s="105"/>
      <c r="CA809" s="20"/>
    </row>
    <row r="810" spans="78:79" x14ac:dyDescent="0.35">
      <c r="BZ810" s="105"/>
      <c r="CA810" s="20"/>
    </row>
    <row r="811" spans="78:79" x14ac:dyDescent="0.35">
      <c r="BZ811" s="105"/>
      <c r="CA811" s="20"/>
    </row>
    <row r="812" spans="78:79" x14ac:dyDescent="0.35">
      <c r="BZ812" s="105"/>
      <c r="CA812" s="20"/>
    </row>
    <row r="813" spans="78:79" x14ac:dyDescent="0.35">
      <c r="BZ813" s="105"/>
      <c r="CA813" s="20"/>
    </row>
    <row r="814" spans="78:79" x14ac:dyDescent="0.35">
      <c r="BZ814" s="105"/>
      <c r="CA814" s="20"/>
    </row>
    <row r="815" spans="78:79" x14ac:dyDescent="0.35">
      <c r="BZ815" s="105"/>
      <c r="CA815" s="20"/>
    </row>
    <row r="816" spans="78:79" x14ac:dyDescent="0.35">
      <c r="BZ816" s="105"/>
      <c r="CA816" s="20"/>
    </row>
    <row r="817" spans="78:79" x14ac:dyDescent="0.35">
      <c r="BZ817" s="105"/>
      <c r="CA817" s="20"/>
    </row>
    <row r="818" spans="78:79" x14ac:dyDescent="0.35">
      <c r="BZ818" s="105"/>
      <c r="CA818" s="20"/>
    </row>
    <row r="819" spans="78:79" x14ac:dyDescent="0.35">
      <c r="BZ819" s="105"/>
      <c r="CA819" s="20"/>
    </row>
    <row r="820" spans="78:79" x14ac:dyDescent="0.35">
      <c r="BZ820" s="105"/>
      <c r="CA820" s="20"/>
    </row>
    <row r="821" spans="78:79" x14ac:dyDescent="0.35">
      <c r="BZ821" s="105"/>
      <c r="CA821" s="20"/>
    </row>
    <row r="822" spans="78:79" x14ac:dyDescent="0.35">
      <c r="BZ822" s="105"/>
      <c r="CA822" s="20"/>
    </row>
    <row r="823" spans="78:79" x14ac:dyDescent="0.35">
      <c r="BZ823" s="105"/>
      <c r="CA823" s="20"/>
    </row>
    <row r="824" spans="78:79" x14ac:dyDescent="0.35">
      <c r="BZ824" s="105"/>
      <c r="CA824" s="20"/>
    </row>
    <row r="825" spans="78:79" x14ac:dyDescent="0.35">
      <c r="BZ825" s="105"/>
      <c r="CA825" s="20"/>
    </row>
    <row r="826" spans="78:79" x14ac:dyDescent="0.35">
      <c r="BZ826" s="105"/>
      <c r="CA826" s="20"/>
    </row>
    <row r="827" spans="78:79" x14ac:dyDescent="0.35">
      <c r="BZ827" s="105"/>
      <c r="CA827" s="20"/>
    </row>
    <row r="828" spans="78:79" x14ac:dyDescent="0.35">
      <c r="BZ828" s="105"/>
      <c r="CA828" s="20"/>
    </row>
    <row r="829" spans="78:79" x14ac:dyDescent="0.35">
      <c r="BZ829" s="105"/>
      <c r="CA829" s="20"/>
    </row>
    <row r="830" spans="78:79" x14ac:dyDescent="0.35">
      <c r="BZ830" s="105"/>
      <c r="CA830" s="20"/>
    </row>
    <row r="831" spans="78:79" x14ac:dyDescent="0.35">
      <c r="BZ831" s="105"/>
      <c r="CA831" s="20"/>
    </row>
    <row r="832" spans="78:79" x14ac:dyDescent="0.35">
      <c r="BZ832" s="105"/>
      <c r="CA832" s="20"/>
    </row>
    <row r="833" spans="78:79" x14ac:dyDescent="0.35">
      <c r="BZ833" s="105"/>
      <c r="CA833" s="20"/>
    </row>
    <row r="834" spans="78:79" x14ac:dyDescent="0.35">
      <c r="BZ834" s="105"/>
      <c r="CA834" s="20"/>
    </row>
    <row r="835" spans="78:79" x14ac:dyDescent="0.35">
      <c r="BZ835" s="105"/>
      <c r="CA835" s="20"/>
    </row>
    <row r="836" spans="78:79" x14ac:dyDescent="0.35">
      <c r="BZ836" s="105"/>
      <c r="CA836" s="20"/>
    </row>
    <row r="837" spans="78:79" x14ac:dyDescent="0.35">
      <c r="BZ837" s="105"/>
      <c r="CA837" s="20"/>
    </row>
    <row r="838" spans="78:79" x14ac:dyDescent="0.35">
      <c r="BZ838" s="105"/>
      <c r="CA838" s="20"/>
    </row>
    <row r="839" spans="78:79" x14ac:dyDescent="0.35">
      <c r="BZ839" s="105"/>
      <c r="CA839" s="20"/>
    </row>
    <row r="840" spans="78:79" x14ac:dyDescent="0.35">
      <c r="BZ840" s="105"/>
      <c r="CA840" s="20"/>
    </row>
    <row r="841" spans="78:79" x14ac:dyDescent="0.35">
      <c r="BZ841" s="105"/>
      <c r="CA841" s="20"/>
    </row>
    <row r="842" spans="78:79" x14ac:dyDescent="0.35">
      <c r="BZ842" s="105"/>
      <c r="CA842" s="20"/>
    </row>
    <row r="843" spans="78:79" x14ac:dyDescent="0.35">
      <c r="BZ843" s="105"/>
      <c r="CA843" s="20"/>
    </row>
    <row r="844" spans="78:79" x14ac:dyDescent="0.35">
      <c r="BZ844" s="105"/>
      <c r="CA844" s="20"/>
    </row>
    <row r="845" spans="78:79" x14ac:dyDescent="0.35">
      <c r="BZ845" s="105"/>
      <c r="CA845" s="20"/>
    </row>
    <row r="846" spans="78:79" x14ac:dyDescent="0.35">
      <c r="BZ846" s="105"/>
      <c r="CA846" s="20"/>
    </row>
    <row r="847" spans="78:79" x14ac:dyDescent="0.35">
      <c r="BZ847" s="105"/>
      <c r="CA847" s="20"/>
    </row>
    <row r="848" spans="78:79" x14ac:dyDescent="0.35">
      <c r="BZ848" s="105"/>
      <c r="CA848" s="20"/>
    </row>
    <row r="849" spans="78:79" x14ac:dyDescent="0.35">
      <c r="BZ849" s="105"/>
      <c r="CA849" s="20"/>
    </row>
    <row r="850" spans="78:79" x14ac:dyDescent="0.35">
      <c r="BZ850" s="105"/>
      <c r="CA850" s="20"/>
    </row>
    <row r="851" spans="78:79" x14ac:dyDescent="0.35">
      <c r="BZ851" s="105"/>
      <c r="CA851" s="20"/>
    </row>
    <row r="852" spans="78:79" x14ac:dyDescent="0.35">
      <c r="BZ852" s="105"/>
      <c r="CA852" s="20"/>
    </row>
    <row r="853" spans="78:79" x14ac:dyDescent="0.35">
      <c r="BZ853" s="105"/>
      <c r="CA853" s="20"/>
    </row>
    <row r="854" spans="78:79" x14ac:dyDescent="0.35">
      <c r="BZ854" s="105"/>
      <c r="CA854" s="20"/>
    </row>
    <row r="855" spans="78:79" x14ac:dyDescent="0.35">
      <c r="BZ855" s="105"/>
      <c r="CA855" s="20"/>
    </row>
    <row r="856" spans="78:79" x14ac:dyDescent="0.35">
      <c r="BZ856" s="105"/>
      <c r="CA856" s="20"/>
    </row>
    <row r="857" spans="78:79" x14ac:dyDescent="0.35">
      <c r="BZ857" s="105"/>
      <c r="CA857" s="20"/>
    </row>
    <row r="858" spans="78:79" x14ac:dyDescent="0.35">
      <c r="BZ858" s="105"/>
      <c r="CA858" s="20"/>
    </row>
    <row r="859" spans="78:79" x14ac:dyDescent="0.35">
      <c r="BZ859" s="105"/>
      <c r="CA859" s="20"/>
    </row>
    <row r="860" spans="78:79" x14ac:dyDescent="0.35">
      <c r="BZ860" s="105"/>
      <c r="CA860" s="20"/>
    </row>
    <row r="861" spans="78:79" x14ac:dyDescent="0.35">
      <c r="BZ861" s="105"/>
      <c r="CA861" s="20"/>
    </row>
    <row r="862" spans="78:79" x14ac:dyDescent="0.35">
      <c r="BZ862" s="105"/>
      <c r="CA862" s="20"/>
    </row>
    <row r="863" spans="78:79" x14ac:dyDescent="0.35">
      <c r="BZ863" s="105"/>
      <c r="CA863" s="20"/>
    </row>
    <row r="864" spans="78:79" x14ac:dyDescent="0.35">
      <c r="BZ864" s="105"/>
      <c r="CA864" s="20"/>
    </row>
    <row r="865" spans="78:79" x14ac:dyDescent="0.35">
      <c r="BZ865" s="105"/>
      <c r="CA865" s="20"/>
    </row>
    <row r="866" spans="78:79" x14ac:dyDescent="0.35">
      <c r="BZ866" s="105"/>
      <c r="CA866" s="20"/>
    </row>
    <row r="867" spans="78:79" x14ac:dyDescent="0.35">
      <c r="BZ867" s="105"/>
      <c r="CA867" s="20"/>
    </row>
    <row r="868" spans="78:79" x14ac:dyDescent="0.35">
      <c r="BZ868" s="105"/>
      <c r="CA868" s="20"/>
    </row>
    <row r="869" spans="78:79" x14ac:dyDescent="0.35">
      <c r="BZ869" s="105"/>
      <c r="CA869" s="20"/>
    </row>
    <row r="870" spans="78:79" x14ac:dyDescent="0.35">
      <c r="BZ870" s="105"/>
      <c r="CA870" s="20"/>
    </row>
    <row r="871" spans="78:79" x14ac:dyDescent="0.35">
      <c r="BZ871" s="105"/>
      <c r="CA871" s="20"/>
    </row>
    <row r="872" spans="78:79" x14ac:dyDescent="0.35">
      <c r="BZ872" s="105"/>
      <c r="CA872" s="20"/>
    </row>
    <row r="873" spans="78:79" x14ac:dyDescent="0.35">
      <c r="BZ873" s="105"/>
      <c r="CA873" s="20"/>
    </row>
    <row r="874" spans="78:79" x14ac:dyDescent="0.35">
      <c r="BZ874" s="105"/>
      <c r="CA874" s="20"/>
    </row>
    <row r="875" spans="78:79" x14ac:dyDescent="0.35">
      <c r="BZ875" s="105"/>
      <c r="CA875" s="20"/>
    </row>
    <row r="876" spans="78:79" x14ac:dyDescent="0.35">
      <c r="BZ876" s="105"/>
      <c r="CA876" s="20"/>
    </row>
    <row r="877" spans="78:79" x14ac:dyDescent="0.35">
      <c r="BZ877" s="105"/>
      <c r="CA877" s="20"/>
    </row>
    <row r="878" spans="78:79" x14ac:dyDescent="0.35">
      <c r="BZ878" s="105"/>
      <c r="CA878" s="20"/>
    </row>
    <row r="879" spans="78:79" x14ac:dyDescent="0.35">
      <c r="BZ879" s="105"/>
      <c r="CA879" s="20"/>
    </row>
    <row r="880" spans="78:79" x14ac:dyDescent="0.35">
      <c r="BZ880" s="105"/>
      <c r="CA880" s="20"/>
    </row>
    <row r="881" spans="78:79" x14ac:dyDescent="0.35">
      <c r="BZ881" s="105"/>
      <c r="CA881" s="20"/>
    </row>
    <row r="882" spans="78:79" x14ac:dyDescent="0.35">
      <c r="BZ882" s="105"/>
      <c r="CA882" s="20"/>
    </row>
    <row r="883" spans="78:79" x14ac:dyDescent="0.35">
      <c r="BZ883" s="105"/>
      <c r="CA883" s="20"/>
    </row>
    <row r="884" spans="78:79" x14ac:dyDescent="0.35">
      <c r="BZ884" s="105"/>
      <c r="CA884" s="20"/>
    </row>
    <row r="885" spans="78:79" x14ac:dyDescent="0.35">
      <c r="BZ885" s="105"/>
      <c r="CA885" s="20"/>
    </row>
    <row r="886" spans="78:79" x14ac:dyDescent="0.35">
      <c r="BZ886" s="105"/>
      <c r="CA886" s="20"/>
    </row>
    <row r="887" spans="78:79" x14ac:dyDescent="0.35">
      <c r="BZ887" s="105"/>
      <c r="CA887" s="20"/>
    </row>
    <row r="888" spans="78:79" x14ac:dyDescent="0.35">
      <c r="BZ888" s="105"/>
      <c r="CA888" s="20"/>
    </row>
    <row r="889" spans="78:79" x14ac:dyDescent="0.35">
      <c r="BZ889" s="105"/>
      <c r="CA889" s="20"/>
    </row>
    <row r="890" spans="78:79" x14ac:dyDescent="0.35">
      <c r="BZ890" s="105"/>
      <c r="CA890" s="20"/>
    </row>
    <row r="891" spans="78:79" x14ac:dyDescent="0.35">
      <c r="BZ891" s="105"/>
      <c r="CA891" s="20"/>
    </row>
    <row r="892" spans="78:79" x14ac:dyDescent="0.35">
      <c r="BZ892" s="105"/>
      <c r="CA892" s="20"/>
    </row>
    <row r="893" spans="78:79" x14ac:dyDescent="0.35">
      <c r="BZ893" s="105"/>
      <c r="CA893" s="20"/>
    </row>
    <row r="894" spans="78:79" x14ac:dyDescent="0.35">
      <c r="BZ894" s="105"/>
      <c r="CA894" s="20"/>
    </row>
    <row r="895" spans="78:79" x14ac:dyDescent="0.35">
      <c r="BZ895" s="105"/>
      <c r="CA895" s="20"/>
    </row>
    <row r="896" spans="78:79" x14ac:dyDescent="0.35">
      <c r="BZ896" s="105"/>
      <c r="CA896" s="20"/>
    </row>
    <row r="897" spans="78:79" x14ac:dyDescent="0.35">
      <c r="BZ897" s="105"/>
      <c r="CA897" s="20"/>
    </row>
    <row r="898" spans="78:79" x14ac:dyDescent="0.35">
      <c r="BZ898" s="105"/>
      <c r="CA898" s="20"/>
    </row>
    <row r="899" spans="78:79" x14ac:dyDescent="0.35">
      <c r="BZ899" s="105"/>
      <c r="CA899" s="20"/>
    </row>
    <row r="900" spans="78:79" x14ac:dyDescent="0.35">
      <c r="BZ900" s="105"/>
      <c r="CA900" s="20"/>
    </row>
    <row r="901" spans="78:79" x14ac:dyDescent="0.35">
      <c r="BZ901" s="105"/>
      <c r="CA901" s="20"/>
    </row>
    <row r="902" spans="78:79" x14ac:dyDescent="0.35">
      <c r="BZ902" s="105"/>
      <c r="CA902" s="20"/>
    </row>
    <row r="903" spans="78:79" x14ac:dyDescent="0.35">
      <c r="BZ903" s="105"/>
      <c r="CA903" s="20"/>
    </row>
    <row r="904" spans="78:79" x14ac:dyDescent="0.35">
      <c r="BZ904" s="105"/>
      <c r="CA904" s="20"/>
    </row>
    <row r="905" spans="78:79" x14ac:dyDescent="0.35">
      <c r="BZ905" s="105"/>
      <c r="CA905" s="20"/>
    </row>
    <row r="906" spans="78:79" x14ac:dyDescent="0.35">
      <c r="BZ906" s="105"/>
      <c r="CA906" s="20"/>
    </row>
    <row r="907" spans="78:79" x14ac:dyDescent="0.35">
      <c r="BZ907" s="105"/>
      <c r="CA907" s="20"/>
    </row>
    <row r="908" spans="78:79" x14ac:dyDescent="0.35">
      <c r="BZ908" s="105"/>
      <c r="CA908" s="20"/>
    </row>
    <row r="909" spans="78:79" x14ac:dyDescent="0.35">
      <c r="BZ909" s="105"/>
      <c r="CA909" s="20"/>
    </row>
    <row r="910" spans="78:79" x14ac:dyDescent="0.35">
      <c r="BZ910" s="105"/>
      <c r="CA910" s="20"/>
    </row>
    <row r="911" spans="78:79" x14ac:dyDescent="0.35">
      <c r="BZ911" s="105"/>
      <c r="CA911" s="20"/>
    </row>
    <row r="912" spans="78:79" x14ac:dyDescent="0.35">
      <c r="BZ912" s="105"/>
      <c r="CA912" s="20"/>
    </row>
    <row r="913" spans="78:79" x14ac:dyDescent="0.35">
      <c r="BZ913" s="105"/>
      <c r="CA913" s="20"/>
    </row>
    <row r="914" spans="78:79" x14ac:dyDescent="0.35">
      <c r="BZ914" s="105"/>
      <c r="CA914" s="20"/>
    </row>
    <row r="915" spans="78:79" x14ac:dyDescent="0.35">
      <c r="BZ915" s="105"/>
      <c r="CA915" s="20"/>
    </row>
    <row r="916" spans="78:79" x14ac:dyDescent="0.35">
      <c r="BZ916" s="105"/>
      <c r="CA916" s="20"/>
    </row>
    <row r="917" spans="78:79" x14ac:dyDescent="0.35">
      <c r="BZ917" s="105"/>
      <c r="CA917" s="20"/>
    </row>
    <row r="918" spans="78:79" x14ac:dyDescent="0.35">
      <c r="BZ918" s="105"/>
      <c r="CA918" s="20"/>
    </row>
    <row r="919" spans="78:79" x14ac:dyDescent="0.35">
      <c r="BZ919" s="105"/>
      <c r="CA919" s="20"/>
    </row>
    <row r="920" spans="78:79" x14ac:dyDescent="0.35">
      <c r="BZ920" s="105"/>
      <c r="CA920" s="20"/>
    </row>
    <row r="921" spans="78:79" x14ac:dyDescent="0.35">
      <c r="BZ921" s="105"/>
      <c r="CA921" s="20"/>
    </row>
    <row r="922" spans="78:79" x14ac:dyDescent="0.35">
      <c r="BZ922" s="105"/>
      <c r="CA922" s="20"/>
    </row>
    <row r="923" spans="78:79" x14ac:dyDescent="0.35">
      <c r="BZ923" s="105"/>
      <c r="CA923" s="20"/>
    </row>
    <row r="924" spans="78:79" x14ac:dyDescent="0.35">
      <c r="BZ924" s="105"/>
      <c r="CA924" s="20"/>
    </row>
    <row r="925" spans="78:79" x14ac:dyDescent="0.35">
      <c r="BZ925" s="105"/>
      <c r="CA925" s="20"/>
    </row>
    <row r="926" spans="78:79" x14ac:dyDescent="0.35">
      <c r="BZ926" s="105"/>
      <c r="CA926" s="20"/>
    </row>
    <row r="927" spans="78:79" x14ac:dyDescent="0.35">
      <c r="BZ927" s="105"/>
      <c r="CA927" s="20"/>
    </row>
    <row r="928" spans="78:79" x14ac:dyDescent="0.35">
      <c r="BZ928" s="105"/>
      <c r="CA928" s="20"/>
    </row>
    <row r="929" spans="78:79" x14ac:dyDescent="0.35">
      <c r="BZ929" s="105"/>
      <c r="CA929" s="20"/>
    </row>
    <row r="930" spans="78:79" x14ac:dyDescent="0.35">
      <c r="BZ930" s="105"/>
      <c r="CA930" s="20"/>
    </row>
    <row r="931" spans="78:79" x14ac:dyDescent="0.35">
      <c r="BZ931" s="105"/>
      <c r="CA931" s="20"/>
    </row>
    <row r="932" spans="78:79" x14ac:dyDescent="0.35">
      <c r="BZ932" s="105"/>
      <c r="CA932" s="20"/>
    </row>
    <row r="933" spans="78:79" x14ac:dyDescent="0.35">
      <c r="BZ933" s="105"/>
      <c r="CA933" s="20"/>
    </row>
    <row r="934" spans="78:79" x14ac:dyDescent="0.35">
      <c r="BZ934" s="105"/>
      <c r="CA934" s="20"/>
    </row>
    <row r="935" spans="78:79" x14ac:dyDescent="0.35">
      <c r="BZ935" s="105"/>
      <c r="CA935" s="20"/>
    </row>
    <row r="936" spans="78:79" x14ac:dyDescent="0.35">
      <c r="BZ936" s="105"/>
      <c r="CA936" s="20"/>
    </row>
    <row r="937" spans="78:79" x14ac:dyDescent="0.35">
      <c r="BZ937" s="105"/>
      <c r="CA937" s="20"/>
    </row>
    <row r="938" spans="78:79" x14ac:dyDescent="0.35">
      <c r="BZ938" s="105"/>
      <c r="CA938" s="20"/>
    </row>
    <row r="939" spans="78:79" x14ac:dyDescent="0.35">
      <c r="BZ939" s="105"/>
      <c r="CA939" s="20"/>
    </row>
    <row r="940" spans="78:79" x14ac:dyDescent="0.35">
      <c r="BZ940" s="105"/>
      <c r="CA940" s="20"/>
    </row>
    <row r="941" spans="78:79" x14ac:dyDescent="0.35">
      <c r="BZ941" s="105"/>
      <c r="CA941" s="20"/>
    </row>
    <row r="942" spans="78:79" x14ac:dyDescent="0.35">
      <c r="BZ942" s="105"/>
      <c r="CA942" s="20"/>
    </row>
    <row r="943" spans="78:79" x14ac:dyDescent="0.35">
      <c r="BZ943" s="105"/>
      <c r="CA943" s="20"/>
    </row>
    <row r="944" spans="78:79" x14ac:dyDescent="0.35">
      <c r="BZ944" s="105"/>
      <c r="CA944" s="20"/>
    </row>
    <row r="945" spans="78:79" x14ac:dyDescent="0.35">
      <c r="BZ945" s="105"/>
      <c r="CA945" s="20"/>
    </row>
    <row r="946" spans="78:79" x14ac:dyDescent="0.35">
      <c r="BZ946" s="105"/>
      <c r="CA946" s="20"/>
    </row>
    <row r="947" spans="78:79" x14ac:dyDescent="0.35">
      <c r="BZ947" s="105"/>
      <c r="CA947" s="20"/>
    </row>
    <row r="948" spans="78:79" x14ac:dyDescent="0.35">
      <c r="BZ948" s="105"/>
      <c r="CA948" s="20"/>
    </row>
    <row r="949" spans="78:79" x14ac:dyDescent="0.35">
      <c r="BZ949" s="105"/>
      <c r="CA949" s="20"/>
    </row>
    <row r="950" spans="78:79" x14ac:dyDescent="0.35">
      <c r="BZ950" s="105"/>
      <c r="CA950" s="20"/>
    </row>
    <row r="951" spans="78:79" x14ac:dyDescent="0.35">
      <c r="BZ951" s="105"/>
      <c r="CA951" s="20"/>
    </row>
    <row r="952" spans="78:79" x14ac:dyDescent="0.35">
      <c r="BZ952" s="105"/>
      <c r="CA952" s="20"/>
    </row>
    <row r="953" spans="78:79" x14ac:dyDescent="0.35">
      <c r="BZ953" s="105"/>
      <c r="CA953" s="20"/>
    </row>
    <row r="954" spans="78:79" x14ac:dyDescent="0.35">
      <c r="BZ954" s="105"/>
      <c r="CA954" s="20"/>
    </row>
    <row r="955" spans="78:79" x14ac:dyDescent="0.35">
      <c r="BZ955" s="105"/>
      <c r="CA955" s="20"/>
    </row>
    <row r="956" spans="78:79" x14ac:dyDescent="0.35">
      <c r="BZ956" s="105"/>
      <c r="CA956" s="20"/>
    </row>
    <row r="957" spans="78:79" x14ac:dyDescent="0.35">
      <c r="BZ957" s="105"/>
      <c r="CA957" s="20"/>
    </row>
    <row r="958" spans="78:79" x14ac:dyDescent="0.35">
      <c r="BZ958" s="105"/>
      <c r="CA958" s="20"/>
    </row>
    <row r="959" spans="78:79" x14ac:dyDescent="0.35">
      <c r="BZ959" s="105"/>
      <c r="CA959" s="20"/>
    </row>
    <row r="960" spans="78:79" x14ac:dyDescent="0.35">
      <c r="BZ960" s="105"/>
      <c r="CA960" s="20"/>
    </row>
    <row r="961" spans="78:79" x14ac:dyDescent="0.35">
      <c r="BZ961" s="105"/>
      <c r="CA961" s="20"/>
    </row>
    <row r="962" spans="78:79" x14ac:dyDescent="0.35">
      <c r="BZ962" s="105"/>
      <c r="CA962" s="20"/>
    </row>
    <row r="963" spans="78:79" x14ac:dyDescent="0.35">
      <c r="BZ963" s="105"/>
      <c r="CA963" s="20"/>
    </row>
    <row r="964" spans="78:79" x14ac:dyDescent="0.35">
      <c r="BZ964" s="105"/>
      <c r="CA964" s="20"/>
    </row>
    <row r="965" spans="78:79" x14ac:dyDescent="0.35">
      <c r="BZ965" s="105"/>
      <c r="CA965" s="20"/>
    </row>
    <row r="966" spans="78:79" x14ac:dyDescent="0.35">
      <c r="BZ966" s="105"/>
      <c r="CA966" s="20"/>
    </row>
    <row r="967" spans="78:79" x14ac:dyDescent="0.35">
      <c r="BZ967" s="105"/>
      <c r="CA967" s="20"/>
    </row>
    <row r="968" spans="78:79" x14ac:dyDescent="0.35">
      <c r="BZ968" s="105"/>
      <c r="CA968" s="20"/>
    </row>
    <row r="969" spans="78:79" x14ac:dyDescent="0.35">
      <c r="BZ969" s="105"/>
      <c r="CA969" s="20"/>
    </row>
    <row r="970" spans="78:79" x14ac:dyDescent="0.35">
      <c r="BZ970" s="105"/>
      <c r="CA970" s="20"/>
    </row>
    <row r="971" spans="78:79" x14ac:dyDescent="0.35">
      <c r="BZ971" s="105"/>
      <c r="CA971" s="20"/>
    </row>
    <row r="972" spans="78:79" x14ac:dyDescent="0.35">
      <c r="BZ972" s="105"/>
      <c r="CA972" s="20"/>
    </row>
    <row r="973" spans="78:79" x14ac:dyDescent="0.35">
      <c r="BZ973" s="105"/>
      <c r="CA973" s="20"/>
    </row>
    <row r="974" spans="78:79" x14ac:dyDescent="0.35">
      <c r="BZ974" s="105"/>
      <c r="CA974" s="20"/>
    </row>
    <row r="975" spans="78:79" x14ac:dyDescent="0.35">
      <c r="BZ975" s="105"/>
      <c r="CA975" s="20"/>
    </row>
    <row r="976" spans="78:79" x14ac:dyDescent="0.35">
      <c r="BZ976" s="105"/>
      <c r="CA976" s="20"/>
    </row>
    <row r="977" spans="78:79" x14ac:dyDescent="0.35">
      <c r="BZ977" s="105"/>
      <c r="CA977" s="20"/>
    </row>
    <row r="978" spans="78:79" x14ac:dyDescent="0.35">
      <c r="BZ978" s="105"/>
      <c r="CA978" s="20"/>
    </row>
    <row r="979" spans="78:79" x14ac:dyDescent="0.35">
      <c r="BZ979" s="105"/>
      <c r="CA979" s="20"/>
    </row>
    <row r="980" spans="78:79" x14ac:dyDescent="0.35">
      <c r="BZ980" s="105"/>
      <c r="CA980" s="20"/>
    </row>
    <row r="981" spans="78:79" x14ac:dyDescent="0.35">
      <c r="BZ981" s="105"/>
      <c r="CA981" s="20"/>
    </row>
    <row r="982" spans="78:79" x14ac:dyDescent="0.35">
      <c r="BZ982" s="105"/>
      <c r="CA982" s="20"/>
    </row>
    <row r="983" spans="78:79" x14ac:dyDescent="0.35">
      <c r="BZ983" s="105"/>
      <c r="CA983" s="20"/>
    </row>
    <row r="984" spans="78:79" x14ac:dyDescent="0.35">
      <c r="BZ984" s="105"/>
      <c r="CA984" s="20"/>
    </row>
    <row r="985" spans="78:79" x14ac:dyDescent="0.35">
      <c r="BZ985" s="105"/>
      <c r="CA985" s="20"/>
    </row>
    <row r="986" spans="78:79" x14ac:dyDescent="0.35">
      <c r="BZ986" s="105"/>
      <c r="CA986" s="20"/>
    </row>
    <row r="987" spans="78:79" x14ac:dyDescent="0.35">
      <c r="BZ987" s="105"/>
      <c r="CA987" s="20"/>
    </row>
    <row r="988" spans="78:79" x14ac:dyDescent="0.35">
      <c r="BZ988" s="105"/>
      <c r="CA988" s="20"/>
    </row>
    <row r="989" spans="78:79" x14ac:dyDescent="0.35">
      <c r="BZ989" s="105"/>
      <c r="CA989" s="20"/>
    </row>
    <row r="990" spans="78:79" x14ac:dyDescent="0.35">
      <c r="BZ990" s="105"/>
      <c r="CA990" s="20"/>
    </row>
    <row r="991" spans="78:79" x14ac:dyDescent="0.35">
      <c r="BZ991" s="105"/>
      <c r="CA991" s="20"/>
    </row>
    <row r="992" spans="78:79" x14ac:dyDescent="0.35">
      <c r="BZ992" s="105"/>
      <c r="CA992" s="20"/>
    </row>
    <row r="993" spans="78:79" x14ac:dyDescent="0.35">
      <c r="BZ993" s="105"/>
      <c r="CA993" s="20"/>
    </row>
    <row r="994" spans="78:79" x14ac:dyDescent="0.35">
      <c r="BZ994" s="105"/>
      <c r="CA994" s="20"/>
    </row>
    <row r="995" spans="78:79" x14ac:dyDescent="0.35">
      <c r="BZ995" s="105"/>
      <c r="CA995" s="20"/>
    </row>
    <row r="996" spans="78:79" x14ac:dyDescent="0.35">
      <c r="BZ996" s="105"/>
      <c r="CA996" s="20"/>
    </row>
    <row r="997" spans="78:79" x14ac:dyDescent="0.35">
      <c r="BZ997" s="105"/>
      <c r="CA997" s="20"/>
    </row>
    <row r="998" spans="78:79" x14ac:dyDescent="0.35">
      <c r="BZ998" s="105"/>
      <c r="CA998" s="20"/>
    </row>
    <row r="999" spans="78:79" x14ac:dyDescent="0.35">
      <c r="BZ999" s="105"/>
      <c r="CA999" s="20"/>
    </row>
    <row r="1000" spans="78:79" x14ac:dyDescent="0.35">
      <c r="BZ1000" s="105"/>
      <c r="CA1000" s="20"/>
    </row>
    <row r="1001" spans="78:79" x14ac:dyDescent="0.35">
      <c r="BZ1001" s="105"/>
      <c r="CA1001" s="20"/>
    </row>
    <row r="1002" spans="78:79" x14ac:dyDescent="0.35">
      <c r="BZ1002" s="105"/>
      <c r="CA1002" s="20"/>
    </row>
    <row r="1003" spans="78:79" x14ac:dyDescent="0.35">
      <c r="BZ1003" s="105"/>
      <c r="CA1003" s="20"/>
    </row>
    <row r="1004" spans="78:79" x14ac:dyDescent="0.35">
      <c r="BZ1004" s="105"/>
      <c r="CA1004" s="20"/>
    </row>
    <row r="1005" spans="78:79" x14ac:dyDescent="0.35">
      <c r="BZ1005" s="105"/>
      <c r="CA1005" s="20"/>
    </row>
    <row r="1006" spans="78:79" x14ac:dyDescent="0.35">
      <c r="BZ1006" s="105"/>
      <c r="CA1006" s="20"/>
    </row>
    <row r="1007" spans="78:79" x14ac:dyDescent="0.35">
      <c r="BZ1007" s="105"/>
      <c r="CA1007" s="20"/>
    </row>
    <row r="1008" spans="78:79" x14ac:dyDescent="0.35">
      <c r="BZ1008" s="105"/>
      <c r="CA1008" s="20"/>
    </row>
    <row r="1009" spans="78:79" x14ac:dyDescent="0.35">
      <c r="BZ1009" s="105"/>
      <c r="CA1009" s="20"/>
    </row>
    <row r="1010" spans="78:79" x14ac:dyDescent="0.35">
      <c r="BZ1010" s="105"/>
      <c r="CA1010" s="20"/>
    </row>
    <row r="1011" spans="78:79" x14ac:dyDescent="0.35">
      <c r="BZ1011" s="105"/>
      <c r="CA1011" s="20"/>
    </row>
    <row r="1012" spans="78:79" x14ac:dyDescent="0.35">
      <c r="BZ1012" s="105"/>
      <c r="CA1012" s="20"/>
    </row>
    <row r="1013" spans="78:79" x14ac:dyDescent="0.35">
      <c r="BZ1013" s="105"/>
      <c r="CA1013" s="20"/>
    </row>
    <row r="1014" spans="78:79" x14ac:dyDescent="0.35">
      <c r="BZ1014" s="105"/>
      <c r="CA1014" s="20"/>
    </row>
    <row r="1015" spans="78:79" x14ac:dyDescent="0.35">
      <c r="BZ1015" s="105"/>
      <c r="CA1015" s="20"/>
    </row>
    <row r="1016" spans="78:79" x14ac:dyDescent="0.35">
      <c r="BZ1016" s="105"/>
      <c r="CA1016" s="20"/>
    </row>
    <row r="1017" spans="78:79" x14ac:dyDescent="0.35">
      <c r="BZ1017" s="105"/>
      <c r="CA1017" s="20"/>
    </row>
    <row r="1018" spans="78:79" x14ac:dyDescent="0.35">
      <c r="BZ1018" s="105"/>
      <c r="CA1018" s="20"/>
    </row>
    <row r="1019" spans="78:79" x14ac:dyDescent="0.35">
      <c r="BZ1019" s="105"/>
      <c r="CA1019" s="20"/>
    </row>
    <row r="1020" spans="78:79" x14ac:dyDescent="0.35">
      <c r="BZ1020" s="105"/>
      <c r="CA1020" s="20"/>
    </row>
    <row r="1021" spans="78:79" x14ac:dyDescent="0.35">
      <c r="BZ1021" s="105"/>
      <c r="CA1021" s="20"/>
    </row>
    <row r="1022" spans="78:79" x14ac:dyDescent="0.35">
      <c r="BZ1022" s="105"/>
      <c r="CA1022" s="20"/>
    </row>
    <row r="1023" spans="78:79" x14ac:dyDescent="0.35">
      <c r="BZ1023" s="105"/>
      <c r="CA1023" s="20"/>
    </row>
    <row r="1024" spans="78:79" x14ac:dyDescent="0.35">
      <c r="BZ1024" s="105"/>
      <c r="CA1024" s="20"/>
    </row>
    <row r="1025" spans="78:79" x14ac:dyDescent="0.35">
      <c r="BZ1025" s="105"/>
      <c r="CA1025" s="20"/>
    </row>
    <row r="1026" spans="78:79" x14ac:dyDescent="0.35">
      <c r="BZ1026" s="105"/>
      <c r="CA1026" s="20"/>
    </row>
    <row r="1027" spans="78:79" x14ac:dyDescent="0.35">
      <c r="BZ1027" s="105"/>
      <c r="CA1027" s="20"/>
    </row>
    <row r="1028" spans="78:79" x14ac:dyDescent="0.35">
      <c r="BZ1028" s="105"/>
      <c r="CA1028" s="20"/>
    </row>
    <row r="1029" spans="78:79" x14ac:dyDescent="0.35">
      <c r="BZ1029" s="105"/>
      <c r="CA1029" s="20"/>
    </row>
    <row r="1030" spans="78:79" x14ac:dyDescent="0.35">
      <c r="BZ1030" s="105"/>
      <c r="CA1030" s="20"/>
    </row>
    <row r="1031" spans="78:79" x14ac:dyDescent="0.35">
      <c r="BZ1031" s="105"/>
      <c r="CA1031" s="20"/>
    </row>
    <row r="1032" spans="78:79" x14ac:dyDescent="0.35">
      <c r="BZ1032" s="105"/>
      <c r="CA1032" s="20"/>
    </row>
    <row r="1033" spans="78:79" x14ac:dyDescent="0.35">
      <c r="BZ1033" s="105"/>
      <c r="CA1033" s="20"/>
    </row>
    <row r="1034" spans="78:79" x14ac:dyDescent="0.35">
      <c r="BZ1034" s="105"/>
      <c r="CA1034" s="20"/>
    </row>
    <row r="1035" spans="78:79" x14ac:dyDescent="0.35">
      <c r="BZ1035" s="105"/>
      <c r="CA1035" s="20"/>
    </row>
    <row r="1036" spans="78:79" x14ac:dyDescent="0.35">
      <c r="BZ1036" s="105"/>
      <c r="CA1036" s="20"/>
    </row>
    <row r="1037" spans="78:79" x14ac:dyDescent="0.35">
      <c r="BZ1037" s="105"/>
      <c r="CA1037" s="20"/>
    </row>
    <row r="1038" spans="78:79" x14ac:dyDescent="0.35">
      <c r="BZ1038" s="105"/>
      <c r="CA1038" s="20"/>
    </row>
    <row r="1039" spans="78:79" x14ac:dyDescent="0.35">
      <c r="BZ1039" s="105"/>
      <c r="CA1039" s="20"/>
    </row>
    <row r="1040" spans="78:79" x14ac:dyDescent="0.35">
      <c r="BZ1040" s="105"/>
      <c r="CA1040" s="20"/>
    </row>
    <row r="1041" spans="78:79" x14ac:dyDescent="0.35">
      <c r="BZ1041" s="105"/>
      <c r="CA1041" s="20"/>
    </row>
    <row r="1042" spans="78:79" x14ac:dyDescent="0.35">
      <c r="BZ1042" s="105"/>
      <c r="CA1042" s="20"/>
    </row>
    <row r="1043" spans="78:79" x14ac:dyDescent="0.35">
      <c r="BZ1043" s="105"/>
      <c r="CA1043" s="20"/>
    </row>
    <row r="1044" spans="78:79" x14ac:dyDescent="0.35">
      <c r="BZ1044" s="105"/>
      <c r="CA1044" s="20"/>
    </row>
    <row r="1045" spans="78:79" x14ac:dyDescent="0.35">
      <c r="BZ1045" s="105"/>
      <c r="CA1045" s="20"/>
    </row>
    <row r="1046" spans="78:79" x14ac:dyDescent="0.35">
      <c r="BZ1046" s="105"/>
      <c r="CA1046" s="20"/>
    </row>
    <row r="1047" spans="78:79" x14ac:dyDescent="0.35">
      <c r="BZ1047" s="105"/>
      <c r="CA1047" s="20"/>
    </row>
    <row r="1048" spans="78:79" x14ac:dyDescent="0.35">
      <c r="BZ1048" s="105"/>
      <c r="CA1048" s="20"/>
    </row>
    <row r="1049" spans="78:79" x14ac:dyDescent="0.35">
      <c r="BZ1049" s="105"/>
      <c r="CA1049" s="20"/>
    </row>
    <row r="1050" spans="78:79" x14ac:dyDescent="0.35">
      <c r="BZ1050" s="105"/>
      <c r="CA1050" s="20"/>
    </row>
    <row r="1051" spans="78:79" x14ac:dyDescent="0.35">
      <c r="BZ1051" s="105"/>
      <c r="CA1051" s="20"/>
    </row>
    <row r="1052" spans="78:79" x14ac:dyDescent="0.35">
      <c r="BZ1052" s="105"/>
      <c r="CA1052" s="20"/>
    </row>
    <row r="1053" spans="78:79" x14ac:dyDescent="0.35">
      <c r="BZ1053" s="105"/>
      <c r="CA1053" s="20"/>
    </row>
    <row r="1054" spans="78:79" x14ac:dyDescent="0.35">
      <c r="BZ1054" s="105"/>
      <c r="CA1054" s="20"/>
    </row>
    <row r="1055" spans="78:79" x14ac:dyDescent="0.35">
      <c r="BZ1055" s="105"/>
      <c r="CA1055" s="20"/>
    </row>
    <row r="1056" spans="78:79" x14ac:dyDescent="0.35">
      <c r="BZ1056" s="105"/>
      <c r="CA1056" s="20"/>
    </row>
    <row r="1057" spans="78:79" x14ac:dyDescent="0.35">
      <c r="BZ1057" s="105"/>
      <c r="CA1057" s="20"/>
    </row>
    <row r="1058" spans="78:79" x14ac:dyDescent="0.35">
      <c r="BZ1058" s="105"/>
      <c r="CA1058" s="20"/>
    </row>
    <row r="1059" spans="78:79" x14ac:dyDescent="0.35">
      <c r="BZ1059" s="105"/>
      <c r="CA1059" s="20"/>
    </row>
    <row r="1060" spans="78:79" x14ac:dyDescent="0.35">
      <c r="BZ1060" s="105"/>
      <c r="CA1060" s="20"/>
    </row>
    <row r="1061" spans="78:79" x14ac:dyDescent="0.35">
      <c r="BZ1061" s="105"/>
      <c r="CA1061" s="20"/>
    </row>
    <row r="1062" spans="78:79" x14ac:dyDescent="0.35">
      <c r="BZ1062" s="105"/>
      <c r="CA1062" s="20"/>
    </row>
    <row r="1063" spans="78:79" x14ac:dyDescent="0.35">
      <c r="BZ1063" s="105"/>
      <c r="CA1063" s="20"/>
    </row>
    <row r="1064" spans="78:79" x14ac:dyDescent="0.35">
      <c r="BZ1064" s="105"/>
      <c r="CA1064" s="20"/>
    </row>
    <row r="1065" spans="78:79" x14ac:dyDescent="0.35">
      <c r="BZ1065" s="105"/>
      <c r="CA1065" s="20"/>
    </row>
    <row r="1066" spans="78:79" x14ac:dyDescent="0.35">
      <c r="BZ1066" s="105"/>
      <c r="CA1066" s="20"/>
    </row>
    <row r="1067" spans="78:79" x14ac:dyDescent="0.35">
      <c r="BZ1067" s="105"/>
      <c r="CA1067" s="20"/>
    </row>
    <row r="1068" spans="78:79" x14ac:dyDescent="0.35">
      <c r="BZ1068" s="105"/>
      <c r="CA1068" s="20"/>
    </row>
    <row r="1069" spans="78:79" x14ac:dyDescent="0.35">
      <c r="BZ1069" s="105"/>
      <c r="CA1069" s="20"/>
    </row>
    <row r="1070" spans="78:79" x14ac:dyDescent="0.35">
      <c r="BZ1070" s="105"/>
      <c r="CA1070" s="20"/>
    </row>
    <row r="1071" spans="78:79" x14ac:dyDescent="0.35">
      <c r="BZ1071" s="105"/>
      <c r="CA1071" s="20"/>
    </row>
    <row r="1072" spans="78:79" x14ac:dyDescent="0.35">
      <c r="BZ1072" s="105"/>
      <c r="CA1072" s="20"/>
    </row>
    <row r="1073" spans="78:79" x14ac:dyDescent="0.35">
      <c r="BZ1073" s="105"/>
      <c r="CA1073" s="20"/>
    </row>
    <row r="1074" spans="78:79" x14ac:dyDescent="0.35">
      <c r="BZ1074" s="105"/>
      <c r="CA1074" s="20"/>
    </row>
    <row r="1075" spans="78:79" x14ac:dyDescent="0.35">
      <c r="BZ1075" s="105"/>
      <c r="CA1075" s="20"/>
    </row>
    <row r="1076" spans="78:79" x14ac:dyDescent="0.35">
      <c r="BZ1076" s="105"/>
      <c r="CA1076" s="20"/>
    </row>
    <row r="1077" spans="78:79" x14ac:dyDescent="0.35">
      <c r="BZ1077" s="105"/>
      <c r="CA1077" s="20"/>
    </row>
    <row r="1078" spans="78:79" x14ac:dyDescent="0.35">
      <c r="BZ1078" s="105"/>
      <c r="CA1078" s="20"/>
    </row>
    <row r="1079" spans="78:79" x14ac:dyDescent="0.35">
      <c r="BZ1079" s="105"/>
      <c r="CA1079" s="20"/>
    </row>
    <row r="1080" spans="78:79" x14ac:dyDescent="0.35">
      <c r="BZ1080" s="105"/>
      <c r="CA1080" s="20"/>
    </row>
    <row r="1081" spans="78:79" x14ac:dyDescent="0.35">
      <c r="BZ1081" s="105"/>
      <c r="CA1081" s="20"/>
    </row>
    <row r="1082" spans="78:79" x14ac:dyDescent="0.35">
      <c r="BZ1082" s="105"/>
      <c r="CA1082" s="20"/>
    </row>
    <row r="1083" spans="78:79" x14ac:dyDescent="0.35">
      <c r="BZ1083" s="105"/>
      <c r="CA1083" s="20"/>
    </row>
    <row r="1084" spans="78:79" x14ac:dyDescent="0.35">
      <c r="BZ1084" s="105"/>
      <c r="CA1084" s="20"/>
    </row>
    <row r="1085" spans="78:79" x14ac:dyDescent="0.35">
      <c r="BZ1085" s="105"/>
      <c r="CA1085" s="20"/>
    </row>
    <row r="1086" spans="78:79" x14ac:dyDescent="0.35">
      <c r="BZ1086" s="105"/>
      <c r="CA1086" s="20"/>
    </row>
    <row r="1087" spans="78:79" x14ac:dyDescent="0.35">
      <c r="BZ1087" s="105"/>
      <c r="CA1087" s="20"/>
    </row>
    <row r="1088" spans="78:79" x14ac:dyDescent="0.35">
      <c r="BZ1088" s="105"/>
      <c r="CA1088" s="20"/>
    </row>
    <row r="1089" spans="78:79" x14ac:dyDescent="0.35">
      <c r="BZ1089" s="105"/>
      <c r="CA1089" s="20"/>
    </row>
    <row r="1090" spans="78:79" x14ac:dyDescent="0.35">
      <c r="BZ1090" s="105"/>
      <c r="CA1090" s="20"/>
    </row>
    <row r="1091" spans="78:79" x14ac:dyDescent="0.35">
      <c r="BZ1091" s="105"/>
      <c r="CA1091" s="20"/>
    </row>
    <row r="1092" spans="78:79" x14ac:dyDescent="0.35">
      <c r="BZ1092" s="105"/>
      <c r="CA1092" s="20"/>
    </row>
    <row r="1093" spans="78:79" x14ac:dyDescent="0.35">
      <c r="BZ1093" s="105"/>
      <c r="CA1093" s="20"/>
    </row>
    <row r="1094" spans="78:79" x14ac:dyDescent="0.35">
      <c r="BZ1094" s="105"/>
      <c r="CA1094" s="20"/>
    </row>
    <row r="1095" spans="78:79" x14ac:dyDescent="0.35">
      <c r="BZ1095" s="105"/>
      <c r="CA1095" s="20"/>
    </row>
    <row r="1096" spans="78:79" x14ac:dyDescent="0.35">
      <c r="BZ1096" s="105"/>
      <c r="CA1096" s="20"/>
    </row>
    <row r="1097" spans="78:79" x14ac:dyDescent="0.35">
      <c r="BZ1097" s="105"/>
      <c r="CA1097" s="20"/>
    </row>
    <row r="1098" spans="78:79" x14ac:dyDescent="0.35">
      <c r="BZ1098" s="105"/>
      <c r="CA1098" s="20"/>
    </row>
    <row r="1099" spans="78:79" x14ac:dyDescent="0.35">
      <c r="BZ1099" s="105"/>
      <c r="CA1099" s="20"/>
    </row>
    <row r="1100" spans="78:79" x14ac:dyDescent="0.35">
      <c r="BZ1100" s="105"/>
      <c r="CA1100" s="20"/>
    </row>
    <row r="1101" spans="78:79" x14ac:dyDescent="0.35">
      <c r="BZ1101" s="105"/>
      <c r="CA1101" s="20"/>
    </row>
    <row r="1102" spans="78:79" x14ac:dyDescent="0.35">
      <c r="BZ1102" s="105"/>
      <c r="CA1102" s="20"/>
    </row>
    <row r="1103" spans="78:79" x14ac:dyDescent="0.35">
      <c r="BZ1103" s="105"/>
      <c r="CA1103" s="20"/>
    </row>
    <row r="1104" spans="78:79" x14ac:dyDescent="0.35">
      <c r="BZ1104" s="105"/>
      <c r="CA1104" s="20"/>
    </row>
    <row r="1105" spans="78:79" x14ac:dyDescent="0.35">
      <c r="BZ1105" s="105"/>
      <c r="CA1105" s="20"/>
    </row>
    <row r="1106" spans="78:79" x14ac:dyDescent="0.35">
      <c r="BZ1106" s="105"/>
      <c r="CA1106" s="20"/>
    </row>
    <row r="1107" spans="78:79" x14ac:dyDescent="0.35">
      <c r="BZ1107" s="105"/>
      <c r="CA1107" s="20"/>
    </row>
    <row r="1108" spans="78:79" x14ac:dyDescent="0.35">
      <c r="BZ1108" s="105"/>
      <c r="CA1108" s="20"/>
    </row>
    <row r="1109" spans="78:79" x14ac:dyDescent="0.35">
      <c r="BZ1109" s="105"/>
      <c r="CA1109" s="20"/>
    </row>
    <row r="1110" spans="78:79" x14ac:dyDescent="0.35">
      <c r="BZ1110" s="105"/>
      <c r="CA1110" s="20"/>
    </row>
    <row r="1111" spans="78:79" x14ac:dyDescent="0.35">
      <c r="BZ1111" s="105"/>
      <c r="CA1111" s="20"/>
    </row>
    <row r="1112" spans="78:79" x14ac:dyDescent="0.35">
      <c r="BZ1112" s="105"/>
      <c r="CA1112" s="20"/>
    </row>
    <row r="1113" spans="78:79" x14ac:dyDescent="0.35">
      <c r="BZ1113" s="105"/>
      <c r="CA1113" s="20"/>
    </row>
    <row r="1114" spans="78:79" x14ac:dyDescent="0.35">
      <c r="BZ1114" s="105"/>
      <c r="CA1114" s="20"/>
    </row>
    <row r="1115" spans="78:79" x14ac:dyDescent="0.35">
      <c r="BZ1115" s="105"/>
      <c r="CA1115" s="20"/>
    </row>
    <row r="1116" spans="78:79" x14ac:dyDescent="0.35">
      <c r="BZ1116" s="105"/>
      <c r="CA1116" s="20"/>
    </row>
    <row r="1117" spans="78:79" x14ac:dyDescent="0.35">
      <c r="BZ1117" s="105"/>
      <c r="CA1117" s="20"/>
    </row>
    <row r="1118" spans="78:79" x14ac:dyDescent="0.35">
      <c r="BZ1118" s="105"/>
      <c r="CA1118" s="20"/>
    </row>
    <row r="1119" spans="78:79" x14ac:dyDescent="0.35">
      <c r="BZ1119" s="105"/>
      <c r="CA1119" s="20"/>
    </row>
    <row r="1120" spans="78:79" x14ac:dyDescent="0.35">
      <c r="BZ1120" s="105"/>
      <c r="CA1120" s="20"/>
    </row>
    <row r="1121" spans="78:79" x14ac:dyDescent="0.35">
      <c r="BZ1121" s="105"/>
      <c r="CA1121" s="20"/>
    </row>
    <row r="1122" spans="78:79" x14ac:dyDescent="0.35">
      <c r="BZ1122" s="105"/>
      <c r="CA1122" s="20"/>
    </row>
    <row r="1123" spans="78:79" x14ac:dyDescent="0.35">
      <c r="BZ1123" s="105"/>
      <c r="CA1123" s="20"/>
    </row>
    <row r="1124" spans="78:79" x14ac:dyDescent="0.35">
      <c r="BZ1124" s="105"/>
      <c r="CA1124" s="20"/>
    </row>
    <row r="1125" spans="78:79" x14ac:dyDescent="0.35">
      <c r="BZ1125" s="105"/>
      <c r="CA1125" s="20"/>
    </row>
    <row r="1126" spans="78:79" x14ac:dyDescent="0.35">
      <c r="BZ1126" s="105"/>
      <c r="CA1126" s="20"/>
    </row>
    <row r="1127" spans="78:79" x14ac:dyDescent="0.35">
      <c r="BZ1127" s="105"/>
      <c r="CA1127" s="20"/>
    </row>
    <row r="1128" spans="78:79" x14ac:dyDescent="0.35">
      <c r="BZ1128" s="105"/>
      <c r="CA1128" s="20"/>
    </row>
    <row r="1129" spans="78:79" x14ac:dyDescent="0.35">
      <c r="BZ1129" s="105"/>
      <c r="CA1129" s="20"/>
    </row>
    <row r="1130" spans="78:79" x14ac:dyDescent="0.35">
      <c r="BZ1130" s="105"/>
      <c r="CA1130" s="20"/>
    </row>
    <row r="1131" spans="78:79" x14ac:dyDescent="0.35">
      <c r="BZ1131" s="105"/>
      <c r="CA1131" s="20"/>
    </row>
    <row r="1132" spans="78:79" x14ac:dyDescent="0.35">
      <c r="BZ1132" s="105"/>
      <c r="CA1132" s="20"/>
    </row>
    <row r="1133" spans="78:79" x14ac:dyDescent="0.35">
      <c r="BZ1133" s="105"/>
      <c r="CA1133" s="20"/>
    </row>
    <row r="1134" spans="78:79" x14ac:dyDescent="0.35">
      <c r="BZ1134" s="105"/>
      <c r="CA1134" s="20"/>
    </row>
    <row r="1135" spans="78:79" x14ac:dyDescent="0.35">
      <c r="BZ1135" s="105"/>
      <c r="CA1135" s="20"/>
    </row>
    <row r="1136" spans="78:79" x14ac:dyDescent="0.35">
      <c r="BZ1136" s="105"/>
      <c r="CA1136" s="20"/>
    </row>
    <row r="1137" spans="78:79" x14ac:dyDescent="0.35">
      <c r="BZ1137" s="105"/>
      <c r="CA1137" s="20"/>
    </row>
    <row r="1138" spans="78:79" x14ac:dyDescent="0.35">
      <c r="BZ1138" s="105"/>
      <c r="CA1138" s="20"/>
    </row>
    <row r="1139" spans="78:79" x14ac:dyDescent="0.35">
      <c r="BZ1139" s="105"/>
      <c r="CA1139" s="20"/>
    </row>
    <row r="1140" spans="78:79" x14ac:dyDescent="0.35">
      <c r="BZ1140" s="105"/>
      <c r="CA1140" s="20"/>
    </row>
    <row r="1141" spans="78:79" x14ac:dyDescent="0.35">
      <c r="BZ1141" s="105"/>
      <c r="CA1141" s="20"/>
    </row>
    <row r="1142" spans="78:79" x14ac:dyDescent="0.35">
      <c r="BZ1142" s="105"/>
      <c r="CA1142" s="20"/>
    </row>
    <row r="1143" spans="78:79" x14ac:dyDescent="0.35">
      <c r="BZ1143" s="105"/>
      <c r="CA1143" s="20"/>
    </row>
    <row r="1144" spans="78:79" x14ac:dyDescent="0.35">
      <c r="BZ1144" s="105"/>
      <c r="CA1144" s="20"/>
    </row>
    <row r="1145" spans="78:79" x14ac:dyDescent="0.35">
      <c r="BZ1145" s="105"/>
      <c r="CA1145" s="20"/>
    </row>
    <row r="1146" spans="78:79" x14ac:dyDescent="0.35">
      <c r="BZ1146" s="105"/>
      <c r="CA1146" s="20"/>
    </row>
    <row r="1147" spans="78:79" x14ac:dyDescent="0.35">
      <c r="BZ1147" s="105"/>
      <c r="CA1147" s="20"/>
    </row>
    <row r="1148" spans="78:79" x14ac:dyDescent="0.35">
      <c r="BZ1148" s="105"/>
      <c r="CA1148" s="20"/>
    </row>
    <row r="1149" spans="78:79" x14ac:dyDescent="0.35">
      <c r="BZ1149" s="105"/>
      <c r="CA1149" s="20"/>
    </row>
    <row r="1150" spans="78:79" x14ac:dyDescent="0.35">
      <c r="BZ1150" s="105"/>
      <c r="CA1150" s="20"/>
    </row>
    <row r="1151" spans="78:79" x14ac:dyDescent="0.35">
      <c r="BZ1151" s="105"/>
      <c r="CA1151" s="20"/>
    </row>
    <row r="1152" spans="78:79" x14ac:dyDescent="0.35">
      <c r="BZ1152" s="105"/>
      <c r="CA1152" s="20"/>
    </row>
    <row r="1153" spans="78:79" x14ac:dyDescent="0.35">
      <c r="BZ1153" s="105"/>
      <c r="CA1153" s="20"/>
    </row>
    <row r="1154" spans="78:79" x14ac:dyDescent="0.35">
      <c r="BZ1154" s="105"/>
      <c r="CA1154" s="20"/>
    </row>
    <row r="1155" spans="78:79" x14ac:dyDescent="0.35">
      <c r="BZ1155" s="105"/>
      <c r="CA1155" s="20"/>
    </row>
    <row r="1156" spans="78:79" x14ac:dyDescent="0.35">
      <c r="BZ1156" s="105"/>
      <c r="CA1156" s="20"/>
    </row>
    <row r="1157" spans="78:79" x14ac:dyDescent="0.35">
      <c r="BZ1157" s="105"/>
      <c r="CA1157" s="20"/>
    </row>
    <row r="1158" spans="78:79" x14ac:dyDescent="0.35">
      <c r="BZ1158" s="105"/>
      <c r="CA1158" s="20"/>
    </row>
    <row r="1159" spans="78:79" x14ac:dyDescent="0.35">
      <c r="BZ1159" s="105"/>
      <c r="CA1159" s="20"/>
    </row>
    <row r="1160" spans="78:79" x14ac:dyDescent="0.35">
      <c r="BZ1160" s="105"/>
      <c r="CA1160" s="20"/>
    </row>
    <row r="1161" spans="78:79" x14ac:dyDescent="0.35">
      <c r="BZ1161" s="105"/>
      <c r="CA1161" s="20"/>
    </row>
    <row r="1162" spans="78:79" x14ac:dyDescent="0.35">
      <c r="BZ1162" s="105"/>
      <c r="CA1162" s="20"/>
    </row>
    <row r="1163" spans="78:79" x14ac:dyDescent="0.35">
      <c r="BZ1163" s="105"/>
      <c r="CA1163" s="20"/>
    </row>
    <row r="1164" spans="78:79" x14ac:dyDescent="0.35">
      <c r="BZ1164" s="105"/>
      <c r="CA1164" s="20"/>
    </row>
    <row r="1165" spans="78:79" x14ac:dyDescent="0.35">
      <c r="BZ1165" s="105"/>
      <c r="CA1165" s="20"/>
    </row>
    <row r="1166" spans="78:79" x14ac:dyDescent="0.35">
      <c r="BZ1166" s="105"/>
      <c r="CA1166" s="20"/>
    </row>
    <row r="1167" spans="78:79" x14ac:dyDescent="0.35">
      <c r="BZ1167" s="105"/>
      <c r="CA1167" s="20"/>
    </row>
    <row r="1168" spans="78:79" x14ac:dyDescent="0.35">
      <c r="BZ1168" s="105"/>
      <c r="CA1168" s="20"/>
    </row>
    <row r="1169" spans="78:79" x14ac:dyDescent="0.35">
      <c r="BZ1169" s="105"/>
      <c r="CA1169" s="20"/>
    </row>
    <row r="1170" spans="78:79" x14ac:dyDescent="0.35">
      <c r="BZ1170" s="105"/>
      <c r="CA1170" s="20"/>
    </row>
    <row r="1171" spans="78:79" x14ac:dyDescent="0.35">
      <c r="BZ1171" s="105"/>
      <c r="CA1171" s="20"/>
    </row>
    <row r="1172" spans="78:79" x14ac:dyDescent="0.35">
      <c r="BZ1172" s="105"/>
      <c r="CA1172" s="20"/>
    </row>
    <row r="1173" spans="78:79" x14ac:dyDescent="0.35">
      <c r="BZ1173" s="105"/>
      <c r="CA1173" s="20"/>
    </row>
    <row r="1174" spans="78:79" x14ac:dyDescent="0.35">
      <c r="BZ1174" s="105"/>
      <c r="CA1174" s="20"/>
    </row>
    <row r="1175" spans="78:79" x14ac:dyDescent="0.35">
      <c r="BZ1175" s="105"/>
      <c r="CA1175" s="20"/>
    </row>
    <row r="1176" spans="78:79" x14ac:dyDescent="0.35">
      <c r="BZ1176" s="105"/>
      <c r="CA1176" s="20"/>
    </row>
    <row r="1177" spans="78:79" x14ac:dyDescent="0.35">
      <c r="BZ1177" s="105"/>
      <c r="CA1177" s="20"/>
    </row>
    <row r="1178" spans="78:79" x14ac:dyDescent="0.35">
      <c r="BZ1178" s="105"/>
      <c r="CA1178" s="20"/>
    </row>
    <row r="1179" spans="78:79" x14ac:dyDescent="0.35">
      <c r="BZ1179" s="105"/>
      <c r="CA1179" s="20"/>
    </row>
    <row r="1180" spans="78:79" x14ac:dyDescent="0.35">
      <c r="BZ1180" s="105"/>
      <c r="CA1180" s="20"/>
    </row>
    <row r="1181" spans="78:79" x14ac:dyDescent="0.35">
      <c r="BZ1181" s="105"/>
      <c r="CA1181" s="20"/>
    </row>
    <row r="1182" spans="78:79" x14ac:dyDescent="0.35">
      <c r="BZ1182" s="105"/>
      <c r="CA1182" s="20"/>
    </row>
    <row r="1183" spans="78:79" x14ac:dyDescent="0.35">
      <c r="BZ1183" s="105"/>
      <c r="CA1183" s="20"/>
    </row>
    <row r="1184" spans="78:79" x14ac:dyDescent="0.35">
      <c r="BZ1184" s="105"/>
      <c r="CA1184" s="20"/>
    </row>
    <row r="1185" spans="78:79" x14ac:dyDescent="0.35">
      <c r="BZ1185" s="105"/>
      <c r="CA1185" s="20"/>
    </row>
    <row r="1186" spans="78:79" x14ac:dyDescent="0.35">
      <c r="BZ1186" s="105"/>
      <c r="CA1186" s="20"/>
    </row>
    <row r="1187" spans="78:79" x14ac:dyDescent="0.35">
      <c r="BZ1187" s="105"/>
      <c r="CA1187" s="20"/>
    </row>
    <row r="1188" spans="78:79" x14ac:dyDescent="0.35">
      <c r="BZ1188" s="105"/>
      <c r="CA1188" s="20"/>
    </row>
    <row r="1189" spans="78:79" x14ac:dyDescent="0.35">
      <c r="BZ1189" s="105"/>
      <c r="CA1189" s="20"/>
    </row>
    <row r="1190" spans="78:79" x14ac:dyDescent="0.35">
      <c r="BZ1190" s="105"/>
      <c r="CA1190" s="20"/>
    </row>
    <row r="1191" spans="78:79" x14ac:dyDescent="0.35">
      <c r="BZ1191" s="105"/>
      <c r="CA1191" s="20"/>
    </row>
    <row r="1192" spans="78:79" x14ac:dyDescent="0.35">
      <c r="BZ1192" s="105"/>
      <c r="CA1192" s="20"/>
    </row>
    <row r="1193" spans="78:79" x14ac:dyDescent="0.35">
      <c r="BZ1193" s="105"/>
      <c r="CA1193" s="20"/>
    </row>
    <row r="1194" spans="78:79" x14ac:dyDescent="0.35">
      <c r="BZ1194" s="105"/>
      <c r="CA1194" s="20"/>
    </row>
    <row r="1195" spans="78:79" x14ac:dyDescent="0.35">
      <c r="BZ1195" s="105"/>
      <c r="CA1195" s="20"/>
    </row>
    <row r="1196" spans="78:79" x14ac:dyDescent="0.35">
      <c r="BZ1196" s="105"/>
      <c r="CA1196" s="20"/>
    </row>
    <row r="1197" spans="78:79" x14ac:dyDescent="0.35">
      <c r="BZ1197" s="105"/>
      <c r="CA1197" s="20"/>
    </row>
    <row r="1198" spans="78:79" x14ac:dyDescent="0.35">
      <c r="BZ1198" s="105"/>
      <c r="CA1198" s="20"/>
    </row>
    <row r="1199" spans="78:79" x14ac:dyDescent="0.35">
      <c r="BZ1199" s="105"/>
      <c r="CA1199" s="20"/>
    </row>
    <row r="1200" spans="78:79" x14ac:dyDescent="0.35">
      <c r="BZ1200" s="105"/>
      <c r="CA1200" s="20"/>
    </row>
    <row r="1201" spans="78:79" x14ac:dyDescent="0.35">
      <c r="BZ1201" s="105"/>
      <c r="CA1201" s="20"/>
    </row>
    <row r="1202" spans="78:79" x14ac:dyDescent="0.35">
      <c r="BZ1202" s="105"/>
      <c r="CA1202" s="20"/>
    </row>
    <row r="1203" spans="78:79" x14ac:dyDescent="0.35">
      <c r="BZ1203" s="105"/>
      <c r="CA1203" s="20"/>
    </row>
    <row r="1204" spans="78:79" x14ac:dyDescent="0.35">
      <c r="BZ1204" s="105"/>
      <c r="CA1204" s="20"/>
    </row>
    <row r="1205" spans="78:79" x14ac:dyDescent="0.35">
      <c r="BZ1205" s="105"/>
      <c r="CA1205" s="20"/>
    </row>
    <row r="1206" spans="78:79" x14ac:dyDescent="0.35">
      <c r="BZ1206" s="105"/>
      <c r="CA1206" s="20"/>
    </row>
    <row r="1207" spans="78:79" x14ac:dyDescent="0.35">
      <c r="BZ1207" s="105"/>
      <c r="CA1207" s="20"/>
    </row>
    <row r="1208" spans="78:79" x14ac:dyDescent="0.35">
      <c r="BZ1208" s="105"/>
      <c r="CA1208" s="20"/>
    </row>
    <row r="1209" spans="78:79" x14ac:dyDescent="0.35">
      <c r="BZ1209" s="105"/>
      <c r="CA1209" s="20"/>
    </row>
    <row r="1210" spans="78:79" x14ac:dyDescent="0.35">
      <c r="BZ1210" s="105"/>
      <c r="CA1210" s="20"/>
    </row>
    <row r="1211" spans="78:79" x14ac:dyDescent="0.35">
      <c r="BZ1211" s="105"/>
      <c r="CA1211" s="20"/>
    </row>
    <row r="1212" spans="78:79" x14ac:dyDescent="0.35">
      <c r="BZ1212" s="105"/>
      <c r="CA1212" s="20"/>
    </row>
    <row r="1213" spans="78:79" x14ac:dyDescent="0.35">
      <c r="BZ1213" s="105"/>
      <c r="CA1213" s="20"/>
    </row>
    <row r="1214" spans="78:79" x14ac:dyDescent="0.35">
      <c r="BZ1214" s="105"/>
      <c r="CA1214" s="20"/>
    </row>
    <row r="1215" spans="78:79" x14ac:dyDescent="0.35">
      <c r="BZ1215" s="105"/>
      <c r="CA1215" s="20"/>
    </row>
    <row r="1216" spans="78:79" x14ac:dyDescent="0.35">
      <c r="BZ1216" s="105"/>
      <c r="CA1216" s="20"/>
    </row>
    <row r="1217" spans="78:79" x14ac:dyDescent="0.35">
      <c r="BZ1217" s="105"/>
      <c r="CA1217" s="20"/>
    </row>
    <row r="1218" spans="78:79" x14ac:dyDescent="0.35">
      <c r="BZ1218" s="105"/>
      <c r="CA1218" s="20"/>
    </row>
    <row r="1219" spans="78:79" x14ac:dyDescent="0.35">
      <c r="BZ1219" s="105"/>
      <c r="CA1219" s="20"/>
    </row>
    <row r="1220" spans="78:79" x14ac:dyDescent="0.35">
      <c r="BZ1220" s="105"/>
      <c r="CA1220" s="20"/>
    </row>
    <row r="1221" spans="78:79" x14ac:dyDescent="0.35">
      <c r="BZ1221" s="105"/>
      <c r="CA1221" s="20"/>
    </row>
    <row r="1222" spans="78:79" x14ac:dyDescent="0.35">
      <c r="BZ1222" s="105"/>
      <c r="CA1222" s="20"/>
    </row>
    <row r="1223" spans="78:79" x14ac:dyDescent="0.35">
      <c r="BZ1223" s="105"/>
      <c r="CA1223" s="20"/>
    </row>
    <row r="1224" spans="78:79" x14ac:dyDescent="0.35">
      <c r="BZ1224" s="105"/>
      <c r="CA1224" s="20"/>
    </row>
    <row r="1225" spans="78:79" x14ac:dyDescent="0.35">
      <c r="BZ1225" s="105"/>
      <c r="CA1225" s="20"/>
    </row>
    <row r="1226" spans="78:79" x14ac:dyDescent="0.35">
      <c r="BZ1226" s="105"/>
      <c r="CA1226" s="20"/>
    </row>
    <row r="1227" spans="78:79" x14ac:dyDescent="0.35">
      <c r="BZ1227" s="105"/>
      <c r="CA1227" s="20"/>
    </row>
    <row r="1228" spans="78:79" x14ac:dyDescent="0.35">
      <c r="BZ1228" s="105"/>
      <c r="CA1228" s="20"/>
    </row>
    <row r="1229" spans="78:79" x14ac:dyDescent="0.35">
      <c r="BZ1229" s="105"/>
      <c r="CA1229" s="20"/>
    </row>
    <row r="1230" spans="78:79" x14ac:dyDescent="0.35">
      <c r="BZ1230" s="105"/>
      <c r="CA1230" s="20"/>
    </row>
    <row r="1231" spans="78:79" x14ac:dyDescent="0.35">
      <c r="BZ1231" s="105"/>
      <c r="CA1231" s="20"/>
    </row>
    <row r="1232" spans="78:79" x14ac:dyDescent="0.35">
      <c r="BZ1232" s="105"/>
      <c r="CA1232" s="20"/>
    </row>
    <row r="1233" spans="78:79" x14ac:dyDescent="0.35">
      <c r="BZ1233" s="105"/>
      <c r="CA1233" s="20"/>
    </row>
    <row r="1234" spans="78:79" x14ac:dyDescent="0.35">
      <c r="BZ1234" s="105"/>
      <c r="CA1234" s="20"/>
    </row>
    <row r="1235" spans="78:79" x14ac:dyDescent="0.35">
      <c r="BZ1235" s="105"/>
      <c r="CA1235" s="20"/>
    </row>
    <row r="1236" spans="78:79" x14ac:dyDescent="0.35">
      <c r="BZ1236" s="105"/>
      <c r="CA1236" s="20"/>
    </row>
    <row r="1237" spans="78:79" x14ac:dyDescent="0.35">
      <c r="BZ1237" s="105"/>
      <c r="CA1237" s="20"/>
    </row>
    <row r="1238" spans="78:79" x14ac:dyDescent="0.35">
      <c r="BZ1238" s="105"/>
      <c r="CA1238" s="20"/>
    </row>
    <row r="1239" spans="78:79" x14ac:dyDescent="0.35">
      <c r="BZ1239" s="105"/>
      <c r="CA1239" s="20"/>
    </row>
    <row r="1240" spans="78:79" x14ac:dyDescent="0.35">
      <c r="BZ1240" s="105"/>
      <c r="CA1240" s="20"/>
    </row>
    <row r="1241" spans="78:79" x14ac:dyDescent="0.35">
      <c r="BZ1241" s="105"/>
      <c r="CA1241" s="20"/>
    </row>
    <row r="1242" spans="78:79" x14ac:dyDescent="0.35">
      <c r="BZ1242" s="105"/>
      <c r="CA1242" s="20"/>
    </row>
    <row r="1243" spans="78:79" x14ac:dyDescent="0.35">
      <c r="BZ1243" s="105"/>
      <c r="CA1243" s="20"/>
    </row>
    <row r="1244" spans="78:79" x14ac:dyDescent="0.35">
      <c r="BZ1244" s="105"/>
      <c r="CA1244" s="20"/>
    </row>
    <row r="1245" spans="78:79" x14ac:dyDescent="0.35">
      <c r="BZ1245" s="105"/>
      <c r="CA1245" s="20"/>
    </row>
    <row r="1246" spans="78:79" x14ac:dyDescent="0.35">
      <c r="BZ1246" s="105"/>
      <c r="CA1246" s="20"/>
    </row>
    <row r="1247" spans="78:79" x14ac:dyDescent="0.35">
      <c r="BZ1247" s="105"/>
      <c r="CA1247" s="20"/>
    </row>
    <row r="1248" spans="78:79" x14ac:dyDescent="0.35">
      <c r="BZ1248" s="105"/>
      <c r="CA1248" s="20"/>
    </row>
    <row r="1249" spans="78:79" x14ac:dyDescent="0.35">
      <c r="BZ1249" s="105"/>
      <c r="CA1249" s="20"/>
    </row>
    <row r="1250" spans="78:79" x14ac:dyDescent="0.35">
      <c r="BZ1250" s="105"/>
      <c r="CA1250" s="20"/>
    </row>
    <row r="1251" spans="78:79" x14ac:dyDescent="0.35">
      <c r="BZ1251" s="105"/>
      <c r="CA1251" s="20"/>
    </row>
    <row r="1252" spans="78:79" x14ac:dyDescent="0.35">
      <c r="BZ1252" s="105"/>
      <c r="CA1252" s="20"/>
    </row>
    <row r="1253" spans="78:79" x14ac:dyDescent="0.35">
      <c r="BZ1253" s="105"/>
      <c r="CA1253" s="20"/>
    </row>
    <row r="1254" spans="78:79" x14ac:dyDescent="0.35">
      <c r="BZ1254" s="105"/>
      <c r="CA1254" s="20"/>
    </row>
    <row r="1255" spans="78:79" x14ac:dyDescent="0.35">
      <c r="BZ1255" s="105"/>
      <c r="CA1255" s="20"/>
    </row>
    <row r="1256" spans="78:79" x14ac:dyDescent="0.35">
      <c r="BZ1256" s="105"/>
      <c r="CA1256" s="20"/>
    </row>
    <row r="1257" spans="78:79" x14ac:dyDescent="0.35">
      <c r="BZ1257" s="105"/>
      <c r="CA1257" s="20"/>
    </row>
    <row r="1258" spans="78:79" x14ac:dyDescent="0.35">
      <c r="BZ1258" s="105"/>
      <c r="CA1258" s="20"/>
    </row>
    <row r="1259" spans="78:79" x14ac:dyDescent="0.35">
      <c r="BZ1259" s="105"/>
      <c r="CA1259" s="20"/>
    </row>
    <row r="1260" spans="78:79" x14ac:dyDescent="0.35">
      <c r="BZ1260" s="105"/>
      <c r="CA1260" s="20"/>
    </row>
    <row r="1261" spans="78:79" x14ac:dyDescent="0.35">
      <c r="BZ1261" s="105"/>
      <c r="CA1261" s="20"/>
    </row>
    <row r="1262" spans="78:79" x14ac:dyDescent="0.35">
      <c r="BZ1262" s="105"/>
      <c r="CA1262" s="20"/>
    </row>
    <row r="1263" spans="78:79" x14ac:dyDescent="0.35">
      <c r="BZ1263" s="105"/>
      <c r="CA1263" s="20"/>
    </row>
    <row r="1264" spans="78:79" x14ac:dyDescent="0.35">
      <c r="BZ1264" s="105"/>
      <c r="CA1264" s="20"/>
    </row>
    <row r="1265" spans="78:79" x14ac:dyDescent="0.35">
      <c r="BZ1265" s="105"/>
      <c r="CA1265" s="20"/>
    </row>
    <row r="1266" spans="78:79" x14ac:dyDescent="0.35">
      <c r="BZ1266" s="105"/>
      <c r="CA1266" s="20"/>
    </row>
    <row r="1267" spans="78:79" x14ac:dyDescent="0.35">
      <c r="BZ1267" s="105"/>
      <c r="CA1267" s="20"/>
    </row>
    <row r="1268" spans="78:79" x14ac:dyDescent="0.35">
      <c r="BZ1268" s="105"/>
      <c r="CA1268" s="20"/>
    </row>
    <row r="1269" spans="78:79" x14ac:dyDescent="0.35">
      <c r="BZ1269" s="105"/>
      <c r="CA1269" s="20"/>
    </row>
    <row r="1270" spans="78:79" x14ac:dyDescent="0.35">
      <c r="BZ1270" s="105"/>
      <c r="CA1270" s="20"/>
    </row>
    <row r="1271" spans="78:79" x14ac:dyDescent="0.35">
      <c r="BZ1271" s="105"/>
      <c r="CA1271" s="20"/>
    </row>
    <row r="1272" spans="78:79" x14ac:dyDescent="0.35">
      <c r="BZ1272" s="105"/>
      <c r="CA1272" s="20"/>
    </row>
    <row r="1273" spans="78:79" x14ac:dyDescent="0.35">
      <c r="BZ1273" s="105"/>
      <c r="CA1273" s="20"/>
    </row>
    <row r="1274" spans="78:79" x14ac:dyDescent="0.35">
      <c r="BZ1274" s="105"/>
      <c r="CA1274" s="20"/>
    </row>
    <row r="1275" spans="78:79" x14ac:dyDescent="0.35">
      <c r="BZ1275" s="105"/>
      <c r="CA1275" s="20"/>
    </row>
    <row r="1276" spans="78:79" x14ac:dyDescent="0.35">
      <c r="BZ1276" s="105"/>
      <c r="CA1276" s="20"/>
    </row>
    <row r="1277" spans="78:79" x14ac:dyDescent="0.35">
      <c r="BZ1277" s="105"/>
      <c r="CA1277" s="20"/>
    </row>
    <row r="1278" spans="78:79" x14ac:dyDescent="0.35">
      <c r="BZ1278" s="105"/>
      <c r="CA1278" s="20"/>
    </row>
    <row r="1279" spans="78:79" x14ac:dyDescent="0.35">
      <c r="BZ1279" s="105"/>
      <c r="CA1279" s="20"/>
    </row>
    <row r="1280" spans="78:79" x14ac:dyDescent="0.35">
      <c r="BZ1280" s="105"/>
      <c r="CA1280" s="20"/>
    </row>
    <row r="1281" spans="78:79" x14ac:dyDescent="0.35">
      <c r="BZ1281" s="105"/>
      <c r="CA1281" s="20"/>
    </row>
    <row r="1282" spans="78:79" x14ac:dyDescent="0.35">
      <c r="BZ1282" s="105"/>
      <c r="CA1282" s="20"/>
    </row>
    <row r="1283" spans="78:79" x14ac:dyDescent="0.35">
      <c r="BZ1283" s="105"/>
      <c r="CA1283" s="20"/>
    </row>
    <row r="1284" spans="78:79" x14ac:dyDescent="0.35">
      <c r="BZ1284" s="105"/>
      <c r="CA1284" s="20"/>
    </row>
    <row r="1285" spans="78:79" x14ac:dyDescent="0.35">
      <c r="BZ1285" s="105"/>
      <c r="CA1285" s="20"/>
    </row>
    <row r="1286" spans="78:79" x14ac:dyDescent="0.35">
      <c r="BZ1286" s="105"/>
      <c r="CA1286" s="20"/>
    </row>
    <row r="1287" spans="78:79" x14ac:dyDescent="0.35">
      <c r="BZ1287" s="105"/>
      <c r="CA1287" s="20"/>
    </row>
    <row r="1288" spans="78:79" x14ac:dyDescent="0.35">
      <c r="BZ1288" s="105"/>
      <c r="CA1288" s="20"/>
    </row>
    <row r="1289" spans="78:79" x14ac:dyDescent="0.35">
      <c r="BZ1289" s="105"/>
      <c r="CA1289" s="20"/>
    </row>
    <row r="1290" spans="78:79" x14ac:dyDescent="0.35">
      <c r="BZ1290" s="105"/>
      <c r="CA1290" s="20"/>
    </row>
    <row r="1291" spans="78:79" x14ac:dyDescent="0.35">
      <c r="BZ1291" s="105"/>
      <c r="CA1291" s="20"/>
    </row>
    <row r="1292" spans="78:79" x14ac:dyDescent="0.35">
      <c r="BZ1292" s="105"/>
      <c r="CA1292" s="20"/>
    </row>
    <row r="1293" spans="78:79" x14ac:dyDescent="0.35">
      <c r="BZ1293" s="105"/>
      <c r="CA1293" s="20"/>
    </row>
    <row r="1294" spans="78:79" x14ac:dyDescent="0.35">
      <c r="BZ1294" s="105"/>
      <c r="CA1294" s="20"/>
    </row>
    <row r="1295" spans="78:79" x14ac:dyDescent="0.35">
      <c r="BZ1295" s="105"/>
      <c r="CA1295" s="20"/>
    </row>
    <row r="1296" spans="78:79" x14ac:dyDescent="0.35">
      <c r="BZ1296" s="105"/>
      <c r="CA1296" s="20"/>
    </row>
    <row r="1297" spans="78:79" x14ac:dyDescent="0.35">
      <c r="BZ1297" s="105"/>
      <c r="CA1297" s="20"/>
    </row>
    <row r="1298" spans="78:79" x14ac:dyDescent="0.35">
      <c r="BZ1298" s="105"/>
      <c r="CA1298" s="20"/>
    </row>
    <row r="1299" spans="78:79" x14ac:dyDescent="0.35">
      <c r="BZ1299" s="105"/>
      <c r="CA1299" s="20"/>
    </row>
    <row r="1300" spans="78:79" x14ac:dyDescent="0.35">
      <c r="BZ1300" s="105"/>
      <c r="CA1300" s="20"/>
    </row>
    <row r="1301" spans="78:79" x14ac:dyDescent="0.35">
      <c r="BZ1301" s="105"/>
      <c r="CA1301" s="20"/>
    </row>
    <row r="1302" spans="78:79" x14ac:dyDescent="0.35">
      <c r="BZ1302" s="105"/>
      <c r="CA1302" s="20"/>
    </row>
    <row r="1303" spans="78:79" x14ac:dyDescent="0.35">
      <c r="BZ1303" s="105"/>
      <c r="CA1303" s="20"/>
    </row>
    <row r="1304" spans="78:79" x14ac:dyDescent="0.35">
      <c r="BZ1304" s="105"/>
      <c r="CA1304" s="20"/>
    </row>
    <row r="1305" spans="78:79" x14ac:dyDescent="0.35">
      <c r="BZ1305" s="105"/>
      <c r="CA1305" s="20"/>
    </row>
    <row r="1306" spans="78:79" x14ac:dyDescent="0.35">
      <c r="BZ1306" s="105"/>
      <c r="CA1306" s="20"/>
    </row>
    <row r="1307" spans="78:79" x14ac:dyDescent="0.35">
      <c r="BZ1307" s="105"/>
      <c r="CA1307" s="20"/>
    </row>
    <row r="1308" spans="78:79" x14ac:dyDescent="0.35">
      <c r="BZ1308" s="105"/>
      <c r="CA1308" s="20"/>
    </row>
    <row r="1309" spans="78:79" x14ac:dyDescent="0.35">
      <c r="BZ1309" s="105"/>
      <c r="CA1309" s="20"/>
    </row>
    <row r="1310" spans="78:79" x14ac:dyDescent="0.35">
      <c r="BZ1310" s="105"/>
      <c r="CA1310" s="20"/>
    </row>
    <row r="1311" spans="78:79" x14ac:dyDescent="0.35">
      <c r="BZ1311" s="105"/>
      <c r="CA1311" s="20"/>
    </row>
    <row r="1312" spans="78:79" x14ac:dyDescent="0.35">
      <c r="BZ1312" s="105"/>
      <c r="CA1312" s="20"/>
    </row>
    <row r="1313" spans="78:79" x14ac:dyDescent="0.35">
      <c r="BZ1313" s="105"/>
      <c r="CA1313" s="20"/>
    </row>
    <row r="1314" spans="78:79" x14ac:dyDescent="0.35">
      <c r="BZ1314" s="105"/>
      <c r="CA1314" s="20"/>
    </row>
    <row r="1315" spans="78:79" x14ac:dyDescent="0.35">
      <c r="BZ1315" s="105"/>
      <c r="CA1315" s="20"/>
    </row>
    <row r="1316" spans="78:79" x14ac:dyDescent="0.35">
      <c r="BZ1316" s="105"/>
      <c r="CA1316" s="20"/>
    </row>
    <row r="1317" spans="78:79" x14ac:dyDescent="0.35">
      <c r="BZ1317" s="105"/>
      <c r="CA1317" s="20"/>
    </row>
    <row r="1318" spans="78:79" x14ac:dyDescent="0.35">
      <c r="BZ1318" s="105"/>
      <c r="CA1318" s="20"/>
    </row>
    <row r="1319" spans="78:79" x14ac:dyDescent="0.35">
      <c r="BZ1319" s="105"/>
      <c r="CA1319" s="20"/>
    </row>
    <row r="1320" spans="78:79" x14ac:dyDescent="0.35">
      <c r="BZ1320" s="105"/>
      <c r="CA1320" s="20"/>
    </row>
    <row r="1321" spans="78:79" x14ac:dyDescent="0.35">
      <c r="BZ1321" s="105"/>
      <c r="CA1321" s="20"/>
    </row>
    <row r="1322" spans="78:79" x14ac:dyDescent="0.35">
      <c r="BZ1322" s="105"/>
      <c r="CA1322" s="20"/>
    </row>
    <row r="1323" spans="78:79" x14ac:dyDescent="0.35">
      <c r="BZ1323" s="105"/>
      <c r="CA1323" s="20"/>
    </row>
    <row r="1324" spans="78:79" x14ac:dyDescent="0.35">
      <c r="BZ1324" s="105"/>
      <c r="CA1324" s="20"/>
    </row>
    <row r="1325" spans="78:79" x14ac:dyDescent="0.35">
      <c r="BZ1325" s="105"/>
      <c r="CA1325" s="20"/>
    </row>
    <row r="1326" spans="78:79" x14ac:dyDescent="0.35">
      <c r="BZ1326" s="105"/>
      <c r="CA1326" s="20"/>
    </row>
    <row r="1327" spans="78:79" x14ac:dyDescent="0.35">
      <c r="BZ1327" s="105"/>
      <c r="CA1327" s="20"/>
    </row>
    <row r="1328" spans="78:79" x14ac:dyDescent="0.35">
      <c r="BZ1328" s="105"/>
      <c r="CA1328" s="20"/>
    </row>
    <row r="1329" spans="78:79" x14ac:dyDescent="0.35">
      <c r="BZ1329" s="105"/>
      <c r="CA1329" s="20"/>
    </row>
    <row r="1330" spans="78:79" x14ac:dyDescent="0.35">
      <c r="BZ1330" s="105"/>
      <c r="CA1330" s="20"/>
    </row>
    <row r="1331" spans="78:79" x14ac:dyDescent="0.35">
      <c r="BZ1331" s="105"/>
      <c r="CA1331" s="20"/>
    </row>
    <row r="1332" spans="78:79" x14ac:dyDescent="0.35">
      <c r="BZ1332" s="105"/>
      <c r="CA1332" s="20"/>
    </row>
    <row r="1333" spans="78:79" x14ac:dyDescent="0.35">
      <c r="BZ1333" s="105"/>
      <c r="CA1333" s="20"/>
    </row>
    <row r="1334" spans="78:79" x14ac:dyDescent="0.35">
      <c r="BZ1334" s="105"/>
      <c r="CA1334" s="20"/>
    </row>
    <row r="1335" spans="78:79" x14ac:dyDescent="0.35">
      <c r="BZ1335" s="105"/>
      <c r="CA1335" s="20"/>
    </row>
    <row r="1336" spans="78:79" x14ac:dyDescent="0.35">
      <c r="BZ1336" s="105"/>
      <c r="CA1336" s="20"/>
    </row>
    <row r="1337" spans="78:79" x14ac:dyDescent="0.35">
      <c r="BZ1337" s="105"/>
      <c r="CA1337" s="20"/>
    </row>
    <row r="1338" spans="78:79" x14ac:dyDescent="0.35">
      <c r="BZ1338" s="105"/>
      <c r="CA1338" s="20"/>
    </row>
    <row r="1339" spans="78:79" x14ac:dyDescent="0.35">
      <c r="BZ1339" s="105"/>
      <c r="CA1339" s="20"/>
    </row>
    <row r="1340" spans="78:79" x14ac:dyDescent="0.35">
      <c r="BZ1340" s="105"/>
      <c r="CA1340" s="20"/>
    </row>
    <row r="1341" spans="78:79" x14ac:dyDescent="0.35">
      <c r="BZ1341" s="105"/>
      <c r="CA1341" s="20"/>
    </row>
    <row r="1342" spans="78:79" x14ac:dyDescent="0.35">
      <c r="BZ1342" s="105"/>
      <c r="CA1342" s="20"/>
    </row>
    <row r="1343" spans="78:79" x14ac:dyDescent="0.35">
      <c r="BZ1343" s="105"/>
      <c r="CA1343" s="20"/>
    </row>
    <row r="1344" spans="78:79" x14ac:dyDescent="0.35">
      <c r="BZ1344" s="105"/>
      <c r="CA1344" s="20"/>
    </row>
    <row r="1345" spans="78:79" x14ac:dyDescent="0.35">
      <c r="BZ1345" s="105"/>
      <c r="CA1345" s="20"/>
    </row>
    <row r="1346" spans="78:79" x14ac:dyDescent="0.35">
      <c r="BZ1346" s="105"/>
      <c r="CA1346" s="20"/>
    </row>
    <row r="1347" spans="78:79" x14ac:dyDescent="0.35">
      <c r="BZ1347" s="105"/>
      <c r="CA1347" s="20"/>
    </row>
    <row r="1348" spans="78:79" x14ac:dyDescent="0.35">
      <c r="BZ1348" s="105"/>
      <c r="CA1348" s="20"/>
    </row>
    <row r="1349" spans="78:79" x14ac:dyDescent="0.35">
      <c r="BZ1349" s="105"/>
      <c r="CA1349" s="20"/>
    </row>
    <row r="1350" spans="78:79" x14ac:dyDescent="0.35">
      <c r="BZ1350" s="105"/>
      <c r="CA1350" s="20"/>
    </row>
    <row r="1351" spans="78:79" x14ac:dyDescent="0.35">
      <c r="BZ1351" s="105"/>
      <c r="CA1351" s="20"/>
    </row>
    <row r="1352" spans="78:79" x14ac:dyDescent="0.35">
      <c r="BZ1352" s="105"/>
      <c r="CA1352" s="20"/>
    </row>
    <row r="1353" spans="78:79" x14ac:dyDescent="0.35">
      <c r="BZ1353" s="105"/>
      <c r="CA1353" s="20"/>
    </row>
    <row r="1354" spans="78:79" x14ac:dyDescent="0.35">
      <c r="BZ1354" s="105"/>
      <c r="CA1354" s="20"/>
    </row>
    <row r="1355" spans="78:79" x14ac:dyDescent="0.35">
      <c r="BZ1355" s="105"/>
      <c r="CA1355" s="20"/>
    </row>
    <row r="1356" spans="78:79" x14ac:dyDescent="0.35">
      <c r="BZ1356" s="105"/>
      <c r="CA1356" s="20"/>
    </row>
    <row r="1357" spans="78:79" x14ac:dyDescent="0.35">
      <c r="BZ1357" s="105"/>
      <c r="CA1357" s="20"/>
    </row>
    <row r="1358" spans="78:79" x14ac:dyDescent="0.35">
      <c r="BZ1358" s="105"/>
      <c r="CA1358" s="20"/>
    </row>
    <row r="1359" spans="78:79" x14ac:dyDescent="0.35">
      <c r="BZ1359" s="105"/>
      <c r="CA1359" s="20"/>
    </row>
    <row r="1360" spans="78:79" x14ac:dyDescent="0.35">
      <c r="BZ1360" s="105"/>
      <c r="CA1360" s="20"/>
    </row>
    <row r="1361" spans="78:79" x14ac:dyDescent="0.35">
      <c r="BZ1361" s="105"/>
      <c r="CA1361" s="20"/>
    </row>
    <row r="1362" spans="78:79" x14ac:dyDescent="0.35">
      <c r="BZ1362" s="105"/>
      <c r="CA1362" s="20"/>
    </row>
    <row r="1363" spans="78:79" x14ac:dyDescent="0.35">
      <c r="BZ1363" s="105"/>
      <c r="CA1363" s="20"/>
    </row>
    <row r="1364" spans="78:79" x14ac:dyDescent="0.35">
      <c r="BZ1364" s="105"/>
      <c r="CA1364" s="20"/>
    </row>
    <row r="1365" spans="78:79" x14ac:dyDescent="0.35">
      <c r="BZ1365" s="105"/>
      <c r="CA1365" s="20"/>
    </row>
    <row r="1366" spans="78:79" x14ac:dyDescent="0.35">
      <c r="BZ1366" s="105"/>
      <c r="CA1366" s="20"/>
    </row>
    <row r="1367" spans="78:79" x14ac:dyDescent="0.35">
      <c r="BZ1367" s="105"/>
      <c r="CA1367" s="20"/>
    </row>
    <row r="1368" spans="78:79" x14ac:dyDescent="0.35">
      <c r="BZ1368" s="105"/>
      <c r="CA1368" s="20"/>
    </row>
    <row r="1369" spans="78:79" x14ac:dyDescent="0.35">
      <c r="BZ1369" s="105"/>
      <c r="CA1369" s="20"/>
    </row>
    <row r="1370" spans="78:79" x14ac:dyDescent="0.35">
      <c r="BZ1370" s="105"/>
      <c r="CA1370" s="20"/>
    </row>
    <row r="1371" spans="78:79" x14ac:dyDescent="0.35">
      <c r="BZ1371" s="105"/>
      <c r="CA1371" s="20"/>
    </row>
    <row r="1372" spans="78:79" x14ac:dyDescent="0.35">
      <c r="BZ1372" s="105"/>
      <c r="CA1372" s="20"/>
    </row>
    <row r="1373" spans="78:79" x14ac:dyDescent="0.35">
      <c r="BZ1373" s="105"/>
      <c r="CA1373" s="20"/>
    </row>
    <row r="1374" spans="78:79" x14ac:dyDescent="0.35">
      <c r="BZ1374" s="105"/>
      <c r="CA1374" s="20"/>
    </row>
    <row r="1375" spans="78:79" x14ac:dyDescent="0.35">
      <c r="BZ1375" s="105"/>
      <c r="CA1375" s="20"/>
    </row>
    <row r="1376" spans="78:79" x14ac:dyDescent="0.35">
      <c r="BZ1376" s="105"/>
      <c r="CA1376" s="20"/>
    </row>
    <row r="1377" spans="78:79" x14ac:dyDescent="0.35">
      <c r="BZ1377" s="105"/>
      <c r="CA1377" s="20"/>
    </row>
    <row r="1378" spans="78:79" x14ac:dyDescent="0.35">
      <c r="BZ1378" s="105"/>
      <c r="CA1378" s="20"/>
    </row>
    <row r="1379" spans="78:79" x14ac:dyDescent="0.35">
      <c r="BZ1379" s="105"/>
      <c r="CA1379" s="20"/>
    </row>
    <row r="1380" spans="78:79" x14ac:dyDescent="0.35">
      <c r="BZ1380" s="105"/>
      <c r="CA1380" s="20"/>
    </row>
    <row r="1381" spans="78:79" x14ac:dyDescent="0.35">
      <c r="BZ1381" s="105"/>
      <c r="CA1381" s="20"/>
    </row>
    <row r="1382" spans="78:79" x14ac:dyDescent="0.35">
      <c r="BZ1382" s="105"/>
      <c r="CA1382" s="20"/>
    </row>
    <row r="1383" spans="78:79" x14ac:dyDescent="0.35">
      <c r="BZ1383" s="105"/>
      <c r="CA1383" s="20"/>
    </row>
    <row r="1384" spans="78:79" x14ac:dyDescent="0.35">
      <c r="BZ1384" s="105"/>
      <c r="CA1384" s="20"/>
    </row>
    <row r="1385" spans="78:79" x14ac:dyDescent="0.35">
      <c r="BZ1385" s="105"/>
      <c r="CA1385" s="20"/>
    </row>
    <row r="1386" spans="78:79" x14ac:dyDescent="0.35">
      <c r="BZ1386" s="105"/>
      <c r="CA1386" s="20"/>
    </row>
    <row r="1387" spans="78:79" x14ac:dyDescent="0.35">
      <c r="BZ1387" s="105"/>
      <c r="CA1387" s="20"/>
    </row>
    <row r="1388" spans="78:79" x14ac:dyDescent="0.35">
      <c r="BZ1388" s="105"/>
      <c r="CA1388" s="20"/>
    </row>
    <row r="1389" spans="78:79" x14ac:dyDescent="0.35">
      <c r="BZ1389" s="105"/>
      <c r="CA1389" s="20"/>
    </row>
    <row r="1390" spans="78:79" x14ac:dyDescent="0.35">
      <c r="BZ1390" s="105"/>
      <c r="CA1390" s="20"/>
    </row>
    <row r="1391" spans="78:79" x14ac:dyDescent="0.35">
      <c r="BZ1391" s="105"/>
      <c r="CA1391" s="20"/>
    </row>
    <row r="1392" spans="78:79" x14ac:dyDescent="0.35">
      <c r="BZ1392" s="105"/>
      <c r="CA1392" s="20"/>
    </row>
    <row r="1393" spans="78:79" x14ac:dyDescent="0.35">
      <c r="BZ1393" s="105"/>
      <c r="CA1393" s="20"/>
    </row>
    <row r="1394" spans="78:79" x14ac:dyDescent="0.35">
      <c r="BZ1394" s="105"/>
      <c r="CA1394" s="20"/>
    </row>
    <row r="1395" spans="78:79" x14ac:dyDescent="0.35">
      <c r="BZ1395" s="105"/>
      <c r="CA1395" s="20"/>
    </row>
    <row r="1396" spans="78:79" x14ac:dyDescent="0.35">
      <c r="BZ1396" s="105"/>
      <c r="CA1396" s="20"/>
    </row>
    <row r="1397" spans="78:79" x14ac:dyDescent="0.35">
      <c r="BZ1397" s="105"/>
      <c r="CA1397" s="20"/>
    </row>
    <row r="1398" spans="78:79" x14ac:dyDescent="0.35">
      <c r="BZ1398" s="105"/>
      <c r="CA1398" s="20"/>
    </row>
    <row r="1399" spans="78:79" x14ac:dyDescent="0.35">
      <c r="BZ1399" s="105"/>
      <c r="CA1399" s="20"/>
    </row>
    <row r="1400" spans="78:79" x14ac:dyDescent="0.35">
      <c r="BZ1400" s="105"/>
      <c r="CA1400" s="20"/>
    </row>
    <row r="1401" spans="78:79" x14ac:dyDescent="0.35">
      <c r="BZ1401" s="105"/>
      <c r="CA1401" s="20"/>
    </row>
    <row r="1402" spans="78:79" x14ac:dyDescent="0.35">
      <c r="BZ1402" s="105"/>
      <c r="CA1402" s="20"/>
    </row>
    <row r="1403" spans="78:79" x14ac:dyDescent="0.35">
      <c r="BZ1403" s="105"/>
      <c r="CA1403" s="20"/>
    </row>
    <row r="1404" spans="78:79" x14ac:dyDescent="0.35">
      <c r="BZ1404" s="105"/>
      <c r="CA1404" s="20"/>
    </row>
    <row r="1405" spans="78:79" x14ac:dyDescent="0.35">
      <c r="BZ1405" s="105"/>
      <c r="CA1405" s="20"/>
    </row>
    <row r="1406" spans="78:79" x14ac:dyDescent="0.35">
      <c r="BZ1406" s="105"/>
      <c r="CA1406" s="20"/>
    </row>
    <row r="1407" spans="78:79" x14ac:dyDescent="0.35">
      <c r="BZ1407" s="105"/>
      <c r="CA1407" s="20"/>
    </row>
    <row r="1408" spans="78:79" x14ac:dyDescent="0.35">
      <c r="BZ1408" s="105"/>
      <c r="CA1408" s="20"/>
    </row>
    <row r="1409" spans="78:79" x14ac:dyDescent="0.35">
      <c r="BZ1409" s="105"/>
      <c r="CA1409" s="20"/>
    </row>
    <row r="1410" spans="78:79" x14ac:dyDescent="0.35">
      <c r="BZ1410" s="105"/>
      <c r="CA1410" s="20"/>
    </row>
    <row r="1411" spans="78:79" x14ac:dyDescent="0.35">
      <c r="BZ1411" s="105"/>
      <c r="CA1411" s="20"/>
    </row>
    <row r="1412" spans="78:79" x14ac:dyDescent="0.35">
      <c r="BZ1412" s="105"/>
      <c r="CA1412" s="20"/>
    </row>
    <row r="1413" spans="78:79" x14ac:dyDescent="0.35">
      <c r="BZ1413" s="105"/>
      <c r="CA1413" s="20"/>
    </row>
    <row r="1414" spans="78:79" x14ac:dyDescent="0.35">
      <c r="BZ1414" s="105"/>
      <c r="CA1414" s="20"/>
    </row>
    <row r="1415" spans="78:79" x14ac:dyDescent="0.35">
      <c r="BZ1415" s="105"/>
      <c r="CA1415" s="20"/>
    </row>
    <row r="1416" spans="78:79" x14ac:dyDescent="0.35">
      <c r="BZ1416" s="105"/>
      <c r="CA1416" s="20"/>
    </row>
    <row r="1417" spans="78:79" x14ac:dyDescent="0.35">
      <c r="BZ1417" s="105"/>
      <c r="CA1417" s="20"/>
    </row>
    <row r="1418" spans="78:79" x14ac:dyDescent="0.35">
      <c r="BZ1418" s="105"/>
      <c r="CA1418" s="20"/>
    </row>
    <row r="1419" spans="78:79" x14ac:dyDescent="0.35">
      <c r="BZ1419" s="105"/>
      <c r="CA1419" s="20"/>
    </row>
    <row r="1420" spans="78:79" x14ac:dyDescent="0.35">
      <c r="BZ1420" s="105"/>
      <c r="CA1420" s="20"/>
    </row>
    <row r="1421" spans="78:79" x14ac:dyDescent="0.35">
      <c r="BZ1421" s="105"/>
      <c r="CA1421" s="20"/>
    </row>
    <row r="1422" spans="78:79" x14ac:dyDescent="0.35">
      <c r="BZ1422" s="105"/>
      <c r="CA1422" s="20"/>
    </row>
    <row r="1423" spans="78:79" x14ac:dyDescent="0.35">
      <c r="BZ1423" s="105"/>
      <c r="CA1423" s="20"/>
    </row>
    <row r="1424" spans="78:79" x14ac:dyDescent="0.35">
      <c r="BZ1424" s="105"/>
      <c r="CA1424" s="20"/>
    </row>
    <row r="1425" spans="78:79" x14ac:dyDescent="0.35">
      <c r="BZ1425" s="105"/>
      <c r="CA1425" s="20"/>
    </row>
    <row r="1426" spans="78:79" x14ac:dyDescent="0.35">
      <c r="BZ1426" s="105"/>
      <c r="CA1426" s="20"/>
    </row>
    <row r="1427" spans="78:79" x14ac:dyDescent="0.35">
      <c r="BZ1427" s="105"/>
      <c r="CA1427" s="20"/>
    </row>
    <row r="1428" spans="78:79" x14ac:dyDescent="0.35">
      <c r="BZ1428" s="105"/>
      <c r="CA1428" s="20"/>
    </row>
    <row r="1429" spans="78:79" x14ac:dyDescent="0.35">
      <c r="BZ1429" s="105"/>
      <c r="CA1429" s="20"/>
    </row>
    <row r="1430" spans="78:79" x14ac:dyDescent="0.35">
      <c r="BZ1430" s="105"/>
      <c r="CA1430" s="20"/>
    </row>
    <row r="1431" spans="78:79" x14ac:dyDescent="0.35">
      <c r="BZ1431" s="105"/>
      <c r="CA1431" s="20"/>
    </row>
    <row r="1432" spans="78:79" x14ac:dyDescent="0.35">
      <c r="BZ1432" s="105"/>
      <c r="CA1432" s="20"/>
    </row>
    <row r="1433" spans="78:79" x14ac:dyDescent="0.35">
      <c r="BZ1433" s="105"/>
      <c r="CA1433" s="20"/>
    </row>
    <row r="1434" spans="78:79" x14ac:dyDescent="0.35">
      <c r="BZ1434" s="105"/>
      <c r="CA1434" s="20"/>
    </row>
    <row r="1435" spans="78:79" x14ac:dyDescent="0.35">
      <c r="BZ1435" s="105"/>
      <c r="CA1435" s="20"/>
    </row>
    <row r="1436" spans="78:79" x14ac:dyDescent="0.35">
      <c r="BZ1436" s="105"/>
      <c r="CA1436" s="20"/>
    </row>
    <row r="1437" spans="78:79" x14ac:dyDescent="0.35">
      <c r="BZ1437" s="105"/>
      <c r="CA1437" s="20"/>
    </row>
    <row r="1438" spans="78:79" x14ac:dyDescent="0.35">
      <c r="BZ1438" s="105"/>
      <c r="CA1438" s="20"/>
    </row>
    <row r="1439" spans="78:79" x14ac:dyDescent="0.35">
      <c r="BZ1439" s="105"/>
      <c r="CA1439" s="20"/>
    </row>
    <row r="1440" spans="78:79" x14ac:dyDescent="0.35">
      <c r="BZ1440" s="105"/>
      <c r="CA1440" s="20"/>
    </row>
    <row r="1441" spans="78:79" x14ac:dyDescent="0.35">
      <c r="BZ1441" s="105"/>
      <c r="CA1441" s="20"/>
    </row>
    <row r="1442" spans="78:79" x14ac:dyDescent="0.35">
      <c r="BZ1442" s="105"/>
      <c r="CA1442" s="20"/>
    </row>
    <row r="1443" spans="78:79" x14ac:dyDescent="0.35">
      <c r="BZ1443" s="105"/>
      <c r="CA1443" s="20"/>
    </row>
    <row r="1444" spans="78:79" x14ac:dyDescent="0.35">
      <c r="BZ1444" s="105"/>
      <c r="CA1444" s="20"/>
    </row>
    <row r="1445" spans="78:79" x14ac:dyDescent="0.35">
      <c r="BZ1445" s="105"/>
      <c r="CA1445" s="20"/>
    </row>
    <row r="1446" spans="78:79" x14ac:dyDescent="0.35">
      <c r="BZ1446" s="105"/>
      <c r="CA1446" s="20"/>
    </row>
    <row r="1447" spans="78:79" x14ac:dyDescent="0.35">
      <c r="BZ1447" s="105"/>
      <c r="CA1447" s="20"/>
    </row>
    <row r="1448" spans="78:79" x14ac:dyDescent="0.35">
      <c r="BZ1448" s="105"/>
      <c r="CA1448" s="20"/>
    </row>
    <row r="1449" spans="78:79" x14ac:dyDescent="0.35">
      <c r="BZ1449" s="105"/>
      <c r="CA1449" s="20"/>
    </row>
    <row r="1450" spans="78:79" x14ac:dyDescent="0.35">
      <c r="BZ1450" s="105"/>
      <c r="CA1450" s="20"/>
    </row>
    <row r="1451" spans="78:79" x14ac:dyDescent="0.35">
      <c r="BZ1451" s="105"/>
      <c r="CA1451" s="20"/>
    </row>
    <row r="1452" spans="78:79" x14ac:dyDescent="0.35">
      <c r="BZ1452" s="105"/>
      <c r="CA1452" s="20"/>
    </row>
    <row r="1453" spans="78:79" x14ac:dyDescent="0.35">
      <c r="BZ1453" s="105"/>
      <c r="CA1453" s="20"/>
    </row>
    <row r="1454" spans="78:79" x14ac:dyDescent="0.35">
      <c r="BZ1454" s="105"/>
      <c r="CA1454" s="20"/>
    </row>
    <row r="1455" spans="78:79" x14ac:dyDescent="0.35">
      <c r="BZ1455" s="105"/>
      <c r="CA1455" s="20"/>
    </row>
    <row r="1456" spans="78:79" x14ac:dyDescent="0.35">
      <c r="BZ1456" s="105"/>
      <c r="CA1456" s="20"/>
    </row>
    <row r="1457" spans="78:79" x14ac:dyDescent="0.35">
      <c r="BZ1457" s="105"/>
      <c r="CA1457" s="20"/>
    </row>
    <row r="1458" spans="78:79" x14ac:dyDescent="0.35">
      <c r="BZ1458" s="105"/>
      <c r="CA1458" s="20"/>
    </row>
    <row r="1459" spans="78:79" x14ac:dyDescent="0.35">
      <c r="BZ1459" s="105"/>
      <c r="CA1459" s="20"/>
    </row>
    <row r="1460" spans="78:79" x14ac:dyDescent="0.35">
      <c r="BZ1460" s="105"/>
      <c r="CA1460" s="20"/>
    </row>
    <row r="1461" spans="78:79" x14ac:dyDescent="0.35">
      <c r="BZ1461" s="105"/>
      <c r="CA1461" s="20"/>
    </row>
    <row r="1462" spans="78:79" x14ac:dyDescent="0.35">
      <c r="BZ1462" s="105"/>
      <c r="CA1462" s="20"/>
    </row>
    <row r="1463" spans="78:79" x14ac:dyDescent="0.35">
      <c r="BZ1463" s="105"/>
      <c r="CA1463" s="20"/>
    </row>
    <row r="1464" spans="78:79" x14ac:dyDescent="0.35">
      <c r="BZ1464" s="105"/>
      <c r="CA1464" s="20"/>
    </row>
    <row r="1465" spans="78:79" x14ac:dyDescent="0.35">
      <c r="BZ1465" s="105"/>
      <c r="CA1465" s="20"/>
    </row>
    <row r="1466" spans="78:79" x14ac:dyDescent="0.35">
      <c r="BZ1466" s="105"/>
      <c r="CA1466" s="20"/>
    </row>
    <row r="1467" spans="78:79" x14ac:dyDescent="0.35">
      <c r="BZ1467" s="105"/>
      <c r="CA1467" s="20"/>
    </row>
    <row r="1468" spans="78:79" x14ac:dyDescent="0.35">
      <c r="BZ1468" s="105"/>
      <c r="CA1468" s="20"/>
    </row>
    <row r="1469" spans="78:79" x14ac:dyDescent="0.35">
      <c r="BZ1469" s="105"/>
      <c r="CA1469" s="20"/>
    </row>
    <row r="1470" spans="78:79" x14ac:dyDescent="0.35">
      <c r="BZ1470" s="105"/>
      <c r="CA1470" s="20"/>
    </row>
    <row r="1471" spans="78:79" x14ac:dyDescent="0.35">
      <c r="BZ1471" s="105"/>
      <c r="CA1471" s="20"/>
    </row>
    <row r="1472" spans="78:79" x14ac:dyDescent="0.35">
      <c r="BZ1472" s="105"/>
      <c r="CA1472" s="20"/>
    </row>
    <row r="1473" spans="78:79" x14ac:dyDescent="0.35">
      <c r="BZ1473" s="105"/>
      <c r="CA1473" s="20"/>
    </row>
    <row r="1474" spans="78:79" x14ac:dyDescent="0.35">
      <c r="BZ1474" s="105"/>
      <c r="CA1474" s="20"/>
    </row>
    <row r="1475" spans="78:79" x14ac:dyDescent="0.35">
      <c r="BZ1475" s="105"/>
      <c r="CA1475" s="20"/>
    </row>
    <row r="1476" spans="78:79" x14ac:dyDescent="0.35">
      <c r="BZ1476" s="105"/>
      <c r="CA1476" s="20"/>
    </row>
    <row r="1477" spans="78:79" x14ac:dyDescent="0.35">
      <c r="BZ1477" s="105"/>
      <c r="CA1477" s="20"/>
    </row>
    <row r="1478" spans="78:79" x14ac:dyDescent="0.35">
      <c r="BZ1478" s="105"/>
      <c r="CA1478" s="20"/>
    </row>
    <row r="1479" spans="78:79" x14ac:dyDescent="0.35">
      <c r="BZ1479" s="105"/>
      <c r="CA1479" s="20"/>
    </row>
    <row r="1480" spans="78:79" x14ac:dyDescent="0.35">
      <c r="BZ1480" s="105"/>
      <c r="CA1480" s="20"/>
    </row>
    <row r="1481" spans="78:79" x14ac:dyDescent="0.35">
      <c r="BZ1481" s="105"/>
      <c r="CA1481" s="20"/>
    </row>
    <row r="1482" spans="78:79" x14ac:dyDescent="0.35">
      <c r="BZ1482" s="105"/>
      <c r="CA1482" s="20"/>
    </row>
    <row r="1483" spans="78:79" x14ac:dyDescent="0.35">
      <c r="BZ1483" s="105"/>
      <c r="CA1483" s="20"/>
    </row>
    <row r="1484" spans="78:79" x14ac:dyDescent="0.35">
      <c r="BZ1484" s="105"/>
      <c r="CA1484" s="20"/>
    </row>
    <row r="1485" spans="78:79" x14ac:dyDescent="0.35">
      <c r="BZ1485" s="105"/>
      <c r="CA1485" s="20"/>
    </row>
    <row r="1486" spans="78:79" x14ac:dyDescent="0.35">
      <c r="BZ1486" s="105"/>
      <c r="CA1486" s="20"/>
    </row>
    <row r="1487" spans="78:79" x14ac:dyDescent="0.35">
      <c r="BZ1487" s="105"/>
      <c r="CA1487" s="20"/>
    </row>
    <row r="1488" spans="78:79" x14ac:dyDescent="0.35">
      <c r="BZ1488" s="105"/>
      <c r="CA1488" s="20"/>
    </row>
    <row r="1489" spans="78:79" x14ac:dyDescent="0.35">
      <c r="BZ1489" s="105"/>
      <c r="CA1489" s="20"/>
    </row>
    <row r="1490" spans="78:79" x14ac:dyDescent="0.35">
      <c r="BZ1490" s="105"/>
      <c r="CA1490" s="20"/>
    </row>
    <row r="1491" spans="78:79" x14ac:dyDescent="0.35">
      <c r="BZ1491" s="105"/>
      <c r="CA1491" s="20"/>
    </row>
    <row r="1492" spans="78:79" x14ac:dyDescent="0.35">
      <c r="BZ1492" s="105"/>
      <c r="CA1492" s="20"/>
    </row>
    <row r="1493" spans="78:79" x14ac:dyDescent="0.35">
      <c r="BZ1493" s="105"/>
      <c r="CA1493" s="20"/>
    </row>
    <row r="1494" spans="78:79" x14ac:dyDescent="0.35">
      <c r="BZ1494" s="105"/>
      <c r="CA1494" s="20"/>
    </row>
    <row r="1495" spans="78:79" x14ac:dyDescent="0.35">
      <c r="BZ1495" s="105"/>
      <c r="CA1495" s="20"/>
    </row>
    <row r="1496" spans="78:79" x14ac:dyDescent="0.35">
      <c r="BZ1496" s="105"/>
      <c r="CA1496" s="20"/>
    </row>
    <row r="1497" spans="78:79" x14ac:dyDescent="0.35">
      <c r="BZ1497" s="105"/>
      <c r="CA1497" s="20"/>
    </row>
    <row r="1498" spans="78:79" x14ac:dyDescent="0.35">
      <c r="BZ1498" s="105"/>
      <c r="CA1498" s="20"/>
    </row>
    <row r="1499" spans="78:79" x14ac:dyDescent="0.35">
      <c r="BZ1499" s="105"/>
      <c r="CA1499" s="20"/>
    </row>
    <row r="1500" spans="78:79" x14ac:dyDescent="0.35">
      <c r="BZ1500" s="105"/>
      <c r="CA1500" s="20"/>
    </row>
    <row r="1501" spans="78:79" x14ac:dyDescent="0.35">
      <c r="BZ1501" s="105"/>
      <c r="CA1501" s="20"/>
    </row>
    <row r="1502" spans="78:79" x14ac:dyDescent="0.35">
      <c r="BZ1502" s="105"/>
      <c r="CA1502" s="20"/>
    </row>
    <row r="1503" spans="78:79" x14ac:dyDescent="0.35">
      <c r="BZ1503" s="105"/>
      <c r="CA1503" s="20"/>
    </row>
    <row r="1504" spans="78:79" x14ac:dyDescent="0.35">
      <c r="BZ1504" s="105"/>
      <c r="CA1504" s="20"/>
    </row>
    <row r="1505" spans="78:79" x14ac:dyDescent="0.35">
      <c r="BZ1505" s="105"/>
      <c r="CA1505" s="20"/>
    </row>
    <row r="1506" spans="78:79" x14ac:dyDescent="0.35">
      <c r="BZ1506" s="105"/>
      <c r="CA1506" s="20"/>
    </row>
    <row r="1507" spans="78:79" x14ac:dyDescent="0.35">
      <c r="BZ1507" s="105"/>
      <c r="CA1507" s="20"/>
    </row>
    <row r="1508" spans="78:79" x14ac:dyDescent="0.35">
      <c r="BZ1508" s="105"/>
      <c r="CA1508" s="20"/>
    </row>
    <row r="1509" spans="78:79" x14ac:dyDescent="0.35">
      <c r="BZ1509" s="105"/>
      <c r="CA1509" s="20"/>
    </row>
    <row r="1510" spans="78:79" x14ac:dyDescent="0.35">
      <c r="BZ1510" s="105"/>
      <c r="CA1510" s="20"/>
    </row>
    <row r="1511" spans="78:79" x14ac:dyDescent="0.35">
      <c r="BZ1511" s="105"/>
      <c r="CA1511" s="20"/>
    </row>
    <row r="1512" spans="78:79" x14ac:dyDescent="0.35">
      <c r="BZ1512" s="105"/>
      <c r="CA1512" s="20"/>
    </row>
    <row r="1513" spans="78:79" x14ac:dyDescent="0.35">
      <c r="BZ1513" s="105"/>
      <c r="CA1513" s="20"/>
    </row>
    <row r="1514" spans="78:79" x14ac:dyDescent="0.35">
      <c r="BZ1514" s="105"/>
      <c r="CA1514" s="20"/>
    </row>
    <row r="1515" spans="78:79" x14ac:dyDescent="0.35">
      <c r="BZ1515" s="105"/>
      <c r="CA1515" s="20"/>
    </row>
    <row r="1516" spans="78:79" x14ac:dyDescent="0.35">
      <c r="BZ1516" s="105"/>
      <c r="CA1516" s="20"/>
    </row>
    <row r="1517" spans="78:79" x14ac:dyDescent="0.35">
      <c r="BZ1517" s="105"/>
      <c r="CA1517" s="20"/>
    </row>
    <row r="1518" spans="78:79" x14ac:dyDescent="0.35">
      <c r="BZ1518" s="105"/>
      <c r="CA1518" s="20"/>
    </row>
    <row r="1519" spans="78:79" x14ac:dyDescent="0.35">
      <c r="BZ1519" s="105"/>
      <c r="CA1519" s="20"/>
    </row>
    <row r="1520" spans="78:79" x14ac:dyDescent="0.35">
      <c r="BZ1520" s="105"/>
      <c r="CA1520" s="20"/>
    </row>
    <row r="1521" spans="78:79" x14ac:dyDescent="0.35">
      <c r="BZ1521" s="105"/>
      <c r="CA1521" s="20"/>
    </row>
    <row r="1522" spans="78:79" x14ac:dyDescent="0.35">
      <c r="BZ1522" s="105"/>
      <c r="CA1522" s="20"/>
    </row>
    <row r="1523" spans="78:79" x14ac:dyDescent="0.35">
      <c r="BZ1523" s="105"/>
      <c r="CA1523" s="20"/>
    </row>
    <row r="1524" spans="78:79" x14ac:dyDescent="0.35">
      <c r="BZ1524" s="105"/>
      <c r="CA1524" s="20"/>
    </row>
    <row r="1525" spans="78:79" x14ac:dyDescent="0.35">
      <c r="BZ1525" s="105"/>
      <c r="CA1525" s="20"/>
    </row>
    <row r="1526" spans="78:79" x14ac:dyDescent="0.35">
      <c r="BZ1526" s="105"/>
      <c r="CA1526" s="20"/>
    </row>
    <row r="1527" spans="78:79" x14ac:dyDescent="0.35">
      <c r="BZ1527" s="105"/>
      <c r="CA1527" s="20"/>
    </row>
    <row r="1528" spans="78:79" x14ac:dyDescent="0.35">
      <c r="BZ1528" s="105"/>
      <c r="CA1528" s="20"/>
    </row>
    <row r="1529" spans="78:79" x14ac:dyDescent="0.35">
      <c r="BZ1529" s="105"/>
      <c r="CA1529" s="20"/>
    </row>
    <row r="1530" spans="78:79" x14ac:dyDescent="0.35">
      <c r="BZ1530" s="105"/>
      <c r="CA1530" s="20"/>
    </row>
    <row r="1531" spans="78:79" x14ac:dyDescent="0.35">
      <c r="BZ1531" s="105"/>
      <c r="CA1531" s="20"/>
    </row>
    <row r="1532" spans="78:79" x14ac:dyDescent="0.35">
      <c r="BZ1532" s="105"/>
      <c r="CA1532" s="20"/>
    </row>
    <row r="1533" spans="78:79" x14ac:dyDescent="0.35">
      <c r="BZ1533" s="105"/>
      <c r="CA1533" s="20"/>
    </row>
    <row r="1534" spans="78:79" x14ac:dyDescent="0.35">
      <c r="BZ1534" s="105"/>
      <c r="CA1534" s="20"/>
    </row>
    <row r="1535" spans="78:79" x14ac:dyDescent="0.35">
      <c r="BZ1535" s="105"/>
      <c r="CA1535" s="20"/>
    </row>
    <row r="1536" spans="78:79" x14ac:dyDescent="0.35">
      <c r="BZ1536" s="105"/>
      <c r="CA1536" s="20"/>
    </row>
    <row r="1537" spans="78:79" x14ac:dyDescent="0.35">
      <c r="BZ1537" s="105"/>
      <c r="CA1537" s="20"/>
    </row>
    <row r="1538" spans="78:79" x14ac:dyDescent="0.35">
      <c r="BZ1538" s="105"/>
      <c r="CA1538" s="20"/>
    </row>
    <row r="1539" spans="78:79" x14ac:dyDescent="0.35">
      <c r="BZ1539" s="105"/>
      <c r="CA1539" s="20"/>
    </row>
    <row r="1540" spans="78:79" x14ac:dyDescent="0.35">
      <c r="BZ1540" s="105"/>
      <c r="CA1540" s="20"/>
    </row>
    <row r="1541" spans="78:79" x14ac:dyDescent="0.35">
      <c r="BZ1541" s="105"/>
      <c r="CA1541" s="20"/>
    </row>
    <row r="1542" spans="78:79" x14ac:dyDescent="0.35">
      <c r="BZ1542" s="105"/>
      <c r="CA1542" s="20"/>
    </row>
    <row r="1543" spans="78:79" x14ac:dyDescent="0.35">
      <c r="BZ1543" s="105"/>
      <c r="CA1543" s="20"/>
    </row>
    <row r="1544" spans="78:79" x14ac:dyDescent="0.35">
      <c r="BZ1544" s="105"/>
      <c r="CA1544" s="20"/>
    </row>
    <row r="1545" spans="78:79" x14ac:dyDescent="0.35">
      <c r="BZ1545" s="105"/>
      <c r="CA1545" s="20"/>
    </row>
    <row r="1546" spans="78:79" x14ac:dyDescent="0.35">
      <c r="BZ1546" s="105"/>
      <c r="CA1546" s="20"/>
    </row>
    <row r="1547" spans="78:79" x14ac:dyDescent="0.35">
      <c r="BZ1547" s="105"/>
      <c r="CA1547" s="20"/>
    </row>
    <row r="1548" spans="78:79" x14ac:dyDescent="0.35">
      <c r="BZ1548" s="105"/>
      <c r="CA1548" s="20"/>
    </row>
    <row r="1549" spans="78:79" x14ac:dyDescent="0.35">
      <c r="BZ1549" s="105"/>
      <c r="CA1549" s="20"/>
    </row>
    <row r="1550" spans="78:79" x14ac:dyDescent="0.35">
      <c r="BZ1550" s="105"/>
      <c r="CA1550" s="20"/>
    </row>
    <row r="1551" spans="78:79" x14ac:dyDescent="0.35">
      <c r="BZ1551" s="105"/>
      <c r="CA1551" s="20"/>
    </row>
    <row r="1552" spans="78:79" x14ac:dyDescent="0.35">
      <c r="BZ1552" s="105"/>
      <c r="CA1552" s="20"/>
    </row>
    <row r="1553" spans="78:79" x14ac:dyDescent="0.35">
      <c r="BZ1553" s="105"/>
      <c r="CA1553" s="20"/>
    </row>
    <row r="1554" spans="78:79" x14ac:dyDescent="0.35">
      <c r="BZ1554" s="105"/>
      <c r="CA1554" s="20"/>
    </row>
    <row r="1555" spans="78:79" x14ac:dyDescent="0.35">
      <c r="BZ1555" s="105"/>
      <c r="CA1555" s="20"/>
    </row>
    <row r="1556" spans="78:79" x14ac:dyDescent="0.35">
      <c r="BZ1556" s="105"/>
      <c r="CA1556" s="20"/>
    </row>
    <row r="1557" spans="78:79" x14ac:dyDescent="0.35">
      <c r="BZ1557" s="105"/>
      <c r="CA1557" s="20"/>
    </row>
    <row r="1558" spans="78:79" x14ac:dyDescent="0.35">
      <c r="BZ1558" s="105"/>
      <c r="CA1558" s="20"/>
    </row>
    <row r="1559" spans="78:79" x14ac:dyDescent="0.35">
      <c r="BZ1559" s="105"/>
      <c r="CA1559" s="20"/>
    </row>
    <row r="1560" spans="78:79" x14ac:dyDescent="0.35">
      <c r="BZ1560" s="105"/>
      <c r="CA1560" s="20"/>
    </row>
    <row r="1561" spans="78:79" x14ac:dyDescent="0.35">
      <c r="BZ1561" s="105"/>
      <c r="CA1561" s="20"/>
    </row>
    <row r="1562" spans="78:79" x14ac:dyDescent="0.35">
      <c r="BZ1562" s="105"/>
      <c r="CA1562" s="20"/>
    </row>
    <row r="1563" spans="78:79" x14ac:dyDescent="0.35">
      <c r="BZ1563" s="105"/>
      <c r="CA1563" s="20"/>
    </row>
    <row r="1564" spans="78:79" x14ac:dyDescent="0.35">
      <c r="BZ1564" s="105"/>
      <c r="CA1564" s="20"/>
    </row>
    <row r="1565" spans="78:79" x14ac:dyDescent="0.35">
      <c r="BZ1565" s="105"/>
      <c r="CA1565" s="20"/>
    </row>
    <row r="1566" spans="78:79" x14ac:dyDescent="0.35">
      <c r="BZ1566" s="105"/>
      <c r="CA1566" s="20"/>
    </row>
    <row r="1567" spans="78:79" x14ac:dyDescent="0.35">
      <c r="BZ1567" s="105"/>
      <c r="CA1567" s="20"/>
    </row>
    <row r="1568" spans="78:79" x14ac:dyDescent="0.35">
      <c r="BZ1568" s="105"/>
      <c r="CA1568" s="20"/>
    </row>
    <row r="1569" spans="78:79" x14ac:dyDescent="0.35">
      <c r="BZ1569" s="105"/>
      <c r="CA1569" s="20"/>
    </row>
    <row r="1570" spans="78:79" x14ac:dyDescent="0.35">
      <c r="BZ1570" s="105"/>
      <c r="CA1570" s="20"/>
    </row>
    <row r="1571" spans="78:79" x14ac:dyDescent="0.35">
      <c r="BZ1571" s="105"/>
      <c r="CA1571" s="20"/>
    </row>
    <row r="1572" spans="78:79" x14ac:dyDescent="0.35">
      <c r="BZ1572" s="105"/>
      <c r="CA1572" s="20"/>
    </row>
    <row r="1573" spans="78:79" x14ac:dyDescent="0.35">
      <c r="BZ1573" s="105"/>
      <c r="CA1573" s="20"/>
    </row>
    <row r="1574" spans="78:79" x14ac:dyDescent="0.35">
      <c r="BZ1574" s="105"/>
      <c r="CA1574" s="20"/>
    </row>
    <row r="1575" spans="78:79" x14ac:dyDescent="0.35">
      <c r="BZ1575" s="105"/>
      <c r="CA1575" s="20"/>
    </row>
    <row r="1576" spans="78:79" x14ac:dyDescent="0.35">
      <c r="BZ1576" s="105"/>
      <c r="CA1576" s="20"/>
    </row>
    <row r="1577" spans="78:79" x14ac:dyDescent="0.35">
      <c r="BZ1577" s="105"/>
      <c r="CA1577" s="20"/>
    </row>
    <row r="1578" spans="78:79" x14ac:dyDescent="0.35">
      <c r="BZ1578" s="105"/>
      <c r="CA1578" s="20"/>
    </row>
    <row r="1579" spans="78:79" x14ac:dyDescent="0.35">
      <c r="BZ1579" s="105"/>
      <c r="CA1579" s="20"/>
    </row>
    <row r="1580" spans="78:79" x14ac:dyDescent="0.35">
      <c r="BZ1580" s="105"/>
      <c r="CA1580" s="20"/>
    </row>
    <row r="1581" spans="78:79" x14ac:dyDescent="0.35">
      <c r="BZ1581" s="105"/>
      <c r="CA1581" s="20"/>
    </row>
    <row r="1582" spans="78:79" x14ac:dyDescent="0.35">
      <c r="BZ1582" s="105"/>
      <c r="CA1582" s="20"/>
    </row>
    <row r="1583" spans="78:79" x14ac:dyDescent="0.35">
      <c r="BZ1583" s="105"/>
      <c r="CA1583" s="20"/>
    </row>
    <row r="1584" spans="78:79" x14ac:dyDescent="0.35">
      <c r="BZ1584" s="105"/>
      <c r="CA1584" s="20"/>
    </row>
    <row r="1585" spans="78:79" x14ac:dyDescent="0.35">
      <c r="BZ1585" s="105"/>
      <c r="CA1585" s="20"/>
    </row>
    <row r="1586" spans="78:79" x14ac:dyDescent="0.35">
      <c r="BZ1586" s="105"/>
      <c r="CA1586" s="20"/>
    </row>
    <row r="1587" spans="78:79" x14ac:dyDescent="0.35">
      <c r="BZ1587" s="105"/>
      <c r="CA1587" s="20"/>
    </row>
    <row r="1588" spans="78:79" x14ac:dyDescent="0.35">
      <c r="BZ1588" s="105"/>
      <c r="CA1588" s="20"/>
    </row>
    <row r="1589" spans="78:79" x14ac:dyDescent="0.35">
      <c r="BZ1589" s="105"/>
      <c r="CA1589" s="20"/>
    </row>
    <row r="1590" spans="78:79" x14ac:dyDescent="0.35">
      <c r="BZ1590" s="105"/>
      <c r="CA1590" s="20"/>
    </row>
    <row r="1591" spans="78:79" x14ac:dyDescent="0.35">
      <c r="BZ1591" s="105"/>
      <c r="CA1591" s="20"/>
    </row>
    <row r="1592" spans="78:79" x14ac:dyDescent="0.35">
      <c r="BZ1592" s="105"/>
      <c r="CA1592" s="20"/>
    </row>
    <row r="1593" spans="78:79" x14ac:dyDescent="0.35">
      <c r="BZ1593" s="105"/>
      <c r="CA1593" s="20"/>
    </row>
    <row r="1594" spans="78:79" x14ac:dyDescent="0.35">
      <c r="BZ1594" s="105"/>
      <c r="CA1594" s="20"/>
    </row>
    <row r="1595" spans="78:79" x14ac:dyDescent="0.35">
      <c r="BZ1595" s="105"/>
      <c r="CA1595" s="20"/>
    </row>
    <row r="1596" spans="78:79" x14ac:dyDescent="0.35">
      <c r="BZ1596" s="105"/>
      <c r="CA1596" s="20"/>
    </row>
    <row r="1597" spans="78:79" x14ac:dyDescent="0.35">
      <c r="BZ1597" s="105"/>
      <c r="CA1597" s="20"/>
    </row>
    <row r="1598" spans="78:79" x14ac:dyDescent="0.35">
      <c r="BZ1598" s="105"/>
      <c r="CA1598" s="20"/>
    </row>
    <row r="1599" spans="78:79" x14ac:dyDescent="0.35">
      <c r="BZ1599" s="105"/>
      <c r="CA1599" s="20"/>
    </row>
    <row r="1600" spans="78:79" x14ac:dyDescent="0.35">
      <c r="BZ1600" s="105"/>
      <c r="CA1600" s="20"/>
    </row>
    <row r="1601" spans="78:79" x14ac:dyDescent="0.35">
      <c r="BZ1601" s="105"/>
      <c r="CA1601" s="20"/>
    </row>
    <row r="1602" spans="78:79" x14ac:dyDescent="0.35">
      <c r="BZ1602" s="105"/>
      <c r="CA1602" s="20"/>
    </row>
    <row r="1603" spans="78:79" x14ac:dyDescent="0.35">
      <c r="BZ1603" s="105"/>
      <c r="CA1603" s="20"/>
    </row>
    <row r="1604" spans="78:79" x14ac:dyDescent="0.35">
      <c r="BZ1604" s="105"/>
      <c r="CA1604" s="20"/>
    </row>
    <row r="1605" spans="78:79" x14ac:dyDescent="0.35">
      <c r="BZ1605" s="105"/>
      <c r="CA1605" s="20"/>
    </row>
    <row r="1606" spans="78:79" x14ac:dyDescent="0.35">
      <c r="BZ1606" s="105"/>
      <c r="CA1606" s="20"/>
    </row>
    <row r="1607" spans="78:79" x14ac:dyDescent="0.35">
      <c r="BZ1607" s="105"/>
      <c r="CA1607" s="20"/>
    </row>
    <row r="1608" spans="78:79" x14ac:dyDescent="0.35">
      <c r="BZ1608" s="105"/>
      <c r="CA1608" s="20"/>
    </row>
    <row r="1609" spans="78:79" x14ac:dyDescent="0.35">
      <c r="BZ1609" s="105"/>
      <c r="CA1609" s="20"/>
    </row>
    <row r="1610" spans="78:79" x14ac:dyDescent="0.35">
      <c r="BZ1610" s="105"/>
      <c r="CA1610" s="20"/>
    </row>
    <row r="1611" spans="78:79" x14ac:dyDescent="0.35">
      <c r="BZ1611" s="105"/>
      <c r="CA1611" s="20"/>
    </row>
    <row r="1612" spans="78:79" x14ac:dyDescent="0.35">
      <c r="BZ1612" s="105"/>
      <c r="CA1612" s="20"/>
    </row>
    <row r="1613" spans="78:79" x14ac:dyDescent="0.35">
      <c r="BZ1613" s="105"/>
      <c r="CA1613" s="20"/>
    </row>
    <row r="1614" spans="78:79" x14ac:dyDescent="0.35">
      <c r="BZ1614" s="105"/>
      <c r="CA1614" s="20"/>
    </row>
    <row r="1615" spans="78:79" x14ac:dyDescent="0.35">
      <c r="BZ1615" s="105"/>
      <c r="CA1615" s="20"/>
    </row>
    <row r="1616" spans="78:79" x14ac:dyDescent="0.35">
      <c r="BZ1616" s="105"/>
      <c r="CA1616" s="20"/>
    </row>
    <row r="1617" spans="78:79" x14ac:dyDescent="0.35">
      <c r="BZ1617" s="105"/>
      <c r="CA1617" s="20"/>
    </row>
    <row r="1618" spans="78:79" x14ac:dyDescent="0.35">
      <c r="BZ1618" s="105"/>
      <c r="CA1618" s="20"/>
    </row>
    <row r="1619" spans="78:79" x14ac:dyDescent="0.35">
      <c r="BZ1619" s="105"/>
      <c r="CA1619" s="20"/>
    </row>
    <row r="1620" spans="78:79" x14ac:dyDescent="0.35">
      <c r="BZ1620" s="105"/>
      <c r="CA1620" s="20"/>
    </row>
    <row r="1621" spans="78:79" x14ac:dyDescent="0.35">
      <c r="BZ1621" s="105"/>
      <c r="CA1621" s="20"/>
    </row>
    <row r="1622" spans="78:79" x14ac:dyDescent="0.35">
      <c r="BZ1622" s="105"/>
      <c r="CA1622" s="20"/>
    </row>
    <row r="1623" spans="78:79" x14ac:dyDescent="0.35">
      <c r="BZ1623" s="105"/>
      <c r="CA1623" s="20"/>
    </row>
    <row r="1624" spans="78:79" x14ac:dyDescent="0.35">
      <c r="BZ1624" s="105"/>
      <c r="CA1624" s="20"/>
    </row>
    <row r="1625" spans="78:79" x14ac:dyDescent="0.35">
      <c r="BZ1625" s="105"/>
      <c r="CA1625" s="20"/>
    </row>
    <row r="1626" spans="78:79" x14ac:dyDescent="0.35">
      <c r="BZ1626" s="105"/>
      <c r="CA1626" s="20"/>
    </row>
    <row r="1627" spans="78:79" x14ac:dyDescent="0.35">
      <c r="BZ1627" s="105"/>
      <c r="CA1627" s="20"/>
    </row>
    <row r="1628" spans="78:79" x14ac:dyDescent="0.35">
      <c r="BZ1628" s="105"/>
      <c r="CA1628" s="20"/>
    </row>
    <row r="1629" spans="78:79" x14ac:dyDescent="0.35">
      <c r="BZ1629" s="105"/>
      <c r="CA1629" s="20"/>
    </row>
    <row r="1630" spans="78:79" x14ac:dyDescent="0.35">
      <c r="BZ1630" s="105"/>
      <c r="CA1630" s="20"/>
    </row>
    <row r="1631" spans="78:79" x14ac:dyDescent="0.35">
      <c r="BZ1631" s="105"/>
      <c r="CA1631" s="20"/>
    </row>
    <row r="1632" spans="78:79" x14ac:dyDescent="0.35">
      <c r="BZ1632" s="105"/>
      <c r="CA1632" s="20"/>
    </row>
    <row r="1633" spans="78:79" x14ac:dyDescent="0.35">
      <c r="BZ1633" s="105"/>
      <c r="CA1633" s="20"/>
    </row>
    <row r="1634" spans="78:79" x14ac:dyDescent="0.35">
      <c r="BZ1634" s="105"/>
      <c r="CA1634" s="20"/>
    </row>
    <row r="1635" spans="78:79" x14ac:dyDescent="0.35">
      <c r="BZ1635" s="105"/>
      <c r="CA1635" s="20"/>
    </row>
    <row r="1636" spans="78:79" x14ac:dyDescent="0.35">
      <c r="BZ1636" s="105"/>
      <c r="CA1636" s="20"/>
    </row>
    <row r="1637" spans="78:79" x14ac:dyDescent="0.35">
      <c r="BZ1637" s="105"/>
      <c r="CA1637" s="20"/>
    </row>
    <row r="1638" spans="78:79" x14ac:dyDescent="0.35">
      <c r="BZ1638" s="105"/>
      <c r="CA1638" s="20"/>
    </row>
    <row r="1639" spans="78:79" x14ac:dyDescent="0.35">
      <c r="BZ1639" s="105"/>
      <c r="CA1639" s="20"/>
    </row>
    <row r="1640" spans="78:79" x14ac:dyDescent="0.35">
      <c r="BZ1640" s="105"/>
      <c r="CA1640" s="20"/>
    </row>
    <row r="1641" spans="78:79" x14ac:dyDescent="0.35">
      <c r="BZ1641" s="105"/>
      <c r="CA1641" s="20"/>
    </row>
    <row r="1642" spans="78:79" x14ac:dyDescent="0.35">
      <c r="BZ1642" s="105"/>
      <c r="CA1642" s="20"/>
    </row>
    <row r="1643" spans="78:79" x14ac:dyDescent="0.35">
      <c r="BZ1643" s="105"/>
      <c r="CA1643" s="20"/>
    </row>
    <row r="1644" spans="78:79" x14ac:dyDescent="0.35">
      <c r="BZ1644" s="105"/>
      <c r="CA1644" s="20"/>
    </row>
    <row r="1645" spans="78:79" x14ac:dyDescent="0.35">
      <c r="BZ1645" s="105"/>
      <c r="CA1645" s="20"/>
    </row>
    <row r="1646" spans="78:79" x14ac:dyDescent="0.35">
      <c r="BZ1646" s="105"/>
      <c r="CA1646" s="20"/>
    </row>
    <row r="1647" spans="78:79" x14ac:dyDescent="0.35">
      <c r="BZ1647" s="105"/>
      <c r="CA1647" s="20"/>
    </row>
    <row r="1648" spans="78:79" x14ac:dyDescent="0.35">
      <c r="BZ1648" s="105"/>
      <c r="CA1648" s="20"/>
    </row>
    <row r="1649" spans="78:79" x14ac:dyDescent="0.35">
      <c r="BZ1649" s="105"/>
      <c r="CA1649" s="20"/>
    </row>
    <row r="1650" spans="78:79" x14ac:dyDescent="0.35">
      <c r="BZ1650" s="105"/>
      <c r="CA1650" s="20"/>
    </row>
    <row r="1651" spans="78:79" x14ac:dyDescent="0.35">
      <c r="BZ1651" s="105"/>
      <c r="CA1651" s="20"/>
    </row>
    <row r="1652" spans="78:79" x14ac:dyDescent="0.35">
      <c r="BZ1652" s="105"/>
      <c r="CA1652" s="20"/>
    </row>
    <row r="1653" spans="78:79" x14ac:dyDescent="0.35">
      <c r="BZ1653" s="105"/>
      <c r="CA1653" s="20"/>
    </row>
    <row r="1654" spans="78:79" x14ac:dyDescent="0.35">
      <c r="BZ1654" s="105"/>
      <c r="CA1654" s="20"/>
    </row>
    <row r="1655" spans="78:79" x14ac:dyDescent="0.35">
      <c r="BZ1655" s="105"/>
      <c r="CA1655" s="20"/>
    </row>
    <row r="1656" spans="78:79" x14ac:dyDescent="0.35">
      <c r="BZ1656" s="105"/>
      <c r="CA1656" s="20"/>
    </row>
    <row r="1657" spans="78:79" x14ac:dyDescent="0.35">
      <c r="BZ1657" s="105"/>
      <c r="CA1657" s="20"/>
    </row>
    <row r="1658" spans="78:79" x14ac:dyDescent="0.35">
      <c r="BZ1658" s="105"/>
      <c r="CA1658" s="20"/>
    </row>
    <row r="1659" spans="78:79" x14ac:dyDescent="0.35">
      <c r="BZ1659" s="105"/>
      <c r="CA1659" s="20"/>
    </row>
    <row r="1660" spans="78:79" x14ac:dyDescent="0.35">
      <c r="BZ1660" s="105"/>
      <c r="CA1660" s="20"/>
    </row>
    <row r="1661" spans="78:79" x14ac:dyDescent="0.35">
      <c r="BZ1661" s="105"/>
      <c r="CA1661" s="20"/>
    </row>
    <row r="1662" spans="78:79" x14ac:dyDescent="0.35">
      <c r="BZ1662" s="105"/>
      <c r="CA1662" s="20"/>
    </row>
    <row r="1663" spans="78:79" x14ac:dyDescent="0.35">
      <c r="BZ1663" s="105"/>
      <c r="CA1663" s="20"/>
    </row>
    <row r="1664" spans="78:79" x14ac:dyDescent="0.35">
      <c r="BZ1664" s="105"/>
      <c r="CA1664" s="20"/>
    </row>
    <row r="1665" spans="78:79" x14ac:dyDescent="0.35">
      <c r="BZ1665" s="105"/>
      <c r="CA1665" s="20"/>
    </row>
    <row r="1666" spans="78:79" x14ac:dyDescent="0.35">
      <c r="BZ1666" s="105"/>
      <c r="CA1666" s="20"/>
    </row>
    <row r="1667" spans="78:79" x14ac:dyDescent="0.35">
      <c r="BZ1667" s="105"/>
      <c r="CA1667" s="20"/>
    </row>
    <row r="1668" spans="78:79" x14ac:dyDescent="0.35">
      <c r="BZ1668" s="105"/>
      <c r="CA1668" s="20"/>
    </row>
    <row r="1669" spans="78:79" x14ac:dyDescent="0.35">
      <c r="BZ1669" s="105"/>
      <c r="CA1669" s="20"/>
    </row>
    <row r="1670" spans="78:79" x14ac:dyDescent="0.35">
      <c r="BZ1670" s="105"/>
      <c r="CA1670" s="20"/>
    </row>
    <row r="1671" spans="78:79" x14ac:dyDescent="0.35">
      <c r="BZ1671" s="105"/>
      <c r="CA1671" s="20"/>
    </row>
    <row r="1672" spans="78:79" x14ac:dyDescent="0.35">
      <c r="BZ1672" s="105"/>
      <c r="CA1672" s="20"/>
    </row>
    <row r="1673" spans="78:79" x14ac:dyDescent="0.35">
      <c r="BZ1673" s="105"/>
      <c r="CA1673" s="20"/>
    </row>
    <row r="1674" spans="78:79" x14ac:dyDescent="0.35">
      <c r="BZ1674" s="105"/>
      <c r="CA1674" s="20"/>
    </row>
    <row r="1675" spans="78:79" x14ac:dyDescent="0.35">
      <c r="BZ1675" s="105"/>
      <c r="CA1675" s="20"/>
    </row>
    <row r="1676" spans="78:79" x14ac:dyDescent="0.35">
      <c r="BZ1676" s="105"/>
      <c r="CA1676" s="20"/>
    </row>
    <row r="1677" spans="78:79" x14ac:dyDescent="0.35">
      <c r="BZ1677" s="105"/>
      <c r="CA1677" s="20"/>
    </row>
    <row r="1678" spans="78:79" x14ac:dyDescent="0.35">
      <c r="BZ1678" s="105"/>
      <c r="CA1678" s="20"/>
    </row>
    <row r="1679" spans="78:79" x14ac:dyDescent="0.35">
      <c r="BZ1679" s="105"/>
      <c r="CA1679" s="20"/>
    </row>
    <row r="1680" spans="78:79" x14ac:dyDescent="0.35">
      <c r="BZ1680" s="105"/>
      <c r="CA1680" s="20"/>
    </row>
    <row r="1681" spans="78:79" x14ac:dyDescent="0.35">
      <c r="BZ1681" s="105"/>
      <c r="CA1681" s="20"/>
    </row>
    <row r="1682" spans="78:79" x14ac:dyDescent="0.35">
      <c r="BZ1682" s="105"/>
      <c r="CA1682" s="20"/>
    </row>
    <row r="1683" spans="78:79" x14ac:dyDescent="0.35">
      <c r="BZ1683" s="105"/>
      <c r="CA1683" s="20"/>
    </row>
    <row r="1684" spans="78:79" x14ac:dyDescent="0.35">
      <c r="BZ1684" s="105"/>
      <c r="CA1684" s="20"/>
    </row>
    <row r="1685" spans="78:79" x14ac:dyDescent="0.35">
      <c r="BZ1685" s="105"/>
      <c r="CA1685" s="20"/>
    </row>
    <row r="1686" spans="78:79" x14ac:dyDescent="0.35">
      <c r="BZ1686" s="105"/>
      <c r="CA1686" s="20"/>
    </row>
    <row r="1687" spans="78:79" x14ac:dyDescent="0.35">
      <c r="BZ1687" s="105"/>
      <c r="CA1687" s="20"/>
    </row>
    <row r="1688" spans="78:79" x14ac:dyDescent="0.35">
      <c r="BZ1688" s="105"/>
      <c r="CA1688" s="20"/>
    </row>
    <row r="1689" spans="78:79" x14ac:dyDescent="0.35">
      <c r="BZ1689" s="105"/>
      <c r="CA1689" s="20"/>
    </row>
    <row r="1690" spans="78:79" x14ac:dyDescent="0.35">
      <c r="BZ1690" s="105"/>
      <c r="CA1690" s="20"/>
    </row>
    <row r="1691" spans="78:79" x14ac:dyDescent="0.35">
      <c r="BZ1691" s="105"/>
      <c r="CA1691" s="20"/>
    </row>
    <row r="1692" spans="78:79" x14ac:dyDescent="0.35">
      <c r="BZ1692" s="105"/>
      <c r="CA1692" s="20"/>
    </row>
    <row r="1693" spans="78:79" x14ac:dyDescent="0.35">
      <c r="BZ1693" s="105"/>
      <c r="CA1693" s="20"/>
    </row>
    <row r="1694" spans="78:79" x14ac:dyDescent="0.35">
      <c r="BZ1694" s="105"/>
      <c r="CA1694" s="20"/>
    </row>
    <row r="1695" spans="78:79" x14ac:dyDescent="0.35">
      <c r="BZ1695" s="105"/>
      <c r="CA1695" s="20"/>
    </row>
    <row r="1696" spans="78:79" x14ac:dyDescent="0.35">
      <c r="BZ1696" s="105"/>
      <c r="CA1696" s="20"/>
    </row>
    <row r="1697" spans="78:79" x14ac:dyDescent="0.35">
      <c r="BZ1697" s="105"/>
      <c r="CA1697" s="20"/>
    </row>
    <row r="1698" spans="78:79" x14ac:dyDescent="0.35">
      <c r="BZ1698" s="105"/>
      <c r="CA1698" s="20"/>
    </row>
    <row r="1699" spans="78:79" x14ac:dyDescent="0.35">
      <c r="BZ1699" s="105"/>
      <c r="CA1699" s="20"/>
    </row>
    <row r="1700" spans="78:79" x14ac:dyDescent="0.35">
      <c r="BZ1700" s="105"/>
      <c r="CA1700" s="20"/>
    </row>
    <row r="1701" spans="78:79" x14ac:dyDescent="0.35">
      <c r="BZ1701" s="105"/>
      <c r="CA1701" s="20"/>
    </row>
    <row r="1702" spans="78:79" x14ac:dyDescent="0.35">
      <c r="BZ1702" s="105"/>
      <c r="CA1702" s="20"/>
    </row>
    <row r="1703" spans="78:79" x14ac:dyDescent="0.35">
      <c r="BZ1703" s="105"/>
      <c r="CA1703" s="20"/>
    </row>
    <row r="1704" spans="78:79" x14ac:dyDescent="0.35">
      <c r="BZ1704" s="105"/>
      <c r="CA1704" s="20"/>
    </row>
    <row r="1705" spans="78:79" x14ac:dyDescent="0.35">
      <c r="BZ1705" s="105"/>
      <c r="CA1705" s="20"/>
    </row>
    <row r="1706" spans="78:79" x14ac:dyDescent="0.35">
      <c r="BZ1706" s="105"/>
      <c r="CA1706" s="20"/>
    </row>
    <row r="1707" spans="78:79" x14ac:dyDescent="0.35">
      <c r="BZ1707" s="105"/>
      <c r="CA1707" s="20"/>
    </row>
    <row r="1708" spans="78:79" x14ac:dyDescent="0.35">
      <c r="BZ1708" s="105"/>
      <c r="CA1708" s="20"/>
    </row>
    <row r="1709" spans="78:79" x14ac:dyDescent="0.35">
      <c r="BZ1709" s="105"/>
      <c r="CA1709" s="20"/>
    </row>
    <row r="1710" spans="78:79" x14ac:dyDescent="0.35">
      <c r="BZ1710" s="105"/>
      <c r="CA1710" s="20"/>
    </row>
    <row r="1711" spans="78:79" x14ac:dyDescent="0.35">
      <c r="BZ1711" s="105"/>
      <c r="CA1711" s="20"/>
    </row>
    <row r="1712" spans="78:79" x14ac:dyDescent="0.35">
      <c r="BZ1712" s="105"/>
      <c r="CA1712" s="20"/>
    </row>
    <row r="1713" spans="78:79" x14ac:dyDescent="0.35">
      <c r="BZ1713" s="105"/>
      <c r="CA1713" s="20"/>
    </row>
    <row r="1714" spans="78:79" x14ac:dyDescent="0.35">
      <c r="BZ1714" s="105"/>
      <c r="CA1714" s="20"/>
    </row>
    <row r="1715" spans="78:79" x14ac:dyDescent="0.35">
      <c r="BZ1715" s="105"/>
      <c r="CA1715" s="20"/>
    </row>
    <row r="1716" spans="78:79" x14ac:dyDescent="0.35">
      <c r="BZ1716" s="105"/>
      <c r="CA1716" s="20"/>
    </row>
    <row r="1717" spans="78:79" x14ac:dyDescent="0.35">
      <c r="BZ1717" s="105"/>
      <c r="CA1717" s="20"/>
    </row>
    <row r="1718" spans="78:79" x14ac:dyDescent="0.35">
      <c r="BZ1718" s="105"/>
      <c r="CA1718" s="20"/>
    </row>
    <row r="1719" spans="78:79" x14ac:dyDescent="0.35">
      <c r="BZ1719" s="105"/>
      <c r="CA1719" s="20"/>
    </row>
    <row r="1720" spans="78:79" x14ac:dyDescent="0.35">
      <c r="BZ1720" s="105"/>
      <c r="CA1720" s="20"/>
    </row>
    <row r="1721" spans="78:79" x14ac:dyDescent="0.35">
      <c r="BZ1721" s="105"/>
      <c r="CA1721" s="20"/>
    </row>
    <row r="1722" spans="78:79" x14ac:dyDescent="0.35">
      <c r="BZ1722" s="105"/>
      <c r="CA1722" s="20"/>
    </row>
    <row r="1723" spans="78:79" x14ac:dyDescent="0.35">
      <c r="BZ1723" s="105"/>
      <c r="CA1723" s="20"/>
    </row>
    <row r="1724" spans="78:79" x14ac:dyDescent="0.35">
      <c r="BZ1724" s="105"/>
      <c r="CA1724" s="20"/>
    </row>
    <row r="1725" spans="78:79" x14ac:dyDescent="0.35">
      <c r="BZ1725" s="105"/>
      <c r="CA1725" s="20"/>
    </row>
    <row r="1726" spans="78:79" x14ac:dyDescent="0.35">
      <c r="BZ1726" s="105"/>
      <c r="CA1726" s="20"/>
    </row>
    <row r="1727" spans="78:79" x14ac:dyDescent="0.35">
      <c r="BZ1727" s="105"/>
      <c r="CA1727" s="20"/>
    </row>
    <row r="1728" spans="78:79" x14ac:dyDescent="0.35">
      <c r="BZ1728" s="105"/>
      <c r="CA1728" s="20"/>
    </row>
    <row r="1729" spans="78:79" x14ac:dyDescent="0.35">
      <c r="BZ1729" s="105"/>
      <c r="CA1729" s="20"/>
    </row>
    <row r="1730" spans="78:79" x14ac:dyDescent="0.35">
      <c r="BZ1730" s="105"/>
      <c r="CA1730" s="20"/>
    </row>
    <row r="1731" spans="78:79" x14ac:dyDescent="0.35">
      <c r="BZ1731" s="105"/>
      <c r="CA1731" s="20"/>
    </row>
    <row r="1732" spans="78:79" x14ac:dyDescent="0.35">
      <c r="BZ1732" s="105"/>
      <c r="CA1732" s="20"/>
    </row>
    <row r="1733" spans="78:79" x14ac:dyDescent="0.35">
      <c r="BZ1733" s="105"/>
      <c r="CA1733" s="20"/>
    </row>
    <row r="1734" spans="78:79" x14ac:dyDescent="0.35">
      <c r="BZ1734" s="105"/>
      <c r="CA1734" s="20"/>
    </row>
    <row r="1735" spans="78:79" x14ac:dyDescent="0.35">
      <c r="BZ1735" s="105"/>
      <c r="CA1735" s="20"/>
    </row>
    <row r="1736" spans="78:79" x14ac:dyDescent="0.35">
      <c r="BZ1736" s="105"/>
      <c r="CA1736" s="20"/>
    </row>
    <row r="1737" spans="78:79" x14ac:dyDescent="0.35">
      <c r="BZ1737" s="105"/>
      <c r="CA1737" s="20"/>
    </row>
    <row r="1738" spans="78:79" x14ac:dyDescent="0.35">
      <c r="BZ1738" s="105"/>
      <c r="CA1738" s="20"/>
    </row>
    <row r="1739" spans="78:79" x14ac:dyDescent="0.35">
      <c r="BZ1739" s="105"/>
      <c r="CA1739" s="20"/>
    </row>
    <row r="1740" spans="78:79" x14ac:dyDescent="0.35">
      <c r="BZ1740" s="105"/>
      <c r="CA1740" s="20"/>
    </row>
    <row r="1741" spans="78:79" x14ac:dyDescent="0.35">
      <c r="BZ1741" s="105"/>
      <c r="CA1741" s="20"/>
    </row>
    <row r="1742" spans="78:79" x14ac:dyDescent="0.35">
      <c r="BZ1742" s="105"/>
      <c r="CA1742" s="20"/>
    </row>
    <row r="1743" spans="78:79" x14ac:dyDescent="0.35">
      <c r="BZ1743" s="105"/>
      <c r="CA1743" s="20"/>
    </row>
    <row r="1744" spans="78:79" x14ac:dyDescent="0.35">
      <c r="BZ1744" s="105"/>
      <c r="CA1744" s="20"/>
    </row>
    <row r="1745" spans="78:79" x14ac:dyDescent="0.35">
      <c r="BZ1745" s="105"/>
      <c r="CA1745" s="20"/>
    </row>
    <row r="1746" spans="78:79" x14ac:dyDescent="0.35">
      <c r="BZ1746" s="105"/>
      <c r="CA1746" s="20"/>
    </row>
    <row r="1747" spans="78:79" x14ac:dyDescent="0.35">
      <c r="BZ1747" s="105"/>
      <c r="CA1747" s="20"/>
    </row>
    <row r="1748" spans="78:79" x14ac:dyDescent="0.35">
      <c r="BZ1748" s="105"/>
      <c r="CA1748" s="20"/>
    </row>
    <row r="1749" spans="78:79" x14ac:dyDescent="0.35">
      <c r="BZ1749" s="105"/>
      <c r="CA1749" s="20"/>
    </row>
    <row r="1750" spans="78:79" x14ac:dyDescent="0.35">
      <c r="BZ1750" s="105"/>
      <c r="CA1750" s="20"/>
    </row>
    <row r="1751" spans="78:79" x14ac:dyDescent="0.35">
      <c r="BZ1751" s="105"/>
      <c r="CA1751" s="20"/>
    </row>
    <row r="1752" spans="78:79" x14ac:dyDescent="0.35">
      <c r="BZ1752" s="105"/>
      <c r="CA1752" s="20"/>
    </row>
    <row r="1753" spans="78:79" x14ac:dyDescent="0.35">
      <c r="BZ1753" s="105"/>
      <c r="CA1753" s="20"/>
    </row>
    <row r="1754" spans="78:79" x14ac:dyDescent="0.35">
      <c r="BZ1754" s="105"/>
      <c r="CA1754" s="20"/>
    </row>
    <row r="1755" spans="78:79" x14ac:dyDescent="0.35">
      <c r="BZ1755" s="105"/>
      <c r="CA1755" s="20"/>
    </row>
    <row r="1756" spans="78:79" x14ac:dyDescent="0.35">
      <c r="BZ1756" s="105"/>
      <c r="CA1756" s="20"/>
    </row>
    <row r="1757" spans="78:79" x14ac:dyDescent="0.35">
      <c r="BZ1757" s="105"/>
      <c r="CA1757" s="20"/>
    </row>
    <row r="1758" spans="78:79" x14ac:dyDescent="0.35">
      <c r="BZ1758" s="105"/>
      <c r="CA1758" s="20"/>
    </row>
    <row r="1759" spans="78:79" x14ac:dyDescent="0.35">
      <c r="BZ1759" s="105"/>
      <c r="CA1759" s="20"/>
    </row>
    <row r="1760" spans="78:79" x14ac:dyDescent="0.35">
      <c r="BZ1760" s="105"/>
      <c r="CA1760" s="20"/>
    </row>
    <row r="1761" spans="78:79" x14ac:dyDescent="0.35">
      <c r="BZ1761" s="105"/>
      <c r="CA1761" s="20"/>
    </row>
    <row r="1762" spans="78:79" x14ac:dyDescent="0.35">
      <c r="BZ1762" s="105"/>
      <c r="CA1762" s="20"/>
    </row>
    <row r="1763" spans="78:79" x14ac:dyDescent="0.35">
      <c r="BZ1763" s="105"/>
      <c r="CA1763" s="20"/>
    </row>
    <row r="1764" spans="78:79" x14ac:dyDescent="0.35">
      <c r="BZ1764" s="105"/>
      <c r="CA1764" s="20"/>
    </row>
    <row r="1765" spans="78:79" x14ac:dyDescent="0.35">
      <c r="BZ1765" s="105"/>
      <c r="CA1765" s="20"/>
    </row>
    <row r="1766" spans="78:79" x14ac:dyDescent="0.35">
      <c r="BZ1766" s="105"/>
      <c r="CA1766" s="20"/>
    </row>
    <row r="1767" spans="78:79" x14ac:dyDescent="0.35">
      <c r="BZ1767" s="105"/>
      <c r="CA1767" s="20"/>
    </row>
    <row r="1768" spans="78:79" x14ac:dyDescent="0.35">
      <c r="BZ1768" s="105"/>
      <c r="CA1768" s="20"/>
    </row>
    <row r="1769" spans="78:79" x14ac:dyDescent="0.35">
      <c r="BZ1769" s="105"/>
      <c r="CA1769" s="20"/>
    </row>
    <row r="1770" spans="78:79" x14ac:dyDescent="0.35">
      <c r="BZ1770" s="105"/>
      <c r="CA1770" s="20"/>
    </row>
    <row r="1771" spans="78:79" x14ac:dyDescent="0.35">
      <c r="BZ1771" s="105"/>
      <c r="CA1771" s="20"/>
    </row>
    <row r="1772" spans="78:79" x14ac:dyDescent="0.35">
      <c r="BZ1772" s="105"/>
      <c r="CA1772" s="20"/>
    </row>
    <row r="1773" spans="78:79" x14ac:dyDescent="0.35">
      <c r="BZ1773" s="105"/>
      <c r="CA1773" s="20"/>
    </row>
    <row r="1774" spans="78:79" x14ac:dyDescent="0.35">
      <c r="BZ1774" s="105"/>
      <c r="CA1774" s="20"/>
    </row>
    <row r="1775" spans="78:79" x14ac:dyDescent="0.35">
      <c r="BZ1775" s="105"/>
      <c r="CA1775" s="20"/>
    </row>
    <row r="1776" spans="78:79" x14ac:dyDescent="0.35">
      <c r="BZ1776" s="105"/>
      <c r="CA1776" s="20"/>
    </row>
    <row r="1777" spans="78:79" x14ac:dyDescent="0.35">
      <c r="BZ1777" s="105"/>
      <c r="CA1777" s="20"/>
    </row>
    <row r="1778" spans="78:79" x14ac:dyDescent="0.35">
      <c r="BZ1778" s="105"/>
      <c r="CA1778" s="20"/>
    </row>
    <row r="1779" spans="78:79" x14ac:dyDescent="0.35">
      <c r="BZ1779" s="105"/>
      <c r="CA1779" s="20"/>
    </row>
    <row r="1780" spans="78:79" x14ac:dyDescent="0.35">
      <c r="BZ1780" s="105"/>
      <c r="CA1780" s="20"/>
    </row>
    <row r="1781" spans="78:79" x14ac:dyDescent="0.35">
      <c r="BZ1781" s="105"/>
      <c r="CA1781" s="20"/>
    </row>
    <row r="1782" spans="78:79" x14ac:dyDescent="0.35">
      <c r="BZ1782" s="105"/>
      <c r="CA1782" s="20"/>
    </row>
    <row r="1783" spans="78:79" x14ac:dyDescent="0.35">
      <c r="BZ1783" s="105"/>
      <c r="CA1783" s="20"/>
    </row>
    <row r="1784" spans="78:79" x14ac:dyDescent="0.35">
      <c r="BZ1784" s="105"/>
      <c r="CA1784" s="20"/>
    </row>
    <row r="1785" spans="78:79" x14ac:dyDescent="0.35">
      <c r="BZ1785" s="105"/>
      <c r="CA1785" s="20"/>
    </row>
    <row r="1786" spans="78:79" x14ac:dyDescent="0.35">
      <c r="BZ1786" s="105"/>
      <c r="CA1786" s="20"/>
    </row>
    <row r="1787" spans="78:79" x14ac:dyDescent="0.35">
      <c r="BZ1787" s="105"/>
      <c r="CA1787" s="20"/>
    </row>
    <row r="1788" spans="78:79" x14ac:dyDescent="0.35">
      <c r="BZ1788" s="105"/>
      <c r="CA1788" s="20"/>
    </row>
    <row r="1789" spans="78:79" x14ac:dyDescent="0.35">
      <c r="BZ1789" s="105"/>
      <c r="CA1789" s="20"/>
    </row>
    <row r="1790" spans="78:79" x14ac:dyDescent="0.35">
      <c r="BZ1790" s="105"/>
      <c r="CA1790" s="20"/>
    </row>
    <row r="1791" spans="78:79" x14ac:dyDescent="0.35">
      <c r="BZ1791" s="105"/>
      <c r="CA1791" s="20"/>
    </row>
    <row r="1792" spans="78:79" x14ac:dyDescent="0.35">
      <c r="BZ1792" s="105"/>
      <c r="CA1792" s="20"/>
    </row>
    <row r="1793" spans="78:79" x14ac:dyDescent="0.35">
      <c r="BZ1793" s="105"/>
      <c r="CA1793" s="20"/>
    </row>
    <row r="1794" spans="78:79" x14ac:dyDescent="0.35">
      <c r="BZ1794" s="105"/>
      <c r="CA1794" s="20"/>
    </row>
    <row r="1795" spans="78:79" x14ac:dyDescent="0.35">
      <c r="BZ1795" s="105"/>
      <c r="CA1795" s="20"/>
    </row>
    <row r="1796" spans="78:79" x14ac:dyDescent="0.35">
      <c r="BZ1796" s="105"/>
      <c r="CA1796" s="20"/>
    </row>
    <row r="1797" spans="78:79" x14ac:dyDescent="0.35">
      <c r="BZ1797" s="105"/>
      <c r="CA1797" s="20"/>
    </row>
    <row r="1798" spans="78:79" x14ac:dyDescent="0.35">
      <c r="BZ1798" s="105"/>
      <c r="CA1798" s="20"/>
    </row>
    <row r="1799" spans="78:79" x14ac:dyDescent="0.35">
      <c r="BZ1799" s="105"/>
      <c r="CA1799" s="20"/>
    </row>
    <row r="1800" spans="78:79" x14ac:dyDescent="0.35">
      <c r="BZ1800" s="105"/>
      <c r="CA1800" s="20"/>
    </row>
    <row r="1801" spans="78:79" x14ac:dyDescent="0.35">
      <c r="BZ1801" s="105"/>
      <c r="CA1801" s="20"/>
    </row>
    <row r="1802" spans="78:79" x14ac:dyDescent="0.35">
      <c r="BZ1802" s="105"/>
      <c r="CA1802" s="20"/>
    </row>
    <row r="1803" spans="78:79" x14ac:dyDescent="0.35">
      <c r="BZ1803" s="105"/>
      <c r="CA1803" s="20"/>
    </row>
    <row r="1804" spans="78:79" x14ac:dyDescent="0.35">
      <c r="BZ1804" s="105"/>
      <c r="CA1804" s="20"/>
    </row>
    <row r="1805" spans="78:79" x14ac:dyDescent="0.35">
      <c r="BZ1805" s="105"/>
      <c r="CA1805" s="20"/>
    </row>
    <row r="1806" spans="78:79" x14ac:dyDescent="0.35">
      <c r="BZ1806" s="105"/>
      <c r="CA1806" s="20"/>
    </row>
    <row r="1807" spans="78:79" x14ac:dyDescent="0.35">
      <c r="BZ1807" s="105"/>
      <c r="CA1807" s="20"/>
    </row>
    <row r="1808" spans="78:79" x14ac:dyDescent="0.35">
      <c r="BZ1808" s="105"/>
      <c r="CA1808" s="20"/>
    </row>
    <row r="1809" spans="78:79" x14ac:dyDescent="0.35">
      <c r="BZ1809" s="105"/>
      <c r="CA1809" s="20"/>
    </row>
    <row r="1810" spans="78:79" x14ac:dyDescent="0.35">
      <c r="BZ1810" s="105"/>
      <c r="CA1810" s="20"/>
    </row>
    <row r="1811" spans="78:79" x14ac:dyDescent="0.35">
      <c r="BZ1811" s="105"/>
      <c r="CA1811" s="20"/>
    </row>
    <row r="1812" spans="78:79" x14ac:dyDescent="0.35">
      <c r="BZ1812" s="105"/>
      <c r="CA1812" s="20"/>
    </row>
    <row r="1813" spans="78:79" x14ac:dyDescent="0.35">
      <c r="BZ1813" s="105"/>
      <c r="CA1813" s="20"/>
    </row>
    <row r="1814" spans="78:79" x14ac:dyDescent="0.35">
      <c r="BZ1814" s="105"/>
      <c r="CA1814" s="20"/>
    </row>
    <row r="1815" spans="78:79" x14ac:dyDescent="0.35">
      <c r="BZ1815" s="105"/>
      <c r="CA1815" s="20"/>
    </row>
    <row r="1816" spans="78:79" x14ac:dyDescent="0.35">
      <c r="BZ1816" s="105"/>
      <c r="CA1816" s="20"/>
    </row>
    <row r="1817" spans="78:79" x14ac:dyDescent="0.35">
      <c r="BZ1817" s="105"/>
      <c r="CA1817" s="20"/>
    </row>
    <row r="1818" spans="78:79" x14ac:dyDescent="0.35">
      <c r="BZ1818" s="105"/>
      <c r="CA1818" s="20"/>
    </row>
    <row r="1819" spans="78:79" x14ac:dyDescent="0.35">
      <c r="BZ1819" s="105"/>
      <c r="CA1819" s="20"/>
    </row>
    <row r="1820" spans="78:79" x14ac:dyDescent="0.35">
      <c r="BZ1820" s="105"/>
      <c r="CA1820" s="20"/>
    </row>
    <row r="1821" spans="78:79" x14ac:dyDescent="0.35">
      <c r="BZ1821" s="105"/>
      <c r="CA1821" s="20"/>
    </row>
    <row r="1822" spans="78:79" x14ac:dyDescent="0.35">
      <c r="BZ1822" s="105"/>
      <c r="CA1822" s="20"/>
    </row>
    <row r="1823" spans="78:79" x14ac:dyDescent="0.35">
      <c r="BZ1823" s="105"/>
      <c r="CA1823" s="20"/>
    </row>
    <row r="1824" spans="78:79" x14ac:dyDescent="0.35">
      <c r="BZ1824" s="105"/>
      <c r="CA1824" s="20"/>
    </row>
    <row r="1825" spans="78:79" x14ac:dyDescent="0.35">
      <c r="BZ1825" s="105"/>
      <c r="CA1825" s="20"/>
    </row>
    <row r="1826" spans="78:79" x14ac:dyDescent="0.35">
      <c r="BZ1826" s="105"/>
      <c r="CA1826" s="20"/>
    </row>
    <row r="1827" spans="78:79" x14ac:dyDescent="0.35">
      <c r="BZ1827" s="105"/>
      <c r="CA1827" s="20"/>
    </row>
    <row r="1828" spans="78:79" x14ac:dyDescent="0.35">
      <c r="BZ1828" s="105"/>
      <c r="CA1828" s="20"/>
    </row>
    <row r="1829" spans="78:79" x14ac:dyDescent="0.35">
      <c r="BZ1829" s="105"/>
      <c r="CA1829" s="20"/>
    </row>
    <row r="1830" spans="78:79" x14ac:dyDescent="0.35">
      <c r="BZ1830" s="105"/>
      <c r="CA1830" s="20"/>
    </row>
    <row r="1831" spans="78:79" x14ac:dyDescent="0.35">
      <c r="BZ1831" s="105"/>
      <c r="CA1831" s="20"/>
    </row>
    <row r="1832" spans="78:79" x14ac:dyDescent="0.35">
      <c r="BZ1832" s="105"/>
      <c r="CA1832" s="20"/>
    </row>
    <row r="1833" spans="78:79" x14ac:dyDescent="0.35">
      <c r="BZ1833" s="105"/>
      <c r="CA1833" s="20"/>
    </row>
    <row r="1834" spans="78:79" x14ac:dyDescent="0.35">
      <c r="BZ1834" s="105"/>
      <c r="CA1834" s="20"/>
    </row>
    <row r="1835" spans="78:79" x14ac:dyDescent="0.35">
      <c r="BZ1835" s="105"/>
      <c r="CA1835" s="20"/>
    </row>
    <row r="1836" spans="78:79" x14ac:dyDescent="0.35">
      <c r="BZ1836" s="105"/>
      <c r="CA1836" s="20"/>
    </row>
    <row r="1837" spans="78:79" x14ac:dyDescent="0.35">
      <c r="BZ1837" s="105"/>
      <c r="CA1837" s="20"/>
    </row>
    <row r="1838" spans="78:79" x14ac:dyDescent="0.35">
      <c r="BZ1838" s="105"/>
      <c r="CA1838" s="20"/>
    </row>
    <row r="1839" spans="78:79" x14ac:dyDescent="0.35">
      <c r="BZ1839" s="105"/>
      <c r="CA1839" s="20"/>
    </row>
    <row r="1840" spans="78:79" x14ac:dyDescent="0.35">
      <c r="BZ1840" s="105"/>
      <c r="CA1840" s="20"/>
    </row>
    <row r="1841" spans="78:79" x14ac:dyDescent="0.35">
      <c r="BZ1841" s="105"/>
      <c r="CA1841" s="20"/>
    </row>
    <row r="1842" spans="78:79" x14ac:dyDescent="0.35">
      <c r="BZ1842" s="105"/>
      <c r="CA1842" s="20"/>
    </row>
    <row r="1843" spans="78:79" x14ac:dyDescent="0.35">
      <c r="BZ1843" s="105"/>
      <c r="CA1843" s="20"/>
    </row>
    <row r="1844" spans="78:79" x14ac:dyDescent="0.35">
      <c r="BZ1844" s="105"/>
      <c r="CA1844" s="20"/>
    </row>
    <row r="1845" spans="78:79" x14ac:dyDescent="0.35">
      <c r="BZ1845" s="105"/>
      <c r="CA1845" s="20"/>
    </row>
    <row r="1846" spans="78:79" x14ac:dyDescent="0.35">
      <c r="BZ1846" s="105"/>
      <c r="CA1846" s="20"/>
    </row>
    <row r="1847" spans="78:79" x14ac:dyDescent="0.35">
      <c r="BZ1847" s="105"/>
      <c r="CA1847" s="20"/>
    </row>
    <row r="1848" spans="78:79" x14ac:dyDescent="0.35">
      <c r="BZ1848" s="105"/>
      <c r="CA1848" s="20"/>
    </row>
    <row r="1849" spans="78:79" x14ac:dyDescent="0.35">
      <c r="BZ1849" s="105"/>
      <c r="CA1849" s="20"/>
    </row>
    <row r="1850" spans="78:79" x14ac:dyDescent="0.35">
      <c r="BZ1850" s="105"/>
      <c r="CA1850" s="20"/>
    </row>
    <row r="1851" spans="78:79" x14ac:dyDescent="0.35">
      <c r="BZ1851" s="105"/>
      <c r="CA1851" s="20"/>
    </row>
    <row r="1852" spans="78:79" x14ac:dyDescent="0.35">
      <c r="BZ1852" s="105"/>
      <c r="CA1852" s="20"/>
    </row>
    <row r="1853" spans="78:79" x14ac:dyDescent="0.35">
      <c r="BZ1853" s="105"/>
      <c r="CA1853" s="20"/>
    </row>
    <row r="1854" spans="78:79" x14ac:dyDescent="0.35">
      <c r="BZ1854" s="105"/>
      <c r="CA1854" s="20"/>
    </row>
    <row r="1855" spans="78:79" x14ac:dyDescent="0.35">
      <c r="BZ1855" s="105"/>
      <c r="CA1855" s="20"/>
    </row>
    <row r="1856" spans="78:79" x14ac:dyDescent="0.35">
      <c r="BZ1856" s="105"/>
      <c r="CA1856" s="20"/>
    </row>
    <row r="1857" spans="78:79" x14ac:dyDescent="0.35">
      <c r="BZ1857" s="105"/>
      <c r="CA1857" s="20"/>
    </row>
    <row r="1858" spans="78:79" x14ac:dyDescent="0.35">
      <c r="BZ1858" s="105"/>
      <c r="CA1858" s="20"/>
    </row>
    <row r="1859" spans="78:79" x14ac:dyDescent="0.35">
      <c r="BZ1859" s="105"/>
      <c r="CA1859" s="20"/>
    </row>
    <row r="1860" spans="78:79" x14ac:dyDescent="0.35">
      <c r="BZ1860" s="105"/>
      <c r="CA1860" s="20"/>
    </row>
    <row r="1861" spans="78:79" x14ac:dyDescent="0.35">
      <c r="BZ1861" s="105"/>
      <c r="CA1861" s="20"/>
    </row>
    <row r="1862" spans="78:79" x14ac:dyDescent="0.35">
      <c r="BZ1862" s="105"/>
      <c r="CA1862" s="20"/>
    </row>
    <row r="1863" spans="78:79" x14ac:dyDescent="0.35">
      <c r="BZ1863" s="105"/>
      <c r="CA1863" s="20"/>
    </row>
    <row r="1864" spans="78:79" x14ac:dyDescent="0.35">
      <c r="BZ1864" s="105"/>
      <c r="CA1864" s="20"/>
    </row>
    <row r="1865" spans="78:79" x14ac:dyDescent="0.35">
      <c r="BZ1865" s="105"/>
      <c r="CA1865" s="20"/>
    </row>
    <row r="1866" spans="78:79" x14ac:dyDescent="0.35">
      <c r="BZ1866" s="105"/>
      <c r="CA1866" s="20"/>
    </row>
    <row r="1867" spans="78:79" x14ac:dyDescent="0.35">
      <c r="BZ1867" s="105"/>
      <c r="CA1867" s="20"/>
    </row>
    <row r="1868" spans="78:79" x14ac:dyDescent="0.35">
      <c r="BZ1868" s="105"/>
      <c r="CA1868" s="20"/>
    </row>
    <row r="1869" spans="78:79" x14ac:dyDescent="0.35">
      <c r="BZ1869" s="105"/>
      <c r="CA1869" s="20"/>
    </row>
    <row r="1870" spans="78:79" x14ac:dyDescent="0.35">
      <c r="BZ1870" s="105"/>
      <c r="CA1870" s="20"/>
    </row>
    <row r="1871" spans="78:79" x14ac:dyDescent="0.35">
      <c r="BZ1871" s="105"/>
      <c r="CA1871" s="20"/>
    </row>
    <row r="1872" spans="78:79" x14ac:dyDescent="0.35">
      <c r="BZ1872" s="105"/>
      <c r="CA1872" s="20"/>
    </row>
    <row r="1873" spans="78:79" x14ac:dyDescent="0.35">
      <c r="BZ1873" s="105"/>
      <c r="CA1873" s="20"/>
    </row>
    <row r="1874" spans="78:79" x14ac:dyDescent="0.35">
      <c r="BZ1874" s="105"/>
      <c r="CA1874" s="20"/>
    </row>
    <row r="1875" spans="78:79" x14ac:dyDescent="0.35">
      <c r="BZ1875" s="105"/>
      <c r="CA1875" s="20"/>
    </row>
    <row r="1876" spans="78:79" x14ac:dyDescent="0.35">
      <c r="BZ1876" s="105"/>
      <c r="CA1876" s="20"/>
    </row>
    <row r="1877" spans="78:79" x14ac:dyDescent="0.35">
      <c r="BZ1877" s="105"/>
      <c r="CA1877" s="20"/>
    </row>
    <row r="1878" spans="78:79" x14ac:dyDescent="0.35">
      <c r="BZ1878" s="105"/>
      <c r="CA1878" s="20"/>
    </row>
    <row r="1879" spans="78:79" x14ac:dyDescent="0.35">
      <c r="BZ1879" s="105"/>
      <c r="CA1879" s="20"/>
    </row>
    <row r="1880" spans="78:79" x14ac:dyDescent="0.35">
      <c r="BZ1880" s="105"/>
      <c r="CA1880" s="20"/>
    </row>
    <row r="1881" spans="78:79" x14ac:dyDescent="0.35">
      <c r="BZ1881" s="105"/>
      <c r="CA1881" s="20"/>
    </row>
    <row r="1882" spans="78:79" x14ac:dyDescent="0.35">
      <c r="BZ1882" s="105"/>
      <c r="CA1882" s="20"/>
    </row>
    <row r="1883" spans="78:79" x14ac:dyDescent="0.35">
      <c r="BZ1883" s="105"/>
      <c r="CA1883" s="20"/>
    </row>
    <row r="1884" spans="78:79" x14ac:dyDescent="0.35">
      <c r="BZ1884" s="105"/>
      <c r="CA1884" s="20"/>
    </row>
    <row r="1885" spans="78:79" x14ac:dyDescent="0.35">
      <c r="BZ1885" s="105"/>
      <c r="CA1885" s="20"/>
    </row>
    <row r="1886" spans="78:79" x14ac:dyDescent="0.35">
      <c r="BZ1886" s="105"/>
      <c r="CA1886" s="20"/>
    </row>
    <row r="1887" spans="78:79" x14ac:dyDescent="0.35">
      <c r="BZ1887" s="105"/>
      <c r="CA1887" s="20"/>
    </row>
    <row r="1888" spans="78:79" x14ac:dyDescent="0.35">
      <c r="BZ1888" s="105"/>
      <c r="CA1888" s="20"/>
    </row>
    <row r="1889" spans="78:79" x14ac:dyDescent="0.35">
      <c r="BZ1889" s="105"/>
      <c r="CA1889" s="20"/>
    </row>
    <row r="1890" spans="78:79" x14ac:dyDescent="0.35">
      <c r="BZ1890" s="105"/>
      <c r="CA1890" s="20"/>
    </row>
    <row r="1891" spans="78:79" x14ac:dyDescent="0.35">
      <c r="BZ1891" s="105"/>
      <c r="CA1891" s="20"/>
    </row>
    <row r="1892" spans="78:79" x14ac:dyDescent="0.35">
      <c r="BZ1892" s="105"/>
      <c r="CA1892" s="20"/>
    </row>
    <row r="1893" spans="78:79" x14ac:dyDescent="0.35">
      <c r="BZ1893" s="105"/>
      <c r="CA1893" s="20"/>
    </row>
    <row r="1894" spans="78:79" x14ac:dyDescent="0.35">
      <c r="BZ1894" s="105"/>
      <c r="CA1894" s="20"/>
    </row>
    <row r="1895" spans="78:79" x14ac:dyDescent="0.35">
      <c r="BZ1895" s="105"/>
      <c r="CA1895" s="20"/>
    </row>
    <row r="1896" spans="78:79" x14ac:dyDescent="0.35">
      <c r="BZ1896" s="105"/>
      <c r="CA1896" s="20"/>
    </row>
    <row r="1897" spans="78:79" x14ac:dyDescent="0.35">
      <c r="BZ1897" s="105"/>
      <c r="CA1897" s="20"/>
    </row>
    <row r="1898" spans="78:79" x14ac:dyDescent="0.35">
      <c r="BZ1898" s="105"/>
      <c r="CA1898" s="20"/>
    </row>
    <row r="1899" spans="78:79" x14ac:dyDescent="0.35">
      <c r="BZ1899" s="105"/>
      <c r="CA1899" s="20"/>
    </row>
    <row r="1900" spans="78:79" x14ac:dyDescent="0.35">
      <c r="BZ1900" s="105"/>
      <c r="CA1900" s="20"/>
    </row>
    <row r="1901" spans="78:79" x14ac:dyDescent="0.35">
      <c r="BZ1901" s="105"/>
      <c r="CA1901" s="20"/>
    </row>
    <row r="1902" spans="78:79" x14ac:dyDescent="0.35">
      <c r="BZ1902" s="105"/>
      <c r="CA1902" s="20"/>
    </row>
    <row r="1903" spans="78:79" x14ac:dyDescent="0.35">
      <c r="BZ1903" s="105"/>
      <c r="CA1903" s="20"/>
    </row>
    <row r="1904" spans="78:79" x14ac:dyDescent="0.35">
      <c r="BZ1904" s="105"/>
      <c r="CA1904" s="20"/>
    </row>
    <row r="1905" spans="78:79" x14ac:dyDescent="0.35">
      <c r="BZ1905" s="105"/>
      <c r="CA1905" s="20"/>
    </row>
    <row r="1906" spans="78:79" x14ac:dyDescent="0.35">
      <c r="BZ1906" s="105"/>
      <c r="CA1906" s="20"/>
    </row>
    <row r="1907" spans="78:79" x14ac:dyDescent="0.35">
      <c r="BZ1907" s="105"/>
      <c r="CA1907" s="20"/>
    </row>
    <row r="1908" spans="78:79" x14ac:dyDescent="0.35">
      <c r="BZ1908" s="105"/>
      <c r="CA1908" s="20"/>
    </row>
    <row r="1909" spans="78:79" x14ac:dyDescent="0.35">
      <c r="BZ1909" s="105"/>
      <c r="CA1909" s="20"/>
    </row>
    <row r="1910" spans="78:79" x14ac:dyDescent="0.35">
      <c r="BZ1910" s="105"/>
      <c r="CA1910" s="20"/>
    </row>
    <row r="1911" spans="78:79" x14ac:dyDescent="0.35">
      <c r="BZ1911" s="105"/>
      <c r="CA1911" s="20"/>
    </row>
    <row r="1912" spans="78:79" x14ac:dyDescent="0.35">
      <c r="BZ1912" s="105"/>
      <c r="CA1912" s="20"/>
    </row>
    <row r="1913" spans="78:79" x14ac:dyDescent="0.35">
      <c r="BZ1913" s="105"/>
      <c r="CA1913" s="20"/>
    </row>
    <row r="1914" spans="78:79" x14ac:dyDescent="0.35">
      <c r="BZ1914" s="105"/>
      <c r="CA1914" s="20"/>
    </row>
    <row r="1915" spans="78:79" x14ac:dyDescent="0.35">
      <c r="BZ1915" s="105"/>
      <c r="CA1915" s="20"/>
    </row>
    <row r="1916" spans="78:79" x14ac:dyDescent="0.35">
      <c r="BZ1916" s="105"/>
      <c r="CA1916" s="20"/>
    </row>
    <row r="1917" spans="78:79" x14ac:dyDescent="0.35">
      <c r="BZ1917" s="105"/>
      <c r="CA1917" s="20"/>
    </row>
    <row r="1918" spans="78:79" x14ac:dyDescent="0.35">
      <c r="BZ1918" s="105"/>
      <c r="CA1918" s="20"/>
    </row>
    <row r="1919" spans="78:79" x14ac:dyDescent="0.35">
      <c r="BZ1919" s="105"/>
      <c r="CA1919" s="20"/>
    </row>
    <row r="1920" spans="78:79" x14ac:dyDescent="0.35">
      <c r="BZ1920" s="105"/>
      <c r="CA1920" s="20"/>
    </row>
    <row r="1921" spans="78:79" x14ac:dyDescent="0.35">
      <c r="BZ1921" s="105"/>
      <c r="CA1921" s="20"/>
    </row>
    <row r="1922" spans="78:79" x14ac:dyDescent="0.35">
      <c r="BZ1922" s="105"/>
      <c r="CA1922" s="20"/>
    </row>
    <row r="1923" spans="78:79" x14ac:dyDescent="0.35">
      <c r="BZ1923" s="105"/>
      <c r="CA1923" s="20"/>
    </row>
    <row r="1924" spans="78:79" x14ac:dyDescent="0.35">
      <c r="BZ1924" s="105"/>
      <c r="CA1924" s="20"/>
    </row>
    <row r="1925" spans="78:79" x14ac:dyDescent="0.35">
      <c r="BZ1925" s="105"/>
      <c r="CA1925" s="20"/>
    </row>
    <row r="1926" spans="78:79" x14ac:dyDescent="0.35">
      <c r="BZ1926" s="105"/>
      <c r="CA1926" s="20"/>
    </row>
    <row r="1927" spans="78:79" x14ac:dyDescent="0.35">
      <c r="BZ1927" s="105"/>
      <c r="CA1927" s="20"/>
    </row>
    <row r="1928" spans="78:79" x14ac:dyDescent="0.35">
      <c r="BZ1928" s="105"/>
      <c r="CA1928" s="20"/>
    </row>
    <row r="1929" spans="78:79" x14ac:dyDescent="0.35">
      <c r="BZ1929" s="105"/>
      <c r="CA1929" s="20"/>
    </row>
    <row r="1930" spans="78:79" x14ac:dyDescent="0.35">
      <c r="BZ1930" s="105"/>
      <c r="CA1930" s="20"/>
    </row>
    <row r="1931" spans="78:79" x14ac:dyDescent="0.35">
      <c r="BZ1931" s="105"/>
      <c r="CA1931" s="20"/>
    </row>
    <row r="1932" spans="78:79" x14ac:dyDescent="0.35">
      <c r="BZ1932" s="105"/>
      <c r="CA1932" s="20"/>
    </row>
    <row r="1933" spans="78:79" x14ac:dyDescent="0.35">
      <c r="BZ1933" s="105"/>
      <c r="CA1933" s="20"/>
    </row>
    <row r="1934" spans="78:79" x14ac:dyDescent="0.35">
      <c r="BZ1934" s="105"/>
      <c r="CA1934" s="20"/>
    </row>
    <row r="1935" spans="78:79" x14ac:dyDescent="0.35">
      <c r="BZ1935" s="105"/>
      <c r="CA1935" s="20"/>
    </row>
    <row r="1936" spans="78:79" x14ac:dyDescent="0.35">
      <c r="BZ1936" s="105"/>
      <c r="CA1936" s="20"/>
    </row>
    <row r="1937" spans="78:79" x14ac:dyDescent="0.35">
      <c r="BZ1937" s="105"/>
      <c r="CA1937" s="20"/>
    </row>
    <row r="1938" spans="78:79" x14ac:dyDescent="0.35">
      <c r="BZ1938" s="105"/>
      <c r="CA1938" s="20"/>
    </row>
    <row r="1939" spans="78:79" x14ac:dyDescent="0.35">
      <c r="BZ1939" s="105"/>
      <c r="CA1939" s="20"/>
    </row>
    <row r="1940" spans="78:79" x14ac:dyDescent="0.35">
      <c r="BZ1940" s="105"/>
      <c r="CA1940" s="20"/>
    </row>
    <row r="1941" spans="78:79" x14ac:dyDescent="0.35">
      <c r="BZ1941" s="105"/>
      <c r="CA1941" s="20"/>
    </row>
    <row r="1942" spans="78:79" x14ac:dyDescent="0.35">
      <c r="BZ1942" s="105"/>
      <c r="CA1942" s="20"/>
    </row>
    <row r="1943" spans="78:79" x14ac:dyDescent="0.35">
      <c r="BZ1943" s="105"/>
      <c r="CA1943" s="20"/>
    </row>
    <row r="1944" spans="78:79" x14ac:dyDescent="0.35">
      <c r="BZ1944" s="105"/>
      <c r="CA1944" s="20"/>
    </row>
    <row r="1945" spans="78:79" x14ac:dyDescent="0.35">
      <c r="BZ1945" s="105"/>
      <c r="CA1945" s="20"/>
    </row>
    <row r="1946" spans="78:79" x14ac:dyDescent="0.35">
      <c r="BZ1946" s="105"/>
      <c r="CA1946" s="20"/>
    </row>
    <row r="1947" spans="78:79" x14ac:dyDescent="0.35">
      <c r="BZ1947" s="105"/>
      <c r="CA1947" s="20"/>
    </row>
    <row r="1948" spans="78:79" x14ac:dyDescent="0.35">
      <c r="BZ1948" s="105"/>
      <c r="CA1948" s="20"/>
    </row>
    <row r="1949" spans="78:79" x14ac:dyDescent="0.35">
      <c r="BZ1949" s="105"/>
      <c r="CA1949" s="20"/>
    </row>
    <row r="1950" spans="78:79" x14ac:dyDescent="0.35">
      <c r="BZ1950" s="105"/>
      <c r="CA1950" s="20"/>
    </row>
    <row r="1951" spans="78:79" x14ac:dyDescent="0.35">
      <c r="BZ1951" s="105"/>
      <c r="CA1951" s="20"/>
    </row>
    <row r="1952" spans="78:79" x14ac:dyDescent="0.35">
      <c r="BZ1952" s="105"/>
      <c r="CA1952" s="20"/>
    </row>
    <row r="1953" spans="78:79" x14ac:dyDescent="0.35">
      <c r="BZ1953" s="105"/>
      <c r="CA1953" s="20"/>
    </row>
    <row r="1954" spans="78:79" x14ac:dyDescent="0.35">
      <c r="BZ1954" s="105"/>
      <c r="CA1954" s="20"/>
    </row>
    <row r="1955" spans="78:79" x14ac:dyDescent="0.35">
      <c r="BZ1955" s="105"/>
      <c r="CA1955" s="20"/>
    </row>
    <row r="1956" spans="78:79" x14ac:dyDescent="0.35">
      <c r="BZ1956" s="105"/>
      <c r="CA1956" s="20"/>
    </row>
    <row r="1957" spans="78:79" x14ac:dyDescent="0.35">
      <c r="BZ1957" s="105"/>
      <c r="CA1957" s="20"/>
    </row>
    <row r="1958" spans="78:79" x14ac:dyDescent="0.35">
      <c r="BZ1958" s="105"/>
      <c r="CA1958" s="20"/>
    </row>
    <row r="1959" spans="78:79" x14ac:dyDescent="0.35">
      <c r="BZ1959" s="105"/>
      <c r="CA1959" s="20"/>
    </row>
    <row r="1960" spans="78:79" x14ac:dyDescent="0.35">
      <c r="BZ1960" s="105"/>
      <c r="CA1960" s="20"/>
    </row>
    <row r="1961" spans="78:79" x14ac:dyDescent="0.35">
      <c r="BZ1961" s="105"/>
      <c r="CA1961" s="20"/>
    </row>
    <row r="1962" spans="78:79" x14ac:dyDescent="0.35">
      <c r="BZ1962" s="105"/>
      <c r="CA1962" s="20"/>
    </row>
    <row r="1963" spans="78:79" x14ac:dyDescent="0.35">
      <c r="BZ1963" s="105"/>
      <c r="CA1963" s="20"/>
    </row>
    <row r="1964" spans="78:79" x14ac:dyDescent="0.35">
      <c r="BZ1964" s="105"/>
      <c r="CA1964" s="20"/>
    </row>
    <row r="1965" spans="78:79" x14ac:dyDescent="0.35">
      <c r="BZ1965" s="105"/>
      <c r="CA1965" s="20"/>
    </row>
    <row r="1966" spans="78:79" x14ac:dyDescent="0.35">
      <c r="BZ1966" s="105"/>
      <c r="CA1966" s="20"/>
    </row>
    <row r="1967" spans="78:79" x14ac:dyDescent="0.35">
      <c r="BZ1967" s="105"/>
      <c r="CA1967" s="20"/>
    </row>
    <row r="1968" spans="78:79" x14ac:dyDescent="0.35">
      <c r="BZ1968" s="105"/>
      <c r="CA1968" s="20"/>
    </row>
    <row r="1969" spans="78:79" x14ac:dyDescent="0.35">
      <c r="BZ1969" s="105"/>
      <c r="CA1969" s="20"/>
    </row>
    <row r="1970" spans="78:79" x14ac:dyDescent="0.35">
      <c r="BZ1970" s="105"/>
      <c r="CA1970" s="20"/>
    </row>
    <row r="1971" spans="78:79" x14ac:dyDescent="0.35">
      <c r="BZ1971" s="105"/>
      <c r="CA1971" s="20"/>
    </row>
    <row r="1972" spans="78:79" x14ac:dyDescent="0.35">
      <c r="BZ1972" s="105"/>
      <c r="CA1972" s="20"/>
    </row>
    <row r="1973" spans="78:79" x14ac:dyDescent="0.35">
      <c r="BZ1973" s="105"/>
      <c r="CA1973" s="20"/>
    </row>
    <row r="1974" spans="78:79" x14ac:dyDescent="0.35">
      <c r="BZ1974" s="105"/>
      <c r="CA1974" s="20"/>
    </row>
    <row r="1975" spans="78:79" x14ac:dyDescent="0.35">
      <c r="BZ1975" s="105"/>
      <c r="CA1975" s="20"/>
    </row>
    <row r="1976" spans="78:79" x14ac:dyDescent="0.35">
      <c r="BZ1976" s="105"/>
      <c r="CA1976" s="20"/>
    </row>
    <row r="1977" spans="78:79" x14ac:dyDescent="0.35">
      <c r="BZ1977" s="105"/>
      <c r="CA1977" s="20"/>
    </row>
    <row r="1978" spans="78:79" x14ac:dyDescent="0.35">
      <c r="BZ1978" s="105"/>
      <c r="CA1978" s="20"/>
    </row>
    <row r="1979" spans="78:79" x14ac:dyDescent="0.35">
      <c r="BZ1979" s="105"/>
      <c r="CA1979" s="20"/>
    </row>
    <row r="1980" spans="78:79" x14ac:dyDescent="0.35">
      <c r="BZ1980" s="105"/>
      <c r="CA1980" s="20"/>
    </row>
    <row r="1981" spans="78:79" x14ac:dyDescent="0.35">
      <c r="BZ1981" s="105"/>
      <c r="CA1981" s="20"/>
    </row>
    <row r="1982" spans="78:79" x14ac:dyDescent="0.35">
      <c r="BZ1982" s="105"/>
      <c r="CA1982" s="20"/>
    </row>
    <row r="1983" spans="78:79" x14ac:dyDescent="0.35">
      <c r="BZ1983" s="105"/>
      <c r="CA1983" s="20"/>
    </row>
    <row r="1984" spans="78:79" x14ac:dyDescent="0.35">
      <c r="BZ1984" s="105"/>
      <c r="CA1984" s="20"/>
    </row>
    <row r="1985" spans="78:79" x14ac:dyDescent="0.35">
      <c r="BZ1985" s="105"/>
      <c r="CA1985" s="20"/>
    </row>
    <row r="1986" spans="78:79" x14ac:dyDescent="0.35">
      <c r="BZ1986" s="105"/>
      <c r="CA1986" s="20"/>
    </row>
    <row r="1987" spans="78:79" x14ac:dyDescent="0.35">
      <c r="BZ1987" s="105"/>
      <c r="CA1987" s="20"/>
    </row>
    <row r="1988" spans="78:79" x14ac:dyDescent="0.35">
      <c r="BZ1988" s="105"/>
      <c r="CA1988" s="20"/>
    </row>
    <row r="1989" spans="78:79" x14ac:dyDescent="0.35">
      <c r="BZ1989" s="105"/>
      <c r="CA1989" s="20"/>
    </row>
    <row r="1990" spans="78:79" x14ac:dyDescent="0.35">
      <c r="BZ1990" s="105"/>
      <c r="CA1990" s="20"/>
    </row>
    <row r="1991" spans="78:79" x14ac:dyDescent="0.35">
      <c r="BZ1991" s="105"/>
      <c r="CA1991" s="20"/>
    </row>
    <row r="1992" spans="78:79" x14ac:dyDescent="0.35">
      <c r="BZ1992" s="105"/>
      <c r="CA1992" s="20"/>
    </row>
    <row r="1993" spans="78:79" x14ac:dyDescent="0.35">
      <c r="BZ1993" s="105"/>
      <c r="CA1993" s="20"/>
    </row>
    <row r="1994" spans="78:79" x14ac:dyDescent="0.35">
      <c r="BZ1994" s="105"/>
      <c r="CA1994" s="20"/>
    </row>
    <row r="1995" spans="78:79" x14ac:dyDescent="0.35">
      <c r="BZ1995" s="105"/>
      <c r="CA1995" s="20"/>
    </row>
    <row r="1996" spans="78:79" x14ac:dyDescent="0.35">
      <c r="BZ1996" s="105"/>
      <c r="CA1996" s="20"/>
    </row>
    <row r="1997" spans="78:79" x14ac:dyDescent="0.35">
      <c r="BZ1997" s="105"/>
      <c r="CA1997" s="20"/>
    </row>
    <row r="1998" spans="78:79" x14ac:dyDescent="0.35">
      <c r="BZ1998" s="105"/>
      <c r="CA1998" s="20"/>
    </row>
    <row r="1999" spans="78:79" x14ac:dyDescent="0.35">
      <c r="BZ1999" s="105"/>
      <c r="CA1999" s="20"/>
    </row>
    <row r="2000" spans="78:79" x14ac:dyDescent="0.35">
      <c r="BZ2000" s="105"/>
      <c r="CA2000" s="20"/>
    </row>
    <row r="2001" spans="78:79" x14ac:dyDescent="0.35">
      <c r="BZ2001" s="105"/>
      <c r="CA2001" s="20"/>
    </row>
    <row r="2002" spans="78:79" x14ac:dyDescent="0.35">
      <c r="BZ2002" s="105"/>
      <c r="CA2002" s="20"/>
    </row>
    <row r="2003" spans="78:79" x14ac:dyDescent="0.35">
      <c r="BZ2003" s="105"/>
      <c r="CA2003" s="20"/>
    </row>
    <row r="2004" spans="78:79" x14ac:dyDescent="0.35">
      <c r="BZ2004" s="105"/>
      <c r="CA2004" s="20"/>
    </row>
    <row r="2005" spans="78:79" x14ac:dyDescent="0.35">
      <c r="BZ2005" s="105"/>
      <c r="CA2005" s="20"/>
    </row>
    <row r="2006" spans="78:79" x14ac:dyDescent="0.35">
      <c r="BZ2006" s="105"/>
      <c r="CA2006" s="20"/>
    </row>
    <row r="2007" spans="78:79" x14ac:dyDescent="0.35">
      <c r="BZ2007" s="105"/>
      <c r="CA2007" s="20"/>
    </row>
    <row r="2008" spans="78:79" x14ac:dyDescent="0.35">
      <c r="BZ2008" s="105"/>
      <c r="CA2008" s="20"/>
    </row>
    <row r="2009" spans="78:79" x14ac:dyDescent="0.35">
      <c r="BZ2009" s="105"/>
      <c r="CA2009" s="20"/>
    </row>
    <row r="2010" spans="78:79" x14ac:dyDescent="0.35">
      <c r="BZ2010" s="105"/>
      <c r="CA2010" s="20"/>
    </row>
    <row r="2011" spans="78:79" x14ac:dyDescent="0.35">
      <c r="BZ2011" s="105"/>
      <c r="CA2011" s="20"/>
    </row>
    <row r="2012" spans="78:79" x14ac:dyDescent="0.35">
      <c r="BZ2012" s="105"/>
      <c r="CA2012" s="20"/>
    </row>
    <row r="2013" spans="78:79" x14ac:dyDescent="0.35">
      <c r="BZ2013" s="105"/>
      <c r="CA2013" s="20"/>
    </row>
    <row r="2014" spans="78:79" x14ac:dyDescent="0.35">
      <c r="BZ2014" s="105"/>
      <c r="CA2014" s="20"/>
    </row>
    <row r="2015" spans="78:79" x14ac:dyDescent="0.35">
      <c r="BZ2015" s="105"/>
      <c r="CA2015" s="20"/>
    </row>
    <row r="2016" spans="78:79" x14ac:dyDescent="0.35">
      <c r="BZ2016" s="105"/>
      <c r="CA2016" s="20"/>
    </row>
    <row r="2017" spans="78:79" x14ac:dyDescent="0.35">
      <c r="BZ2017" s="105"/>
      <c r="CA2017" s="20"/>
    </row>
    <row r="2018" spans="78:79" x14ac:dyDescent="0.35">
      <c r="BZ2018" s="105"/>
      <c r="CA2018" s="20"/>
    </row>
    <row r="2019" spans="78:79" x14ac:dyDescent="0.35">
      <c r="BZ2019" s="105"/>
      <c r="CA2019" s="20"/>
    </row>
    <row r="2020" spans="78:79" x14ac:dyDescent="0.35">
      <c r="BZ2020" s="105"/>
      <c r="CA2020" s="20"/>
    </row>
    <row r="2021" spans="78:79" x14ac:dyDescent="0.35">
      <c r="BZ2021" s="105"/>
      <c r="CA2021" s="20"/>
    </row>
    <row r="2022" spans="78:79" x14ac:dyDescent="0.35">
      <c r="BZ2022" s="105"/>
      <c r="CA2022" s="20"/>
    </row>
    <row r="2023" spans="78:79" x14ac:dyDescent="0.35">
      <c r="BZ2023" s="105"/>
      <c r="CA2023" s="20"/>
    </row>
    <row r="2024" spans="78:79" x14ac:dyDescent="0.35">
      <c r="BZ2024" s="105"/>
      <c r="CA2024" s="20"/>
    </row>
    <row r="2025" spans="78:79" x14ac:dyDescent="0.35">
      <c r="BZ2025" s="105"/>
      <c r="CA2025" s="20"/>
    </row>
    <row r="2026" spans="78:79" x14ac:dyDescent="0.35">
      <c r="BZ2026" s="105"/>
      <c r="CA2026" s="20"/>
    </row>
    <row r="2027" spans="78:79" x14ac:dyDescent="0.35">
      <c r="BZ2027" s="105"/>
      <c r="CA2027" s="20"/>
    </row>
    <row r="2028" spans="78:79" x14ac:dyDescent="0.35">
      <c r="BZ2028" s="105"/>
      <c r="CA2028" s="20"/>
    </row>
    <row r="2029" spans="78:79" x14ac:dyDescent="0.35">
      <c r="BZ2029" s="105"/>
      <c r="CA2029" s="20"/>
    </row>
    <row r="2030" spans="78:79" x14ac:dyDescent="0.35">
      <c r="BZ2030" s="105"/>
      <c r="CA2030" s="20"/>
    </row>
    <row r="2031" spans="78:79" x14ac:dyDescent="0.35">
      <c r="BZ2031" s="105"/>
      <c r="CA2031" s="20"/>
    </row>
    <row r="2032" spans="78:79" x14ac:dyDescent="0.35">
      <c r="BZ2032" s="105"/>
      <c r="CA2032" s="20"/>
    </row>
    <row r="2033" spans="78:79" x14ac:dyDescent="0.35">
      <c r="BZ2033" s="105"/>
      <c r="CA2033" s="20"/>
    </row>
    <row r="2034" spans="78:79" x14ac:dyDescent="0.35">
      <c r="BZ2034" s="105"/>
      <c r="CA2034" s="20"/>
    </row>
    <row r="2035" spans="78:79" x14ac:dyDescent="0.35">
      <c r="BZ2035" s="105"/>
      <c r="CA2035" s="20"/>
    </row>
    <row r="2036" spans="78:79" x14ac:dyDescent="0.35">
      <c r="BZ2036" s="105"/>
      <c r="CA2036" s="20"/>
    </row>
    <row r="2037" spans="78:79" x14ac:dyDescent="0.35">
      <c r="BZ2037" s="105"/>
      <c r="CA2037" s="20"/>
    </row>
    <row r="2038" spans="78:79" x14ac:dyDescent="0.35">
      <c r="BZ2038" s="105"/>
      <c r="CA2038" s="20"/>
    </row>
    <row r="2039" spans="78:79" x14ac:dyDescent="0.35">
      <c r="BZ2039" s="105"/>
      <c r="CA2039" s="20"/>
    </row>
    <row r="2040" spans="78:79" x14ac:dyDescent="0.35">
      <c r="BZ2040" s="105"/>
      <c r="CA2040" s="20"/>
    </row>
    <row r="2041" spans="78:79" x14ac:dyDescent="0.35">
      <c r="BZ2041" s="105"/>
      <c r="CA2041" s="20"/>
    </row>
    <row r="2042" spans="78:79" x14ac:dyDescent="0.35">
      <c r="BZ2042" s="105"/>
      <c r="CA2042" s="20"/>
    </row>
    <row r="2043" spans="78:79" x14ac:dyDescent="0.35">
      <c r="BZ2043" s="105"/>
      <c r="CA2043" s="20"/>
    </row>
    <row r="2044" spans="78:79" x14ac:dyDescent="0.35">
      <c r="BZ2044" s="105"/>
      <c r="CA2044" s="20"/>
    </row>
    <row r="2045" spans="78:79" x14ac:dyDescent="0.35">
      <c r="BZ2045" s="105"/>
      <c r="CA2045" s="20"/>
    </row>
    <row r="2046" spans="78:79" x14ac:dyDescent="0.35">
      <c r="BZ2046" s="105"/>
      <c r="CA2046" s="20"/>
    </row>
    <row r="2047" spans="78:79" x14ac:dyDescent="0.35">
      <c r="BZ2047" s="105"/>
      <c r="CA2047" s="20"/>
    </row>
    <row r="2048" spans="78:79" x14ac:dyDescent="0.35">
      <c r="BZ2048" s="105"/>
      <c r="CA2048" s="20"/>
    </row>
    <row r="2049" spans="78:79" x14ac:dyDescent="0.35">
      <c r="BZ2049" s="105"/>
      <c r="CA2049" s="20"/>
    </row>
    <row r="2050" spans="78:79" x14ac:dyDescent="0.35">
      <c r="BZ2050" s="105"/>
      <c r="CA2050" s="20"/>
    </row>
    <row r="2051" spans="78:79" x14ac:dyDescent="0.35">
      <c r="BZ2051" s="105"/>
      <c r="CA2051" s="20"/>
    </row>
    <row r="2052" spans="78:79" x14ac:dyDescent="0.35">
      <c r="BZ2052" s="105"/>
      <c r="CA2052" s="20"/>
    </row>
    <row r="2053" spans="78:79" x14ac:dyDescent="0.35">
      <c r="BZ2053" s="105"/>
      <c r="CA2053" s="20"/>
    </row>
    <row r="2054" spans="78:79" x14ac:dyDescent="0.35">
      <c r="BZ2054" s="105"/>
      <c r="CA2054" s="20"/>
    </row>
    <row r="2055" spans="78:79" x14ac:dyDescent="0.35">
      <c r="BZ2055" s="105"/>
      <c r="CA2055" s="20"/>
    </row>
    <row r="2056" spans="78:79" x14ac:dyDescent="0.35">
      <c r="BZ2056" s="105"/>
      <c r="CA2056" s="20"/>
    </row>
    <row r="2057" spans="78:79" x14ac:dyDescent="0.35">
      <c r="BZ2057" s="105"/>
      <c r="CA2057" s="20"/>
    </row>
    <row r="2058" spans="78:79" x14ac:dyDescent="0.35">
      <c r="BZ2058" s="105"/>
      <c r="CA2058" s="20"/>
    </row>
    <row r="2059" spans="78:79" x14ac:dyDescent="0.35">
      <c r="BZ2059" s="105"/>
      <c r="CA2059" s="20"/>
    </row>
    <row r="2060" spans="78:79" x14ac:dyDescent="0.35">
      <c r="BZ2060" s="105"/>
      <c r="CA2060" s="20"/>
    </row>
    <row r="2061" spans="78:79" x14ac:dyDescent="0.35">
      <c r="BZ2061" s="105"/>
      <c r="CA2061" s="20"/>
    </row>
    <row r="2062" spans="78:79" x14ac:dyDescent="0.35">
      <c r="BZ2062" s="105"/>
      <c r="CA2062" s="20"/>
    </row>
    <row r="2063" spans="78:79" x14ac:dyDescent="0.35">
      <c r="BZ2063" s="105"/>
      <c r="CA2063" s="20"/>
    </row>
    <row r="2064" spans="78:79" x14ac:dyDescent="0.35">
      <c r="BZ2064" s="105"/>
      <c r="CA2064" s="20"/>
    </row>
    <row r="2065" spans="78:79" x14ac:dyDescent="0.35">
      <c r="BZ2065" s="105"/>
      <c r="CA2065" s="20"/>
    </row>
    <row r="2066" spans="78:79" x14ac:dyDescent="0.35">
      <c r="BZ2066" s="105"/>
      <c r="CA2066" s="20"/>
    </row>
    <row r="2067" spans="78:79" x14ac:dyDescent="0.35">
      <c r="BZ2067" s="105"/>
      <c r="CA2067" s="20"/>
    </row>
    <row r="2068" spans="78:79" x14ac:dyDescent="0.35">
      <c r="BZ2068" s="105"/>
      <c r="CA2068" s="20"/>
    </row>
    <row r="2069" spans="78:79" x14ac:dyDescent="0.35">
      <c r="BZ2069" s="105"/>
      <c r="CA2069" s="20"/>
    </row>
    <row r="2070" spans="78:79" x14ac:dyDescent="0.35">
      <c r="BZ2070" s="105"/>
      <c r="CA2070" s="20"/>
    </row>
    <row r="2071" spans="78:79" x14ac:dyDescent="0.35">
      <c r="BZ2071" s="105"/>
      <c r="CA2071" s="20"/>
    </row>
    <row r="2072" spans="78:79" x14ac:dyDescent="0.35">
      <c r="BZ2072" s="105"/>
      <c r="CA2072" s="20"/>
    </row>
    <row r="2073" spans="78:79" x14ac:dyDescent="0.35">
      <c r="BZ2073" s="105"/>
      <c r="CA2073" s="20"/>
    </row>
    <row r="2074" spans="78:79" x14ac:dyDescent="0.35">
      <c r="BZ2074" s="105"/>
      <c r="CA2074" s="20"/>
    </row>
    <row r="2075" spans="78:79" x14ac:dyDescent="0.35">
      <c r="BZ2075" s="105"/>
      <c r="CA2075" s="20"/>
    </row>
    <row r="2076" spans="78:79" x14ac:dyDescent="0.35">
      <c r="BZ2076" s="105"/>
      <c r="CA2076" s="20"/>
    </row>
    <row r="2077" spans="78:79" x14ac:dyDescent="0.35">
      <c r="BZ2077" s="105"/>
      <c r="CA2077" s="20"/>
    </row>
    <row r="2078" spans="78:79" x14ac:dyDescent="0.35">
      <c r="BZ2078" s="105"/>
      <c r="CA2078" s="20"/>
    </row>
    <row r="2079" spans="78:79" x14ac:dyDescent="0.35">
      <c r="BZ2079" s="105"/>
      <c r="CA2079" s="20"/>
    </row>
    <row r="2080" spans="78:79" x14ac:dyDescent="0.35">
      <c r="BZ2080" s="105"/>
      <c r="CA2080" s="20"/>
    </row>
    <row r="2081" spans="78:79" x14ac:dyDescent="0.35">
      <c r="BZ2081" s="105"/>
      <c r="CA2081" s="20"/>
    </row>
    <row r="2082" spans="78:79" x14ac:dyDescent="0.35">
      <c r="BZ2082" s="105"/>
      <c r="CA2082" s="20"/>
    </row>
    <row r="2083" spans="78:79" x14ac:dyDescent="0.35">
      <c r="BZ2083" s="105"/>
      <c r="CA2083" s="20"/>
    </row>
    <row r="2084" spans="78:79" x14ac:dyDescent="0.35">
      <c r="BZ2084" s="105"/>
      <c r="CA2084" s="20"/>
    </row>
    <row r="2085" spans="78:79" x14ac:dyDescent="0.35">
      <c r="BZ2085" s="105"/>
      <c r="CA2085" s="20"/>
    </row>
    <row r="2086" spans="78:79" x14ac:dyDescent="0.35">
      <c r="BZ2086" s="105"/>
      <c r="CA2086" s="20"/>
    </row>
    <row r="2087" spans="78:79" x14ac:dyDescent="0.35">
      <c r="BZ2087" s="105"/>
      <c r="CA2087" s="20"/>
    </row>
    <row r="2088" spans="78:79" x14ac:dyDescent="0.35">
      <c r="BZ2088" s="105"/>
      <c r="CA2088" s="20"/>
    </row>
    <row r="2089" spans="78:79" x14ac:dyDescent="0.35">
      <c r="BZ2089" s="105"/>
      <c r="CA2089" s="20"/>
    </row>
    <row r="2090" spans="78:79" x14ac:dyDescent="0.35">
      <c r="BZ2090" s="105"/>
      <c r="CA2090" s="20"/>
    </row>
    <row r="2091" spans="78:79" x14ac:dyDescent="0.35">
      <c r="BZ2091" s="105"/>
      <c r="CA2091" s="20"/>
    </row>
    <row r="2092" spans="78:79" x14ac:dyDescent="0.35">
      <c r="BZ2092" s="105"/>
      <c r="CA2092" s="20"/>
    </row>
    <row r="2093" spans="78:79" x14ac:dyDescent="0.35">
      <c r="BZ2093" s="105"/>
      <c r="CA2093" s="20"/>
    </row>
    <row r="2094" spans="78:79" x14ac:dyDescent="0.35">
      <c r="BZ2094" s="105"/>
      <c r="CA2094" s="20"/>
    </row>
    <row r="2095" spans="78:79" x14ac:dyDescent="0.35">
      <c r="BZ2095" s="105"/>
      <c r="CA2095" s="20"/>
    </row>
    <row r="2096" spans="78:79" x14ac:dyDescent="0.35">
      <c r="BZ2096" s="105"/>
      <c r="CA2096" s="20"/>
    </row>
    <row r="2097" spans="78:79" x14ac:dyDescent="0.35">
      <c r="BZ2097" s="105"/>
      <c r="CA2097" s="20"/>
    </row>
    <row r="2098" spans="78:79" x14ac:dyDescent="0.35">
      <c r="BZ2098" s="105"/>
      <c r="CA2098" s="20"/>
    </row>
    <row r="2099" spans="78:79" x14ac:dyDescent="0.35">
      <c r="BZ2099" s="105"/>
      <c r="CA2099" s="20"/>
    </row>
    <row r="2100" spans="78:79" x14ac:dyDescent="0.35">
      <c r="BZ2100" s="105"/>
      <c r="CA2100" s="20"/>
    </row>
    <row r="2101" spans="78:79" x14ac:dyDescent="0.35">
      <c r="BZ2101" s="105"/>
      <c r="CA2101" s="20"/>
    </row>
    <row r="2102" spans="78:79" x14ac:dyDescent="0.35">
      <c r="BZ2102" s="105"/>
      <c r="CA2102" s="20"/>
    </row>
    <row r="2103" spans="78:79" x14ac:dyDescent="0.35">
      <c r="BZ2103" s="105"/>
      <c r="CA2103" s="20"/>
    </row>
    <row r="2104" spans="78:79" x14ac:dyDescent="0.35">
      <c r="BZ2104" s="105"/>
      <c r="CA2104" s="20"/>
    </row>
    <row r="2105" spans="78:79" x14ac:dyDescent="0.35">
      <c r="BZ2105" s="105"/>
      <c r="CA2105" s="20"/>
    </row>
    <row r="2106" spans="78:79" x14ac:dyDescent="0.35">
      <c r="BZ2106" s="105"/>
      <c r="CA2106" s="20"/>
    </row>
    <row r="2107" spans="78:79" x14ac:dyDescent="0.35">
      <c r="BZ2107" s="105"/>
      <c r="CA2107" s="20"/>
    </row>
    <row r="2108" spans="78:79" x14ac:dyDescent="0.35">
      <c r="BZ2108" s="105"/>
      <c r="CA2108" s="20"/>
    </row>
    <row r="2109" spans="78:79" x14ac:dyDescent="0.35">
      <c r="BZ2109" s="105"/>
      <c r="CA2109" s="20"/>
    </row>
    <row r="2110" spans="78:79" x14ac:dyDescent="0.35">
      <c r="BZ2110" s="105"/>
      <c r="CA2110" s="20"/>
    </row>
    <row r="2111" spans="78:79" x14ac:dyDescent="0.35">
      <c r="BZ2111" s="105"/>
      <c r="CA2111" s="20"/>
    </row>
    <row r="2112" spans="78:79" x14ac:dyDescent="0.35">
      <c r="BZ2112" s="105"/>
      <c r="CA2112" s="20"/>
    </row>
    <row r="2113" spans="78:79" x14ac:dyDescent="0.35">
      <c r="BZ2113" s="105"/>
      <c r="CA2113" s="20"/>
    </row>
    <row r="2114" spans="78:79" x14ac:dyDescent="0.35">
      <c r="BZ2114" s="105"/>
      <c r="CA2114" s="20"/>
    </row>
    <row r="2115" spans="78:79" x14ac:dyDescent="0.35">
      <c r="BZ2115" s="105"/>
      <c r="CA2115" s="20"/>
    </row>
    <row r="2116" spans="78:79" x14ac:dyDescent="0.35">
      <c r="BZ2116" s="105"/>
      <c r="CA2116" s="20"/>
    </row>
    <row r="2117" spans="78:79" x14ac:dyDescent="0.35">
      <c r="BZ2117" s="105"/>
      <c r="CA2117" s="20"/>
    </row>
    <row r="2118" spans="78:79" x14ac:dyDescent="0.35">
      <c r="BZ2118" s="105"/>
      <c r="CA2118" s="20"/>
    </row>
    <row r="2119" spans="78:79" x14ac:dyDescent="0.35">
      <c r="BZ2119" s="105"/>
      <c r="CA2119" s="20"/>
    </row>
    <row r="2120" spans="78:79" x14ac:dyDescent="0.35">
      <c r="BZ2120" s="105"/>
      <c r="CA2120" s="20"/>
    </row>
    <row r="2121" spans="78:79" x14ac:dyDescent="0.35">
      <c r="BZ2121" s="105"/>
      <c r="CA2121" s="20"/>
    </row>
    <row r="2122" spans="78:79" x14ac:dyDescent="0.35">
      <c r="BZ2122" s="105"/>
      <c r="CA2122" s="20"/>
    </row>
    <row r="2123" spans="78:79" x14ac:dyDescent="0.35">
      <c r="BZ2123" s="105"/>
      <c r="CA2123" s="20"/>
    </row>
    <row r="2124" spans="78:79" x14ac:dyDescent="0.35">
      <c r="BZ2124" s="105"/>
      <c r="CA2124" s="20"/>
    </row>
    <row r="2125" spans="78:79" x14ac:dyDescent="0.35">
      <c r="BZ2125" s="105"/>
      <c r="CA2125" s="20"/>
    </row>
    <row r="2126" spans="78:79" x14ac:dyDescent="0.35">
      <c r="BZ2126" s="105"/>
      <c r="CA2126" s="20"/>
    </row>
    <row r="2127" spans="78:79" x14ac:dyDescent="0.35">
      <c r="BZ2127" s="105"/>
      <c r="CA2127" s="20"/>
    </row>
    <row r="2128" spans="78:79" x14ac:dyDescent="0.35">
      <c r="BZ2128" s="105"/>
      <c r="CA2128" s="20"/>
    </row>
    <row r="2129" spans="78:79" x14ac:dyDescent="0.35">
      <c r="BZ2129" s="105"/>
      <c r="CA2129" s="20"/>
    </row>
    <row r="2130" spans="78:79" x14ac:dyDescent="0.35">
      <c r="BZ2130" s="105"/>
      <c r="CA2130" s="20"/>
    </row>
    <row r="2131" spans="78:79" x14ac:dyDescent="0.35">
      <c r="BZ2131" s="105"/>
      <c r="CA2131" s="20"/>
    </row>
    <row r="2132" spans="78:79" x14ac:dyDescent="0.35">
      <c r="BZ2132" s="105"/>
      <c r="CA2132" s="20"/>
    </row>
    <row r="2133" spans="78:79" x14ac:dyDescent="0.35">
      <c r="BZ2133" s="105"/>
      <c r="CA2133" s="20"/>
    </row>
    <row r="2134" spans="78:79" x14ac:dyDescent="0.35">
      <c r="BZ2134" s="105"/>
      <c r="CA2134" s="20"/>
    </row>
    <row r="2135" spans="78:79" x14ac:dyDescent="0.35">
      <c r="BZ2135" s="105"/>
      <c r="CA2135" s="20"/>
    </row>
    <row r="2136" spans="78:79" x14ac:dyDescent="0.35">
      <c r="BZ2136" s="105"/>
      <c r="CA2136" s="20"/>
    </row>
    <row r="2137" spans="78:79" x14ac:dyDescent="0.35">
      <c r="BZ2137" s="105"/>
      <c r="CA2137" s="20"/>
    </row>
    <row r="2138" spans="78:79" x14ac:dyDescent="0.35">
      <c r="BZ2138" s="105"/>
      <c r="CA2138" s="20"/>
    </row>
    <row r="2139" spans="78:79" x14ac:dyDescent="0.35">
      <c r="BZ2139" s="105"/>
      <c r="CA2139" s="20"/>
    </row>
    <row r="2140" spans="78:79" x14ac:dyDescent="0.35">
      <c r="BZ2140" s="105"/>
      <c r="CA2140" s="20"/>
    </row>
    <row r="2141" spans="78:79" x14ac:dyDescent="0.35">
      <c r="BZ2141" s="105"/>
      <c r="CA2141" s="20"/>
    </row>
    <row r="2142" spans="78:79" x14ac:dyDescent="0.35">
      <c r="BZ2142" s="105"/>
      <c r="CA2142" s="20"/>
    </row>
    <row r="2143" spans="78:79" x14ac:dyDescent="0.35">
      <c r="BZ2143" s="105"/>
      <c r="CA2143" s="20"/>
    </row>
    <row r="2144" spans="78:79" x14ac:dyDescent="0.35">
      <c r="BZ2144" s="105"/>
      <c r="CA2144" s="20"/>
    </row>
    <row r="2145" spans="78:79" x14ac:dyDescent="0.35">
      <c r="BZ2145" s="105"/>
      <c r="CA2145" s="20"/>
    </row>
    <row r="2146" spans="78:79" x14ac:dyDescent="0.35">
      <c r="BZ2146" s="105"/>
      <c r="CA2146" s="20"/>
    </row>
    <row r="2147" spans="78:79" x14ac:dyDescent="0.35">
      <c r="BZ2147" s="105"/>
      <c r="CA2147" s="20"/>
    </row>
    <row r="2148" spans="78:79" x14ac:dyDescent="0.35">
      <c r="BZ2148" s="105"/>
      <c r="CA2148" s="20"/>
    </row>
    <row r="2149" spans="78:79" x14ac:dyDescent="0.35">
      <c r="BZ2149" s="105"/>
      <c r="CA2149" s="20"/>
    </row>
    <row r="2150" spans="78:79" x14ac:dyDescent="0.35">
      <c r="BZ2150" s="105"/>
      <c r="CA2150" s="20"/>
    </row>
    <row r="2151" spans="78:79" x14ac:dyDescent="0.35">
      <c r="BZ2151" s="105"/>
      <c r="CA2151" s="20"/>
    </row>
    <row r="2152" spans="78:79" x14ac:dyDescent="0.35">
      <c r="BZ2152" s="105"/>
      <c r="CA2152" s="20"/>
    </row>
    <row r="2153" spans="78:79" x14ac:dyDescent="0.35">
      <c r="BZ2153" s="105"/>
      <c r="CA2153" s="20"/>
    </row>
    <row r="2154" spans="78:79" x14ac:dyDescent="0.35">
      <c r="BZ2154" s="105"/>
      <c r="CA2154" s="20"/>
    </row>
    <row r="2155" spans="78:79" x14ac:dyDescent="0.35">
      <c r="BZ2155" s="105"/>
      <c r="CA2155" s="20"/>
    </row>
    <row r="2156" spans="78:79" x14ac:dyDescent="0.35">
      <c r="BZ2156" s="105"/>
      <c r="CA2156" s="20"/>
    </row>
    <row r="2157" spans="78:79" x14ac:dyDescent="0.35">
      <c r="BZ2157" s="105"/>
      <c r="CA2157" s="20"/>
    </row>
    <row r="2158" spans="78:79" x14ac:dyDescent="0.35">
      <c r="BZ2158" s="105"/>
      <c r="CA2158" s="20"/>
    </row>
    <row r="2159" spans="78:79" x14ac:dyDescent="0.35">
      <c r="BZ2159" s="105"/>
      <c r="CA2159" s="20"/>
    </row>
    <row r="2160" spans="78:79" x14ac:dyDescent="0.35">
      <c r="BZ2160" s="105"/>
      <c r="CA2160" s="20"/>
    </row>
    <row r="2161" spans="78:79" x14ac:dyDescent="0.35">
      <c r="BZ2161" s="105"/>
      <c r="CA2161" s="20"/>
    </row>
    <row r="2162" spans="78:79" x14ac:dyDescent="0.35">
      <c r="BZ2162" s="105"/>
      <c r="CA2162" s="20"/>
    </row>
    <row r="2163" spans="78:79" x14ac:dyDescent="0.35">
      <c r="BZ2163" s="105"/>
      <c r="CA2163" s="20"/>
    </row>
    <row r="2164" spans="78:79" x14ac:dyDescent="0.35">
      <c r="BZ2164" s="105"/>
      <c r="CA2164" s="20"/>
    </row>
    <row r="2165" spans="78:79" x14ac:dyDescent="0.35">
      <c r="BZ2165" s="105"/>
      <c r="CA2165" s="20"/>
    </row>
    <row r="2166" spans="78:79" x14ac:dyDescent="0.35">
      <c r="BZ2166" s="105"/>
      <c r="CA2166" s="20"/>
    </row>
    <row r="2167" spans="78:79" x14ac:dyDescent="0.35">
      <c r="BZ2167" s="105"/>
      <c r="CA2167" s="20"/>
    </row>
    <row r="2168" spans="78:79" x14ac:dyDescent="0.35">
      <c r="BZ2168" s="105"/>
      <c r="CA2168" s="20"/>
    </row>
    <row r="2169" spans="78:79" x14ac:dyDescent="0.35">
      <c r="BZ2169" s="105"/>
      <c r="CA2169" s="20"/>
    </row>
    <row r="2170" spans="78:79" x14ac:dyDescent="0.35">
      <c r="BZ2170" s="105"/>
      <c r="CA2170" s="20"/>
    </row>
    <row r="2171" spans="78:79" x14ac:dyDescent="0.35">
      <c r="BZ2171" s="105"/>
      <c r="CA2171" s="20"/>
    </row>
    <row r="2172" spans="78:79" x14ac:dyDescent="0.35">
      <c r="BZ2172" s="105"/>
      <c r="CA2172" s="20"/>
    </row>
    <row r="2173" spans="78:79" x14ac:dyDescent="0.35">
      <c r="BZ2173" s="105"/>
      <c r="CA2173" s="20"/>
    </row>
    <row r="2174" spans="78:79" x14ac:dyDescent="0.35">
      <c r="BZ2174" s="105"/>
      <c r="CA2174" s="20"/>
    </row>
    <row r="2175" spans="78:79" x14ac:dyDescent="0.35">
      <c r="BZ2175" s="105"/>
      <c r="CA2175" s="20"/>
    </row>
    <row r="2176" spans="78:79" x14ac:dyDescent="0.35">
      <c r="BZ2176" s="105"/>
      <c r="CA2176" s="20"/>
    </row>
    <row r="2177" spans="78:79" x14ac:dyDescent="0.35">
      <c r="BZ2177" s="105"/>
      <c r="CA2177" s="20"/>
    </row>
    <row r="2178" spans="78:79" x14ac:dyDescent="0.35">
      <c r="BZ2178" s="105"/>
      <c r="CA2178" s="20"/>
    </row>
    <row r="2179" spans="78:79" x14ac:dyDescent="0.35">
      <c r="BZ2179" s="105"/>
      <c r="CA2179" s="20"/>
    </row>
    <row r="2180" spans="78:79" x14ac:dyDescent="0.35">
      <c r="BZ2180" s="105"/>
      <c r="CA2180" s="20"/>
    </row>
    <row r="2181" spans="78:79" x14ac:dyDescent="0.35">
      <c r="BZ2181" s="105"/>
      <c r="CA2181" s="20"/>
    </row>
    <row r="2182" spans="78:79" x14ac:dyDescent="0.35">
      <c r="BZ2182" s="105"/>
      <c r="CA2182" s="20"/>
    </row>
    <row r="2183" spans="78:79" x14ac:dyDescent="0.35">
      <c r="BZ2183" s="105"/>
      <c r="CA2183" s="20"/>
    </row>
    <row r="2184" spans="78:79" x14ac:dyDescent="0.35">
      <c r="BZ2184" s="105"/>
      <c r="CA2184" s="20"/>
    </row>
    <row r="2185" spans="78:79" x14ac:dyDescent="0.35">
      <c r="BZ2185" s="105"/>
      <c r="CA2185" s="20"/>
    </row>
    <row r="2186" spans="78:79" x14ac:dyDescent="0.35">
      <c r="BZ2186" s="105"/>
      <c r="CA2186" s="20"/>
    </row>
    <row r="2187" spans="78:79" x14ac:dyDescent="0.35">
      <c r="BZ2187" s="105"/>
      <c r="CA2187" s="20"/>
    </row>
    <row r="2188" spans="78:79" x14ac:dyDescent="0.35">
      <c r="BZ2188" s="105"/>
      <c r="CA2188" s="20"/>
    </row>
    <row r="2189" spans="78:79" x14ac:dyDescent="0.35">
      <c r="BZ2189" s="105"/>
      <c r="CA2189" s="20"/>
    </row>
    <row r="2190" spans="78:79" x14ac:dyDescent="0.35">
      <c r="BZ2190" s="105"/>
      <c r="CA2190" s="20"/>
    </row>
    <row r="2191" spans="78:79" x14ac:dyDescent="0.35">
      <c r="BZ2191" s="105"/>
      <c r="CA2191" s="20"/>
    </row>
    <row r="2192" spans="78:79" x14ac:dyDescent="0.35">
      <c r="BZ2192" s="105"/>
      <c r="CA2192" s="20"/>
    </row>
    <row r="2193" spans="78:79" x14ac:dyDescent="0.35">
      <c r="BZ2193" s="105"/>
      <c r="CA2193" s="20"/>
    </row>
    <row r="2194" spans="78:79" x14ac:dyDescent="0.35">
      <c r="BZ2194" s="105"/>
      <c r="CA2194" s="20"/>
    </row>
    <row r="2195" spans="78:79" x14ac:dyDescent="0.35">
      <c r="BZ2195" s="105"/>
      <c r="CA2195" s="20"/>
    </row>
    <row r="2196" spans="78:79" x14ac:dyDescent="0.35">
      <c r="BZ2196" s="105"/>
      <c r="CA2196" s="20"/>
    </row>
    <row r="2197" spans="78:79" x14ac:dyDescent="0.35">
      <c r="BZ2197" s="105"/>
      <c r="CA2197" s="20"/>
    </row>
    <row r="2198" spans="78:79" x14ac:dyDescent="0.35">
      <c r="BZ2198" s="105"/>
      <c r="CA2198" s="20"/>
    </row>
    <row r="2199" spans="78:79" x14ac:dyDescent="0.35">
      <c r="BZ2199" s="105"/>
      <c r="CA2199" s="20"/>
    </row>
    <row r="2200" spans="78:79" x14ac:dyDescent="0.35">
      <c r="BZ2200" s="105"/>
      <c r="CA2200" s="20"/>
    </row>
    <row r="2201" spans="78:79" x14ac:dyDescent="0.35">
      <c r="BZ2201" s="105"/>
      <c r="CA2201" s="20"/>
    </row>
    <row r="2202" spans="78:79" x14ac:dyDescent="0.35">
      <c r="BZ2202" s="105"/>
      <c r="CA2202" s="20"/>
    </row>
    <row r="2203" spans="78:79" x14ac:dyDescent="0.35">
      <c r="BZ2203" s="105"/>
      <c r="CA2203" s="20"/>
    </row>
    <row r="2204" spans="78:79" x14ac:dyDescent="0.35">
      <c r="BZ2204" s="105"/>
      <c r="CA2204" s="20"/>
    </row>
    <row r="2205" spans="78:79" x14ac:dyDescent="0.35">
      <c r="BZ2205" s="105"/>
      <c r="CA2205" s="20"/>
    </row>
    <row r="2206" spans="78:79" x14ac:dyDescent="0.35">
      <c r="BZ2206" s="105"/>
      <c r="CA2206" s="20"/>
    </row>
    <row r="2207" spans="78:79" x14ac:dyDescent="0.35">
      <c r="BZ2207" s="105"/>
      <c r="CA2207" s="20"/>
    </row>
    <row r="2208" spans="78:79" x14ac:dyDescent="0.35">
      <c r="BZ2208" s="105"/>
      <c r="CA2208" s="20"/>
    </row>
    <row r="2209" spans="78:79" x14ac:dyDescent="0.35">
      <c r="BZ2209" s="105"/>
      <c r="CA2209" s="20"/>
    </row>
    <row r="2210" spans="78:79" x14ac:dyDescent="0.35">
      <c r="BZ2210" s="105"/>
      <c r="CA2210" s="20"/>
    </row>
    <row r="2211" spans="78:79" x14ac:dyDescent="0.35">
      <c r="BZ2211" s="105"/>
      <c r="CA2211" s="20"/>
    </row>
    <row r="2212" spans="78:79" x14ac:dyDescent="0.35">
      <c r="BZ2212" s="105"/>
      <c r="CA2212" s="20"/>
    </row>
    <row r="2213" spans="78:79" x14ac:dyDescent="0.35">
      <c r="BZ2213" s="105"/>
      <c r="CA2213" s="20"/>
    </row>
    <row r="2214" spans="78:79" x14ac:dyDescent="0.35">
      <c r="BZ2214" s="105"/>
      <c r="CA2214" s="20"/>
    </row>
    <row r="2215" spans="78:79" x14ac:dyDescent="0.35">
      <c r="BZ2215" s="105"/>
      <c r="CA2215" s="20"/>
    </row>
    <row r="2216" spans="78:79" x14ac:dyDescent="0.35">
      <c r="BZ2216" s="105"/>
      <c r="CA2216" s="20"/>
    </row>
    <row r="2217" spans="78:79" x14ac:dyDescent="0.35">
      <c r="BZ2217" s="105"/>
      <c r="CA2217" s="20"/>
    </row>
    <row r="2218" spans="78:79" x14ac:dyDescent="0.35">
      <c r="BZ2218" s="105"/>
      <c r="CA2218" s="20"/>
    </row>
    <row r="2219" spans="78:79" x14ac:dyDescent="0.35">
      <c r="BZ2219" s="105"/>
      <c r="CA2219" s="20"/>
    </row>
    <row r="2220" spans="78:79" x14ac:dyDescent="0.35">
      <c r="BZ2220" s="105"/>
      <c r="CA2220" s="20"/>
    </row>
    <row r="2221" spans="78:79" x14ac:dyDescent="0.35">
      <c r="BZ2221" s="105"/>
      <c r="CA2221" s="20"/>
    </row>
    <row r="2222" spans="78:79" x14ac:dyDescent="0.35">
      <c r="BZ2222" s="105"/>
      <c r="CA2222" s="20"/>
    </row>
    <row r="2223" spans="78:79" x14ac:dyDescent="0.35">
      <c r="BZ2223" s="105"/>
      <c r="CA2223" s="20"/>
    </row>
    <row r="2224" spans="78:79" x14ac:dyDescent="0.35">
      <c r="BZ2224" s="105"/>
      <c r="CA2224" s="20"/>
    </row>
    <row r="2225" spans="78:79" x14ac:dyDescent="0.35">
      <c r="BZ2225" s="105"/>
      <c r="CA2225" s="20"/>
    </row>
    <row r="2226" spans="78:79" x14ac:dyDescent="0.35">
      <c r="BZ2226" s="105"/>
      <c r="CA2226" s="20"/>
    </row>
    <row r="2227" spans="78:79" x14ac:dyDescent="0.35">
      <c r="BZ2227" s="105"/>
      <c r="CA2227" s="20"/>
    </row>
    <row r="2228" spans="78:79" x14ac:dyDescent="0.35">
      <c r="BZ2228" s="105"/>
      <c r="CA2228" s="20"/>
    </row>
    <row r="2229" spans="78:79" x14ac:dyDescent="0.35">
      <c r="BZ2229" s="105"/>
      <c r="CA2229" s="20"/>
    </row>
    <row r="2230" spans="78:79" x14ac:dyDescent="0.35">
      <c r="BZ2230" s="105"/>
      <c r="CA2230" s="20"/>
    </row>
    <row r="2231" spans="78:79" x14ac:dyDescent="0.35">
      <c r="BZ2231" s="105"/>
      <c r="CA2231" s="20"/>
    </row>
    <row r="2232" spans="78:79" x14ac:dyDescent="0.35">
      <c r="BZ2232" s="105"/>
      <c r="CA2232" s="20"/>
    </row>
    <row r="2233" spans="78:79" x14ac:dyDescent="0.35">
      <c r="BZ2233" s="105"/>
      <c r="CA2233" s="20"/>
    </row>
    <row r="2234" spans="78:79" x14ac:dyDescent="0.35">
      <c r="BZ2234" s="105"/>
      <c r="CA2234" s="20"/>
    </row>
    <row r="2235" spans="78:79" x14ac:dyDescent="0.35">
      <c r="BZ2235" s="105"/>
      <c r="CA2235" s="20"/>
    </row>
    <row r="2236" spans="78:79" x14ac:dyDescent="0.35">
      <c r="BZ2236" s="105"/>
      <c r="CA2236" s="20"/>
    </row>
    <row r="2237" spans="78:79" x14ac:dyDescent="0.35">
      <c r="BZ2237" s="105"/>
      <c r="CA2237" s="20"/>
    </row>
    <row r="2238" spans="78:79" x14ac:dyDescent="0.35">
      <c r="BZ2238" s="105"/>
      <c r="CA2238" s="20"/>
    </row>
    <row r="2239" spans="78:79" x14ac:dyDescent="0.35">
      <c r="BZ2239" s="105"/>
      <c r="CA2239" s="20"/>
    </row>
    <row r="2240" spans="78:79" x14ac:dyDescent="0.35">
      <c r="BZ2240" s="105"/>
      <c r="CA2240" s="20"/>
    </row>
    <row r="2241" spans="78:79" x14ac:dyDescent="0.35">
      <c r="BZ2241" s="105"/>
      <c r="CA2241" s="20"/>
    </row>
    <row r="2242" spans="78:79" x14ac:dyDescent="0.35">
      <c r="BZ2242" s="105"/>
      <c r="CA2242" s="20"/>
    </row>
    <row r="2243" spans="78:79" x14ac:dyDescent="0.35">
      <c r="BZ2243" s="105"/>
      <c r="CA2243" s="20"/>
    </row>
    <row r="2244" spans="78:79" x14ac:dyDescent="0.35">
      <c r="BZ2244" s="105"/>
      <c r="CA2244" s="20"/>
    </row>
    <row r="2245" spans="78:79" x14ac:dyDescent="0.35">
      <c r="BZ2245" s="105"/>
      <c r="CA2245" s="20"/>
    </row>
    <row r="2246" spans="78:79" x14ac:dyDescent="0.35">
      <c r="BZ2246" s="105"/>
      <c r="CA2246" s="20"/>
    </row>
    <row r="2247" spans="78:79" x14ac:dyDescent="0.35">
      <c r="BZ2247" s="105"/>
      <c r="CA2247" s="20"/>
    </row>
    <row r="2248" spans="78:79" x14ac:dyDescent="0.35">
      <c r="BZ2248" s="105"/>
      <c r="CA2248" s="20"/>
    </row>
    <row r="2249" spans="78:79" x14ac:dyDescent="0.35">
      <c r="BZ2249" s="105"/>
      <c r="CA2249" s="20"/>
    </row>
    <row r="2250" spans="78:79" x14ac:dyDescent="0.35">
      <c r="BZ2250" s="105"/>
      <c r="CA2250" s="20"/>
    </row>
    <row r="2251" spans="78:79" x14ac:dyDescent="0.35">
      <c r="BZ2251" s="105"/>
      <c r="CA2251" s="20"/>
    </row>
    <row r="2252" spans="78:79" x14ac:dyDescent="0.35">
      <c r="BZ2252" s="105"/>
      <c r="CA2252" s="20"/>
    </row>
    <row r="2253" spans="78:79" x14ac:dyDescent="0.35">
      <c r="BZ2253" s="105"/>
      <c r="CA2253" s="20"/>
    </row>
    <row r="2254" spans="78:79" x14ac:dyDescent="0.35">
      <c r="BZ2254" s="105"/>
      <c r="CA2254" s="20"/>
    </row>
    <row r="2255" spans="78:79" x14ac:dyDescent="0.35">
      <c r="BZ2255" s="105"/>
      <c r="CA2255" s="20"/>
    </row>
    <row r="2256" spans="78:79" x14ac:dyDescent="0.35">
      <c r="BZ2256" s="105"/>
      <c r="CA2256" s="20"/>
    </row>
    <row r="2257" spans="78:79" x14ac:dyDescent="0.35">
      <c r="BZ2257" s="105"/>
      <c r="CA2257" s="20"/>
    </row>
    <row r="2258" spans="78:79" x14ac:dyDescent="0.35">
      <c r="BZ2258" s="105"/>
      <c r="CA2258" s="20"/>
    </row>
    <row r="2259" spans="78:79" x14ac:dyDescent="0.35">
      <c r="BZ2259" s="105"/>
      <c r="CA2259" s="20"/>
    </row>
    <row r="2260" spans="78:79" x14ac:dyDescent="0.35">
      <c r="BZ2260" s="105"/>
      <c r="CA2260" s="20"/>
    </row>
    <row r="2261" spans="78:79" x14ac:dyDescent="0.35">
      <c r="BZ2261" s="105"/>
      <c r="CA2261" s="20"/>
    </row>
    <row r="2262" spans="78:79" x14ac:dyDescent="0.35">
      <c r="BZ2262" s="105"/>
      <c r="CA2262" s="20"/>
    </row>
    <row r="2263" spans="78:79" x14ac:dyDescent="0.35">
      <c r="BZ2263" s="105"/>
      <c r="CA2263" s="20"/>
    </row>
    <row r="2264" spans="78:79" x14ac:dyDescent="0.35">
      <c r="BZ2264" s="105"/>
      <c r="CA2264" s="20"/>
    </row>
    <row r="2265" spans="78:79" x14ac:dyDescent="0.35">
      <c r="BZ2265" s="105"/>
      <c r="CA2265" s="20"/>
    </row>
    <row r="2266" spans="78:79" x14ac:dyDescent="0.35">
      <c r="BZ2266" s="105"/>
      <c r="CA2266" s="20"/>
    </row>
    <row r="2267" spans="78:79" x14ac:dyDescent="0.35">
      <c r="BZ2267" s="105"/>
      <c r="CA2267" s="20"/>
    </row>
    <row r="2268" spans="78:79" x14ac:dyDescent="0.35">
      <c r="BZ2268" s="105"/>
      <c r="CA2268" s="20"/>
    </row>
    <row r="2269" spans="78:79" x14ac:dyDescent="0.35">
      <c r="BZ2269" s="105"/>
      <c r="CA2269" s="20"/>
    </row>
    <row r="2270" spans="78:79" x14ac:dyDescent="0.35">
      <c r="BZ2270" s="105"/>
      <c r="CA2270" s="20"/>
    </row>
    <row r="2271" spans="78:79" x14ac:dyDescent="0.35">
      <c r="BZ2271" s="105"/>
      <c r="CA2271" s="20"/>
    </row>
    <row r="2272" spans="78:79" x14ac:dyDescent="0.35">
      <c r="BZ2272" s="105"/>
      <c r="CA2272" s="20"/>
    </row>
    <row r="2273" spans="78:79" x14ac:dyDescent="0.35">
      <c r="BZ2273" s="105"/>
      <c r="CA2273" s="20"/>
    </row>
    <row r="2274" spans="78:79" x14ac:dyDescent="0.35">
      <c r="BZ2274" s="105"/>
      <c r="CA2274" s="20"/>
    </row>
    <row r="2275" spans="78:79" x14ac:dyDescent="0.35">
      <c r="BZ2275" s="105"/>
      <c r="CA2275" s="20"/>
    </row>
    <row r="2276" spans="78:79" x14ac:dyDescent="0.35">
      <c r="BZ2276" s="105"/>
      <c r="CA2276" s="20"/>
    </row>
    <row r="2277" spans="78:79" x14ac:dyDescent="0.35">
      <c r="BZ2277" s="105"/>
      <c r="CA2277" s="20"/>
    </row>
    <row r="2278" spans="78:79" x14ac:dyDescent="0.35">
      <c r="BZ2278" s="105"/>
      <c r="CA2278" s="20"/>
    </row>
    <row r="2279" spans="78:79" x14ac:dyDescent="0.35">
      <c r="BZ2279" s="105"/>
      <c r="CA2279" s="20"/>
    </row>
    <row r="2280" spans="78:79" x14ac:dyDescent="0.35">
      <c r="BZ2280" s="105"/>
      <c r="CA2280" s="20"/>
    </row>
    <row r="2281" spans="78:79" x14ac:dyDescent="0.35">
      <c r="BZ2281" s="105"/>
      <c r="CA2281" s="20"/>
    </row>
    <row r="2282" spans="78:79" x14ac:dyDescent="0.35">
      <c r="BZ2282" s="105"/>
      <c r="CA2282" s="20"/>
    </row>
    <row r="2283" spans="78:79" x14ac:dyDescent="0.35">
      <c r="BZ2283" s="105"/>
      <c r="CA2283" s="20"/>
    </row>
    <row r="2284" spans="78:79" x14ac:dyDescent="0.35">
      <c r="BZ2284" s="105"/>
      <c r="CA2284" s="20"/>
    </row>
    <row r="2285" spans="78:79" x14ac:dyDescent="0.35">
      <c r="BZ2285" s="105"/>
      <c r="CA2285" s="20"/>
    </row>
    <row r="2286" spans="78:79" x14ac:dyDescent="0.35">
      <c r="BZ2286" s="105"/>
      <c r="CA2286" s="20"/>
    </row>
    <row r="2287" spans="78:79" x14ac:dyDescent="0.35">
      <c r="BZ2287" s="105"/>
      <c r="CA2287" s="20"/>
    </row>
    <row r="2288" spans="78:79" x14ac:dyDescent="0.35">
      <c r="BZ2288" s="105"/>
      <c r="CA2288" s="20"/>
    </row>
    <row r="2289" spans="78:79" x14ac:dyDescent="0.35">
      <c r="BZ2289" s="105"/>
      <c r="CA2289" s="20"/>
    </row>
    <row r="2290" spans="78:79" x14ac:dyDescent="0.35">
      <c r="BZ2290" s="105"/>
      <c r="CA2290" s="20"/>
    </row>
    <row r="2291" spans="78:79" x14ac:dyDescent="0.35">
      <c r="BZ2291" s="105"/>
      <c r="CA2291" s="20"/>
    </row>
    <row r="2292" spans="78:79" x14ac:dyDescent="0.35">
      <c r="BZ2292" s="105"/>
      <c r="CA2292" s="20"/>
    </row>
    <row r="2293" spans="78:79" x14ac:dyDescent="0.35">
      <c r="BZ2293" s="105"/>
      <c r="CA2293" s="20"/>
    </row>
    <row r="2294" spans="78:79" x14ac:dyDescent="0.35">
      <c r="BZ2294" s="105"/>
      <c r="CA2294" s="20"/>
    </row>
    <row r="2295" spans="78:79" x14ac:dyDescent="0.35">
      <c r="BZ2295" s="105"/>
      <c r="CA2295" s="20"/>
    </row>
    <row r="2296" spans="78:79" x14ac:dyDescent="0.35">
      <c r="BZ2296" s="105"/>
      <c r="CA2296" s="20"/>
    </row>
    <row r="2297" spans="78:79" x14ac:dyDescent="0.35">
      <c r="BZ2297" s="105"/>
      <c r="CA2297" s="20"/>
    </row>
    <row r="2298" spans="78:79" x14ac:dyDescent="0.35">
      <c r="BZ2298" s="105"/>
      <c r="CA2298" s="20"/>
    </row>
    <row r="2299" spans="78:79" x14ac:dyDescent="0.35">
      <c r="BZ2299" s="105"/>
      <c r="CA2299" s="20"/>
    </row>
    <row r="2300" spans="78:79" x14ac:dyDescent="0.35">
      <c r="BZ2300" s="105"/>
      <c r="CA2300" s="20"/>
    </row>
    <row r="2301" spans="78:79" x14ac:dyDescent="0.35">
      <c r="BZ2301" s="105"/>
      <c r="CA2301" s="20"/>
    </row>
    <row r="2302" spans="78:79" x14ac:dyDescent="0.35">
      <c r="BZ2302" s="105"/>
      <c r="CA2302" s="20"/>
    </row>
    <row r="2303" spans="78:79" x14ac:dyDescent="0.35">
      <c r="BZ2303" s="105"/>
      <c r="CA2303" s="20"/>
    </row>
    <row r="2304" spans="78:79" x14ac:dyDescent="0.35">
      <c r="BZ2304" s="105"/>
      <c r="CA2304" s="20"/>
    </row>
    <row r="2305" spans="78:79" x14ac:dyDescent="0.35">
      <c r="BZ2305" s="105"/>
      <c r="CA2305" s="20"/>
    </row>
    <row r="2306" spans="78:79" x14ac:dyDescent="0.35">
      <c r="BZ2306" s="105"/>
      <c r="CA2306" s="20"/>
    </row>
    <row r="2307" spans="78:79" x14ac:dyDescent="0.35">
      <c r="BZ2307" s="105"/>
      <c r="CA2307" s="20"/>
    </row>
    <row r="2308" spans="78:79" x14ac:dyDescent="0.35">
      <c r="BZ2308" s="105"/>
      <c r="CA2308" s="20"/>
    </row>
    <row r="2309" spans="78:79" x14ac:dyDescent="0.35">
      <c r="BZ2309" s="105"/>
      <c r="CA2309" s="20"/>
    </row>
    <row r="2310" spans="78:79" x14ac:dyDescent="0.35">
      <c r="BZ2310" s="105"/>
      <c r="CA2310" s="20"/>
    </row>
    <row r="2311" spans="78:79" x14ac:dyDescent="0.35">
      <c r="BZ2311" s="105"/>
      <c r="CA2311" s="20"/>
    </row>
    <row r="2312" spans="78:79" x14ac:dyDescent="0.35">
      <c r="BZ2312" s="105"/>
      <c r="CA2312" s="20"/>
    </row>
    <row r="2313" spans="78:79" x14ac:dyDescent="0.35">
      <c r="BZ2313" s="105"/>
      <c r="CA2313" s="20"/>
    </row>
    <row r="2314" spans="78:79" x14ac:dyDescent="0.35">
      <c r="BZ2314" s="105"/>
      <c r="CA2314" s="20"/>
    </row>
    <row r="2315" spans="78:79" x14ac:dyDescent="0.35">
      <c r="BZ2315" s="105"/>
      <c r="CA2315" s="20"/>
    </row>
    <row r="2316" spans="78:79" x14ac:dyDescent="0.35">
      <c r="BZ2316" s="105"/>
      <c r="CA2316" s="20"/>
    </row>
    <row r="2317" spans="78:79" x14ac:dyDescent="0.35">
      <c r="BZ2317" s="105"/>
      <c r="CA2317" s="20"/>
    </row>
    <row r="2318" spans="78:79" x14ac:dyDescent="0.35">
      <c r="BZ2318" s="105"/>
      <c r="CA2318" s="20"/>
    </row>
    <row r="2319" spans="78:79" x14ac:dyDescent="0.35">
      <c r="BZ2319" s="105"/>
      <c r="CA2319" s="20"/>
    </row>
    <row r="2320" spans="78:79" x14ac:dyDescent="0.35">
      <c r="BZ2320" s="105"/>
      <c r="CA2320" s="20"/>
    </row>
    <row r="2321" spans="78:79" x14ac:dyDescent="0.35">
      <c r="BZ2321" s="105"/>
      <c r="CA2321" s="20"/>
    </row>
    <row r="2322" spans="78:79" x14ac:dyDescent="0.35">
      <c r="BZ2322" s="105"/>
      <c r="CA2322" s="20"/>
    </row>
    <row r="2323" spans="78:79" x14ac:dyDescent="0.35">
      <c r="BZ2323" s="105"/>
      <c r="CA2323" s="20"/>
    </row>
    <row r="2324" spans="78:79" x14ac:dyDescent="0.35">
      <c r="BZ2324" s="105"/>
      <c r="CA2324" s="20"/>
    </row>
    <row r="2325" spans="78:79" x14ac:dyDescent="0.35">
      <c r="BZ2325" s="105"/>
      <c r="CA2325" s="20"/>
    </row>
    <row r="2326" spans="78:79" x14ac:dyDescent="0.35">
      <c r="BZ2326" s="105"/>
      <c r="CA2326" s="20"/>
    </row>
    <row r="2327" spans="78:79" x14ac:dyDescent="0.35">
      <c r="BZ2327" s="105"/>
      <c r="CA2327" s="20"/>
    </row>
    <row r="2328" spans="78:79" x14ac:dyDescent="0.35">
      <c r="BZ2328" s="105"/>
      <c r="CA2328" s="20"/>
    </row>
    <row r="2329" spans="78:79" x14ac:dyDescent="0.35">
      <c r="BZ2329" s="105"/>
      <c r="CA2329" s="20"/>
    </row>
    <row r="2330" spans="78:79" x14ac:dyDescent="0.35">
      <c r="BZ2330" s="105"/>
      <c r="CA2330" s="20"/>
    </row>
    <row r="2331" spans="78:79" x14ac:dyDescent="0.35">
      <c r="BZ2331" s="105"/>
      <c r="CA2331" s="20"/>
    </row>
    <row r="2332" spans="78:79" x14ac:dyDescent="0.35">
      <c r="BZ2332" s="105"/>
      <c r="CA2332" s="20"/>
    </row>
    <row r="2333" spans="78:79" x14ac:dyDescent="0.35">
      <c r="BZ2333" s="105"/>
      <c r="CA2333" s="20"/>
    </row>
    <row r="2334" spans="78:79" x14ac:dyDescent="0.35">
      <c r="BZ2334" s="105"/>
      <c r="CA2334" s="20"/>
    </row>
    <row r="2335" spans="78:79" x14ac:dyDescent="0.35">
      <c r="BZ2335" s="105"/>
      <c r="CA2335" s="20"/>
    </row>
    <row r="2336" spans="78:79" x14ac:dyDescent="0.35">
      <c r="BZ2336" s="105"/>
      <c r="CA2336" s="20"/>
    </row>
    <row r="2337" spans="78:79" x14ac:dyDescent="0.35">
      <c r="BZ2337" s="105"/>
      <c r="CA2337" s="20"/>
    </row>
    <row r="2338" spans="78:79" x14ac:dyDescent="0.35">
      <c r="BZ2338" s="105"/>
      <c r="CA2338" s="20"/>
    </row>
    <row r="2339" spans="78:79" x14ac:dyDescent="0.35">
      <c r="BZ2339" s="105"/>
      <c r="CA2339" s="20"/>
    </row>
    <row r="2340" spans="78:79" x14ac:dyDescent="0.35">
      <c r="BZ2340" s="105"/>
      <c r="CA2340" s="20"/>
    </row>
    <row r="2341" spans="78:79" x14ac:dyDescent="0.35">
      <c r="BZ2341" s="105"/>
      <c r="CA2341" s="20"/>
    </row>
    <row r="2342" spans="78:79" x14ac:dyDescent="0.35">
      <c r="BZ2342" s="105"/>
      <c r="CA2342" s="20"/>
    </row>
    <row r="2343" spans="78:79" x14ac:dyDescent="0.35">
      <c r="BZ2343" s="105"/>
      <c r="CA2343" s="20"/>
    </row>
    <row r="2344" spans="78:79" x14ac:dyDescent="0.35">
      <c r="BZ2344" s="105"/>
      <c r="CA2344" s="20"/>
    </row>
    <row r="2345" spans="78:79" x14ac:dyDescent="0.35">
      <c r="BZ2345" s="105"/>
      <c r="CA2345" s="20"/>
    </row>
    <row r="2346" spans="78:79" x14ac:dyDescent="0.35">
      <c r="BZ2346" s="105"/>
      <c r="CA2346" s="20"/>
    </row>
    <row r="2347" spans="78:79" x14ac:dyDescent="0.35">
      <c r="BZ2347" s="105"/>
      <c r="CA2347" s="20"/>
    </row>
    <row r="2348" spans="78:79" x14ac:dyDescent="0.35">
      <c r="BZ2348" s="105"/>
      <c r="CA2348" s="20"/>
    </row>
    <row r="2349" spans="78:79" x14ac:dyDescent="0.35">
      <c r="BZ2349" s="105"/>
      <c r="CA2349" s="20"/>
    </row>
    <row r="2350" spans="78:79" x14ac:dyDescent="0.35">
      <c r="BZ2350" s="105"/>
      <c r="CA2350" s="20"/>
    </row>
    <row r="2351" spans="78:79" x14ac:dyDescent="0.35">
      <c r="BZ2351" s="105"/>
      <c r="CA2351" s="20"/>
    </row>
    <row r="2352" spans="78:79" x14ac:dyDescent="0.35">
      <c r="BZ2352" s="105"/>
      <c r="CA2352" s="20"/>
    </row>
    <row r="2353" spans="78:79" x14ac:dyDescent="0.35">
      <c r="BZ2353" s="105"/>
      <c r="CA2353" s="20"/>
    </row>
    <row r="2354" spans="78:79" x14ac:dyDescent="0.35">
      <c r="BZ2354" s="105"/>
      <c r="CA2354" s="20"/>
    </row>
    <row r="2355" spans="78:79" x14ac:dyDescent="0.35">
      <c r="BZ2355" s="105"/>
      <c r="CA2355" s="20"/>
    </row>
    <row r="2356" spans="78:79" x14ac:dyDescent="0.35">
      <c r="BZ2356" s="105"/>
      <c r="CA2356" s="20"/>
    </row>
    <row r="2357" spans="78:79" x14ac:dyDescent="0.35">
      <c r="BZ2357" s="105"/>
      <c r="CA2357" s="20"/>
    </row>
    <row r="2358" spans="78:79" x14ac:dyDescent="0.35">
      <c r="BZ2358" s="105"/>
      <c r="CA2358" s="20"/>
    </row>
    <row r="2359" spans="78:79" x14ac:dyDescent="0.35">
      <c r="BZ2359" s="105"/>
      <c r="CA2359" s="20"/>
    </row>
    <row r="2360" spans="78:79" x14ac:dyDescent="0.35">
      <c r="BZ2360" s="105"/>
      <c r="CA2360" s="20"/>
    </row>
    <row r="2361" spans="78:79" x14ac:dyDescent="0.35">
      <c r="BZ2361" s="105"/>
      <c r="CA2361" s="20"/>
    </row>
    <row r="2362" spans="78:79" x14ac:dyDescent="0.35">
      <c r="BZ2362" s="105"/>
      <c r="CA2362" s="20"/>
    </row>
    <row r="2363" spans="78:79" x14ac:dyDescent="0.35">
      <c r="BZ2363" s="105"/>
      <c r="CA2363" s="20"/>
    </row>
    <row r="2364" spans="78:79" x14ac:dyDescent="0.35">
      <c r="BZ2364" s="105"/>
      <c r="CA2364" s="20"/>
    </row>
    <row r="2365" spans="78:79" x14ac:dyDescent="0.35">
      <c r="BZ2365" s="105"/>
      <c r="CA2365" s="20"/>
    </row>
    <row r="2366" spans="78:79" x14ac:dyDescent="0.35">
      <c r="BZ2366" s="105"/>
      <c r="CA2366" s="20"/>
    </row>
    <row r="2367" spans="78:79" x14ac:dyDescent="0.35">
      <c r="BZ2367" s="105"/>
      <c r="CA2367" s="20"/>
    </row>
    <row r="2368" spans="78:79" x14ac:dyDescent="0.35">
      <c r="BZ2368" s="105"/>
      <c r="CA2368" s="20"/>
    </row>
    <row r="2369" spans="78:79" x14ac:dyDescent="0.35">
      <c r="BZ2369" s="105"/>
      <c r="CA2369" s="20"/>
    </row>
    <row r="2370" spans="78:79" x14ac:dyDescent="0.35">
      <c r="BZ2370" s="105"/>
      <c r="CA2370" s="20"/>
    </row>
    <row r="2371" spans="78:79" x14ac:dyDescent="0.35">
      <c r="BZ2371" s="105"/>
      <c r="CA2371" s="20"/>
    </row>
    <row r="2372" spans="78:79" x14ac:dyDescent="0.35">
      <c r="BZ2372" s="105"/>
      <c r="CA2372" s="20"/>
    </row>
    <row r="2373" spans="78:79" x14ac:dyDescent="0.35">
      <c r="BZ2373" s="105"/>
      <c r="CA2373" s="20"/>
    </row>
    <row r="2374" spans="78:79" x14ac:dyDescent="0.35">
      <c r="BZ2374" s="105"/>
      <c r="CA2374" s="20"/>
    </row>
    <row r="2375" spans="78:79" x14ac:dyDescent="0.35">
      <c r="BZ2375" s="105"/>
      <c r="CA2375" s="20"/>
    </row>
    <row r="2376" spans="78:79" x14ac:dyDescent="0.35">
      <c r="BZ2376" s="105"/>
      <c r="CA2376" s="20"/>
    </row>
    <row r="2377" spans="78:79" x14ac:dyDescent="0.35">
      <c r="BZ2377" s="105"/>
      <c r="CA2377" s="20"/>
    </row>
    <row r="2378" spans="78:79" x14ac:dyDescent="0.35">
      <c r="BZ2378" s="105"/>
      <c r="CA2378" s="20"/>
    </row>
    <row r="2379" spans="78:79" x14ac:dyDescent="0.35">
      <c r="BZ2379" s="105"/>
      <c r="CA2379" s="20"/>
    </row>
    <row r="2380" spans="78:79" x14ac:dyDescent="0.35">
      <c r="BZ2380" s="105"/>
      <c r="CA2380" s="20"/>
    </row>
    <row r="2381" spans="78:79" x14ac:dyDescent="0.35">
      <c r="BZ2381" s="105"/>
      <c r="CA2381" s="20"/>
    </row>
    <row r="2382" spans="78:79" x14ac:dyDescent="0.35">
      <c r="BZ2382" s="105"/>
      <c r="CA2382" s="20"/>
    </row>
    <row r="2383" spans="78:79" x14ac:dyDescent="0.35">
      <c r="BZ2383" s="105"/>
      <c r="CA2383" s="20"/>
    </row>
    <row r="2384" spans="78:79" x14ac:dyDescent="0.35">
      <c r="BZ2384" s="105"/>
      <c r="CA2384" s="20"/>
    </row>
    <row r="2385" spans="78:79" x14ac:dyDescent="0.35">
      <c r="BZ2385" s="105"/>
      <c r="CA2385" s="20"/>
    </row>
    <row r="2386" spans="78:79" x14ac:dyDescent="0.35">
      <c r="BZ2386" s="105"/>
      <c r="CA2386" s="20"/>
    </row>
    <row r="2387" spans="78:79" x14ac:dyDescent="0.35">
      <c r="BZ2387" s="105"/>
      <c r="CA2387" s="20"/>
    </row>
    <row r="2388" spans="78:79" x14ac:dyDescent="0.35">
      <c r="BZ2388" s="105"/>
      <c r="CA2388" s="20"/>
    </row>
    <row r="2389" spans="78:79" x14ac:dyDescent="0.35">
      <c r="BZ2389" s="105"/>
      <c r="CA2389" s="20"/>
    </row>
    <row r="2390" spans="78:79" x14ac:dyDescent="0.35">
      <c r="BZ2390" s="105"/>
      <c r="CA2390" s="20"/>
    </row>
    <row r="2391" spans="78:79" x14ac:dyDescent="0.35">
      <c r="BZ2391" s="105"/>
      <c r="CA2391" s="20"/>
    </row>
    <row r="2392" spans="78:79" x14ac:dyDescent="0.35">
      <c r="BZ2392" s="105"/>
      <c r="CA2392" s="20"/>
    </row>
    <row r="2393" spans="78:79" x14ac:dyDescent="0.35">
      <c r="BZ2393" s="105"/>
      <c r="CA2393" s="20"/>
    </row>
    <row r="2394" spans="78:79" x14ac:dyDescent="0.35">
      <c r="BZ2394" s="105"/>
      <c r="CA2394" s="20"/>
    </row>
    <row r="2395" spans="78:79" x14ac:dyDescent="0.35">
      <c r="BZ2395" s="105"/>
      <c r="CA2395" s="20"/>
    </row>
    <row r="2396" spans="78:79" x14ac:dyDescent="0.35">
      <c r="BZ2396" s="105"/>
      <c r="CA2396" s="20"/>
    </row>
    <row r="2397" spans="78:79" x14ac:dyDescent="0.35">
      <c r="BZ2397" s="105"/>
      <c r="CA2397" s="20"/>
    </row>
    <row r="2398" spans="78:79" x14ac:dyDescent="0.35">
      <c r="BZ2398" s="105"/>
      <c r="CA2398" s="20"/>
    </row>
    <row r="2399" spans="78:79" x14ac:dyDescent="0.35">
      <c r="BZ2399" s="105"/>
      <c r="CA2399" s="20"/>
    </row>
    <row r="2400" spans="78:79" x14ac:dyDescent="0.35">
      <c r="BZ2400" s="105"/>
      <c r="CA2400" s="20"/>
    </row>
    <row r="2401" spans="78:79" x14ac:dyDescent="0.35">
      <c r="BZ2401" s="105"/>
      <c r="CA2401" s="20"/>
    </row>
    <row r="2402" spans="78:79" x14ac:dyDescent="0.35">
      <c r="BZ2402" s="105"/>
      <c r="CA2402" s="20"/>
    </row>
    <row r="2403" spans="78:79" x14ac:dyDescent="0.35">
      <c r="BZ2403" s="105"/>
      <c r="CA2403" s="20"/>
    </row>
    <row r="2404" spans="78:79" x14ac:dyDescent="0.35">
      <c r="BZ2404" s="105"/>
      <c r="CA2404" s="20"/>
    </row>
    <row r="2405" spans="78:79" x14ac:dyDescent="0.35">
      <c r="BZ2405" s="105"/>
      <c r="CA2405" s="20"/>
    </row>
    <row r="2406" spans="78:79" x14ac:dyDescent="0.35">
      <c r="BZ2406" s="105"/>
      <c r="CA2406" s="20"/>
    </row>
    <row r="2407" spans="78:79" x14ac:dyDescent="0.35">
      <c r="BZ2407" s="105"/>
      <c r="CA2407" s="20"/>
    </row>
    <row r="2408" spans="78:79" x14ac:dyDescent="0.35">
      <c r="BZ2408" s="105"/>
      <c r="CA2408" s="20"/>
    </row>
    <row r="2409" spans="78:79" x14ac:dyDescent="0.35">
      <c r="BZ2409" s="105"/>
      <c r="CA2409" s="20"/>
    </row>
    <row r="2410" spans="78:79" x14ac:dyDescent="0.35">
      <c r="BZ2410" s="105"/>
      <c r="CA2410" s="20"/>
    </row>
    <row r="2411" spans="78:79" x14ac:dyDescent="0.35">
      <c r="BZ2411" s="105"/>
      <c r="CA2411" s="20"/>
    </row>
    <row r="2412" spans="78:79" x14ac:dyDescent="0.35">
      <c r="BZ2412" s="105"/>
      <c r="CA2412" s="20"/>
    </row>
    <row r="2413" spans="78:79" x14ac:dyDescent="0.35">
      <c r="BZ2413" s="105"/>
      <c r="CA2413" s="20"/>
    </row>
    <row r="2414" spans="78:79" x14ac:dyDescent="0.35">
      <c r="BZ2414" s="105"/>
      <c r="CA2414" s="20"/>
    </row>
    <row r="2415" spans="78:79" x14ac:dyDescent="0.35">
      <c r="BZ2415" s="105"/>
      <c r="CA2415" s="20"/>
    </row>
    <row r="2416" spans="78:79" x14ac:dyDescent="0.35">
      <c r="BZ2416" s="105"/>
      <c r="CA2416" s="20"/>
    </row>
    <row r="2417" spans="78:79" x14ac:dyDescent="0.35">
      <c r="BZ2417" s="105"/>
      <c r="CA2417" s="20"/>
    </row>
    <row r="2418" spans="78:79" x14ac:dyDescent="0.35">
      <c r="BZ2418" s="105"/>
      <c r="CA2418" s="20"/>
    </row>
    <row r="2419" spans="78:79" x14ac:dyDescent="0.35">
      <c r="BZ2419" s="105"/>
      <c r="CA2419" s="20"/>
    </row>
    <row r="2420" spans="78:79" x14ac:dyDescent="0.35">
      <c r="BZ2420" s="105"/>
      <c r="CA2420" s="20"/>
    </row>
    <row r="2421" spans="78:79" x14ac:dyDescent="0.35">
      <c r="BZ2421" s="105"/>
      <c r="CA2421" s="20"/>
    </row>
    <row r="2422" spans="78:79" x14ac:dyDescent="0.35">
      <c r="BZ2422" s="105"/>
      <c r="CA2422" s="20"/>
    </row>
    <row r="2423" spans="78:79" x14ac:dyDescent="0.35">
      <c r="BZ2423" s="105"/>
      <c r="CA2423" s="20"/>
    </row>
    <row r="2424" spans="78:79" x14ac:dyDescent="0.35">
      <c r="BZ2424" s="105"/>
      <c r="CA2424" s="20"/>
    </row>
    <row r="2425" spans="78:79" x14ac:dyDescent="0.35">
      <c r="BZ2425" s="105"/>
      <c r="CA2425" s="20"/>
    </row>
    <row r="2426" spans="78:79" x14ac:dyDescent="0.35">
      <c r="BZ2426" s="105"/>
      <c r="CA2426" s="20"/>
    </row>
    <row r="2427" spans="78:79" x14ac:dyDescent="0.35">
      <c r="BZ2427" s="105"/>
      <c r="CA2427" s="20"/>
    </row>
    <row r="2428" spans="78:79" x14ac:dyDescent="0.35">
      <c r="BZ2428" s="105"/>
      <c r="CA2428" s="20"/>
    </row>
    <row r="2429" spans="78:79" x14ac:dyDescent="0.35">
      <c r="BZ2429" s="105"/>
      <c r="CA2429" s="20"/>
    </row>
    <row r="2430" spans="78:79" x14ac:dyDescent="0.35">
      <c r="BZ2430" s="105"/>
      <c r="CA2430" s="20"/>
    </row>
    <row r="2431" spans="78:79" x14ac:dyDescent="0.35">
      <c r="BZ2431" s="105"/>
      <c r="CA2431" s="20"/>
    </row>
    <row r="2432" spans="78:79" x14ac:dyDescent="0.35">
      <c r="BZ2432" s="105"/>
      <c r="CA2432" s="20"/>
    </row>
    <row r="2433" spans="78:79" x14ac:dyDescent="0.35">
      <c r="BZ2433" s="105"/>
      <c r="CA2433" s="20"/>
    </row>
    <row r="2434" spans="78:79" x14ac:dyDescent="0.35">
      <c r="BZ2434" s="105"/>
      <c r="CA2434" s="20"/>
    </row>
    <row r="2435" spans="78:79" x14ac:dyDescent="0.35">
      <c r="BZ2435" s="105"/>
      <c r="CA2435" s="20"/>
    </row>
    <row r="2436" spans="78:79" x14ac:dyDescent="0.35">
      <c r="BZ2436" s="105"/>
      <c r="CA2436" s="20"/>
    </row>
    <row r="2437" spans="78:79" x14ac:dyDescent="0.35">
      <c r="BZ2437" s="105"/>
      <c r="CA2437" s="20"/>
    </row>
    <row r="2438" spans="78:79" x14ac:dyDescent="0.35">
      <c r="BZ2438" s="105"/>
      <c r="CA2438" s="20"/>
    </row>
    <row r="2439" spans="78:79" x14ac:dyDescent="0.35">
      <c r="BZ2439" s="105"/>
      <c r="CA2439" s="20"/>
    </row>
    <row r="2440" spans="78:79" x14ac:dyDescent="0.35">
      <c r="BZ2440" s="105"/>
      <c r="CA2440" s="20"/>
    </row>
    <row r="2441" spans="78:79" x14ac:dyDescent="0.35">
      <c r="BZ2441" s="105"/>
      <c r="CA2441" s="20"/>
    </row>
    <row r="2442" spans="78:79" x14ac:dyDescent="0.35">
      <c r="BZ2442" s="105"/>
      <c r="CA2442" s="20"/>
    </row>
    <row r="2443" spans="78:79" x14ac:dyDescent="0.35">
      <c r="BZ2443" s="105"/>
      <c r="CA2443" s="20"/>
    </row>
    <row r="2444" spans="78:79" x14ac:dyDescent="0.35">
      <c r="BZ2444" s="105"/>
      <c r="CA2444" s="20"/>
    </row>
    <row r="2445" spans="78:79" x14ac:dyDescent="0.35">
      <c r="BZ2445" s="105"/>
      <c r="CA2445" s="20"/>
    </row>
    <row r="2446" spans="78:79" x14ac:dyDescent="0.35">
      <c r="BZ2446" s="105"/>
      <c r="CA2446" s="20"/>
    </row>
    <row r="2447" spans="78:79" x14ac:dyDescent="0.35">
      <c r="BZ2447" s="105"/>
      <c r="CA2447" s="20"/>
    </row>
    <row r="2448" spans="78:79" x14ac:dyDescent="0.35">
      <c r="BZ2448" s="105"/>
      <c r="CA2448" s="20"/>
    </row>
    <row r="2449" spans="78:79" x14ac:dyDescent="0.35">
      <c r="BZ2449" s="105"/>
      <c r="CA2449" s="20"/>
    </row>
    <row r="2450" spans="78:79" x14ac:dyDescent="0.35">
      <c r="BZ2450" s="105"/>
      <c r="CA2450" s="20"/>
    </row>
    <row r="2451" spans="78:79" x14ac:dyDescent="0.35">
      <c r="BZ2451" s="105"/>
      <c r="CA2451" s="20"/>
    </row>
    <row r="2452" spans="78:79" x14ac:dyDescent="0.35">
      <c r="BZ2452" s="105"/>
      <c r="CA2452" s="20"/>
    </row>
    <row r="2453" spans="78:79" x14ac:dyDescent="0.35">
      <c r="BZ2453" s="105"/>
      <c r="CA2453" s="20"/>
    </row>
    <row r="2454" spans="78:79" x14ac:dyDescent="0.35">
      <c r="BZ2454" s="105"/>
      <c r="CA2454" s="20"/>
    </row>
    <row r="2455" spans="78:79" x14ac:dyDescent="0.35">
      <c r="BZ2455" s="105"/>
      <c r="CA2455" s="20"/>
    </row>
    <row r="2456" spans="78:79" x14ac:dyDescent="0.35">
      <c r="BZ2456" s="105"/>
      <c r="CA2456" s="20"/>
    </row>
    <row r="2457" spans="78:79" x14ac:dyDescent="0.35">
      <c r="BZ2457" s="105"/>
      <c r="CA2457" s="20"/>
    </row>
    <row r="2458" spans="78:79" x14ac:dyDescent="0.35">
      <c r="BZ2458" s="105"/>
      <c r="CA2458" s="20"/>
    </row>
    <row r="2459" spans="78:79" x14ac:dyDescent="0.35">
      <c r="BZ2459" s="105"/>
      <c r="CA2459" s="20"/>
    </row>
    <row r="2460" spans="78:79" x14ac:dyDescent="0.35">
      <c r="BZ2460" s="105"/>
      <c r="CA2460" s="20"/>
    </row>
    <row r="2461" spans="78:79" x14ac:dyDescent="0.35">
      <c r="BZ2461" s="105"/>
      <c r="CA2461" s="20"/>
    </row>
    <row r="2462" spans="78:79" x14ac:dyDescent="0.35">
      <c r="BZ2462" s="105"/>
      <c r="CA2462" s="20"/>
    </row>
    <row r="2463" spans="78:79" x14ac:dyDescent="0.35">
      <c r="BZ2463" s="105"/>
      <c r="CA2463" s="20"/>
    </row>
    <row r="2464" spans="78:79" x14ac:dyDescent="0.35">
      <c r="BZ2464" s="105"/>
      <c r="CA2464" s="20"/>
    </row>
    <row r="2465" spans="78:79" x14ac:dyDescent="0.35">
      <c r="BZ2465" s="105"/>
      <c r="CA2465" s="20"/>
    </row>
    <row r="2466" spans="78:79" x14ac:dyDescent="0.35">
      <c r="BZ2466" s="105"/>
      <c r="CA2466" s="20"/>
    </row>
    <row r="2467" spans="78:79" x14ac:dyDescent="0.35">
      <c r="BZ2467" s="105"/>
      <c r="CA2467" s="20"/>
    </row>
    <row r="2468" spans="78:79" x14ac:dyDescent="0.35">
      <c r="BZ2468" s="105"/>
      <c r="CA2468" s="20"/>
    </row>
    <row r="2469" spans="78:79" x14ac:dyDescent="0.35">
      <c r="BZ2469" s="105"/>
      <c r="CA2469" s="20"/>
    </row>
    <row r="2470" spans="78:79" x14ac:dyDescent="0.35">
      <c r="BZ2470" s="105"/>
      <c r="CA2470" s="20"/>
    </row>
    <row r="2471" spans="78:79" x14ac:dyDescent="0.35">
      <c r="BZ2471" s="105"/>
      <c r="CA2471" s="20"/>
    </row>
    <row r="2472" spans="78:79" x14ac:dyDescent="0.35">
      <c r="BZ2472" s="105"/>
      <c r="CA2472" s="20"/>
    </row>
    <row r="2473" spans="78:79" x14ac:dyDescent="0.35">
      <c r="BZ2473" s="105"/>
      <c r="CA2473" s="20"/>
    </row>
    <row r="2474" spans="78:79" x14ac:dyDescent="0.35">
      <c r="BZ2474" s="105"/>
      <c r="CA2474" s="20"/>
    </row>
    <row r="2475" spans="78:79" x14ac:dyDescent="0.35">
      <c r="BZ2475" s="105"/>
      <c r="CA2475" s="20"/>
    </row>
    <row r="2476" spans="78:79" x14ac:dyDescent="0.35">
      <c r="BZ2476" s="105"/>
      <c r="CA2476" s="20"/>
    </row>
    <row r="2477" spans="78:79" x14ac:dyDescent="0.35">
      <c r="BZ2477" s="105"/>
      <c r="CA2477" s="20"/>
    </row>
    <row r="2478" spans="78:79" x14ac:dyDescent="0.35">
      <c r="BZ2478" s="105"/>
      <c r="CA2478" s="20"/>
    </row>
    <row r="2479" spans="78:79" x14ac:dyDescent="0.35">
      <c r="BZ2479" s="105"/>
      <c r="CA2479" s="20"/>
    </row>
    <row r="2480" spans="78:79" x14ac:dyDescent="0.35">
      <c r="BZ2480" s="105"/>
      <c r="CA2480" s="20"/>
    </row>
    <row r="2481" spans="78:79" x14ac:dyDescent="0.35">
      <c r="BZ2481" s="105"/>
      <c r="CA2481" s="20"/>
    </row>
    <row r="2482" spans="78:79" x14ac:dyDescent="0.35">
      <c r="BZ2482" s="105"/>
      <c r="CA2482" s="20"/>
    </row>
    <row r="2483" spans="78:79" x14ac:dyDescent="0.35">
      <c r="BZ2483" s="105"/>
      <c r="CA2483" s="20"/>
    </row>
    <row r="2484" spans="78:79" x14ac:dyDescent="0.35">
      <c r="BZ2484" s="105"/>
      <c r="CA2484" s="20"/>
    </row>
    <row r="2485" spans="78:79" x14ac:dyDescent="0.35">
      <c r="BZ2485" s="105"/>
      <c r="CA2485" s="20"/>
    </row>
    <row r="2486" spans="78:79" x14ac:dyDescent="0.35">
      <c r="BZ2486" s="105"/>
      <c r="CA2486" s="20"/>
    </row>
    <row r="2487" spans="78:79" x14ac:dyDescent="0.35">
      <c r="BZ2487" s="105"/>
      <c r="CA2487" s="20"/>
    </row>
    <row r="2488" spans="78:79" x14ac:dyDescent="0.35">
      <c r="BZ2488" s="105"/>
      <c r="CA2488" s="20"/>
    </row>
    <row r="2489" spans="78:79" x14ac:dyDescent="0.35">
      <c r="BZ2489" s="105"/>
      <c r="CA2489" s="20"/>
    </row>
    <row r="2490" spans="78:79" x14ac:dyDescent="0.35">
      <c r="BZ2490" s="105"/>
      <c r="CA2490" s="20"/>
    </row>
    <row r="2491" spans="78:79" x14ac:dyDescent="0.35">
      <c r="BZ2491" s="105"/>
      <c r="CA2491" s="20"/>
    </row>
    <row r="2492" spans="78:79" x14ac:dyDescent="0.35">
      <c r="BZ2492" s="105"/>
      <c r="CA2492" s="20"/>
    </row>
    <row r="2493" spans="78:79" x14ac:dyDescent="0.35">
      <c r="BZ2493" s="105"/>
      <c r="CA2493" s="20"/>
    </row>
    <row r="2494" spans="78:79" x14ac:dyDescent="0.35">
      <c r="BZ2494" s="105"/>
      <c r="CA2494" s="20"/>
    </row>
    <row r="2495" spans="78:79" x14ac:dyDescent="0.35">
      <c r="BZ2495" s="105"/>
      <c r="CA2495" s="20"/>
    </row>
    <row r="2496" spans="78:79" x14ac:dyDescent="0.35">
      <c r="BZ2496" s="105"/>
      <c r="CA2496" s="20"/>
    </row>
    <row r="2497" spans="78:79" x14ac:dyDescent="0.35">
      <c r="BZ2497" s="105"/>
      <c r="CA2497" s="20"/>
    </row>
    <row r="2498" spans="78:79" x14ac:dyDescent="0.35">
      <c r="BZ2498" s="105"/>
      <c r="CA2498" s="20"/>
    </row>
    <row r="2499" spans="78:79" x14ac:dyDescent="0.35">
      <c r="BZ2499" s="105"/>
      <c r="CA2499" s="20"/>
    </row>
    <row r="2500" spans="78:79" x14ac:dyDescent="0.35">
      <c r="BZ2500" s="105"/>
      <c r="CA2500" s="20"/>
    </row>
    <row r="2501" spans="78:79" x14ac:dyDescent="0.35">
      <c r="BZ2501" s="105"/>
      <c r="CA2501" s="20"/>
    </row>
    <row r="2502" spans="78:79" x14ac:dyDescent="0.35">
      <c r="BZ2502" s="105"/>
      <c r="CA2502" s="20"/>
    </row>
    <row r="2503" spans="78:79" x14ac:dyDescent="0.35">
      <c r="BZ2503" s="105"/>
      <c r="CA2503" s="20"/>
    </row>
    <row r="2504" spans="78:79" x14ac:dyDescent="0.35">
      <c r="BZ2504" s="105"/>
      <c r="CA2504" s="20"/>
    </row>
    <row r="2505" spans="78:79" x14ac:dyDescent="0.35">
      <c r="BZ2505" s="105"/>
      <c r="CA2505" s="20"/>
    </row>
    <row r="2506" spans="78:79" x14ac:dyDescent="0.35">
      <c r="BZ2506" s="105"/>
      <c r="CA2506" s="20"/>
    </row>
    <row r="2507" spans="78:79" x14ac:dyDescent="0.35">
      <c r="BZ2507" s="105"/>
      <c r="CA2507" s="20"/>
    </row>
    <row r="2508" spans="78:79" x14ac:dyDescent="0.35">
      <c r="BZ2508" s="105"/>
      <c r="CA2508" s="20"/>
    </row>
    <row r="2509" spans="78:79" x14ac:dyDescent="0.35">
      <c r="BZ2509" s="105"/>
      <c r="CA2509" s="20"/>
    </row>
    <row r="2510" spans="78:79" x14ac:dyDescent="0.35">
      <c r="BZ2510" s="105"/>
      <c r="CA2510" s="20"/>
    </row>
    <row r="2511" spans="78:79" x14ac:dyDescent="0.35">
      <c r="BZ2511" s="105"/>
      <c r="CA2511" s="20"/>
    </row>
    <row r="2512" spans="78:79" x14ac:dyDescent="0.35">
      <c r="BZ2512" s="105"/>
      <c r="CA2512" s="20"/>
    </row>
    <row r="2513" spans="78:79" x14ac:dyDescent="0.35">
      <c r="BZ2513" s="105"/>
      <c r="CA2513" s="20"/>
    </row>
    <row r="2514" spans="78:79" x14ac:dyDescent="0.35">
      <c r="BZ2514" s="105"/>
      <c r="CA2514" s="20"/>
    </row>
    <row r="2515" spans="78:79" x14ac:dyDescent="0.35">
      <c r="BZ2515" s="105"/>
      <c r="CA2515" s="20"/>
    </row>
    <row r="2516" spans="78:79" x14ac:dyDescent="0.35">
      <c r="BZ2516" s="105"/>
      <c r="CA2516" s="20"/>
    </row>
    <row r="2517" spans="78:79" x14ac:dyDescent="0.35">
      <c r="BZ2517" s="105"/>
      <c r="CA2517" s="20"/>
    </row>
    <row r="2518" spans="78:79" x14ac:dyDescent="0.35">
      <c r="BZ2518" s="105"/>
      <c r="CA2518" s="20"/>
    </row>
    <row r="2519" spans="78:79" x14ac:dyDescent="0.35">
      <c r="BZ2519" s="105"/>
      <c r="CA2519" s="20"/>
    </row>
    <row r="2520" spans="78:79" x14ac:dyDescent="0.35">
      <c r="BZ2520" s="105"/>
      <c r="CA2520" s="20"/>
    </row>
    <row r="2521" spans="78:79" x14ac:dyDescent="0.35">
      <c r="BZ2521" s="105"/>
      <c r="CA2521" s="20"/>
    </row>
    <row r="2522" spans="78:79" x14ac:dyDescent="0.35">
      <c r="BZ2522" s="105"/>
      <c r="CA2522" s="20"/>
    </row>
    <row r="2523" spans="78:79" x14ac:dyDescent="0.35">
      <c r="BZ2523" s="105"/>
      <c r="CA2523" s="20"/>
    </row>
    <row r="2524" spans="78:79" x14ac:dyDescent="0.35">
      <c r="BZ2524" s="105"/>
      <c r="CA2524" s="20"/>
    </row>
    <row r="2525" spans="78:79" x14ac:dyDescent="0.35">
      <c r="BZ2525" s="105"/>
      <c r="CA2525" s="20"/>
    </row>
    <row r="2526" spans="78:79" x14ac:dyDescent="0.35">
      <c r="BZ2526" s="105"/>
      <c r="CA2526" s="20"/>
    </row>
    <row r="2527" spans="78:79" x14ac:dyDescent="0.35">
      <c r="BZ2527" s="105"/>
      <c r="CA2527" s="20"/>
    </row>
    <row r="2528" spans="78:79" x14ac:dyDescent="0.35">
      <c r="BZ2528" s="105"/>
      <c r="CA2528" s="20"/>
    </row>
    <row r="2529" spans="78:79" x14ac:dyDescent="0.35">
      <c r="BZ2529" s="105"/>
      <c r="CA2529" s="20"/>
    </row>
    <row r="2530" spans="78:79" x14ac:dyDescent="0.35">
      <c r="BZ2530" s="105"/>
      <c r="CA2530" s="20"/>
    </row>
    <row r="2531" spans="78:79" x14ac:dyDescent="0.35">
      <c r="BZ2531" s="105"/>
      <c r="CA2531" s="20"/>
    </row>
    <row r="2532" spans="78:79" x14ac:dyDescent="0.35">
      <c r="BZ2532" s="105"/>
      <c r="CA2532" s="20"/>
    </row>
    <row r="2533" spans="78:79" x14ac:dyDescent="0.35">
      <c r="BZ2533" s="105"/>
      <c r="CA2533" s="20"/>
    </row>
    <row r="2534" spans="78:79" x14ac:dyDescent="0.35">
      <c r="BZ2534" s="105"/>
      <c r="CA2534" s="20"/>
    </row>
    <row r="2535" spans="78:79" x14ac:dyDescent="0.35">
      <c r="BZ2535" s="105"/>
      <c r="CA2535" s="20"/>
    </row>
    <row r="2536" spans="78:79" x14ac:dyDescent="0.35">
      <c r="BZ2536" s="105"/>
      <c r="CA2536" s="20"/>
    </row>
    <row r="2537" spans="78:79" x14ac:dyDescent="0.35">
      <c r="BZ2537" s="105"/>
      <c r="CA2537" s="20"/>
    </row>
    <row r="2538" spans="78:79" x14ac:dyDescent="0.35">
      <c r="BZ2538" s="105"/>
      <c r="CA2538" s="20"/>
    </row>
    <row r="2539" spans="78:79" x14ac:dyDescent="0.35">
      <c r="BZ2539" s="105"/>
      <c r="CA2539" s="20"/>
    </row>
    <row r="2540" spans="78:79" x14ac:dyDescent="0.35">
      <c r="BZ2540" s="105"/>
      <c r="CA2540" s="20"/>
    </row>
    <row r="2541" spans="78:79" x14ac:dyDescent="0.35">
      <c r="BZ2541" s="105"/>
      <c r="CA2541" s="20"/>
    </row>
    <row r="2542" spans="78:79" x14ac:dyDescent="0.35">
      <c r="BZ2542" s="105"/>
      <c r="CA2542" s="20"/>
    </row>
    <row r="2543" spans="78:79" x14ac:dyDescent="0.35">
      <c r="BZ2543" s="105"/>
      <c r="CA2543" s="20"/>
    </row>
    <row r="2544" spans="78:79" x14ac:dyDescent="0.35">
      <c r="BZ2544" s="105"/>
      <c r="CA2544" s="20"/>
    </row>
    <row r="2545" spans="78:79" x14ac:dyDescent="0.35">
      <c r="BZ2545" s="105"/>
      <c r="CA2545" s="20"/>
    </row>
    <row r="2546" spans="78:79" x14ac:dyDescent="0.35">
      <c r="BZ2546" s="105"/>
      <c r="CA2546" s="20"/>
    </row>
    <row r="2547" spans="78:79" x14ac:dyDescent="0.35">
      <c r="BZ2547" s="105"/>
      <c r="CA2547" s="20"/>
    </row>
    <row r="2548" spans="78:79" x14ac:dyDescent="0.35">
      <c r="BZ2548" s="105"/>
      <c r="CA2548" s="20"/>
    </row>
    <row r="2549" spans="78:79" x14ac:dyDescent="0.35">
      <c r="BZ2549" s="105"/>
      <c r="CA2549" s="20"/>
    </row>
    <row r="2550" spans="78:79" x14ac:dyDescent="0.35">
      <c r="BZ2550" s="105"/>
      <c r="CA2550" s="20"/>
    </row>
    <row r="2551" spans="78:79" x14ac:dyDescent="0.35">
      <c r="BZ2551" s="105"/>
      <c r="CA2551" s="20"/>
    </row>
    <row r="2552" spans="78:79" x14ac:dyDescent="0.35">
      <c r="BZ2552" s="105"/>
      <c r="CA2552" s="20"/>
    </row>
    <row r="2553" spans="78:79" x14ac:dyDescent="0.35">
      <c r="BZ2553" s="105"/>
      <c r="CA2553" s="20"/>
    </row>
    <row r="2554" spans="78:79" x14ac:dyDescent="0.35">
      <c r="BZ2554" s="105"/>
      <c r="CA2554" s="20"/>
    </row>
    <row r="2555" spans="78:79" x14ac:dyDescent="0.35">
      <c r="BZ2555" s="105"/>
      <c r="CA2555" s="20"/>
    </row>
    <row r="2556" spans="78:79" x14ac:dyDescent="0.35">
      <c r="BZ2556" s="105"/>
      <c r="CA2556" s="20"/>
    </row>
    <row r="2557" spans="78:79" x14ac:dyDescent="0.35">
      <c r="BZ2557" s="105"/>
      <c r="CA2557" s="20"/>
    </row>
    <row r="2558" spans="78:79" x14ac:dyDescent="0.35">
      <c r="BZ2558" s="105"/>
      <c r="CA2558" s="20"/>
    </row>
    <row r="2559" spans="78:79" x14ac:dyDescent="0.35">
      <c r="BZ2559" s="105"/>
      <c r="CA2559" s="20"/>
    </row>
    <row r="2560" spans="78:79" x14ac:dyDescent="0.35">
      <c r="BZ2560" s="105"/>
      <c r="CA2560" s="20"/>
    </row>
    <row r="2561" spans="78:79" x14ac:dyDescent="0.35">
      <c r="BZ2561" s="105"/>
      <c r="CA2561" s="20"/>
    </row>
    <row r="2562" spans="78:79" x14ac:dyDescent="0.35">
      <c r="BZ2562" s="105"/>
      <c r="CA2562" s="20"/>
    </row>
    <row r="2563" spans="78:79" x14ac:dyDescent="0.35">
      <c r="BZ2563" s="105"/>
      <c r="CA2563" s="20"/>
    </row>
    <row r="2564" spans="78:79" x14ac:dyDescent="0.35">
      <c r="BZ2564" s="105"/>
      <c r="CA2564" s="20"/>
    </row>
    <row r="2565" spans="78:79" x14ac:dyDescent="0.35">
      <c r="BZ2565" s="105"/>
      <c r="CA2565" s="20"/>
    </row>
    <row r="2566" spans="78:79" x14ac:dyDescent="0.35">
      <c r="BZ2566" s="105"/>
      <c r="CA2566" s="20"/>
    </row>
    <row r="2567" spans="78:79" x14ac:dyDescent="0.35">
      <c r="BZ2567" s="105"/>
      <c r="CA2567" s="20"/>
    </row>
    <row r="2568" spans="78:79" x14ac:dyDescent="0.35">
      <c r="BZ2568" s="105"/>
      <c r="CA2568" s="20"/>
    </row>
    <row r="2569" spans="78:79" x14ac:dyDescent="0.35">
      <c r="BZ2569" s="105"/>
      <c r="CA2569" s="20"/>
    </row>
    <row r="2570" spans="78:79" x14ac:dyDescent="0.35">
      <c r="BZ2570" s="105"/>
      <c r="CA2570" s="20"/>
    </row>
    <row r="2571" spans="78:79" x14ac:dyDescent="0.35">
      <c r="BZ2571" s="105"/>
      <c r="CA2571" s="20"/>
    </row>
    <row r="2572" spans="78:79" x14ac:dyDescent="0.35">
      <c r="BZ2572" s="105"/>
      <c r="CA2572" s="20"/>
    </row>
    <row r="2573" spans="78:79" x14ac:dyDescent="0.35">
      <c r="BZ2573" s="105"/>
      <c r="CA2573" s="20"/>
    </row>
    <row r="2574" spans="78:79" x14ac:dyDescent="0.35">
      <c r="BZ2574" s="105"/>
      <c r="CA2574" s="20"/>
    </row>
    <row r="2575" spans="78:79" x14ac:dyDescent="0.35">
      <c r="BZ2575" s="105"/>
      <c r="CA2575" s="20"/>
    </row>
    <row r="2576" spans="78:79" x14ac:dyDescent="0.35">
      <c r="BZ2576" s="105"/>
      <c r="CA2576" s="20"/>
    </row>
    <row r="2577" spans="78:79" x14ac:dyDescent="0.35">
      <c r="BZ2577" s="105"/>
      <c r="CA2577" s="20"/>
    </row>
    <row r="2578" spans="78:79" x14ac:dyDescent="0.35">
      <c r="BZ2578" s="105"/>
      <c r="CA2578" s="20"/>
    </row>
    <row r="2579" spans="78:79" x14ac:dyDescent="0.35">
      <c r="BZ2579" s="105"/>
      <c r="CA2579" s="20"/>
    </row>
    <row r="2580" spans="78:79" x14ac:dyDescent="0.35">
      <c r="BZ2580" s="105"/>
      <c r="CA2580" s="20"/>
    </row>
    <row r="2581" spans="78:79" x14ac:dyDescent="0.35">
      <c r="BZ2581" s="105"/>
      <c r="CA2581" s="20"/>
    </row>
    <row r="2582" spans="78:79" x14ac:dyDescent="0.35">
      <c r="BZ2582" s="105"/>
      <c r="CA2582" s="20"/>
    </row>
    <row r="2583" spans="78:79" x14ac:dyDescent="0.35">
      <c r="BZ2583" s="105"/>
      <c r="CA2583" s="20"/>
    </row>
    <row r="2584" spans="78:79" x14ac:dyDescent="0.35">
      <c r="BZ2584" s="105"/>
      <c r="CA2584" s="20"/>
    </row>
    <row r="2585" spans="78:79" x14ac:dyDescent="0.35">
      <c r="BZ2585" s="105"/>
      <c r="CA2585" s="20"/>
    </row>
    <row r="2586" spans="78:79" x14ac:dyDescent="0.35">
      <c r="BZ2586" s="105"/>
      <c r="CA2586" s="20"/>
    </row>
    <row r="2587" spans="78:79" x14ac:dyDescent="0.35">
      <c r="BZ2587" s="105"/>
      <c r="CA2587" s="20"/>
    </row>
    <row r="2588" spans="78:79" x14ac:dyDescent="0.35">
      <c r="BZ2588" s="105"/>
      <c r="CA2588" s="20"/>
    </row>
    <row r="2589" spans="78:79" x14ac:dyDescent="0.35">
      <c r="BZ2589" s="105"/>
      <c r="CA2589" s="20"/>
    </row>
    <row r="2590" spans="78:79" x14ac:dyDescent="0.35">
      <c r="BZ2590" s="105"/>
      <c r="CA2590" s="20"/>
    </row>
    <row r="2591" spans="78:79" x14ac:dyDescent="0.35">
      <c r="BZ2591" s="105"/>
      <c r="CA2591" s="20"/>
    </row>
    <row r="2592" spans="78:79" x14ac:dyDescent="0.35">
      <c r="BZ2592" s="105"/>
      <c r="CA2592" s="20"/>
    </row>
    <row r="2593" spans="78:79" x14ac:dyDescent="0.35">
      <c r="BZ2593" s="105"/>
      <c r="CA2593" s="20"/>
    </row>
    <row r="2594" spans="78:79" x14ac:dyDescent="0.35">
      <c r="BZ2594" s="105"/>
      <c r="CA2594" s="20"/>
    </row>
    <row r="2595" spans="78:79" x14ac:dyDescent="0.35">
      <c r="BZ2595" s="105"/>
      <c r="CA2595" s="20"/>
    </row>
    <row r="2596" spans="78:79" x14ac:dyDescent="0.35">
      <c r="BZ2596" s="105"/>
      <c r="CA2596" s="20"/>
    </row>
    <row r="2597" spans="78:79" x14ac:dyDescent="0.35">
      <c r="BZ2597" s="105"/>
      <c r="CA2597" s="20"/>
    </row>
    <row r="2598" spans="78:79" x14ac:dyDescent="0.35">
      <c r="BZ2598" s="105"/>
      <c r="CA2598" s="20"/>
    </row>
    <row r="2599" spans="78:79" x14ac:dyDescent="0.35">
      <c r="BZ2599" s="105"/>
      <c r="CA2599" s="20"/>
    </row>
    <row r="2600" spans="78:79" x14ac:dyDescent="0.35">
      <c r="BZ2600" s="105"/>
      <c r="CA2600" s="20"/>
    </row>
    <row r="2601" spans="78:79" x14ac:dyDescent="0.35">
      <c r="BZ2601" s="105"/>
      <c r="CA2601" s="20"/>
    </row>
    <row r="2602" spans="78:79" x14ac:dyDescent="0.35">
      <c r="BZ2602" s="105"/>
      <c r="CA2602" s="20"/>
    </row>
    <row r="2603" spans="78:79" x14ac:dyDescent="0.35">
      <c r="BZ2603" s="105"/>
      <c r="CA2603" s="20"/>
    </row>
    <row r="2604" spans="78:79" x14ac:dyDescent="0.35">
      <c r="BZ2604" s="105"/>
      <c r="CA2604" s="20"/>
    </row>
    <row r="2605" spans="78:79" x14ac:dyDescent="0.35">
      <c r="BZ2605" s="105"/>
      <c r="CA2605" s="20"/>
    </row>
    <row r="2606" spans="78:79" x14ac:dyDescent="0.35">
      <c r="BZ2606" s="105"/>
      <c r="CA2606" s="20"/>
    </row>
    <row r="2607" spans="78:79" x14ac:dyDescent="0.35">
      <c r="BZ2607" s="105"/>
      <c r="CA2607" s="20"/>
    </row>
    <row r="2608" spans="78:79" x14ac:dyDescent="0.35">
      <c r="BZ2608" s="105"/>
      <c r="CA2608" s="20"/>
    </row>
    <row r="2609" spans="78:79" x14ac:dyDescent="0.35">
      <c r="BZ2609" s="105"/>
      <c r="CA2609" s="20"/>
    </row>
    <row r="2610" spans="78:79" x14ac:dyDescent="0.35">
      <c r="BZ2610" s="105"/>
      <c r="CA2610" s="20"/>
    </row>
    <row r="2611" spans="78:79" x14ac:dyDescent="0.35">
      <c r="BZ2611" s="105"/>
      <c r="CA2611" s="20"/>
    </row>
    <row r="2612" spans="78:79" x14ac:dyDescent="0.35">
      <c r="BZ2612" s="105"/>
      <c r="CA2612" s="20"/>
    </row>
    <row r="2613" spans="78:79" x14ac:dyDescent="0.35">
      <c r="BZ2613" s="105"/>
      <c r="CA2613" s="20"/>
    </row>
    <row r="2614" spans="78:79" x14ac:dyDescent="0.35">
      <c r="BZ2614" s="105"/>
      <c r="CA2614" s="20"/>
    </row>
    <row r="2615" spans="78:79" x14ac:dyDescent="0.35">
      <c r="BZ2615" s="105"/>
      <c r="CA2615" s="20"/>
    </row>
    <row r="2616" spans="78:79" x14ac:dyDescent="0.35">
      <c r="BZ2616" s="105"/>
      <c r="CA2616" s="20"/>
    </row>
    <row r="2617" spans="78:79" x14ac:dyDescent="0.35">
      <c r="BZ2617" s="105"/>
      <c r="CA2617" s="20"/>
    </row>
    <row r="2618" spans="78:79" x14ac:dyDescent="0.35">
      <c r="BZ2618" s="105"/>
      <c r="CA2618" s="20"/>
    </row>
    <row r="2619" spans="78:79" x14ac:dyDescent="0.35">
      <c r="BZ2619" s="105"/>
      <c r="CA2619" s="20"/>
    </row>
    <row r="2620" spans="78:79" x14ac:dyDescent="0.35">
      <c r="BZ2620" s="105"/>
      <c r="CA2620" s="20"/>
    </row>
    <row r="2621" spans="78:79" x14ac:dyDescent="0.35">
      <c r="BZ2621" s="105"/>
      <c r="CA2621" s="20"/>
    </row>
    <row r="2622" spans="78:79" x14ac:dyDescent="0.35">
      <c r="BZ2622" s="105"/>
      <c r="CA2622" s="20"/>
    </row>
    <row r="2623" spans="78:79" x14ac:dyDescent="0.35">
      <c r="BZ2623" s="105"/>
      <c r="CA2623" s="20"/>
    </row>
    <row r="2624" spans="78:79" x14ac:dyDescent="0.35">
      <c r="BZ2624" s="105"/>
      <c r="CA2624" s="20"/>
    </row>
    <row r="2625" spans="78:79" x14ac:dyDescent="0.35">
      <c r="BZ2625" s="105"/>
      <c r="CA2625" s="20"/>
    </row>
    <row r="2626" spans="78:79" x14ac:dyDescent="0.35">
      <c r="BZ2626" s="105"/>
      <c r="CA2626" s="20"/>
    </row>
    <row r="2627" spans="78:79" x14ac:dyDescent="0.35">
      <c r="BZ2627" s="105"/>
      <c r="CA2627" s="20"/>
    </row>
    <row r="2628" spans="78:79" x14ac:dyDescent="0.35">
      <c r="BZ2628" s="105"/>
      <c r="CA2628" s="20"/>
    </row>
    <row r="2629" spans="78:79" x14ac:dyDescent="0.35">
      <c r="BZ2629" s="105"/>
      <c r="CA2629" s="20"/>
    </row>
    <row r="2630" spans="78:79" x14ac:dyDescent="0.35">
      <c r="BZ2630" s="105"/>
      <c r="CA2630" s="20"/>
    </row>
    <row r="2631" spans="78:79" x14ac:dyDescent="0.35">
      <c r="BZ2631" s="105"/>
      <c r="CA2631" s="20"/>
    </row>
    <row r="2632" spans="78:79" x14ac:dyDescent="0.35">
      <c r="BZ2632" s="105"/>
      <c r="CA2632" s="20"/>
    </row>
    <row r="2633" spans="78:79" x14ac:dyDescent="0.35">
      <c r="BZ2633" s="105"/>
      <c r="CA2633" s="20"/>
    </row>
    <row r="2634" spans="78:79" x14ac:dyDescent="0.35">
      <c r="BZ2634" s="105"/>
      <c r="CA2634" s="20"/>
    </row>
    <row r="2635" spans="78:79" x14ac:dyDescent="0.35">
      <c r="BZ2635" s="105"/>
      <c r="CA2635" s="20"/>
    </row>
    <row r="2636" spans="78:79" x14ac:dyDescent="0.35">
      <c r="BZ2636" s="105"/>
      <c r="CA2636" s="20"/>
    </row>
    <row r="2637" spans="78:79" x14ac:dyDescent="0.35">
      <c r="BZ2637" s="105"/>
      <c r="CA2637" s="20"/>
    </row>
    <row r="2638" spans="78:79" x14ac:dyDescent="0.35">
      <c r="BZ2638" s="105"/>
      <c r="CA2638" s="20"/>
    </row>
    <row r="2639" spans="78:79" x14ac:dyDescent="0.35">
      <c r="BZ2639" s="105"/>
      <c r="CA2639" s="20"/>
    </row>
    <row r="2640" spans="78:79" x14ac:dyDescent="0.35">
      <c r="BZ2640" s="105"/>
      <c r="CA2640" s="20"/>
    </row>
    <row r="2641" spans="78:79" x14ac:dyDescent="0.35">
      <c r="BZ2641" s="105"/>
      <c r="CA2641" s="20"/>
    </row>
    <row r="2642" spans="78:79" x14ac:dyDescent="0.35">
      <c r="BZ2642" s="105"/>
      <c r="CA2642" s="20"/>
    </row>
    <row r="2643" spans="78:79" x14ac:dyDescent="0.35">
      <c r="BZ2643" s="105"/>
      <c r="CA2643" s="20"/>
    </row>
    <row r="2644" spans="78:79" x14ac:dyDescent="0.35">
      <c r="BZ2644" s="105"/>
      <c r="CA2644" s="20"/>
    </row>
    <row r="2645" spans="78:79" x14ac:dyDescent="0.35">
      <c r="BZ2645" s="105"/>
      <c r="CA2645" s="20"/>
    </row>
    <row r="2646" spans="78:79" x14ac:dyDescent="0.35">
      <c r="BZ2646" s="105"/>
      <c r="CA2646" s="20"/>
    </row>
    <row r="2647" spans="78:79" x14ac:dyDescent="0.35">
      <c r="BZ2647" s="105"/>
      <c r="CA2647" s="20"/>
    </row>
    <row r="2648" spans="78:79" x14ac:dyDescent="0.35">
      <c r="BZ2648" s="105"/>
      <c r="CA2648" s="20"/>
    </row>
    <row r="2649" spans="78:79" x14ac:dyDescent="0.35">
      <c r="BZ2649" s="105"/>
      <c r="CA2649" s="20"/>
    </row>
    <row r="2650" spans="78:79" x14ac:dyDescent="0.35">
      <c r="BZ2650" s="105"/>
      <c r="CA2650" s="20"/>
    </row>
    <row r="2651" spans="78:79" x14ac:dyDescent="0.35">
      <c r="BZ2651" s="105"/>
      <c r="CA2651" s="20"/>
    </row>
    <row r="2652" spans="78:79" x14ac:dyDescent="0.35">
      <c r="BZ2652" s="105"/>
      <c r="CA2652" s="20"/>
    </row>
    <row r="2653" spans="78:79" x14ac:dyDescent="0.35">
      <c r="BZ2653" s="105"/>
      <c r="CA2653" s="20"/>
    </row>
    <row r="2654" spans="78:79" x14ac:dyDescent="0.35">
      <c r="BZ2654" s="105"/>
      <c r="CA2654" s="20"/>
    </row>
    <row r="2655" spans="78:79" x14ac:dyDescent="0.35">
      <c r="BZ2655" s="105"/>
      <c r="CA2655" s="20"/>
    </row>
    <row r="2656" spans="78:79" x14ac:dyDescent="0.35">
      <c r="BZ2656" s="105"/>
      <c r="CA2656" s="20"/>
    </row>
    <row r="2657" spans="78:79" x14ac:dyDescent="0.35">
      <c r="BZ2657" s="105"/>
      <c r="CA2657" s="20"/>
    </row>
    <row r="2658" spans="78:79" x14ac:dyDescent="0.35">
      <c r="BZ2658" s="105"/>
      <c r="CA2658" s="20"/>
    </row>
    <row r="2659" spans="78:79" x14ac:dyDescent="0.35">
      <c r="BZ2659" s="105"/>
      <c r="CA2659" s="20"/>
    </row>
    <row r="2660" spans="78:79" x14ac:dyDescent="0.35">
      <c r="BZ2660" s="105"/>
      <c r="CA2660" s="20"/>
    </row>
    <row r="2661" spans="78:79" x14ac:dyDescent="0.35">
      <c r="BZ2661" s="105"/>
      <c r="CA2661" s="20"/>
    </row>
    <row r="2662" spans="78:79" x14ac:dyDescent="0.35">
      <c r="BZ2662" s="105"/>
      <c r="CA2662" s="20"/>
    </row>
    <row r="2663" spans="78:79" x14ac:dyDescent="0.35">
      <c r="BZ2663" s="105"/>
      <c r="CA2663" s="20"/>
    </row>
    <row r="2664" spans="78:79" x14ac:dyDescent="0.35">
      <c r="BZ2664" s="105"/>
      <c r="CA2664" s="20"/>
    </row>
    <row r="2665" spans="78:79" x14ac:dyDescent="0.35">
      <c r="BZ2665" s="105"/>
      <c r="CA2665" s="20"/>
    </row>
    <row r="2666" spans="78:79" x14ac:dyDescent="0.35">
      <c r="BZ2666" s="105"/>
      <c r="CA2666" s="20"/>
    </row>
    <row r="2667" spans="78:79" x14ac:dyDescent="0.35">
      <c r="BZ2667" s="105"/>
      <c r="CA2667" s="20"/>
    </row>
    <row r="2668" spans="78:79" x14ac:dyDescent="0.35">
      <c r="BZ2668" s="105"/>
      <c r="CA2668" s="20"/>
    </row>
    <row r="2669" spans="78:79" x14ac:dyDescent="0.35">
      <c r="BZ2669" s="105"/>
      <c r="CA2669" s="20"/>
    </row>
    <row r="2670" spans="78:79" x14ac:dyDescent="0.35">
      <c r="BZ2670" s="105"/>
      <c r="CA2670" s="20"/>
    </row>
    <row r="2671" spans="78:79" x14ac:dyDescent="0.35">
      <c r="BZ2671" s="105"/>
      <c r="CA2671" s="20"/>
    </row>
    <row r="2672" spans="78:79" x14ac:dyDescent="0.35">
      <c r="BZ2672" s="105"/>
      <c r="CA2672" s="20"/>
    </row>
    <row r="2673" spans="78:79" x14ac:dyDescent="0.35">
      <c r="BZ2673" s="105"/>
      <c r="CA2673" s="20"/>
    </row>
    <row r="2674" spans="78:79" x14ac:dyDescent="0.35">
      <c r="BZ2674" s="105"/>
      <c r="CA2674" s="20"/>
    </row>
    <row r="2675" spans="78:79" x14ac:dyDescent="0.35">
      <c r="BZ2675" s="105"/>
      <c r="CA2675" s="20"/>
    </row>
    <row r="2676" spans="78:79" x14ac:dyDescent="0.35">
      <c r="BZ2676" s="105"/>
      <c r="CA2676" s="20"/>
    </row>
    <row r="2677" spans="78:79" x14ac:dyDescent="0.35">
      <c r="BZ2677" s="105"/>
      <c r="CA2677" s="20"/>
    </row>
    <row r="2678" spans="78:79" x14ac:dyDescent="0.35">
      <c r="BZ2678" s="105"/>
      <c r="CA2678" s="20"/>
    </row>
    <row r="2679" spans="78:79" x14ac:dyDescent="0.35">
      <c r="BZ2679" s="105"/>
      <c r="CA2679" s="20"/>
    </row>
    <row r="2680" spans="78:79" x14ac:dyDescent="0.35">
      <c r="BZ2680" s="105"/>
      <c r="CA2680" s="20"/>
    </row>
    <row r="2681" spans="78:79" x14ac:dyDescent="0.35">
      <c r="BZ2681" s="105"/>
      <c r="CA2681" s="20"/>
    </row>
    <row r="2682" spans="78:79" x14ac:dyDescent="0.35">
      <c r="BZ2682" s="105"/>
      <c r="CA2682" s="20"/>
    </row>
    <row r="2683" spans="78:79" x14ac:dyDescent="0.35">
      <c r="BZ2683" s="105"/>
      <c r="CA2683" s="20"/>
    </row>
    <row r="2684" spans="78:79" x14ac:dyDescent="0.35">
      <c r="BZ2684" s="105"/>
      <c r="CA2684" s="20"/>
    </row>
    <row r="2685" spans="78:79" x14ac:dyDescent="0.35">
      <c r="BZ2685" s="105"/>
      <c r="CA2685" s="20"/>
    </row>
    <row r="2686" spans="78:79" x14ac:dyDescent="0.35">
      <c r="BZ2686" s="105"/>
      <c r="CA2686" s="20"/>
    </row>
    <row r="2687" spans="78:79" x14ac:dyDescent="0.35">
      <c r="BZ2687" s="105"/>
      <c r="CA2687" s="20"/>
    </row>
    <row r="2688" spans="78:79" x14ac:dyDescent="0.35">
      <c r="BZ2688" s="105"/>
      <c r="CA2688" s="20"/>
    </row>
    <row r="2689" spans="78:79" x14ac:dyDescent="0.35">
      <c r="BZ2689" s="105"/>
      <c r="CA2689" s="20"/>
    </row>
    <row r="2690" spans="78:79" x14ac:dyDescent="0.35">
      <c r="BZ2690" s="105"/>
      <c r="CA2690" s="20"/>
    </row>
    <row r="2691" spans="78:79" x14ac:dyDescent="0.35">
      <c r="BZ2691" s="105"/>
      <c r="CA2691" s="20"/>
    </row>
    <row r="2692" spans="78:79" x14ac:dyDescent="0.35">
      <c r="BZ2692" s="105"/>
      <c r="CA2692" s="20"/>
    </row>
    <row r="2693" spans="78:79" x14ac:dyDescent="0.35">
      <c r="BZ2693" s="105"/>
      <c r="CA2693" s="20"/>
    </row>
    <row r="2694" spans="78:79" x14ac:dyDescent="0.35">
      <c r="BZ2694" s="105"/>
      <c r="CA2694" s="20"/>
    </row>
    <row r="2695" spans="78:79" x14ac:dyDescent="0.35">
      <c r="BZ2695" s="105"/>
      <c r="CA2695" s="20"/>
    </row>
    <row r="2696" spans="78:79" x14ac:dyDescent="0.35">
      <c r="BZ2696" s="105"/>
      <c r="CA2696" s="20"/>
    </row>
    <row r="2697" spans="78:79" x14ac:dyDescent="0.35">
      <c r="BZ2697" s="105"/>
      <c r="CA2697" s="20"/>
    </row>
    <row r="2698" spans="78:79" x14ac:dyDescent="0.35">
      <c r="BZ2698" s="105"/>
      <c r="CA2698" s="20"/>
    </row>
    <row r="2699" spans="78:79" x14ac:dyDescent="0.35">
      <c r="BZ2699" s="105"/>
      <c r="CA2699" s="20"/>
    </row>
    <row r="2700" spans="78:79" x14ac:dyDescent="0.35">
      <c r="BZ2700" s="105"/>
      <c r="CA2700" s="20"/>
    </row>
    <row r="2701" spans="78:79" x14ac:dyDescent="0.35">
      <c r="BZ2701" s="105"/>
      <c r="CA2701" s="20"/>
    </row>
    <row r="2702" spans="78:79" x14ac:dyDescent="0.35">
      <c r="BZ2702" s="105"/>
      <c r="CA2702" s="20"/>
    </row>
    <row r="2703" spans="78:79" x14ac:dyDescent="0.35">
      <c r="BZ2703" s="105"/>
      <c r="CA2703" s="20"/>
    </row>
    <row r="2704" spans="78:79" x14ac:dyDescent="0.35">
      <c r="BZ2704" s="105"/>
      <c r="CA2704" s="20"/>
    </row>
    <row r="2705" spans="78:79" x14ac:dyDescent="0.35">
      <c r="BZ2705" s="105"/>
      <c r="CA2705" s="20"/>
    </row>
    <row r="2706" spans="78:79" x14ac:dyDescent="0.35">
      <c r="BZ2706" s="105"/>
      <c r="CA2706" s="20"/>
    </row>
    <row r="2707" spans="78:79" x14ac:dyDescent="0.35">
      <c r="BZ2707" s="105"/>
      <c r="CA2707" s="20"/>
    </row>
    <row r="2708" spans="78:79" x14ac:dyDescent="0.35">
      <c r="BZ2708" s="105"/>
      <c r="CA2708" s="20"/>
    </row>
    <row r="2709" spans="78:79" x14ac:dyDescent="0.35">
      <c r="BZ2709" s="105"/>
      <c r="CA2709" s="20"/>
    </row>
    <row r="2710" spans="78:79" x14ac:dyDescent="0.35">
      <c r="BZ2710" s="105"/>
      <c r="CA2710" s="20"/>
    </row>
    <row r="2711" spans="78:79" x14ac:dyDescent="0.35">
      <c r="BZ2711" s="105"/>
      <c r="CA2711" s="20"/>
    </row>
    <row r="2712" spans="78:79" x14ac:dyDescent="0.35">
      <c r="BZ2712" s="105"/>
      <c r="CA2712" s="20"/>
    </row>
    <row r="2713" spans="78:79" x14ac:dyDescent="0.35">
      <c r="BZ2713" s="105"/>
      <c r="CA2713" s="20"/>
    </row>
    <row r="2714" spans="78:79" x14ac:dyDescent="0.35">
      <c r="BZ2714" s="105"/>
      <c r="CA2714" s="20"/>
    </row>
    <row r="2715" spans="78:79" x14ac:dyDescent="0.35">
      <c r="BZ2715" s="105"/>
      <c r="CA2715" s="20"/>
    </row>
    <row r="2716" spans="78:79" x14ac:dyDescent="0.35">
      <c r="BZ2716" s="105"/>
      <c r="CA2716" s="20"/>
    </row>
    <row r="2717" spans="78:79" x14ac:dyDescent="0.35">
      <c r="BZ2717" s="105"/>
      <c r="CA2717" s="20"/>
    </row>
    <row r="2718" spans="78:79" x14ac:dyDescent="0.35">
      <c r="BZ2718" s="105"/>
      <c r="CA2718" s="20"/>
    </row>
    <row r="2719" spans="78:79" x14ac:dyDescent="0.35">
      <c r="BZ2719" s="105"/>
      <c r="CA2719" s="20"/>
    </row>
    <row r="2720" spans="78:79" x14ac:dyDescent="0.35">
      <c r="BZ2720" s="105"/>
      <c r="CA2720" s="20"/>
    </row>
    <row r="2721" spans="78:79" x14ac:dyDescent="0.35">
      <c r="BZ2721" s="105"/>
      <c r="CA2721" s="20"/>
    </row>
    <row r="2722" spans="78:79" x14ac:dyDescent="0.35">
      <c r="BZ2722" s="105"/>
      <c r="CA2722" s="20"/>
    </row>
    <row r="2723" spans="78:79" x14ac:dyDescent="0.35">
      <c r="BZ2723" s="105"/>
      <c r="CA2723" s="20"/>
    </row>
    <row r="2724" spans="78:79" x14ac:dyDescent="0.35">
      <c r="BZ2724" s="105"/>
      <c r="CA2724" s="20"/>
    </row>
    <row r="2725" spans="78:79" x14ac:dyDescent="0.35">
      <c r="BZ2725" s="105"/>
      <c r="CA2725" s="20"/>
    </row>
    <row r="2726" spans="78:79" x14ac:dyDescent="0.35">
      <c r="BZ2726" s="105"/>
      <c r="CA2726" s="20"/>
    </row>
    <row r="2727" spans="78:79" x14ac:dyDescent="0.35">
      <c r="BZ2727" s="105"/>
      <c r="CA2727" s="20"/>
    </row>
    <row r="2728" spans="78:79" x14ac:dyDescent="0.35">
      <c r="BZ2728" s="105"/>
      <c r="CA2728" s="20"/>
    </row>
    <row r="2729" spans="78:79" x14ac:dyDescent="0.35">
      <c r="BZ2729" s="105"/>
      <c r="CA2729" s="20"/>
    </row>
    <row r="2730" spans="78:79" x14ac:dyDescent="0.35">
      <c r="BZ2730" s="105"/>
      <c r="CA2730" s="20"/>
    </row>
    <row r="2731" spans="78:79" x14ac:dyDescent="0.35">
      <c r="BZ2731" s="105"/>
      <c r="CA2731" s="20"/>
    </row>
    <row r="2732" spans="78:79" x14ac:dyDescent="0.35">
      <c r="BZ2732" s="105"/>
      <c r="CA2732" s="20"/>
    </row>
    <row r="2733" spans="78:79" x14ac:dyDescent="0.35">
      <c r="BZ2733" s="105"/>
      <c r="CA2733" s="20"/>
    </row>
    <row r="2734" spans="78:79" x14ac:dyDescent="0.35">
      <c r="BZ2734" s="105"/>
      <c r="CA2734" s="20"/>
    </row>
    <row r="2735" spans="78:79" x14ac:dyDescent="0.35">
      <c r="BZ2735" s="105"/>
      <c r="CA2735" s="20"/>
    </row>
    <row r="2736" spans="78:79" x14ac:dyDescent="0.35">
      <c r="BZ2736" s="105"/>
      <c r="CA2736" s="20"/>
    </row>
    <row r="2737" spans="78:79" x14ac:dyDescent="0.35">
      <c r="BZ2737" s="105"/>
      <c r="CA2737" s="20"/>
    </row>
    <row r="2738" spans="78:79" x14ac:dyDescent="0.35">
      <c r="BZ2738" s="105"/>
      <c r="CA2738" s="20"/>
    </row>
    <row r="2739" spans="78:79" x14ac:dyDescent="0.35">
      <c r="BZ2739" s="105"/>
      <c r="CA2739" s="20"/>
    </row>
    <row r="2740" spans="78:79" x14ac:dyDescent="0.35">
      <c r="BZ2740" s="105"/>
      <c r="CA2740" s="20"/>
    </row>
    <row r="2741" spans="78:79" x14ac:dyDescent="0.35">
      <c r="BZ2741" s="105"/>
      <c r="CA2741" s="20"/>
    </row>
    <row r="2742" spans="78:79" x14ac:dyDescent="0.35">
      <c r="BZ2742" s="105"/>
      <c r="CA2742" s="20"/>
    </row>
    <row r="2743" spans="78:79" x14ac:dyDescent="0.35">
      <c r="BZ2743" s="105"/>
      <c r="CA2743" s="20"/>
    </row>
    <row r="2744" spans="78:79" x14ac:dyDescent="0.35">
      <c r="BZ2744" s="105"/>
      <c r="CA2744" s="20"/>
    </row>
    <row r="2745" spans="78:79" x14ac:dyDescent="0.35">
      <c r="BZ2745" s="105"/>
      <c r="CA2745" s="20"/>
    </row>
    <row r="2746" spans="78:79" x14ac:dyDescent="0.35">
      <c r="BZ2746" s="105"/>
      <c r="CA2746" s="20"/>
    </row>
    <row r="2747" spans="78:79" x14ac:dyDescent="0.35">
      <c r="BZ2747" s="105"/>
      <c r="CA2747" s="20"/>
    </row>
    <row r="2748" spans="78:79" x14ac:dyDescent="0.35">
      <c r="BZ2748" s="105"/>
      <c r="CA2748" s="20"/>
    </row>
    <row r="2749" spans="78:79" x14ac:dyDescent="0.35">
      <c r="BZ2749" s="105"/>
      <c r="CA2749" s="20"/>
    </row>
    <row r="2750" spans="78:79" x14ac:dyDescent="0.35">
      <c r="BZ2750" s="105"/>
      <c r="CA2750" s="20"/>
    </row>
    <row r="2751" spans="78:79" x14ac:dyDescent="0.35">
      <c r="BZ2751" s="105"/>
      <c r="CA2751" s="20"/>
    </row>
    <row r="2752" spans="78:79" x14ac:dyDescent="0.35">
      <c r="BZ2752" s="105"/>
      <c r="CA2752" s="20"/>
    </row>
    <row r="2753" spans="78:79" x14ac:dyDescent="0.35">
      <c r="BZ2753" s="105"/>
      <c r="CA2753" s="20"/>
    </row>
    <row r="2754" spans="78:79" x14ac:dyDescent="0.35">
      <c r="BZ2754" s="105"/>
      <c r="CA2754" s="20"/>
    </row>
    <row r="2755" spans="78:79" x14ac:dyDescent="0.35">
      <c r="BZ2755" s="105"/>
      <c r="CA2755" s="20"/>
    </row>
    <row r="2756" spans="78:79" x14ac:dyDescent="0.35">
      <c r="BZ2756" s="105"/>
      <c r="CA2756" s="20"/>
    </row>
    <row r="2757" spans="78:79" x14ac:dyDescent="0.35">
      <c r="BZ2757" s="105"/>
      <c r="CA2757" s="20"/>
    </row>
    <row r="2758" spans="78:79" x14ac:dyDescent="0.35">
      <c r="BZ2758" s="105"/>
      <c r="CA2758" s="20"/>
    </row>
    <row r="2759" spans="78:79" x14ac:dyDescent="0.35">
      <c r="BZ2759" s="105"/>
      <c r="CA2759" s="20"/>
    </row>
    <row r="2760" spans="78:79" x14ac:dyDescent="0.35">
      <c r="BZ2760" s="105"/>
      <c r="CA2760" s="20"/>
    </row>
    <row r="2761" spans="78:79" x14ac:dyDescent="0.35">
      <c r="BZ2761" s="105"/>
      <c r="CA2761" s="20"/>
    </row>
    <row r="2762" spans="78:79" x14ac:dyDescent="0.35">
      <c r="BZ2762" s="105"/>
      <c r="CA2762" s="20"/>
    </row>
    <row r="2763" spans="78:79" x14ac:dyDescent="0.35">
      <c r="BZ2763" s="105"/>
      <c r="CA2763" s="20"/>
    </row>
    <row r="2764" spans="78:79" x14ac:dyDescent="0.35">
      <c r="BZ2764" s="105"/>
      <c r="CA2764" s="20"/>
    </row>
    <row r="2765" spans="78:79" x14ac:dyDescent="0.35">
      <c r="BZ2765" s="105"/>
      <c r="CA2765" s="20"/>
    </row>
    <row r="2766" spans="78:79" x14ac:dyDescent="0.35">
      <c r="BZ2766" s="105"/>
      <c r="CA2766" s="20"/>
    </row>
    <row r="2767" spans="78:79" x14ac:dyDescent="0.35">
      <c r="BZ2767" s="105"/>
      <c r="CA2767" s="20"/>
    </row>
    <row r="2768" spans="78:79" x14ac:dyDescent="0.35">
      <c r="BZ2768" s="105"/>
      <c r="CA2768" s="20"/>
    </row>
    <row r="2769" spans="78:79" x14ac:dyDescent="0.35">
      <c r="BZ2769" s="105"/>
      <c r="CA2769" s="20"/>
    </row>
    <row r="2770" spans="78:79" x14ac:dyDescent="0.35">
      <c r="BZ2770" s="105"/>
      <c r="CA2770" s="20"/>
    </row>
    <row r="2771" spans="78:79" x14ac:dyDescent="0.35">
      <c r="BZ2771" s="105"/>
      <c r="CA2771" s="20"/>
    </row>
    <row r="2772" spans="78:79" x14ac:dyDescent="0.35">
      <c r="BZ2772" s="105"/>
      <c r="CA2772" s="20"/>
    </row>
    <row r="2773" spans="78:79" x14ac:dyDescent="0.35">
      <c r="BZ2773" s="105"/>
      <c r="CA2773" s="20"/>
    </row>
    <row r="2774" spans="78:79" x14ac:dyDescent="0.35">
      <c r="BZ2774" s="105"/>
      <c r="CA2774" s="20"/>
    </row>
    <row r="2775" spans="78:79" x14ac:dyDescent="0.35">
      <c r="BZ2775" s="105"/>
      <c r="CA2775" s="20"/>
    </row>
    <row r="2776" spans="78:79" x14ac:dyDescent="0.35">
      <c r="BZ2776" s="105"/>
      <c r="CA2776" s="20"/>
    </row>
    <row r="2777" spans="78:79" x14ac:dyDescent="0.35">
      <c r="BZ2777" s="105"/>
      <c r="CA2777" s="20"/>
    </row>
    <row r="2778" spans="78:79" x14ac:dyDescent="0.35">
      <c r="BZ2778" s="105"/>
      <c r="CA2778" s="20"/>
    </row>
    <row r="2779" spans="78:79" x14ac:dyDescent="0.35">
      <c r="BZ2779" s="105"/>
      <c r="CA2779" s="20"/>
    </row>
    <row r="2780" spans="78:79" x14ac:dyDescent="0.35">
      <c r="BZ2780" s="105"/>
      <c r="CA2780" s="20"/>
    </row>
    <row r="2781" spans="78:79" x14ac:dyDescent="0.35">
      <c r="BZ2781" s="105"/>
      <c r="CA2781" s="20"/>
    </row>
    <row r="2782" spans="78:79" x14ac:dyDescent="0.35">
      <c r="BZ2782" s="105"/>
      <c r="CA2782" s="20"/>
    </row>
    <row r="2783" spans="78:79" x14ac:dyDescent="0.35">
      <c r="BZ2783" s="105"/>
      <c r="CA2783" s="20"/>
    </row>
    <row r="2784" spans="78:79" x14ac:dyDescent="0.35">
      <c r="BZ2784" s="105"/>
      <c r="CA2784" s="20"/>
    </row>
    <row r="2785" spans="78:79" x14ac:dyDescent="0.35">
      <c r="BZ2785" s="105"/>
      <c r="CA2785" s="20"/>
    </row>
    <row r="2786" spans="78:79" x14ac:dyDescent="0.35">
      <c r="BZ2786" s="105"/>
      <c r="CA2786" s="20"/>
    </row>
    <row r="2787" spans="78:79" x14ac:dyDescent="0.35">
      <c r="BZ2787" s="105"/>
      <c r="CA2787" s="20"/>
    </row>
    <row r="2788" spans="78:79" x14ac:dyDescent="0.35">
      <c r="BZ2788" s="105"/>
      <c r="CA2788" s="20"/>
    </row>
    <row r="2789" spans="78:79" x14ac:dyDescent="0.35">
      <c r="BZ2789" s="105"/>
      <c r="CA2789" s="20"/>
    </row>
    <row r="2790" spans="78:79" x14ac:dyDescent="0.35">
      <c r="BZ2790" s="105"/>
      <c r="CA2790" s="20"/>
    </row>
    <row r="2791" spans="78:79" x14ac:dyDescent="0.35">
      <c r="BZ2791" s="105"/>
      <c r="CA2791" s="20"/>
    </row>
    <row r="2792" spans="78:79" x14ac:dyDescent="0.35">
      <c r="BZ2792" s="105"/>
      <c r="CA2792" s="20"/>
    </row>
    <row r="2793" spans="78:79" x14ac:dyDescent="0.35">
      <c r="BZ2793" s="105"/>
      <c r="CA2793" s="20"/>
    </row>
    <row r="2794" spans="78:79" x14ac:dyDescent="0.35">
      <c r="BZ2794" s="105"/>
      <c r="CA2794" s="20"/>
    </row>
    <row r="2795" spans="78:79" x14ac:dyDescent="0.35">
      <c r="BZ2795" s="105"/>
      <c r="CA2795" s="20"/>
    </row>
    <row r="2796" spans="78:79" x14ac:dyDescent="0.35">
      <c r="BZ2796" s="105"/>
      <c r="CA2796" s="20"/>
    </row>
    <row r="2797" spans="78:79" x14ac:dyDescent="0.35">
      <c r="BZ2797" s="105"/>
      <c r="CA2797" s="20"/>
    </row>
    <row r="2798" spans="78:79" x14ac:dyDescent="0.35">
      <c r="BZ2798" s="105"/>
      <c r="CA2798" s="20"/>
    </row>
    <row r="2799" spans="78:79" x14ac:dyDescent="0.35">
      <c r="BZ2799" s="105"/>
      <c r="CA2799" s="20"/>
    </row>
    <row r="2800" spans="78:79" x14ac:dyDescent="0.35">
      <c r="BZ2800" s="105"/>
      <c r="CA2800" s="20"/>
    </row>
    <row r="2801" spans="78:79" x14ac:dyDescent="0.35">
      <c r="BZ2801" s="105"/>
      <c r="CA2801" s="20"/>
    </row>
    <row r="2802" spans="78:79" x14ac:dyDescent="0.35">
      <c r="BZ2802" s="105"/>
      <c r="CA2802" s="20"/>
    </row>
    <row r="2803" spans="78:79" x14ac:dyDescent="0.35">
      <c r="BZ2803" s="105"/>
      <c r="CA2803" s="20"/>
    </row>
    <row r="2804" spans="78:79" x14ac:dyDescent="0.35">
      <c r="BZ2804" s="105"/>
      <c r="CA2804" s="20"/>
    </row>
    <row r="2805" spans="78:79" x14ac:dyDescent="0.35">
      <c r="BZ2805" s="105"/>
      <c r="CA2805" s="20"/>
    </row>
    <row r="2806" spans="78:79" x14ac:dyDescent="0.35">
      <c r="BZ2806" s="105"/>
      <c r="CA2806" s="20"/>
    </row>
    <row r="2807" spans="78:79" x14ac:dyDescent="0.35">
      <c r="BZ2807" s="105"/>
      <c r="CA2807" s="20"/>
    </row>
    <row r="2808" spans="78:79" x14ac:dyDescent="0.35">
      <c r="BZ2808" s="105"/>
      <c r="CA2808" s="20"/>
    </row>
    <row r="2809" spans="78:79" x14ac:dyDescent="0.35">
      <c r="BZ2809" s="105"/>
      <c r="CA2809" s="20"/>
    </row>
    <row r="2810" spans="78:79" x14ac:dyDescent="0.35">
      <c r="BZ2810" s="105"/>
      <c r="CA2810" s="20"/>
    </row>
    <row r="2811" spans="78:79" x14ac:dyDescent="0.35">
      <c r="BZ2811" s="105"/>
      <c r="CA2811" s="20"/>
    </row>
    <row r="2812" spans="78:79" x14ac:dyDescent="0.35">
      <c r="BZ2812" s="105"/>
      <c r="CA2812" s="20"/>
    </row>
    <row r="2813" spans="78:79" x14ac:dyDescent="0.35">
      <c r="BZ2813" s="105"/>
      <c r="CA2813" s="20"/>
    </row>
    <row r="2814" spans="78:79" x14ac:dyDescent="0.35">
      <c r="BZ2814" s="105"/>
      <c r="CA2814" s="20"/>
    </row>
    <row r="2815" spans="78:79" x14ac:dyDescent="0.35">
      <c r="BZ2815" s="105"/>
      <c r="CA2815" s="20"/>
    </row>
    <row r="2816" spans="78:79" x14ac:dyDescent="0.35">
      <c r="BZ2816" s="105"/>
      <c r="CA2816" s="20"/>
    </row>
    <row r="2817" spans="78:79" x14ac:dyDescent="0.35">
      <c r="BZ2817" s="105"/>
      <c r="CA2817" s="20"/>
    </row>
    <row r="2818" spans="78:79" x14ac:dyDescent="0.35">
      <c r="BZ2818" s="105"/>
      <c r="CA2818" s="20"/>
    </row>
    <row r="2819" spans="78:79" x14ac:dyDescent="0.35">
      <c r="BZ2819" s="105"/>
      <c r="CA2819" s="20"/>
    </row>
    <row r="2820" spans="78:79" x14ac:dyDescent="0.35">
      <c r="BZ2820" s="105"/>
      <c r="CA2820" s="20"/>
    </row>
    <row r="2821" spans="78:79" x14ac:dyDescent="0.35">
      <c r="BZ2821" s="105"/>
      <c r="CA2821" s="20"/>
    </row>
    <row r="2822" spans="78:79" x14ac:dyDescent="0.35">
      <c r="BZ2822" s="105"/>
      <c r="CA2822" s="20"/>
    </row>
    <row r="2823" spans="78:79" x14ac:dyDescent="0.35">
      <c r="BZ2823" s="105"/>
      <c r="CA2823" s="20"/>
    </row>
    <row r="2824" spans="78:79" x14ac:dyDescent="0.35">
      <c r="BZ2824" s="105"/>
      <c r="CA2824" s="20"/>
    </row>
    <row r="2825" spans="78:79" x14ac:dyDescent="0.35">
      <c r="BZ2825" s="105"/>
      <c r="CA2825" s="20"/>
    </row>
    <row r="2826" spans="78:79" x14ac:dyDescent="0.35">
      <c r="BZ2826" s="105"/>
      <c r="CA2826" s="20"/>
    </row>
    <row r="2827" spans="78:79" x14ac:dyDescent="0.35">
      <c r="BZ2827" s="105"/>
      <c r="CA2827" s="20"/>
    </row>
    <row r="2828" spans="78:79" x14ac:dyDescent="0.35">
      <c r="BZ2828" s="105"/>
      <c r="CA2828" s="20"/>
    </row>
    <row r="2829" spans="78:79" x14ac:dyDescent="0.35">
      <c r="BZ2829" s="105"/>
      <c r="CA2829" s="20"/>
    </row>
    <row r="2830" spans="78:79" x14ac:dyDescent="0.35">
      <c r="BZ2830" s="105"/>
      <c r="CA2830" s="20"/>
    </row>
    <row r="2831" spans="78:79" x14ac:dyDescent="0.35">
      <c r="BZ2831" s="105"/>
      <c r="CA2831" s="20"/>
    </row>
    <row r="2832" spans="78:79" x14ac:dyDescent="0.35">
      <c r="BZ2832" s="105"/>
      <c r="CA2832" s="20"/>
    </row>
    <row r="2833" spans="78:79" x14ac:dyDescent="0.35">
      <c r="BZ2833" s="105"/>
      <c r="CA2833" s="20"/>
    </row>
    <row r="2834" spans="78:79" x14ac:dyDescent="0.35">
      <c r="BZ2834" s="105"/>
      <c r="CA2834" s="20"/>
    </row>
    <row r="2835" spans="78:79" x14ac:dyDescent="0.35">
      <c r="BZ2835" s="105"/>
      <c r="CA2835" s="20"/>
    </row>
    <row r="2836" spans="78:79" x14ac:dyDescent="0.35">
      <c r="BZ2836" s="105"/>
      <c r="CA2836" s="20"/>
    </row>
    <row r="2837" spans="78:79" x14ac:dyDescent="0.35">
      <c r="BZ2837" s="105"/>
      <c r="CA2837" s="20"/>
    </row>
    <row r="2838" spans="78:79" x14ac:dyDescent="0.35">
      <c r="BZ2838" s="105"/>
      <c r="CA2838" s="20"/>
    </row>
    <row r="2839" spans="78:79" x14ac:dyDescent="0.35">
      <c r="BZ2839" s="105"/>
      <c r="CA2839" s="20"/>
    </row>
    <row r="2840" spans="78:79" x14ac:dyDescent="0.35">
      <c r="BZ2840" s="105"/>
      <c r="CA2840" s="20"/>
    </row>
    <row r="2841" spans="78:79" x14ac:dyDescent="0.35">
      <c r="BZ2841" s="105"/>
      <c r="CA2841" s="20"/>
    </row>
    <row r="2842" spans="78:79" x14ac:dyDescent="0.35">
      <c r="BZ2842" s="105"/>
      <c r="CA2842" s="20"/>
    </row>
    <row r="2843" spans="78:79" x14ac:dyDescent="0.35">
      <c r="BZ2843" s="105"/>
      <c r="CA2843" s="20"/>
    </row>
    <row r="2844" spans="78:79" x14ac:dyDescent="0.35">
      <c r="BZ2844" s="105"/>
      <c r="CA2844" s="20"/>
    </row>
    <row r="2845" spans="78:79" x14ac:dyDescent="0.35">
      <c r="BZ2845" s="105"/>
      <c r="CA2845" s="20"/>
    </row>
    <row r="2846" spans="78:79" x14ac:dyDescent="0.35">
      <c r="BZ2846" s="105"/>
      <c r="CA2846" s="20"/>
    </row>
    <row r="2847" spans="78:79" x14ac:dyDescent="0.35">
      <c r="BZ2847" s="105"/>
      <c r="CA2847" s="20"/>
    </row>
    <row r="2848" spans="78:79" x14ac:dyDescent="0.35">
      <c r="BZ2848" s="105"/>
      <c r="CA2848" s="20"/>
    </row>
    <row r="2849" spans="78:79" x14ac:dyDescent="0.35">
      <c r="BZ2849" s="105"/>
      <c r="CA2849" s="20"/>
    </row>
    <row r="2850" spans="78:79" x14ac:dyDescent="0.35">
      <c r="BZ2850" s="105"/>
      <c r="CA2850" s="20"/>
    </row>
    <row r="2851" spans="78:79" x14ac:dyDescent="0.35">
      <c r="BZ2851" s="105"/>
      <c r="CA2851" s="20"/>
    </row>
    <row r="2852" spans="78:79" x14ac:dyDescent="0.35">
      <c r="BZ2852" s="105"/>
      <c r="CA2852" s="20"/>
    </row>
    <row r="2853" spans="78:79" x14ac:dyDescent="0.35">
      <c r="BZ2853" s="105"/>
      <c r="CA2853" s="20"/>
    </row>
    <row r="2854" spans="78:79" x14ac:dyDescent="0.35">
      <c r="BZ2854" s="105"/>
      <c r="CA2854" s="20"/>
    </row>
    <row r="2855" spans="78:79" x14ac:dyDescent="0.35">
      <c r="BZ2855" s="105"/>
      <c r="CA2855" s="20"/>
    </row>
    <row r="2856" spans="78:79" x14ac:dyDescent="0.35">
      <c r="BZ2856" s="105"/>
      <c r="CA2856" s="20"/>
    </row>
    <row r="2857" spans="78:79" x14ac:dyDescent="0.35">
      <c r="BZ2857" s="105"/>
      <c r="CA2857" s="20"/>
    </row>
    <row r="2858" spans="78:79" x14ac:dyDescent="0.35">
      <c r="BZ2858" s="105"/>
      <c r="CA2858" s="20"/>
    </row>
    <row r="2859" spans="78:79" x14ac:dyDescent="0.35">
      <c r="BZ2859" s="105"/>
      <c r="CA2859" s="20"/>
    </row>
    <row r="2860" spans="78:79" x14ac:dyDescent="0.35">
      <c r="BZ2860" s="105"/>
      <c r="CA2860" s="20"/>
    </row>
    <row r="2861" spans="78:79" x14ac:dyDescent="0.35">
      <c r="BZ2861" s="105"/>
      <c r="CA2861" s="20"/>
    </row>
    <row r="2862" spans="78:79" x14ac:dyDescent="0.35">
      <c r="BZ2862" s="105"/>
      <c r="CA2862" s="20"/>
    </row>
    <row r="2863" spans="78:79" x14ac:dyDescent="0.35">
      <c r="BZ2863" s="105"/>
      <c r="CA2863" s="20"/>
    </row>
    <row r="2864" spans="78:79" x14ac:dyDescent="0.35">
      <c r="BZ2864" s="105"/>
      <c r="CA2864" s="20"/>
    </row>
    <row r="2865" spans="78:79" x14ac:dyDescent="0.35">
      <c r="BZ2865" s="105"/>
      <c r="CA2865" s="20"/>
    </row>
    <row r="2866" spans="78:79" x14ac:dyDescent="0.35">
      <c r="BZ2866" s="105"/>
      <c r="CA2866" s="20"/>
    </row>
    <row r="2867" spans="78:79" x14ac:dyDescent="0.35">
      <c r="BZ2867" s="105"/>
      <c r="CA2867" s="20"/>
    </row>
    <row r="2868" spans="78:79" x14ac:dyDescent="0.35">
      <c r="BZ2868" s="105"/>
      <c r="CA2868" s="20"/>
    </row>
    <row r="2869" spans="78:79" x14ac:dyDescent="0.35">
      <c r="BZ2869" s="105"/>
      <c r="CA2869" s="20"/>
    </row>
    <row r="2870" spans="78:79" x14ac:dyDescent="0.35">
      <c r="BZ2870" s="105"/>
      <c r="CA2870" s="20"/>
    </row>
    <row r="2871" spans="78:79" x14ac:dyDescent="0.35">
      <c r="BZ2871" s="105"/>
      <c r="CA2871" s="20"/>
    </row>
    <row r="2872" spans="78:79" x14ac:dyDescent="0.35">
      <c r="BZ2872" s="105"/>
      <c r="CA2872" s="20"/>
    </row>
    <row r="2873" spans="78:79" x14ac:dyDescent="0.35">
      <c r="BZ2873" s="105"/>
      <c r="CA2873" s="20"/>
    </row>
    <row r="2874" spans="78:79" x14ac:dyDescent="0.35">
      <c r="BZ2874" s="105"/>
      <c r="CA2874" s="20"/>
    </row>
    <row r="2875" spans="78:79" x14ac:dyDescent="0.35">
      <c r="BZ2875" s="105"/>
      <c r="CA2875" s="20"/>
    </row>
    <row r="2876" spans="78:79" x14ac:dyDescent="0.35">
      <c r="BZ2876" s="105"/>
      <c r="CA2876" s="20"/>
    </row>
    <row r="2877" spans="78:79" x14ac:dyDescent="0.35">
      <c r="BZ2877" s="105"/>
      <c r="CA2877" s="20"/>
    </row>
    <row r="2878" spans="78:79" x14ac:dyDescent="0.35">
      <c r="BZ2878" s="105"/>
      <c r="CA2878" s="20"/>
    </row>
    <row r="2879" spans="78:79" x14ac:dyDescent="0.35">
      <c r="BZ2879" s="105"/>
      <c r="CA2879" s="20"/>
    </row>
    <row r="2880" spans="78:79" x14ac:dyDescent="0.35">
      <c r="BZ2880" s="105"/>
      <c r="CA2880" s="20"/>
    </row>
    <row r="2881" spans="78:79" x14ac:dyDescent="0.35">
      <c r="BZ2881" s="105"/>
      <c r="CA2881" s="20"/>
    </row>
    <row r="2882" spans="78:79" x14ac:dyDescent="0.35">
      <c r="BZ2882" s="105"/>
      <c r="CA2882" s="20"/>
    </row>
    <row r="2883" spans="78:79" x14ac:dyDescent="0.35">
      <c r="BZ2883" s="105"/>
      <c r="CA2883" s="20"/>
    </row>
    <row r="2884" spans="78:79" x14ac:dyDescent="0.35">
      <c r="BZ2884" s="105"/>
      <c r="CA2884" s="20"/>
    </row>
    <row r="2885" spans="78:79" x14ac:dyDescent="0.35">
      <c r="BZ2885" s="105"/>
      <c r="CA2885" s="20"/>
    </row>
    <row r="2886" spans="78:79" x14ac:dyDescent="0.35">
      <c r="BZ2886" s="105"/>
      <c r="CA2886" s="20"/>
    </row>
    <row r="2887" spans="78:79" x14ac:dyDescent="0.35">
      <c r="BZ2887" s="105"/>
      <c r="CA2887" s="20"/>
    </row>
    <row r="2888" spans="78:79" x14ac:dyDescent="0.35">
      <c r="BZ2888" s="105"/>
      <c r="CA2888" s="20"/>
    </row>
    <row r="2889" spans="78:79" x14ac:dyDescent="0.35">
      <c r="BZ2889" s="105"/>
      <c r="CA2889" s="20"/>
    </row>
    <row r="2890" spans="78:79" x14ac:dyDescent="0.35">
      <c r="BZ2890" s="105"/>
      <c r="CA2890" s="20"/>
    </row>
    <row r="2891" spans="78:79" x14ac:dyDescent="0.35">
      <c r="BZ2891" s="105"/>
      <c r="CA2891" s="20"/>
    </row>
    <row r="2892" spans="78:79" x14ac:dyDescent="0.35">
      <c r="BZ2892" s="105"/>
      <c r="CA2892" s="20"/>
    </row>
    <row r="2893" spans="78:79" x14ac:dyDescent="0.35">
      <c r="BZ2893" s="105"/>
      <c r="CA2893" s="20"/>
    </row>
    <row r="2894" spans="78:79" x14ac:dyDescent="0.35">
      <c r="BZ2894" s="105"/>
      <c r="CA2894" s="20"/>
    </row>
    <row r="2895" spans="78:79" x14ac:dyDescent="0.35">
      <c r="BZ2895" s="105"/>
      <c r="CA2895" s="20"/>
    </row>
    <row r="2896" spans="78:79" x14ac:dyDescent="0.35">
      <c r="BZ2896" s="105"/>
      <c r="CA2896" s="20"/>
    </row>
    <row r="2897" spans="78:79" x14ac:dyDescent="0.35">
      <c r="BZ2897" s="105"/>
      <c r="CA2897" s="20"/>
    </row>
    <row r="2898" spans="78:79" x14ac:dyDescent="0.35">
      <c r="BZ2898" s="105"/>
      <c r="CA2898" s="20"/>
    </row>
    <row r="2899" spans="78:79" x14ac:dyDescent="0.35">
      <c r="BZ2899" s="105"/>
      <c r="CA2899" s="20"/>
    </row>
    <row r="2900" spans="78:79" x14ac:dyDescent="0.35">
      <c r="BZ2900" s="105"/>
      <c r="CA2900" s="20"/>
    </row>
    <row r="2901" spans="78:79" x14ac:dyDescent="0.35">
      <c r="BZ2901" s="105"/>
      <c r="CA2901" s="20"/>
    </row>
    <row r="2902" spans="78:79" x14ac:dyDescent="0.35">
      <c r="BZ2902" s="105"/>
      <c r="CA2902" s="20"/>
    </row>
    <row r="2903" spans="78:79" x14ac:dyDescent="0.35">
      <c r="BZ2903" s="105"/>
      <c r="CA2903" s="20"/>
    </row>
    <row r="2904" spans="78:79" x14ac:dyDescent="0.35">
      <c r="BZ2904" s="105"/>
      <c r="CA2904" s="20"/>
    </row>
    <row r="2905" spans="78:79" x14ac:dyDescent="0.35">
      <c r="BZ2905" s="105"/>
      <c r="CA2905" s="20"/>
    </row>
    <row r="2906" spans="78:79" x14ac:dyDescent="0.35">
      <c r="BZ2906" s="105"/>
      <c r="CA2906" s="20"/>
    </row>
    <row r="2907" spans="78:79" x14ac:dyDescent="0.35">
      <c r="BZ2907" s="105"/>
      <c r="CA2907" s="20"/>
    </row>
    <row r="2908" spans="78:79" x14ac:dyDescent="0.35">
      <c r="BZ2908" s="105"/>
      <c r="CA2908" s="20"/>
    </row>
    <row r="2909" spans="78:79" x14ac:dyDescent="0.35">
      <c r="BZ2909" s="105"/>
      <c r="CA2909" s="20"/>
    </row>
    <row r="2910" spans="78:79" x14ac:dyDescent="0.35">
      <c r="BZ2910" s="105"/>
      <c r="CA2910" s="20"/>
    </row>
    <row r="2911" spans="78:79" x14ac:dyDescent="0.35">
      <c r="BZ2911" s="105"/>
      <c r="CA2911" s="20"/>
    </row>
    <row r="2912" spans="78:79" x14ac:dyDescent="0.35">
      <c r="BZ2912" s="105"/>
      <c r="CA2912" s="20"/>
    </row>
    <row r="2913" spans="78:79" x14ac:dyDescent="0.35">
      <c r="BZ2913" s="105"/>
      <c r="CA2913" s="20"/>
    </row>
    <row r="2914" spans="78:79" x14ac:dyDescent="0.35">
      <c r="BZ2914" s="105"/>
      <c r="CA2914" s="20"/>
    </row>
    <row r="2915" spans="78:79" x14ac:dyDescent="0.35">
      <c r="BZ2915" s="105"/>
      <c r="CA2915" s="20"/>
    </row>
    <row r="2916" spans="78:79" x14ac:dyDescent="0.35">
      <c r="BZ2916" s="105"/>
      <c r="CA2916" s="20"/>
    </row>
    <row r="2917" spans="78:79" x14ac:dyDescent="0.35">
      <c r="BZ2917" s="105"/>
      <c r="CA2917" s="20"/>
    </row>
    <row r="2918" spans="78:79" x14ac:dyDescent="0.35">
      <c r="BZ2918" s="105"/>
      <c r="CA2918" s="20"/>
    </row>
    <row r="2919" spans="78:79" x14ac:dyDescent="0.35">
      <c r="BZ2919" s="105"/>
      <c r="CA2919" s="20"/>
    </row>
    <row r="2920" spans="78:79" x14ac:dyDescent="0.35">
      <c r="BZ2920" s="105"/>
      <c r="CA2920" s="20"/>
    </row>
    <row r="2921" spans="78:79" x14ac:dyDescent="0.35">
      <c r="BZ2921" s="105"/>
      <c r="CA2921" s="20"/>
    </row>
    <row r="2922" spans="78:79" x14ac:dyDescent="0.35">
      <c r="BZ2922" s="105"/>
      <c r="CA2922" s="20"/>
    </row>
    <row r="2923" spans="78:79" x14ac:dyDescent="0.35">
      <c r="BZ2923" s="105"/>
      <c r="CA2923" s="20"/>
    </row>
    <row r="2924" spans="78:79" x14ac:dyDescent="0.35">
      <c r="BZ2924" s="105"/>
      <c r="CA2924" s="20"/>
    </row>
    <row r="2925" spans="78:79" x14ac:dyDescent="0.35">
      <c r="BZ2925" s="105"/>
      <c r="CA2925" s="20"/>
    </row>
    <row r="2926" spans="78:79" x14ac:dyDescent="0.35">
      <c r="BZ2926" s="105"/>
      <c r="CA2926" s="20"/>
    </row>
    <row r="2927" spans="78:79" x14ac:dyDescent="0.35">
      <c r="BZ2927" s="105"/>
      <c r="CA2927" s="20"/>
    </row>
    <row r="2928" spans="78:79" x14ac:dyDescent="0.35">
      <c r="BZ2928" s="105"/>
      <c r="CA2928" s="20"/>
    </row>
    <row r="2929" spans="78:79" x14ac:dyDescent="0.35">
      <c r="BZ2929" s="105"/>
      <c r="CA2929" s="20"/>
    </row>
    <row r="2930" spans="78:79" x14ac:dyDescent="0.35">
      <c r="BZ2930" s="105"/>
      <c r="CA2930" s="20"/>
    </row>
    <row r="2931" spans="78:79" x14ac:dyDescent="0.35">
      <c r="BZ2931" s="105"/>
      <c r="CA2931" s="20"/>
    </row>
    <row r="2932" spans="78:79" x14ac:dyDescent="0.35">
      <c r="BZ2932" s="105"/>
      <c r="CA2932" s="20"/>
    </row>
    <row r="2933" spans="78:79" x14ac:dyDescent="0.35">
      <c r="BZ2933" s="105"/>
      <c r="CA2933" s="20"/>
    </row>
    <row r="2934" spans="78:79" x14ac:dyDescent="0.35">
      <c r="BZ2934" s="105"/>
      <c r="CA2934" s="20"/>
    </row>
    <row r="2935" spans="78:79" x14ac:dyDescent="0.35">
      <c r="BZ2935" s="105"/>
      <c r="CA2935" s="20"/>
    </row>
    <row r="2936" spans="78:79" x14ac:dyDescent="0.35">
      <c r="BZ2936" s="105"/>
      <c r="CA2936" s="20"/>
    </row>
    <row r="2937" spans="78:79" x14ac:dyDescent="0.35">
      <c r="BZ2937" s="105"/>
      <c r="CA2937" s="20"/>
    </row>
    <row r="2938" spans="78:79" x14ac:dyDescent="0.35">
      <c r="BZ2938" s="105"/>
      <c r="CA2938" s="20"/>
    </row>
    <row r="2939" spans="78:79" x14ac:dyDescent="0.35">
      <c r="BZ2939" s="105"/>
      <c r="CA2939" s="20"/>
    </row>
    <row r="2940" spans="78:79" x14ac:dyDescent="0.35">
      <c r="BZ2940" s="105"/>
      <c r="CA2940" s="20"/>
    </row>
    <row r="2941" spans="78:79" x14ac:dyDescent="0.35">
      <c r="BZ2941" s="105"/>
      <c r="CA2941" s="20"/>
    </row>
    <row r="2942" spans="78:79" x14ac:dyDescent="0.35">
      <c r="BZ2942" s="105"/>
      <c r="CA2942" s="20"/>
    </row>
    <row r="2943" spans="78:79" x14ac:dyDescent="0.35">
      <c r="BZ2943" s="105"/>
      <c r="CA2943" s="20"/>
    </row>
    <row r="2944" spans="78:79" x14ac:dyDescent="0.35">
      <c r="BZ2944" s="105"/>
      <c r="CA2944" s="20"/>
    </row>
    <row r="2945" spans="78:79" x14ac:dyDescent="0.35">
      <c r="BZ2945" s="105"/>
      <c r="CA2945" s="20"/>
    </row>
    <row r="2946" spans="78:79" x14ac:dyDescent="0.35">
      <c r="BZ2946" s="105"/>
      <c r="CA2946" s="20"/>
    </row>
    <row r="2947" spans="78:79" x14ac:dyDescent="0.35">
      <c r="BZ2947" s="105"/>
      <c r="CA2947" s="20"/>
    </row>
    <row r="2948" spans="78:79" x14ac:dyDescent="0.35">
      <c r="BZ2948" s="105"/>
      <c r="CA2948" s="20"/>
    </row>
    <row r="2949" spans="78:79" x14ac:dyDescent="0.35">
      <c r="BZ2949" s="105"/>
      <c r="CA2949" s="20"/>
    </row>
    <row r="2950" spans="78:79" x14ac:dyDescent="0.35">
      <c r="BZ2950" s="105"/>
      <c r="CA2950" s="20"/>
    </row>
    <row r="2951" spans="78:79" x14ac:dyDescent="0.35">
      <c r="BZ2951" s="105"/>
      <c r="CA2951" s="20"/>
    </row>
    <row r="2952" spans="78:79" x14ac:dyDescent="0.35">
      <c r="BZ2952" s="105"/>
      <c r="CA2952" s="20"/>
    </row>
    <row r="2953" spans="78:79" x14ac:dyDescent="0.35">
      <c r="BZ2953" s="105"/>
      <c r="CA2953" s="20"/>
    </row>
    <row r="2954" spans="78:79" x14ac:dyDescent="0.35">
      <c r="BZ2954" s="105"/>
      <c r="CA2954" s="20"/>
    </row>
    <row r="2955" spans="78:79" x14ac:dyDescent="0.35">
      <c r="BZ2955" s="105"/>
      <c r="CA2955" s="20"/>
    </row>
    <row r="2956" spans="78:79" x14ac:dyDescent="0.35">
      <c r="BZ2956" s="105"/>
      <c r="CA2956" s="20"/>
    </row>
    <row r="2957" spans="78:79" x14ac:dyDescent="0.35">
      <c r="BZ2957" s="105"/>
      <c r="CA2957" s="20"/>
    </row>
    <row r="2958" spans="78:79" x14ac:dyDescent="0.35">
      <c r="BZ2958" s="105"/>
      <c r="CA2958" s="20"/>
    </row>
    <row r="2959" spans="78:79" x14ac:dyDescent="0.35">
      <c r="BZ2959" s="105"/>
      <c r="CA2959" s="20"/>
    </row>
    <row r="2960" spans="78:79" x14ac:dyDescent="0.35">
      <c r="BZ2960" s="105"/>
      <c r="CA2960" s="20"/>
    </row>
    <row r="2961" spans="78:79" x14ac:dyDescent="0.35">
      <c r="BZ2961" s="105"/>
      <c r="CA2961" s="20"/>
    </row>
    <row r="2962" spans="78:79" x14ac:dyDescent="0.35">
      <c r="BZ2962" s="105"/>
      <c r="CA2962" s="20"/>
    </row>
    <row r="2963" spans="78:79" x14ac:dyDescent="0.35">
      <c r="BZ2963" s="105"/>
      <c r="CA2963" s="20"/>
    </row>
    <row r="2964" spans="78:79" x14ac:dyDescent="0.35">
      <c r="BZ2964" s="105"/>
      <c r="CA2964" s="20"/>
    </row>
    <row r="2965" spans="78:79" x14ac:dyDescent="0.35">
      <c r="BZ2965" s="105"/>
      <c r="CA2965" s="20"/>
    </row>
    <row r="2966" spans="78:79" x14ac:dyDescent="0.35">
      <c r="BZ2966" s="105"/>
      <c r="CA2966" s="20"/>
    </row>
    <row r="2967" spans="78:79" x14ac:dyDescent="0.35">
      <c r="BZ2967" s="105"/>
      <c r="CA2967" s="20"/>
    </row>
    <row r="2968" spans="78:79" x14ac:dyDescent="0.35">
      <c r="BZ2968" s="105"/>
      <c r="CA2968" s="20"/>
    </row>
    <row r="2969" spans="78:79" x14ac:dyDescent="0.35">
      <c r="BZ2969" s="105"/>
      <c r="CA2969" s="20"/>
    </row>
    <row r="2970" spans="78:79" x14ac:dyDescent="0.35">
      <c r="BZ2970" s="105"/>
      <c r="CA2970" s="20"/>
    </row>
    <row r="2971" spans="78:79" x14ac:dyDescent="0.35">
      <c r="BZ2971" s="105"/>
      <c r="CA2971" s="20"/>
    </row>
    <row r="2972" spans="78:79" x14ac:dyDescent="0.35">
      <c r="BZ2972" s="105"/>
      <c r="CA2972" s="20"/>
    </row>
    <row r="2973" spans="78:79" x14ac:dyDescent="0.35">
      <c r="BZ2973" s="105"/>
      <c r="CA2973" s="20"/>
    </row>
    <row r="2974" spans="78:79" x14ac:dyDescent="0.35">
      <c r="BZ2974" s="105"/>
      <c r="CA2974" s="20"/>
    </row>
    <row r="2975" spans="78:79" x14ac:dyDescent="0.35">
      <c r="BZ2975" s="105"/>
      <c r="CA2975" s="20"/>
    </row>
    <row r="2976" spans="78:79" x14ac:dyDescent="0.35">
      <c r="BZ2976" s="105"/>
      <c r="CA2976" s="20"/>
    </row>
    <row r="2977" spans="78:79" x14ac:dyDescent="0.35">
      <c r="BZ2977" s="105"/>
      <c r="CA2977" s="20"/>
    </row>
    <row r="2978" spans="78:79" x14ac:dyDescent="0.35">
      <c r="BZ2978" s="105"/>
      <c r="CA2978" s="20"/>
    </row>
    <row r="2979" spans="78:79" x14ac:dyDescent="0.35">
      <c r="BZ2979" s="105"/>
      <c r="CA2979" s="20"/>
    </row>
    <row r="2980" spans="78:79" x14ac:dyDescent="0.35">
      <c r="BZ2980" s="105"/>
      <c r="CA2980" s="20"/>
    </row>
    <row r="2981" spans="78:79" x14ac:dyDescent="0.35">
      <c r="BZ2981" s="105"/>
      <c r="CA2981" s="20"/>
    </row>
    <row r="2982" spans="78:79" x14ac:dyDescent="0.35">
      <c r="BZ2982" s="105"/>
      <c r="CA2982" s="20"/>
    </row>
    <row r="2983" spans="78:79" x14ac:dyDescent="0.35">
      <c r="BZ2983" s="105"/>
      <c r="CA2983" s="20"/>
    </row>
    <row r="2984" spans="78:79" x14ac:dyDescent="0.35">
      <c r="BZ2984" s="105"/>
      <c r="CA2984" s="20"/>
    </row>
    <row r="2985" spans="78:79" x14ac:dyDescent="0.35">
      <c r="BZ2985" s="105"/>
      <c r="CA2985" s="20"/>
    </row>
    <row r="2986" spans="78:79" x14ac:dyDescent="0.35">
      <c r="BZ2986" s="105"/>
      <c r="CA2986" s="20"/>
    </row>
    <row r="2987" spans="78:79" x14ac:dyDescent="0.35">
      <c r="BZ2987" s="105"/>
      <c r="CA2987" s="20"/>
    </row>
    <row r="2988" spans="78:79" x14ac:dyDescent="0.35">
      <c r="BZ2988" s="105"/>
      <c r="CA2988" s="20"/>
    </row>
    <row r="2989" spans="78:79" x14ac:dyDescent="0.35">
      <c r="BZ2989" s="105"/>
      <c r="CA2989" s="20"/>
    </row>
    <row r="2990" spans="78:79" x14ac:dyDescent="0.35">
      <c r="BZ2990" s="105"/>
      <c r="CA2990" s="20"/>
    </row>
    <row r="2991" spans="78:79" x14ac:dyDescent="0.35">
      <c r="BZ2991" s="105"/>
      <c r="CA2991" s="20"/>
    </row>
    <row r="2992" spans="78:79" x14ac:dyDescent="0.35">
      <c r="BZ2992" s="105"/>
      <c r="CA2992" s="20"/>
    </row>
    <row r="2993" spans="78:79" x14ac:dyDescent="0.35">
      <c r="BZ2993" s="105"/>
      <c r="CA2993" s="20"/>
    </row>
    <row r="2994" spans="78:79" x14ac:dyDescent="0.35">
      <c r="BZ2994" s="105"/>
      <c r="CA2994" s="20"/>
    </row>
    <row r="2995" spans="78:79" x14ac:dyDescent="0.35">
      <c r="BZ2995" s="105"/>
      <c r="CA2995" s="20"/>
    </row>
    <row r="2996" spans="78:79" x14ac:dyDescent="0.35">
      <c r="BZ2996" s="105"/>
      <c r="CA2996" s="20"/>
    </row>
    <row r="2997" spans="78:79" x14ac:dyDescent="0.35">
      <c r="BZ2997" s="105"/>
      <c r="CA2997" s="20"/>
    </row>
    <row r="2998" spans="78:79" x14ac:dyDescent="0.35">
      <c r="BZ2998" s="105"/>
      <c r="CA2998" s="20"/>
    </row>
    <row r="2999" spans="78:79" x14ac:dyDescent="0.35">
      <c r="BZ2999" s="105"/>
      <c r="CA2999" s="20"/>
    </row>
    <row r="3000" spans="78:79" x14ac:dyDescent="0.35">
      <c r="BZ3000" s="105"/>
      <c r="CA3000" s="20"/>
    </row>
    <row r="3001" spans="78:79" x14ac:dyDescent="0.35">
      <c r="BZ3001" s="105"/>
      <c r="CA3001" s="20"/>
    </row>
    <row r="3002" spans="78:79" x14ac:dyDescent="0.35">
      <c r="BZ3002" s="105"/>
      <c r="CA3002" s="20"/>
    </row>
    <row r="3003" spans="78:79" x14ac:dyDescent="0.35">
      <c r="BZ3003" s="105"/>
      <c r="CA3003" s="20"/>
    </row>
    <row r="3004" spans="78:79" x14ac:dyDescent="0.35">
      <c r="BZ3004" s="105"/>
      <c r="CA3004" s="20"/>
    </row>
    <row r="3005" spans="78:79" x14ac:dyDescent="0.35">
      <c r="BZ3005" s="105"/>
      <c r="CA3005" s="20"/>
    </row>
    <row r="3006" spans="78:79" x14ac:dyDescent="0.35">
      <c r="BZ3006" s="105"/>
      <c r="CA3006" s="20"/>
    </row>
    <row r="3007" spans="78:79" x14ac:dyDescent="0.35">
      <c r="BZ3007" s="105"/>
      <c r="CA3007" s="20"/>
    </row>
    <row r="3008" spans="78:79" x14ac:dyDescent="0.35">
      <c r="BZ3008" s="105"/>
      <c r="CA3008" s="20"/>
    </row>
    <row r="3009" spans="78:79" x14ac:dyDescent="0.35">
      <c r="BZ3009" s="105"/>
      <c r="CA3009" s="20"/>
    </row>
    <row r="3010" spans="78:79" x14ac:dyDescent="0.35">
      <c r="BZ3010" s="105"/>
      <c r="CA3010" s="20"/>
    </row>
    <row r="3011" spans="78:79" x14ac:dyDescent="0.35">
      <c r="BZ3011" s="105"/>
      <c r="CA3011" s="20"/>
    </row>
    <row r="3012" spans="78:79" x14ac:dyDescent="0.35">
      <c r="BZ3012" s="105"/>
      <c r="CA3012" s="20"/>
    </row>
    <row r="3013" spans="78:79" x14ac:dyDescent="0.35">
      <c r="BZ3013" s="105"/>
      <c r="CA3013" s="20"/>
    </row>
    <row r="3014" spans="78:79" x14ac:dyDescent="0.35">
      <c r="BZ3014" s="105"/>
      <c r="CA3014" s="20"/>
    </row>
    <row r="3015" spans="78:79" x14ac:dyDescent="0.35">
      <c r="BZ3015" s="105"/>
      <c r="CA3015" s="20"/>
    </row>
    <row r="3016" spans="78:79" x14ac:dyDescent="0.35">
      <c r="BZ3016" s="105"/>
      <c r="CA3016" s="20"/>
    </row>
    <row r="3017" spans="78:79" x14ac:dyDescent="0.35">
      <c r="BZ3017" s="105"/>
      <c r="CA3017" s="20"/>
    </row>
    <row r="3018" spans="78:79" x14ac:dyDescent="0.35">
      <c r="BZ3018" s="105"/>
      <c r="CA3018" s="20"/>
    </row>
    <row r="3019" spans="78:79" x14ac:dyDescent="0.35">
      <c r="BZ3019" s="105"/>
      <c r="CA3019" s="20"/>
    </row>
    <row r="3020" spans="78:79" x14ac:dyDescent="0.35">
      <c r="BZ3020" s="105"/>
      <c r="CA3020" s="20"/>
    </row>
    <row r="3021" spans="78:79" x14ac:dyDescent="0.35">
      <c r="BZ3021" s="105"/>
      <c r="CA3021" s="20"/>
    </row>
    <row r="3022" spans="78:79" x14ac:dyDescent="0.35">
      <c r="BZ3022" s="105"/>
      <c r="CA3022" s="20"/>
    </row>
    <row r="3023" spans="78:79" x14ac:dyDescent="0.35">
      <c r="BZ3023" s="105"/>
      <c r="CA3023" s="20"/>
    </row>
    <row r="3024" spans="78:79" x14ac:dyDescent="0.35">
      <c r="BZ3024" s="105"/>
      <c r="CA3024" s="20"/>
    </row>
    <row r="3025" spans="78:79" x14ac:dyDescent="0.35">
      <c r="BZ3025" s="105"/>
      <c r="CA3025" s="20"/>
    </row>
    <row r="3026" spans="78:79" x14ac:dyDescent="0.35">
      <c r="BZ3026" s="105"/>
      <c r="CA3026" s="20"/>
    </row>
    <row r="3027" spans="78:79" x14ac:dyDescent="0.35">
      <c r="BZ3027" s="105"/>
      <c r="CA3027" s="20"/>
    </row>
    <row r="3028" spans="78:79" x14ac:dyDescent="0.35">
      <c r="BZ3028" s="105"/>
      <c r="CA3028" s="20"/>
    </row>
    <row r="3029" spans="78:79" x14ac:dyDescent="0.35">
      <c r="BZ3029" s="105"/>
      <c r="CA3029" s="20"/>
    </row>
    <row r="3030" spans="78:79" x14ac:dyDescent="0.35">
      <c r="BZ3030" s="105"/>
      <c r="CA3030" s="20"/>
    </row>
    <row r="3031" spans="78:79" x14ac:dyDescent="0.35">
      <c r="BZ3031" s="105"/>
      <c r="CA3031" s="20"/>
    </row>
    <row r="3032" spans="78:79" x14ac:dyDescent="0.35">
      <c r="BZ3032" s="105"/>
      <c r="CA3032" s="20"/>
    </row>
    <row r="3033" spans="78:79" x14ac:dyDescent="0.35">
      <c r="BZ3033" s="105"/>
      <c r="CA3033" s="20"/>
    </row>
    <row r="3034" spans="78:79" x14ac:dyDescent="0.35">
      <c r="BZ3034" s="105"/>
      <c r="CA3034" s="20"/>
    </row>
    <row r="3035" spans="78:79" x14ac:dyDescent="0.35">
      <c r="BZ3035" s="105"/>
      <c r="CA3035" s="20"/>
    </row>
    <row r="3036" spans="78:79" x14ac:dyDescent="0.35">
      <c r="BZ3036" s="105"/>
      <c r="CA3036" s="20"/>
    </row>
    <row r="3037" spans="78:79" x14ac:dyDescent="0.35">
      <c r="BZ3037" s="105"/>
      <c r="CA3037" s="20"/>
    </row>
    <row r="3038" spans="78:79" x14ac:dyDescent="0.35">
      <c r="BZ3038" s="105"/>
      <c r="CA3038" s="20"/>
    </row>
    <row r="3039" spans="78:79" x14ac:dyDescent="0.35">
      <c r="BZ3039" s="105"/>
      <c r="CA3039" s="20"/>
    </row>
    <row r="3040" spans="78:79" x14ac:dyDescent="0.35">
      <c r="BZ3040" s="105"/>
      <c r="CA3040" s="20"/>
    </row>
    <row r="3041" spans="78:79" x14ac:dyDescent="0.35">
      <c r="BZ3041" s="105"/>
      <c r="CA3041" s="20"/>
    </row>
    <row r="3042" spans="78:79" x14ac:dyDescent="0.35">
      <c r="BZ3042" s="105"/>
      <c r="CA3042" s="20"/>
    </row>
    <row r="3043" spans="78:79" x14ac:dyDescent="0.35">
      <c r="BZ3043" s="105"/>
      <c r="CA3043" s="20"/>
    </row>
    <row r="3044" spans="78:79" x14ac:dyDescent="0.35">
      <c r="BZ3044" s="105"/>
      <c r="CA3044" s="20"/>
    </row>
    <row r="3045" spans="78:79" x14ac:dyDescent="0.35">
      <c r="BZ3045" s="105"/>
      <c r="CA3045" s="20"/>
    </row>
    <row r="3046" spans="78:79" x14ac:dyDescent="0.35">
      <c r="BZ3046" s="105"/>
      <c r="CA3046" s="20"/>
    </row>
    <row r="3047" spans="78:79" x14ac:dyDescent="0.35">
      <c r="BZ3047" s="105"/>
      <c r="CA3047" s="20"/>
    </row>
    <row r="3048" spans="78:79" x14ac:dyDescent="0.35">
      <c r="BZ3048" s="105"/>
      <c r="CA3048" s="20"/>
    </row>
    <row r="3049" spans="78:79" x14ac:dyDescent="0.35">
      <c r="BZ3049" s="105"/>
      <c r="CA3049" s="20"/>
    </row>
    <row r="3050" spans="78:79" x14ac:dyDescent="0.35">
      <c r="BZ3050" s="105"/>
      <c r="CA3050" s="20"/>
    </row>
    <row r="3051" spans="78:79" x14ac:dyDescent="0.35">
      <c r="BZ3051" s="105"/>
      <c r="CA3051" s="20"/>
    </row>
    <row r="3052" spans="78:79" x14ac:dyDescent="0.35">
      <c r="BZ3052" s="105"/>
      <c r="CA3052" s="20"/>
    </row>
    <row r="3053" spans="78:79" x14ac:dyDescent="0.35">
      <c r="BZ3053" s="105"/>
      <c r="CA3053" s="20"/>
    </row>
    <row r="3054" spans="78:79" x14ac:dyDescent="0.35">
      <c r="BZ3054" s="105"/>
      <c r="CA3054" s="20"/>
    </row>
    <row r="3055" spans="78:79" x14ac:dyDescent="0.35">
      <c r="BZ3055" s="105"/>
      <c r="CA3055" s="20"/>
    </row>
    <row r="3056" spans="78:79" x14ac:dyDescent="0.35">
      <c r="BZ3056" s="105"/>
      <c r="CA3056" s="20"/>
    </row>
    <row r="3057" spans="78:79" x14ac:dyDescent="0.35">
      <c r="BZ3057" s="105"/>
      <c r="CA3057" s="20"/>
    </row>
    <row r="3058" spans="78:79" x14ac:dyDescent="0.35">
      <c r="BZ3058" s="105"/>
      <c r="CA3058" s="20"/>
    </row>
    <row r="3059" spans="78:79" x14ac:dyDescent="0.35">
      <c r="BZ3059" s="105"/>
      <c r="CA3059" s="20"/>
    </row>
    <row r="3060" spans="78:79" x14ac:dyDescent="0.35">
      <c r="BZ3060" s="105"/>
      <c r="CA3060" s="20"/>
    </row>
    <row r="3061" spans="78:79" x14ac:dyDescent="0.35">
      <c r="BZ3061" s="105"/>
      <c r="CA3061" s="20"/>
    </row>
    <row r="3062" spans="78:79" x14ac:dyDescent="0.35">
      <c r="BZ3062" s="105"/>
      <c r="CA3062" s="20"/>
    </row>
    <row r="3063" spans="78:79" x14ac:dyDescent="0.35">
      <c r="BZ3063" s="105"/>
      <c r="CA3063" s="20"/>
    </row>
    <row r="3064" spans="78:79" x14ac:dyDescent="0.35">
      <c r="BZ3064" s="105"/>
      <c r="CA3064" s="20"/>
    </row>
    <row r="3065" spans="78:79" x14ac:dyDescent="0.35">
      <c r="BZ3065" s="105"/>
      <c r="CA3065" s="20"/>
    </row>
    <row r="3066" spans="78:79" x14ac:dyDescent="0.35">
      <c r="BZ3066" s="105"/>
      <c r="CA3066" s="20"/>
    </row>
    <row r="3067" spans="78:79" x14ac:dyDescent="0.35">
      <c r="BZ3067" s="105"/>
      <c r="CA3067" s="20"/>
    </row>
    <row r="3068" spans="78:79" x14ac:dyDescent="0.35">
      <c r="BZ3068" s="105"/>
      <c r="CA3068" s="20"/>
    </row>
    <row r="3069" spans="78:79" x14ac:dyDescent="0.35">
      <c r="BZ3069" s="105"/>
      <c r="CA3069" s="20"/>
    </row>
    <row r="3070" spans="78:79" x14ac:dyDescent="0.35">
      <c r="BZ3070" s="105"/>
      <c r="CA3070" s="20"/>
    </row>
    <row r="3071" spans="78:79" x14ac:dyDescent="0.35">
      <c r="BZ3071" s="105"/>
      <c r="CA3071" s="20"/>
    </row>
    <row r="3072" spans="78:79" x14ac:dyDescent="0.35">
      <c r="BZ3072" s="105"/>
      <c r="CA3072" s="20"/>
    </row>
    <row r="3073" spans="78:79" x14ac:dyDescent="0.35">
      <c r="BZ3073" s="105"/>
      <c r="CA3073" s="20"/>
    </row>
    <row r="3074" spans="78:79" x14ac:dyDescent="0.35">
      <c r="BZ3074" s="105"/>
      <c r="CA3074" s="20"/>
    </row>
    <row r="3075" spans="78:79" x14ac:dyDescent="0.35">
      <c r="BZ3075" s="105"/>
      <c r="CA3075" s="20"/>
    </row>
    <row r="3076" spans="78:79" x14ac:dyDescent="0.35">
      <c r="BZ3076" s="105"/>
      <c r="CA3076" s="20"/>
    </row>
    <row r="3077" spans="78:79" x14ac:dyDescent="0.35">
      <c r="BZ3077" s="105"/>
      <c r="CA3077" s="20"/>
    </row>
    <row r="3078" spans="78:79" x14ac:dyDescent="0.35">
      <c r="BZ3078" s="105"/>
      <c r="CA3078" s="20"/>
    </row>
    <row r="3079" spans="78:79" x14ac:dyDescent="0.35">
      <c r="BZ3079" s="105"/>
      <c r="CA3079" s="20"/>
    </row>
    <row r="3080" spans="78:79" x14ac:dyDescent="0.35">
      <c r="BZ3080" s="105"/>
      <c r="CA3080" s="20"/>
    </row>
    <row r="3081" spans="78:79" x14ac:dyDescent="0.35">
      <c r="BZ3081" s="105"/>
      <c r="CA3081" s="20"/>
    </row>
    <row r="3082" spans="78:79" x14ac:dyDescent="0.35">
      <c r="BZ3082" s="105"/>
      <c r="CA3082" s="20"/>
    </row>
    <row r="3083" spans="78:79" x14ac:dyDescent="0.35">
      <c r="BZ3083" s="105"/>
      <c r="CA3083" s="20"/>
    </row>
    <row r="3084" spans="78:79" x14ac:dyDescent="0.35">
      <c r="BZ3084" s="105"/>
      <c r="CA3084" s="20"/>
    </row>
    <row r="3085" spans="78:79" x14ac:dyDescent="0.35">
      <c r="BZ3085" s="105"/>
      <c r="CA3085" s="20"/>
    </row>
    <row r="3086" spans="78:79" x14ac:dyDescent="0.35">
      <c r="BZ3086" s="105"/>
      <c r="CA3086" s="20"/>
    </row>
    <row r="3087" spans="78:79" x14ac:dyDescent="0.35">
      <c r="BZ3087" s="105"/>
      <c r="CA3087" s="20"/>
    </row>
    <row r="3088" spans="78:79" x14ac:dyDescent="0.35">
      <c r="BZ3088" s="105"/>
      <c r="CA3088" s="20"/>
    </row>
    <row r="3089" spans="78:79" x14ac:dyDescent="0.35">
      <c r="BZ3089" s="105"/>
      <c r="CA3089" s="20"/>
    </row>
    <row r="3090" spans="78:79" x14ac:dyDescent="0.35">
      <c r="BZ3090" s="105"/>
      <c r="CA3090" s="20"/>
    </row>
    <row r="3091" spans="78:79" x14ac:dyDescent="0.35">
      <c r="BZ3091" s="105"/>
      <c r="CA3091" s="20"/>
    </row>
    <row r="3092" spans="78:79" x14ac:dyDescent="0.35">
      <c r="BZ3092" s="105"/>
      <c r="CA3092" s="20"/>
    </row>
    <row r="3093" spans="78:79" x14ac:dyDescent="0.35">
      <c r="BZ3093" s="105"/>
      <c r="CA3093" s="20"/>
    </row>
    <row r="3094" spans="78:79" x14ac:dyDescent="0.35">
      <c r="BZ3094" s="105"/>
      <c r="CA3094" s="20"/>
    </row>
    <row r="3095" spans="78:79" x14ac:dyDescent="0.35">
      <c r="BZ3095" s="105"/>
      <c r="CA3095" s="20"/>
    </row>
    <row r="3096" spans="78:79" x14ac:dyDescent="0.35">
      <c r="BZ3096" s="105"/>
      <c r="CA3096" s="20"/>
    </row>
    <row r="3097" spans="78:79" x14ac:dyDescent="0.35">
      <c r="BZ3097" s="105"/>
      <c r="CA3097" s="20"/>
    </row>
    <row r="3098" spans="78:79" x14ac:dyDescent="0.35">
      <c r="BZ3098" s="105"/>
      <c r="CA3098" s="20"/>
    </row>
    <row r="3099" spans="78:79" x14ac:dyDescent="0.35">
      <c r="BZ3099" s="105"/>
      <c r="CA3099" s="20"/>
    </row>
    <row r="3100" spans="78:79" x14ac:dyDescent="0.35">
      <c r="BZ3100" s="105"/>
      <c r="CA3100" s="20"/>
    </row>
    <row r="3101" spans="78:79" x14ac:dyDescent="0.35">
      <c r="BZ3101" s="105"/>
      <c r="CA3101" s="20"/>
    </row>
    <row r="3102" spans="78:79" x14ac:dyDescent="0.35">
      <c r="BZ3102" s="105"/>
      <c r="CA3102" s="20"/>
    </row>
    <row r="3103" spans="78:79" x14ac:dyDescent="0.35">
      <c r="BZ3103" s="105"/>
      <c r="CA3103" s="20"/>
    </row>
    <row r="3104" spans="78:79" x14ac:dyDescent="0.35">
      <c r="BZ3104" s="105"/>
      <c r="CA3104" s="20"/>
    </row>
    <row r="3105" spans="78:79" x14ac:dyDescent="0.35">
      <c r="BZ3105" s="105"/>
      <c r="CA3105" s="20"/>
    </row>
    <row r="3106" spans="78:79" x14ac:dyDescent="0.35">
      <c r="BZ3106" s="105"/>
      <c r="CA3106" s="20"/>
    </row>
    <row r="3107" spans="78:79" x14ac:dyDescent="0.35">
      <c r="BZ3107" s="105"/>
      <c r="CA3107" s="20"/>
    </row>
    <row r="3108" spans="78:79" x14ac:dyDescent="0.35">
      <c r="BZ3108" s="105"/>
      <c r="CA3108" s="20"/>
    </row>
    <row r="3109" spans="78:79" x14ac:dyDescent="0.35">
      <c r="BZ3109" s="105"/>
      <c r="CA3109" s="20"/>
    </row>
    <row r="3110" spans="78:79" x14ac:dyDescent="0.35">
      <c r="BZ3110" s="105"/>
      <c r="CA3110" s="20"/>
    </row>
    <row r="3111" spans="78:79" x14ac:dyDescent="0.35">
      <c r="BZ3111" s="105"/>
      <c r="CA3111" s="20"/>
    </row>
    <row r="3112" spans="78:79" x14ac:dyDescent="0.35">
      <c r="BZ3112" s="105"/>
      <c r="CA3112" s="20"/>
    </row>
    <row r="3113" spans="78:79" x14ac:dyDescent="0.35">
      <c r="BZ3113" s="105"/>
      <c r="CA3113" s="20"/>
    </row>
    <row r="3114" spans="78:79" x14ac:dyDescent="0.35">
      <c r="BZ3114" s="105"/>
      <c r="CA3114" s="20"/>
    </row>
    <row r="3115" spans="78:79" x14ac:dyDescent="0.35">
      <c r="BZ3115" s="105"/>
      <c r="CA3115" s="20"/>
    </row>
    <row r="3116" spans="78:79" x14ac:dyDescent="0.35">
      <c r="BZ3116" s="105"/>
      <c r="CA3116" s="20"/>
    </row>
    <row r="3117" spans="78:79" x14ac:dyDescent="0.35">
      <c r="BZ3117" s="105"/>
      <c r="CA3117" s="20"/>
    </row>
    <row r="3118" spans="78:79" x14ac:dyDescent="0.35">
      <c r="BZ3118" s="105"/>
      <c r="CA3118" s="20"/>
    </row>
    <row r="3119" spans="78:79" x14ac:dyDescent="0.35">
      <c r="BZ3119" s="105"/>
      <c r="CA3119" s="20"/>
    </row>
    <row r="3120" spans="78:79" x14ac:dyDescent="0.35">
      <c r="BZ3120" s="105"/>
      <c r="CA3120" s="20"/>
    </row>
    <row r="3121" spans="78:79" x14ac:dyDescent="0.35">
      <c r="BZ3121" s="105"/>
      <c r="CA3121" s="20"/>
    </row>
    <row r="3122" spans="78:79" x14ac:dyDescent="0.35">
      <c r="BZ3122" s="105"/>
      <c r="CA3122" s="20"/>
    </row>
    <row r="3123" spans="78:79" x14ac:dyDescent="0.35">
      <c r="BZ3123" s="105"/>
      <c r="CA3123" s="20"/>
    </row>
    <row r="3124" spans="78:79" x14ac:dyDescent="0.35">
      <c r="BZ3124" s="105"/>
      <c r="CA3124" s="20"/>
    </row>
    <row r="3125" spans="78:79" x14ac:dyDescent="0.35">
      <c r="BZ3125" s="105"/>
      <c r="CA3125" s="20"/>
    </row>
    <row r="3126" spans="78:79" x14ac:dyDescent="0.35">
      <c r="BZ3126" s="105"/>
      <c r="CA3126" s="20"/>
    </row>
    <row r="3127" spans="78:79" x14ac:dyDescent="0.35">
      <c r="BZ3127" s="105"/>
      <c r="CA3127" s="20"/>
    </row>
    <row r="3128" spans="78:79" x14ac:dyDescent="0.35">
      <c r="BZ3128" s="105"/>
      <c r="CA3128" s="20"/>
    </row>
    <row r="3129" spans="78:79" x14ac:dyDescent="0.35">
      <c r="BZ3129" s="105"/>
      <c r="CA3129" s="20"/>
    </row>
    <row r="3130" spans="78:79" x14ac:dyDescent="0.35">
      <c r="BZ3130" s="105"/>
      <c r="CA3130" s="20"/>
    </row>
    <row r="3131" spans="78:79" x14ac:dyDescent="0.35">
      <c r="BZ3131" s="105"/>
      <c r="CA3131" s="20"/>
    </row>
    <row r="3132" spans="78:79" x14ac:dyDescent="0.35">
      <c r="BZ3132" s="105"/>
      <c r="CA3132" s="20"/>
    </row>
    <row r="3133" spans="78:79" x14ac:dyDescent="0.35">
      <c r="BZ3133" s="105"/>
      <c r="CA3133" s="20"/>
    </row>
    <row r="3134" spans="78:79" x14ac:dyDescent="0.35">
      <c r="BZ3134" s="105"/>
      <c r="CA3134" s="20"/>
    </row>
    <row r="3135" spans="78:79" x14ac:dyDescent="0.35">
      <c r="BZ3135" s="105"/>
      <c r="CA3135" s="20"/>
    </row>
    <row r="3136" spans="78:79" x14ac:dyDescent="0.35">
      <c r="BZ3136" s="105"/>
      <c r="CA3136" s="20"/>
    </row>
    <row r="3137" spans="78:79" x14ac:dyDescent="0.35">
      <c r="BZ3137" s="105"/>
      <c r="CA3137" s="20"/>
    </row>
    <row r="3138" spans="78:79" x14ac:dyDescent="0.35">
      <c r="BZ3138" s="105"/>
      <c r="CA3138" s="20"/>
    </row>
    <row r="3139" spans="78:79" x14ac:dyDescent="0.35">
      <c r="BZ3139" s="105"/>
      <c r="CA3139" s="20"/>
    </row>
    <row r="3140" spans="78:79" x14ac:dyDescent="0.35">
      <c r="BZ3140" s="105"/>
      <c r="CA3140" s="20"/>
    </row>
    <row r="3141" spans="78:79" x14ac:dyDescent="0.35">
      <c r="BZ3141" s="105"/>
      <c r="CA3141" s="20"/>
    </row>
    <row r="3142" spans="78:79" x14ac:dyDescent="0.35">
      <c r="BZ3142" s="105"/>
      <c r="CA3142" s="20"/>
    </row>
    <row r="3143" spans="78:79" x14ac:dyDescent="0.35">
      <c r="BZ3143" s="105"/>
      <c r="CA3143" s="20"/>
    </row>
    <row r="3144" spans="78:79" x14ac:dyDescent="0.35">
      <c r="BZ3144" s="105"/>
      <c r="CA3144" s="20"/>
    </row>
    <row r="3145" spans="78:79" x14ac:dyDescent="0.35">
      <c r="BZ3145" s="105"/>
      <c r="CA3145" s="20"/>
    </row>
    <row r="3146" spans="78:79" x14ac:dyDescent="0.35">
      <c r="BZ3146" s="105"/>
      <c r="CA3146" s="20"/>
    </row>
    <row r="3147" spans="78:79" x14ac:dyDescent="0.35">
      <c r="BZ3147" s="105"/>
      <c r="CA3147" s="20"/>
    </row>
    <row r="3148" spans="78:79" x14ac:dyDescent="0.35">
      <c r="BZ3148" s="105"/>
      <c r="CA3148" s="20"/>
    </row>
    <row r="3149" spans="78:79" x14ac:dyDescent="0.35">
      <c r="BZ3149" s="105"/>
      <c r="CA3149" s="20"/>
    </row>
    <row r="3150" spans="78:79" x14ac:dyDescent="0.35">
      <c r="BZ3150" s="105"/>
      <c r="CA3150" s="20"/>
    </row>
    <row r="3151" spans="78:79" x14ac:dyDescent="0.35">
      <c r="BZ3151" s="105"/>
      <c r="CA3151" s="20"/>
    </row>
    <row r="3152" spans="78:79" x14ac:dyDescent="0.35">
      <c r="BZ3152" s="105"/>
      <c r="CA3152" s="20"/>
    </row>
    <row r="3153" spans="78:79" x14ac:dyDescent="0.35">
      <c r="BZ3153" s="105"/>
      <c r="CA3153" s="20"/>
    </row>
    <row r="3154" spans="78:79" x14ac:dyDescent="0.35">
      <c r="BZ3154" s="105"/>
      <c r="CA3154" s="20"/>
    </row>
    <row r="3155" spans="78:79" x14ac:dyDescent="0.35">
      <c r="BZ3155" s="105"/>
      <c r="CA3155" s="20"/>
    </row>
    <row r="3156" spans="78:79" x14ac:dyDescent="0.35">
      <c r="BZ3156" s="105"/>
      <c r="CA3156" s="20"/>
    </row>
    <row r="3157" spans="78:79" x14ac:dyDescent="0.35">
      <c r="BZ3157" s="105"/>
      <c r="CA3157" s="20"/>
    </row>
    <row r="3158" spans="78:79" x14ac:dyDescent="0.35">
      <c r="BZ3158" s="105"/>
      <c r="CA3158" s="20"/>
    </row>
    <row r="3159" spans="78:79" x14ac:dyDescent="0.35">
      <c r="BZ3159" s="105"/>
      <c r="CA3159" s="20"/>
    </row>
    <row r="3160" spans="78:79" x14ac:dyDescent="0.35">
      <c r="BZ3160" s="105"/>
      <c r="CA3160" s="20"/>
    </row>
    <row r="3161" spans="78:79" x14ac:dyDescent="0.35">
      <c r="BZ3161" s="105"/>
      <c r="CA3161" s="20"/>
    </row>
    <row r="3162" spans="78:79" x14ac:dyDescent="0.35">
      <c r="BZ3162" s="105"/>
      <c r="CA3162" s="20"/>
    </row>
    <row r="3163" spans="78:79" x14ac:dyDescent="0.35">
      <c r="BZ3163" s="105"/>
      <c r="CA3163" s="20"/>
    </row>
    <row r="3164" spans="78:79" x14ac:dyDescent="0.35">
      <c r="BZ3164" s="105"/>
      <c r="CA3164" s="20"/>
    </row>
    <row r="3165" spans="78:79" x14ac:dyDescent="0.35">
      <c r="BZ3165" s="105"/>
      <c r="CA3165" s="20"/>
    </row>
    <row r="3166" spans="78:79" x14ac:dyDescent="0.35">
      <c r="BZ3166" s="105"/>
      <c r="CA3166" s="20"/>
    </row>
    <row r="3167" spans="78:79" x14ac:dyDescent="0.35">
      <c r="BZ3167" s="105"/>
      <c r="CA3167" s="20"/>
    </row>
    <row r="3168" spans="78:79" x14ac:dyDescent="0.35">
      <c r="BZ3168" s="105"/>
      <c r="CA3168" s="20"/>
    </row>
    <row r="3169" spans="78:79" x14ac:dyDescent="0.35">
      <c r="BZ3169" s="105"/>
      <c r="CA3169" s="20"/>
    </row>
    <row r="3170" spans="78:79" x14ac:dyDescent="0.35">
      <c r="BZ3170" s="105"/>
      <c r="CA3170" s="20"/>
    </row>
    <row r="3171" spans="78:79" x14ac:dyDescent="0.35">
      <c r="BZ3171" s="105"/>
      <c r="CA3171" s="20"/>
    </row>
    <row r="3172" spans="78:79" x14ac:dyDescent="0.35">
      <c r="BZ3172" s="105"/>
      <c r="CA3172" s="20"/>
    </row>
    <row r="3173" spans="78:79" x14ac:dyDescent="0.35">
      <c r="BZ3173" s="105"/>
      <c r="CA3173" s="20"/>
    </row>
    <row r="3174" spans="78:79" x14ac:dyDescent="0.35">
      <c r="BZ3174" s="105"/>
      <c r="CA3174" s="20"/>
    </row>
    <row r="3175" spans="78:79" x14ac:dyDescent="0.35">
      <c r="BZ3175" s="105"/>
      <c r="CA3175" s="20"/>
    </row>
    <row r="3176" spans="78:79" x14ac:dyDescent="0.35">
      <c r="BZ3176" s="105"/>
      <c r="CA3176" s="20"/>
    </row>
    <row r="3177" spans="78:79" x14ac:dyDescent="0.35">
      <c r="BZ3177" s="105"/>
      <c r="CA3177" s="20"/>
    </row>
    <row r="3178" spans="78:79" x14ac:dyDescent="0.35">
      <c r="BZ3178" s="105"/>
      <c r="CA3178" s="20"/>
    </row>
    <row r="3179" spans="78:79" x14ac:dyDescent="0.35">
      <c r="BZ3179" s="105"/>
      <c r="CA3179" s="20"/>
    </row>
    <row r="3180" spans="78:79" x14ac:dyDescent="0.35">
      <c r="BZ3180" s="105"/>
      <c r="CA3180" s="20"/>
    </row>
    <row r="3181" spans="78:79" x14ac:dyDescent="0.35">
      <c r="BZ3181" s="105"/>
      <c r="CA3181" s="20"/>
    </row>
    <row r="3182" spans="78:79" x14ac:dyDescent="0.35">
      <c r="BZ3182" s="105"/>
      <c r="CA3182" s="20"/>
    </row>
    <row r="3183" spans="78:79" x14ac:dyDescent="0.35">
      <c r="BZ3183" s="105"/>
      <c r="CA3183" s="20"/>
    </row>
    <row r="3184" spans="78:79" x14ac:dyDescent="0.35">
      <c r="BZ3184" s="105"/>
      <c r="CA3184" s="20"/>
    </row>
    <row r="3185" spans="78:79" x14ac:dyDescent="0.35">
      <c r="BZ3185" s="105"/>
      <c r="CA3185" s="20"/>
    </row>
    <row r="3186" spans="78:79" x14ac:dyDescent="0.35">
      <c r="BZ3186" s="105"/>
      <c r="CA3186" s="20"/>
    </row>
    <row r="3187" spans="78:79" x14ac:dyDescent="0.35">
      <c r="BZ3187" s="105"/>
      <c r="CA3187" s="20"/>
    </row>
    <row r="3188" spans="78:79" x14ac:dyDescent="0.35">
      <c r="BZ3188" s="105"/>
      <c r="CA3188" s="20"/>
    </row>
    <row r="3189" spans="78:79" x14ac:dyDescent="0.35">
      <c r="BZ3189" s="105"/>
      <c r="CA3189" s="20"/>
    </row>
    <row r="3190" spans="78:79" x14ac:dyDescent="0.35">
      <c r="BZ3190" s="105"/>
      <c r="CA3190" s="20"/>
    </row>
    <row r="3191" spans="78:79" x14ac:dyDescent="0.35">
      <c r="BZ3191" s="105"/>
      <c r="CA3191" s="20"/>
    </row>
    <row r="3192" spans="78:79" x14ac:dyDescent="0.35">
      <c r="BZ3192" s="105"/>
      <c r="CA3192" s="20"/>
    </row>
    <row r="3193" spans="78:79" x14ac:dyDescent="0.35">
      <c r="BZ3193" s="105"/>
      <c r="CA3193" s="20"/>
    </row>
    <row r="3194" spans="78:79" x14ac:dyDescent="0.35">
      <c r="BZ3194" s="105"/>
      <c r="CA3194" s="20"/>
    </row>
    <row r="3195" spans="78:79" x14ac:dyDescent="0.35">
      <c r="BZ3195" s="105"/>
      <c r="CA3195" s="20"/>
    </row>
    <row r="3196" spans="78:79" x14ac:dyDescent="0.35">
      <c r="BZ3196" s="105"/>
      <c r="CA3196" s="20"/>
    </row>
    <row r="3197" spans="78:79" x14ac:dyDescent="0.35">
      <c r="BZ3197" s="105"/>
      <c r="CA3197" s="20"/>
    </row>
    <row r="3198" spans="78:79" x14ac:dyDescent="0.35">
      <c r="BZ3198" s="105"/>
      <c r="CA3198" s="20"/>
    </row>
    <row r="3199" spans="78:79" x14ac:dyDescent="0.35">
      <c r="BZ3199" s="105"/>
      <c r="CA3199" s="20"/>
    </row>
    <row r="3200" spans="78:79" x14ac:dyDescent="0.35">
      <c r="BZ3200" s="105"/>
      <c r="CA3200" s="20"/>
    </row>
    <row r="3201" spans="78:79" x14ac:dyDescent="0.35">
      <c r="BZ3201" s="105"/>
      <c r="CA3201" s="20"/>
    </row>
    <row r="3202" spans="78:79" x14ac:dyDescent="0.35">
      <c r="BZ3202" s="105"/>
      <c r="CA3202" s="20"/>
    </row>
    <row r="3203" spans="78:79" x14ac:dyDescent="0.35">
      <c r="BZ3203" s="105"/>
      <c r="CA3203" s="20"/>
    </row>
    <row r="3204" spans="78:79" x14ac:dyDescent="0.35">
      <c r="BZ3204" s="105"/>
      <c r="CA3204" s="20"/>
    </row>
    <row r="3205" spans="78:79" x14ac:dyDescent="0.35">
      <c r="BZ3205" s="105"/>
      <c r="CA3205" s="20"/>
    </row>
    <row r="3206" spans="78:79" x14ac:dyDescent="0.35">
      <c r="BZ3206" s="105"/>
      <c r="CA3206" s="20"/>
    </row>
    <row r="3207" spans="78:79" x14ac:dyDescent="0.35">
      <c r="BZ3207" s="105"/>
      <c r="CA3207" s="20"/>
    </row>
    <row r="3208" spans="78:79" x14ac:dyDescent="0.35">
      <c r="BZ3208" s="105"/>
      <c r="CA3208" s="20"/>
    </row>
    <row r="3209" spans="78:79" x14ac:dyDescent="0.35">
      <c r="BZ3209" s="105"/>
      <c r="CA3209" s="20"/>
    </row>
    <row r="3210" spans="78:79" x14ac:dyDescent="0.35">
      <c r="BZ3210" s="105"/>
      <c r="CA3210" s="20"/>
    </row>
    <row r="3211" spans="78:79" x14ac:dyDescent="0.35">
      <c r="BZ3211" s="105"/>
      <c r="CA3211" s="20"/>
    </row>
    <row r="3212" spans="78:79" x14ac:dyDescent="0.35">
      <c r="BZ3212" s="105"/>
      <c r="CA3212" s="20"/>
    </row>
    <row r="3213" spans="78:79" x14ac:dyDescent="0.35">
      <c r="BZ3213" s="105"/>
      <c r="CA3213" s="20"/>
    </row>
    <row r="3214" spans="78:79" x14ac:dyDescent="0.35">
      <c r="BZ3214" s="105"/>
      <c r="CA3214" s="20"/>
    </row>
    <row r="3215" spans="78:79" x14ac:dyDescent="0.35">
      <c r="BZ3215" s="105"/>
      <c r="CA3215" s="20"/>
    </row>
    <row r="3216" spans="78:79" x14ac:dyDescent="0.35">
      <c r="BZ3216" s="105"/>
      <c r="CA3216" s="20"/>
    </row>
    <row r="3217" spans="78:79" x14ac:dyDescent="0.35">
      <c r="BZ3217" s="105"/>
      <c r="CA3217" s="20"/>
    </row>
    <row r="3218" spans="78:79" x14ac:dyDescent="0.35">
      <c r="BZ3218" s="105"/>
      <c r="CA3218" s="20"/>
    </row>
    <row r="3219" spans="78:79" x14ac:dyDescent="0.35">
      <c r="BZ3219" s="105"/>
      <c r="CA3219" s="20"/>
    </row>
    <row r="3220" spans="78:79" x14ac:dyDescent="0.35">
      <c r="BZ3220" s="105"/>
      <c r="CA3220" s="20"/>
    </row>
    <row r="3221" spans="78:79" x14ac:dyDescent="0.35">
      <c r="BZ3221" s="105"/>
      <c r="CA3221" s="20"/>
    </row>
    <row r="3222" spans="78:79" x14ac:dyDescent="0.35">
      <c r="BZ3222" s="105"/>
      <c r="CA3222" s="20"/>
    </row>
    <row r="3223" spans="78:79" x14ac:dyDescent="0.35">
      <c r="BZ3223" s="105"/>
      <c r="CA3223" s="20"/>
    </row>
    <row r="3224" spans="78:79" x14ac:dyDescent="0.35">
      <c r="BZ3224" s="105"/>
      <c r="CA3224" s="20"/>
    </row>
    <row r="3225" spans="78:79" x14ac:dyDescent="0.35">
      <c r="BZ3225" s="105"/>
      <c r="CA3225" s="20"/>
    </row>
    <row r="3226" spans="78:79" x14ac:dyDescent="0.35">
      <c r="BZ3226" s="105"/>
      <c r="CA3226" s="20"/>
    </row>
    <row r="3227" spans="78:79" x14ac:dyDescent="0.35">
      <c r="BZ3227" s="105"/>
      <c r="CA3227" s="20"/>
    </row>
    <row r="3228" spans="78:79" x14ac:dyDescent="0.35">
      <c r="BZ3228" s="105"/>
      <c r="CA3228" s="20"/>
    </row>
    <row r="3229" spans="78:79" x14ac:dyDescent="0.35">
      <c r="BZ3229" s="105"/>
      <c r="CA3229" s="20"/>
    </row>
    <row r="3230" spans="78:79" x14ac:dyDescent="0.35">
      <c r="BZ3230" s="105"/>
      <c r="CA3230" s="20"/>
    </row>
    <row r="3231" spans="78:79" x14ac:dyDescent="0.35">
      <c r="BZ3231" s="105"/>
      <c r="CA3231" s="20"/>
    </row>
    <row r="3232" spans="78:79" x14ac:dyDescent="0.35">
      <c r="BZ3232" s="105"/>
      <c r="CA3232" s="20"/>
    </row>
    <row r="3233" spans="78:79" x14ac:dyDescent="0.35">
      <c r="BZ3233" s="105"/>
      <c r="CA3233" s="20"/>
    </row>
    <row r="3234" spans="78:79" x14ac:dyDescent="0.35">
      <c r="BZ3234" s="105"/>
      <c r="CA3234" s="20"/>
    </row>
    <row r="3235" spans="78:79" x14ac:dyDescent="0.35">
      <c r="BZ3235" s="105"/>
      <c r="CA3235" s="20"/>
    </row>
    <row r="3236" spans="78:79" x14ac:dyDescent="0.35">
      <c r="BZ3236" s="105"/>
      <c r="CA3236" s="20"/>
    </row>
    <row r="3237" spans="78:79" x14ac:dyDescent="0.35">
      <c r="BZ3237" s="105"/>
      <c r="CA3237" s="20"/>
    </row>
    <row r="3238" spans="78:79" x14ac:dyDescent="0.35">
      <c r="BZ3238" s="105"/>
      <c r="CA3238" s="20"/>
    </row>
    <row r="3239" spans="78:79" x14ac:dyDescent="0.35">
      <c r="BZ3239" s="105"/>
      <c r="CA3239" s="20"/>
    </row>
    <row r="3240" spans="78:79" x14ac:dyDescent="0.35">
      <c r="BZ3240" s="105"/>
      <c r="CA3240" s="20"/>
    </row>
    <row r="3241" spans="78:79" x14ac:dyDescent="0.35">
      <c r="BZ3241" s="105"/>
      <c r="CA3241" s="20"/>
    </row>
    <row r="3242" spans="78:79" x14ac:dyDescent="0.35">
      <c r="BZ3242" s="105"/>
      <c r="CA3242" s="20"/>
    </row>
    <row r="3243" spans="78:79" x14ac:dyDescent="0.35">
      <c r="BZ3243" s="105"/>
      <c r="CA3243" s="20"/>
    </row>
    <row r="3244" spans="78:79" x14ac:dyDescent="0.35">
      <c r="BZ3244" s="105"/>
      <c r="CA3244" s="20"/>
    </row>
    <row r="3245" spans="78:79" x14ac:dyDescent="0.35">
      <c r="BZ3245" s="105"/>
      <c r="CA3245" s="20"/>
    </row>
    <row r="3246" spans="78:79" x14ac:dyDescent="0.35">
      <c r="BZ3246" s="105"/>
      <c r="CA3246" s="20"/>
    </row>
    <row r="3247" spans="78:79" x14ac:dyDescent="0.35">
      <c r="BZ3247" s="105"/>
      <c r="CA3247" s="20"/>
    </row>
    <row r="3248" spans="78:79" x14ac:dyDescent="0.35">
      <c r="BZ3248" s="105"/>
      <c r="CA3248" s="20"/>
    </row>
    <row r="3249" spans="78:79" x14ac:dyDescent="0.35">
      <c r="BZ3249" s="105"/>
      <c r="CA3249" s="20"/>
    </row>
    <row r="3250" spans="78:79" x14ac:dyDescent="0.35">
      <c r="BZ3250" s="105"/>
      <c r="CA3250" s="20"/>
    </row>
    <row r="3251" spans="78:79" x14ac:dyDescent="0.35">
      <c r="BZ3251" s="105"/>
      <c r="CA3251" s="20"/>
    </row>
    <row r="3252" spans="78:79" x14ac:dyDescent="0.35">
      <c r="BZ3252" s="105"/>
      <c r="CA3252" s="20"/>
    </row>
    <row r="3253" spans="78:79" x14ac:dyDescent="0.35">
      <c r="BZ3253" s="105"/>
      <c r="CA3253" s="20"/>
    </row>
    <row r="3254" spans="78:79" x14ac:dyDescent="0.35">
      <c r="BZ3254" s="105"/>
      <c r="CA3254" s="20"/>
    </row>
    <row r="3255" spans="78:79" x14ac:dyDescent="0.35">
      <c r="BZ3255" s="105"/>
      <c r="CA3255" s="20"/>
    </row>
    <row r="3256" spans="78:79" x14ac:dyDescent="0.35">
      <c r="BZ3256" s="105"/>
      <c r="CA3256" s="20"/>
    </row>
    <row r="3257" spans="78:79" x14ac:dyDescent="0.35">
      <c r="BZ3257" s="105"/>
      <c r="CA3257" s="20"/>
    </row>
    <row r="3258" spans="78:79" x14ac:dyDescent="0.35">
      <c r="BZ3258" s="105"/>
      <c r="CA3258" s="20"/>
    </row>
    <row r="3259" spans="78:79" x14ac:dyDescent="0.35">
      <c r="BZ3259" s="105"/>
      <c r="CA3259" s="20"/>
    </row>
    <row r="3260" spans="78:79" x14ac:dyDescent="0.35">
      <c r="BZ3260" s="105"/>
      <c r="CA3260" s="20"/>
    </row>
    <row r="3261" spans="78:79" x14ac:dyDescent="0.35">
      <c r="BZ3261" s="105"/>
      <c r="CA3261" s="20"/>
    </row>
    <row r="3262" spans="78:79" x14ac:dyDescent="0.35">
      <c r="BZ3262" s="105"/>
      <c r="CA3262" s="20"/>
    </row>
    <row r="3263" spans="78:79" x14ac:dyDescent="0.35">
      <c r="BZ3263" s="105"/>
      <c r="CA3263" s="20"/>
    </row>
    <row r="3264" spans="78:79" x14ac:dyDescent="0.35">
      <c r="BZ3264" s="105"/>
      <c r="CA3264" s="20"/>
    </row>
    <row r="3265" spans="78:79" x14ac:dyDescent="0.35">
      <c r="BZ3265" s="105"/>
      <c r="CA3265" s="20"/>
    </row>
    <row r="3266" spans="78:79" x14ac:dyDescent="0.35">
      <c r="BZ3266" s="105"/>
      <c r="CA3266" s="20"/>
    </row>
    <row r="3267" spans="78:79" x14ac:dyDescent="0.35">
      <c r="BZ3267" s="105"/>
      <c r="CA3267" s="20"/>
    </row>
    <row r="3268" spans="78:79" x14ac:dyDescent="0.35">
      <c r="BZ3268" s="105"/>
      <c r="CA3268" s="20"/>
    </row>
    <row r="3269" spans="78:79" x14ac:dyDescent="0.35">
      <c r="BZ3269" s="105"/>
      <c r="CA3269" s="20"/>
    </row>
    <row r="3270" spans="78:79" x14ac:dyDescent="0.35">
      <c r="BZ3270" s="105"/>
      <c r="CA3270" s="20"/>
    </row>
    <row r="3271" spans="78:79" x14ac:dyDescent="0.35">
      <c r="BZ3271" s="105"/>
      <c r="CA3271" s="20"/>
    </row>
    <row r="3272" spans="78:79" x14ac:dyDescent="0.35">
      <c r="BZ3272" s="105"/>
      <c r="CA3272" s="20"/>
    </row>
    <row r="3273" spans="78:79" x14ac:dyDescent="0.35">
      <c r="BZ3273" s="105"/>
      <c r="CA3273" s="20"/>
    </row>
    <row r="3274" spans="78:79" x14ac:dyDescent="0.35">
      <c r="BZ3274" s="105"/>
      <c r="CA3274" s="20"/>
    </row>
    <row r="3275" spans="78:79" x14ac:dyDescent="0.35">
      <c r="BZ3275" s="105"/>
      <c r="CA3275" s="20"/>
    </row>
    <row r="3276" spans="78:79" x14ac:dyDescent="0.35">
      <c r="BZ3276" s="105"/>
      <c r="CA3276" s="20"/>
    </row>
    <row r="3277" spans="78:79" x14ac:dyDescent="0.35">
      <c r="BZ3277" s="105"/>
      <c r="CA3277" s="20"/>
    </row>
    <row r="3278" spans="78:79" x14ac:dyDescent="0.35">
      <c r="BZ3278" s="105"/>
      <c r="CA3278" s="20"/>
    </row>
    <row r="3279" spans="78:79" x14ac:dyDescent="0.35">
      <c r="BZ3279" s="105"/>
      <c r="CA3279" s="20"/>
    </row>
    <row r="3280" spans="78:79" x14ac:dyDescent="0.35">
      <c r="BZ3280" s="105"/>
      <c r="CA3280" s="20"/>
    </row>
    <row r="3281" spans="78:79" x14ac:dyDescent="0.35">
      <c r="BZ3281" s="105"/>
      <c r="CA3281" s="20"/>
    </row>
    <row r="3282" spans="78:79" x14ac:dyDescent="0.35">
      <c r="BZ3282" s="105"/>
      <c r="CA3282" s="20"/>
    </row>
    <row r="3283" spans="78:79" x14ac:dyDescent="0.35">
      <c r="BZ3283" s="105"/>
      <c r="CA3283" s="20"/>
    </row>
    <row r="3284" spans="78:79" x14ac:dyDescent="0.35">
      <c r="BZ3284" s="105"/>
      <c r="CA3284" s="20"/>
    </row>
    <row r="3285" spans="78:79" x14ac:dyDescent="0.35">
      <c r="BZ3285" s="105"/>
      <c r="CA3285" s="20"/>
    </row>
    <row r="3286" spans="78:79" x14ac:dyDescent="0.35">
      <c r="BZ3286" s="105"/>
      <c r="CA3286" s="20"/>
    </row>
    <row r="3287" spans="78:79" x14ac:dyDescent="0.35">
      <c r="BZ3287" s="105"/>
      <c r="CA3287" s="20"/>
    </row>
    <row r="3288" spans="78:79" x14ac:dyDescent="0.35">
      <c r="BZ3288" s="105"/>
      <c r="CA3288" s="20"/>
    </row>
    <row r="3289" spans="78:79" x14ac:dyDescent="0.35">
      <c r="BZ3289" s="105"/>
      <c r="CA3289" s="20"/>
    </row>
    <row r="3290" spans="78:79" x14ac:dyDescent="0.35">
      <c r="BZ3290" s="105"/>
      <c r="CA3290" s="20"/>
    </row>
    <row r="3291" spans="78:79" x14ac:dyDescent="0.35">
      <c r="BZ3291" s="105"/>
      <c r="CA3291" s="20"/>
    </row>
    <row r="3292" spans="78:79" x14ac:dyDescent="0.35">
      <c r="BZ3292" s="105"/>
      <c r="CA3292" s="20"/>
    </row>
    <row r="3293" spans="78:79" x14ac:dyDescent="0.35">
      <c r="BZ3293" s="105"/>
      <c r="CA3293" s="20"/>
    </row>
    <row r="3294" spans="78:79" x14ac:dyDescent="0.35">
      <c r="BZ3294" s="105"/>
      <c r="CA3294" s="20"/>
    </row>
    <row r="3295" spans="78:79" x14ac:dyDescent="0.35">
      <c r="BZ3295" s="105"/>
      <c r="CA3295" s="20"/>
    </row>
    <row r="3296" spans="78:79" x14ac:dyDescent="0.35">
      <c r="BZ3296" s="105"/>
      <c r="CA3296" s="20"/>
    </row>
    <row r="3297" spans="78:79" x14ac:dyDescent="0.35">
      <c r="BZ3297" s="105"/>
      <c r="CA3297" s="20"/>
    </row>
    <row r="3298" spans="78:79" x14ac:dyDescent="0.35">
      <c r="BZ3298" s="105"/>
      <c r="CA3298" s="20"/>
    </row>
    <row r="3299" spans="78:79" x14ac:dyDescent="0.35">
      <c r="BZ3299" s="105"/>
      <c r="CA3299" s="20"/>
    </row>
    <row r="3300" spans="78:79" x14ac:dyDescent="0.35">
      <c r="BZ3300" s="105"/>
      <c r="CA3300" s="20"/>
    </row>
    <row r="3301" spans="78:79" x14ac:dyDescent="0.35">
      <c r="BZ3301" s="105"/>
      <c r="CA3301" s="20"/>
    </row>
    <row r="3302" spans="78:79" x14ac:dyDescent="0.35">
      <c r="BZ3302" s="105"/>
      <c r="CA3302" s="20"/>
    </row>
    <row r="3303" spans="78:79" x14ac:dyDescent="0.35">
      <c r="BZ3303" s="105"/>
      <c r="CA3303" s="20"/>
    </row>
    <row r="3304" spans="78:79" x14ac:dyDescent="0.35">
      <c r="BZ3304" s="105"/>
      <c r="CA3304" s="20"/>
    </row>
    <row r="3305" spans="78:79" x14ac:dyDescent="0.35">
      <c r="BZ3305" s="105"/>
      <c r="CA3305" s="20"/>
    </row>
    <row r="3306" spans="78:79" x14ac:dyDescent="0.35">
      <c r="BZ3306" s="105"/>
      <c r="CA3306" s="20"/>
    </row>
    <row r="3307" spans="78:79" x14ac:dyDescent="0.35">
      <c r="BZ3307" s="105"/>
      <c r="CA3307" s="20"/>
    </row>
    <row r="3308" spans="78:79" x14ac:dyDescent="0.35">
      <c r="BZ3308" s="105"/>
      <c r="CA3308" s="20"/>
    </row>
    <row r="3309" spans="78:79" x14ac:dyDescent="0.35">
      <c r="BZ3309" s="105"/>
      <c r="CA3309" s="20"/>
    </row>
    <row r="3310" spans="78:79" x14ac:dyDescent="0.35">
      <c r="BZ3310" s="105"/>
      <c r="CA3310" s="20"/>
    </row>
    <row r="3311" spans="78:79" x14ac:dyDescent="0.35">
      <c r="BZ3311" s="105"/>
      <c r="CA3311" s="20"/>
    </row>
    <row r="3312" spans="78:79" x14ac:dyDescent="0.35">
      <c r="BZ3312" s="105"/>
      <c r="CA3312" s="20"/>
    </row>
    <row r="3313" spans="78:79" x14ac:dyDescent="0.35">
      <c r="BZ3313" s="105"/>
      <c r="CA3313" s="20"/>
    </row>
    <row r="3314" spans="78:79" x14ac:dyDescent="0.35">
      <c r="BZ3314" s="105"/>
      <c r="CA3314" s="20"/>
    </row>
    <row r="3315" spans="78:79" x14ac:dyDescent="0.35">
      <c r="BZ3315" s="105"/>
      <c r="CA3315" s="20"/>
    </row>
    <row r="3316" spans="78:79" x14ac:dyDescent="0.35">
      <c r="BZ3316" s="105"/>
      <c r="CA3316" s="20"/>
    </row>
    <row r="3317" spans="78:79" x14ac:dyDescent="0.35">
      <c r="BZ3317" s="105"/>
      <c r="CA3317" s="20"/>
    </row>
    <row r="3318" spans="78:79" x14ac:dyDescent="0.35">
      <c r="BZ3318" s="105"/>
      <c r="CA3318" s="20"/>
    </row>
    <row r="3319" spans="78:79" x14ac:dyDescent="0.35">
      <c r="BZ3319" s="105"/>
      <c r="CA3319" s="20"/>
    </row>
    <row r="3320" spans="78:79" x14ac:dyDescent="0.35">
      <c r="BZ3320" s="105"/>
      <c r="CA3320" s="20"/>
    </row>
    <row r="3321" spans="78:79" x14ac:dyDescent="0.35">
      <c r="BZ3321" s="105"/>
      <c r="CA3321" s="20"/>
    </row>
    <row r="3322" spans="78:79" x14ac:dyDescent="0.35">
      <c r="BZ3322" s="105"/>
      <c r="CA3322" s="20"/>
    </row>
    <row r="3323" spans="78:79" x14ac:dyDescent="0.35">
      <c r="BZ3323" s="105"/>
      <c r="CA3323" s="20"/>
    </row>
    <row r="3324" spans="78:79" x14ac:dyDescent="0.35">
      <c r="BZ3324" s="105"/>
      <c r="CA3324" s="20"/>
    </row>
    <row r="3325" spans="78:79" x14ac:dyDescent="0.35">
      <c r="BZ3325" s="105"/>
      <c r="CA3325" s="20"/>
    </row>
    <row r="3326" spans="78:79" x14ac:dyDescent="0.35">
      <c r="BZ3326" s="105"/>
      <c r="CA3326" s="20"/>
    </row>
    <row r="3327" spans="78:79" x14ac:dyDescent="0.35">
      <c r="BZ3327" s="105"/>
      <c r="CA3327" s="20"/>
    </row>
    <row r="3328" spans="78:79" x14ac:dyDescent="0.35">
      <c r="BZ3328" s="105"/>
      <c r="CA3328" s="20"/>
    </row>
    <row r="3329" spans="78:79" x14ac:dyDescent="0.35">
      <c r="BZ3329" s="105"/>
      <c r="CA3329" s="20"/>
    </row>
    <row r="3330" spans="78:79" x14ac:dyDescent="0.35">
      <c r="BZ3330" s="105"/>
      <c r="CA3330" s="20"/>
    </row>
    <row r="3331" spans="78:79" x14ac:dyDescent="0.35">
      <c r="BZ3331" s="105"/>
      <c r="CA3331" s="20"/>
    </row>
    <row r="3332" spans="78:79" x14ac:dyDescent="0.35">
      <c r="BZ3332" s="105"/>
      <c r="CA3332" s="20"/>
    </row>
    <row r="3333" spans="78:79" x14ac:dyDescent="0.35">
      <c r="BZ3333" s="105"/>
      <c r="CA3333" s="20"/>
    </row>
    <row r="3334" spans="78:79" x14ac:dyDescent="0.35">
      <c r="BZ3334" s="105"/>
      <c r="CA3334" s="20"/>
    </row>
    <row r="3335" spans="78:79" x14ac:dyDescent="0.35">
      <c r="BZ3335" s="105"/>
      <c r="CA3335" s="20"/>
    </row>
    <row r="3336" spans="78:79" x14ac:dyDescent="0.35">
      <c r="BZ3336" s="105"/>
      <c r="CA3336" s="20"/>
    </row>
    <row r="3337" spans="78:79" x14ac:dyDescent="0.35">
      <c r="BZ3337" s="105"/>
      <c r="CA3337" s="20"/>
    </row>
    <row r="3338" spans="78:79" x14ac:dyDescent="0.35">
      <c r="BZ3338" s="105"/>
      <c r="CA3338" s="20"/>
    </row>
    <row r="3339" spans="78:79" x14ac:dyDescent="0.35">
      <c r="BZ3339" s="105"/>
      <c r="CA3339" s="20"/>
    </row>
    <row r="3340" spans="78:79" x14ac:dyDescent="0.35">
      <c r="BZ3340" s="105"/>
      <c r="CA3340" s="20"/>
    </row>
    <row r="3341" spans="78:79" x14ac:dyDescent="0.35">
      <c r="BZ3341" s="105"/>
      <c r="CA3341" s="20"/>
    </row>
    <row r="3342" spans="78:79" x14ac:dyDescent="0.35">
      <c r="BZ3342" s="105"/>
      <c r="CA3342" s="20"/>
    </row>
    <row r="3343" spans="78:79" x14ac:dyDescent="0.35">
      <c r="BZ3343" s="105"/>
      <c r="CA3343" s="20"/>
    </row>
    <row r="3344" spans="78:79" x14ac:dyDescent="0.35">
      <c r="BZ3344" s="105"/>
      <c r="CA3344" s="20"/>
    </row>
    <row r="3345" spans="78:79" x14ac:dyDescent="0.35">
      <c r="BZ3345" s="105"/>
      <c r="CA3345" s="20"/>
    </row>
    <row r="3346" spans="78:79" x14ac:dyDescent="0.35">
      <c r="BZ3346" s="105"/>
      <c r="CA3346" s="20"/>
    </row>
    <row r="3347" spans="78:79" x14ac:dyDescent="0.35">
      <c r="BZ3347" s="105"/>
      <c r="CA3347" s="20"/>
    </row>
    <row r="3348" spans="78:79" x14ac:dyDescent="0.35">
      <c r="BZ3348" s="105"/>
      <c r="CA3348" s="20"/>
    </row>
    <row r="3349" spans="78:79" x14ac:dyDescent="0.35">
      <c r="BZ3349" s="105"/>
      <c r="CA3349" s="20"/>
    </row>
    <row r="3350" spans="78:79" x14ac:dyDescent="0.35">
      <c r="BZ3350" s="105"/>
      <c r="CA3350" s="20"/>
    </row>
    <row r="3351" spans="78:79" x14ac:dyDescent="0.35">
      <c r="BZ3351" s="105"/>
      <c r="CA3351" s="20"/>
    </row>
    <row r="3352" spans="78:79" x14ac:dyDescent="0.35">
      <c r="BZ3352" s="105"/>
      <c r="CA3352" s="20"/>
    </row>
    <row r="3353" spans="78:79" x14ac:dyDescent="0.35">
      <c r="BZ3353" s="105"/>
      <c r="CA3353" s="20"/>
    </row>
    <row r="3354" spans="78:79" x14ac:dyDescent="0.35">
      <c r="BZ3354" s="105"/>
      <c r="CA3354" s="20"/>
    </row>
    <row r="3355" spans="78:79" x14ac:dyDescent="0.35">
      <c r="BZ3355" s="105"/>
      <c r="CA3355" s="20"/>
    </row>
    <row r="3356" spans="78:79" x14ac:dyDescent="0.35">
      <c r="BZ3356" s="105"/>
      <c r="CA3356" s="20"/>
    </row>
    <row r="3357" spans="78:79" x14ac:dyDescent="0.35">
      <c r="BZ3357" s="105"/>
      <c r="CA3357" s="20"/>
    </row>
    <row r="3358" spans="78:79" x14ac:dyDescent="0.35">
      <c r="BZ3358" s="105"/>
      <c r="CA3358" s="20"/>
    </row>
    <row r="3359" spans="78:79" x14ac:dyDescent="0.35">
      <c r="BZ3359" s="105"/>
      <c r="CA3359" s="20"/>
    </row>
    <row r="3360" spans="78:79" x14ac:dyDescent="0.35">
      <c r="BZ3360" s="105"/>
      <c r="CA3360" s="20"/>
    </row>
    <row r="3361" spans="78:79" x14ac:dyDescent="0.35">
      <c r="BZ3361" s="105"/>
      <c r="CA3361" s="20"/>
    </row>
    <row r="3362" spans="78:79" x14ac:dyDescent="0.35">
      <c r="BZ3362" s="105"/>
      <c r="CA3362" s="20"/>
    </row>
    <row r="3363" spans="78:79" x14ac:dyDescent="0.35">
      <c r="BZ3363" s="105"/>
      <c r="CA3363" s="20"/>
    </row>
    <row r="3364" spans="78:79" x14ac:dyDescent="0.35">
      <c r="BZ3364" s="105"/>
      <c r="CA3364" s="20"/>
    </row>
    <row r="3365" spans="78:79" x14ac:dyDescent="0.35">
      <c r="BZ3365" s="105"/>
      <c r="CA3365" s="20"/>
    </row>
    <row r="3366" spans="78:79" x14ac:dyDescent="0.35">
      <c r="BZ3366" s="105"/>
      <c r="CA3366" s="20"/>
    </row>
    <row r="3367" spans="78:79" x14ac:dyDescent="0.35">
      <c r="BZ3367" s="105"/>
      <c r="CA3367" s="20"/>
    </row>
    <row r="3368" spans="78:79" x14ac:dyDescent="0.35">
      <c r="BZ3368" s="105"/>
      <c r="CA3368" s="20"/>
    </row>
    <row r="3369" spans="78:79" x14ac:dyDescent="0.35">
      <c r="BZ3369" s="105"/>
      <c r="CA3369" s="20"/>
    </row>
    <row r="3370" spans="78:79" x14ac:dyDescent="0.35">
      <c r="BZ3370" s="105"/>
      <c r="CA3370" s="20"/>
    </row>
    <row r="3371" spans="78:79" x14ac:dyDescent="0.35">
      <c r="BZ3371" s="105"/>
      <c r="CA3371" s="20"/>
    </row>
    <row r="3372" spans="78:79" x14ac:dyDescent="0.35">
      <c r="BZ3372" s="105"/>
      <c r="CA3372" s="20"/>
    </row>
    <row r="3373" spans="78:79" x14ac:dyDescent="0.35">
      <c r="BZ3373" s="105"/>
      <c r="CA3373" s="20"/>
    </row>
    <row r="3374" spans="78:79" x14ac:dyDescent="0.35">
      <c r="BZ3374" s="105"/>
      <c r="CA3374" s="20"/>
    </row>
    <row r="3375" spans="78:79" x14ac:dyDescent="0.35">
      <c r="BZ3375" s="105"/>
      <c r="CA3375" s="20"/>
    </row>
    <row r="3376" spans="78:79" x14ac:dyDescent="0.35">
      <c r="BZ3376" s="105"/>
      <c r="CA3376" s="20"/>
    </row>
    <row r="3377" spans="78:79" x14ac:dyDescent="0.35">
      <c r="BZ3377" s="105"/>
      <c r="CA3377" s="20"/>
    </row>
    <row r="3378" spans="78:79" x14ac:dyDescent="0.35">
      <c r="BZ3378" s="105"/>
      <c r="CA3378" s="20"/>
    </row>
    <row r="3379" spans="78:79" x14ac:dyDescent="0.35">
      <c r="BZ3379" s="105"/>
      <c r="CA3379" s="20"/>
    </row>
    <row r="3380" spans="78:79" x14ac:dyDescent="0.35">
      <c r="BZ3380" s="105"/>
      <c r="CA3380" s="20"/>
    </row>
    <row r="3381" spans="78:79" x14ac:dyDescent="0.35">
      <c r="BZ3381" s="105"/>
      <c r="CA3381" s="20"/>
    </row>
    <row r="3382" spans="78:79" x14ac:dyDescent="0.35">
      <c r="BZ3382" s="105"/>
      <c r="CA3382" s="20"/>
    </row>
    <row r="3383" spans="78:79" x14ac:dyDescent="0.35">
      <c r="BZ3383" s="105"/>
      <c r="CA3383" s="20"/>
    </row>
    <row r="3384" spans="78:79" x14ac:dyDescent="0.35">
      <c r="BZ3384" s="105"/>
      <c r="CA3384" s="20"/>
    </row>
    <row r="3385" spans="78:79" x14ac:dyDescent="0.35">
      <c r="BZ3385" s="105"/>
      <c r="CA3385" s="20"/>
    </row>
    <row r="3386" spans="78:79" x14ac:dyDescent="0.35">
      <c r="BZ3386" s="105"/>
      <c r="CA3386" s="20"/>
    </row>
    <row r="3387" spans="78:79" x14ac:dyDescent="0.35">
      <c r="BZ3387" s="105"/>
      <c r="CA3387" s="20"/>
    </row>
    <row r="3388" spans="78:79" x14ac:dyDescent="0.35">
      <c r="BZ3388" s="105"/>
      <c r="CA3388" s="20"/>
    </row>
    <row r="3389" spans="78:79" x14ac:dyDescent="0.35">
      <c r="BZ3389" s="105"/>
      <c r="CA3389" s="20"/>
    </row>
    <row r="3390" spans="78:79" x14ac:dyDescent="0.35">
      <c r="BZ3390" s="105"/>
      <c r="CA3390" s="20"/>
    </row>
    <row r="3391" spans="78:79" x14ac:dyDescent="0.35">
      <c r="BZ3391" s="105"/>
      <c r="CA3391" s="20"/>
    </row>
    <row r="3392" spans="78:79" x14ac:dyDescent="0.35">
      <c r="BZ3392" s="105"/>
      <c r="CA3392" s="20"/>
    </row>
    <row r="3393" spans="78:79" x14ac:dyDescent="0.35">
      <c r="BZ3393" s="105"/>
      <c r="CA3393" s="20"/>
    </row>
    <row r="3394" spans="78:79" x14ac:dyDescent="0.35">
      <c r="BZ3394" s="105"/>
      <c r="CA3394" s="20"/>
    </row>
    <row r="3395" spans="78:79" x14ac:dyDescent="0.35">
      <c r="BZ3395" s="105"/>
      <c r="CA3395" s="20"/>
    </row>
    <row r="3396" spans="78:79" x14ac:dyDescent="0.35">
      <c r="BZ3396" s="105"/>
      <c r="CA3396" s="20"/>
    </row>
    <row r="3397" spans="78:79" x14ac:dyDescent="0.35">
      <c r="BZ3397" s="105"/>
      <c r="CA3397" s="20"/>
    </row>
    <row r="3398" spans="78:79" x14ac:dyDescent="0.35">
      <c r="BZ3398" s="105"/>
      <c r="CA3398" s="20"/>
    </row>
    <row r="3399" spans="78:79" x14ac:dyDescent="0.35">
      <c r="BZ3399" s="105"/>
      <c r="CA3399" s="20"/>
    </row>
    <row r="3400" spans="78:79" x14ac:dyDescent="0.35">
      <c r="BZ3400" s="105"/>
      <c r="CA3400" s="20"/>
    </row>
    <row r="3401" spans="78:79" x14ac:dyDescent="0.35">
      <c r="BZ3401" s="105"/>
      <c r="CA3401" s="20"/>
    </row>
    <row r="3402" spans="78:79" x14ac:dyDescent="0.35">
      <c r="BZ3402" s="105"/>
      <c r="CA3402" s="20"/>
    </row>
    <row r="3403" spans="78:79" x14ac:dyDescent="0.35">
      <c r="BZ3403" s="105"/>
      <c r="CA3403" s="20"/>
    </row>
    <row r="3404" spans="78:79" x14ac:dyDescent="0.35">
      <c r="BZ3404" s="105"/>
      <c r="CA3404" s="20"/>
    </row>
    <row r="3405" spans="78:79" x14ac:dyDescent="0.35">
      <c r="BZ3405" s="105"/>
      <c r="CA3405" s="20"/>
    </row>
    <row r="3406" spans="78:79" x14ac:dyDescent="0.35">
      <c r="BZ3406" s="105"/>
      <c r="CA3406" s="20"/>
    </row>
    <row r="3407" spans="78:79" x14ac:dyDescent="0.35">
      <c r="BZ3407" s="105"/>
      <c r="CA3407" s="20"/>
    </row>
    <row r="3408" spans="78:79" x14ac:dyDescent="0.35">
      <c r="BZ3408" s="105"/>
      <c r="CA3408" s="20"/>
    </row>
    <row r="3409" spans="78:79" x14ac:dyDescent="0.35">
      <c r="BZ3409" s="105"/>
      <c r="CA3409" s="20"/>
    </row>
    <row r="3410" spans="78:79" x14ac:dyDescent="0.35">
      <c r="BZ3410" s="105"/>
      <c r="CA3410" s="20"/>
    </row>
    <row r="3411" spans="78:79" x14ac:dyDescent="0.35">
      <c r="BZ3411" s="105"/>
      <c r="CA3411" s="20"/>
    </row>
    <row r="3412" spans="78:79" x14ac:dyDescent="0.35">
      <c r="BZ3412" s="105"/>
      <c r="CA3412" s="20"/>
    </row>
    <row r="3413" spans="78:79" x14ac:dyDescent="0.35">
      <c r="BZ3413" s="105"/>
      <c r="CA3413" s="20"/>
    </row>
    <row r="3414" spans="78:79" x14ac:dyDescent="0.35">
      <c r="BZ3414" s="105"/>
      <c r="CA3414" s="20"/>
    </row>
    <row r="3415" spans="78:79" x14ac:dyDescent="0.35">
      <c r="BZ3415" s="105"/>
      <c r="CA3415" s="20"/>
    </row>
    <row r="3416" spans="78:79" x14ac:dyDescent="0.35">
      <c r="BZ3416" s="105"/>
      <c r="CA3416" s="20"/>
    </row>
    <row r="3417" spans="78:79" x14ac:dyDescent="0.35">
      <c r="BZ3417" s="105"/>
      <c r="CA3417" s="20"/>
    </row>
    <row r="3418" spans="78:79" x14ac:dyDescent="0.35">
      <c r="BZ3418" s="105"/>
      <c r="CA3418" s="20"/>
    </row>
    <row r="3419" spans="78:79" x14ac:dyDescent="0.35">
      <c r="BZ3419" s="105"/>
      <c r="CA3419" s="20"/>
    </row>
    <row r="3420" spans="78:79" x14ac:dyDescent="0.35">
      <c r="BZ3420" s="105"/>
      <c r="CA3420" s="20"/>
    </row>
    <row r="3421" spans="78:79" x14ac:dyDescent="0.35">
      <c r="BZ3421" s="105"/>
      <c r="CA3421" s="20"/>
    </row>
    <row r="3422" spans="78:79" x14ac:dyDescent="0.35">
      <c r="BZ3422" s="105"/>
      <c r="CA3422" s="20"/>
    </row>
    <row r="3423" spans="78:79" x14ac:dyDescent="0.35">
      <c r="BZ3423" s="105"/>
      <c r="CA3423" s="20"/>
    </row>
    <row r="3424" spans="78:79" x14ac:dyDescent="0.35">
      <c r="BZ3424" s="105"/>
      <c r="CA3424" s="20"/>
    </row>
    <row r="3425" spans="78:79" x14ac:dyDescent="0.35">
      <c r="BZ3425" s="105"/>
      <c r="CA3425" s="20"/>
    </row>
    <row r="3426" spans="78:79" x14ac:dyDescent="0.35">
      <c r="BZ3426" s="105"/>
      <c r="CA3426" s="20"/>
    </row>
    <row r="3427" spans="78:79" x14ac:dyDescent="0.35">
      <c r="BZ3427" s="105"/>
      <c r="CA3427" s="20"/>
    </row>
    <row r="3428" spans="78:79" x14ac:dyDescent="0.35">
      <c r="BZ3428" s="105"/>
      <c r="CA3428" s="20"/>
    </row>
    <row r="3429" spans="78:79" x14ac:dyDescent="0.35">
      <c r="BZ3429" s="105"/>
      <c r="CA3429" s="20"/>
    </row>
    <row r="3430" spans="78:79" x14ac:dyDescent="0.35">
      <c r="BZ3430" s="105"/>
      <c r="CA3430" s="20"/>
    </row>
    <row r="3431" spans="78:79" x14ac:dyDescent="0.35">
      <c r="BZ3431" s="105"/>
      <c r="CA3431" s="20"/>
    </row>
    <row r="3432" spans="78:79" x14ac:dyDescent="0.35">
      <c r="BZ3432" s="105"/>
      <c r="CA3432" s="20"/>
    </row>
    <row r="3433" spans="78:79" x14ac:dyDescent="0.35">
      <c r="BZ3433" s="105"/>
      <c r="CA3433" s="20"/>
    </row>
    <row r="3434" spans="78:79" x14ac:dyDescent="0.35">
      <c r="BZ3434" s="105"/>
      <c r="CA3434" s="20"/>
    </row>
    <row r="3435" spans="78:79" x14ac:dyDescent="0.35">
      <c r="BZ3435" s="105"/>
      <c r="CA3435" s="20"/>
    </row>
    <row r="3436" spans="78:79" x14ac:dyDescent="0.35">
      <c r="BZ3436" s="105"/>
      <c r="CA3436" s="20"/>
    </row>
    <row r="3437" spans="78:79" x14ac:dyDescent="0.35">
      <c r="BZ3437" s="105"/>
      <c r="CA3437" s="20"/>
    </row>
    <row r="3438" spans="78:79" x14ac:dyDescent="0.35">
      <c r="BZ3438" s="105"/>
      <c r="CA3438" s="20"/>
    </row>
    <row r="3439" spans="78:79" x14ac:dyDescent="0.35">
      <c r="BZ3439" s="105"/>
      <c r="CA3439" s="20"/>
    </row>
    <row r="3440" spans="78:79" x14ac:dyDescent="0.35">
      <c r="BZ3440" s="105"/>
      <c r="CA3440" s="20"/>
    </row>
    <row r="3441" spans="78:79" x14ac:dyDescent="0.35">
      <c r="BZ3441" s="105"/>
      <c r="CA3441" s="20"/>
    </row>
    <row r="3442" spans="78:79" x14ac:dyDescent="0.35">
      <c r="BZ3442" s="105"/>
      <c r="CA3442" s="20"/>
    </row>
    <row r="3443" spans="78:79" x14ac:dyDescent="0.35">
      <c r="BZ3443" s="105"/>
      <c r="CA3443" s="20"/>
    </row>
    <row r="3444" spans="78:79" x14ac:dyDescent="0.35">
      <c r="BZ3444" s="105"/>
      <c r="CA3444" s="20"/>
    </row>
    <row r="3445" spans="78:79" x14ac:dyDescent="0.35">
      <c r="BZ3445" s="105"/>
      <c r="CA3445" s="20"/>
    </row>
    <row r="3446" spans="78:79" x14ac:dyDescent="0.35">
      <c r="BZ3446" s="105"/>
      <c r="CA3446" s="20"/>
    </row>
    <row r="3447" spans="78:79" x14ac:dyDescent="0.35">
      <c r="BZ3447" s="105"/>
      <c r="CA3447" s="20"/>
    </row>
    <row r="3448" spans="78:79" x14ac:dyDescent="0.35">
      <c r="BZ3448" s="105"/>
      <c r="CA3448" s="20"/>
    </row>
    <row r="3449" spans="78:79" x14ac:dyDescent="0.35">
      <c r="BZ3449" s="105"/>
      <c r="CA3449" s="20"/>
    </row>
    <row r="3450" spans="78:79" x14ac:dyDescent="0.35">
      <c r="BZ3450" s="105"/>
      <c r="CA3450" s="20"/>
    </row>
    <row r="3451" spans="78:79" x14ac:dyDescent="0.35">
      <c r="BZ3451" s="105"/>
      <c r="CA3451" s="20"/>
    </row>
    <row r="3452" spans="78:79" x14ac:dyDescent="0.35">
      <c r="BZ3452" s="105"/>
      <c r="CA3452" s="20"/>
    </row>
    <row r="3453" spans="78:79" x14ac:dyDescent="0.35">
      <c r="BZ3453" s="105"/>
      <c r="CA3453" s="20"/>
    </row>
    <row r="3454" spans="78:79" x14ac:dyDescent="0.35">
      <c r="BZ3454" s="105"/>
      <c r="CA3454" s="20"/>
    </row>
    <row r="3455" spans="78:79" x14ac:dyDescent="0.35">
      <c r="BZ3455" s="105"/>
      <c r="CA3455" s="20"/>
    </row>
    <row r="3456" spans="78:79" x14ac:dyDescent="0.35">
      <c r="BZ3456" s="105"/>
      <c r="CA3456" s="20"/>
    </row>
    <row r="3457" spans="78:79" x14ac:dyDescent="0.35">
      <c r="BZ3457" s="105"/>
      <c r="CA3457" s="20"/>
    </row>
    <row r="3458" spans="78:79" x14ac:dyDescent="0.35">
      <c r="BZ3458" s="105"/>
      <c r="CA3458" s="20"/>
    </row>
    <row r="3459" spans="78:79" x14ac:dyDescent="0.35">
      <c r="BZ3459" s="105"/>
      <c r="CA3459" s="20"/>
    </row>
    <row r="3460" spans="78:79" x14ac:dyDescent="0.35">
      <c r="BZ3460" s="105"/>
      <c r="CA3460" s="20"/>
    </row>
    <row r="3461" spans="78:79" x14ac:dyDescent="0.35">
      <c r="BZ3461" s="105"/>
      <c r="CA3461" s="20"/>
    </row>
    <row r="3462" spans="78:79" x14ac:dyDescent="0.35">
      <c r="BZ3462" s="105"/>
      <c r="CA3462" s="20"/>
    </row>
    <row r="3463" spans="78:79" x14ac:dyDescent="0.35">
      <c r="BZ3463" s="105"/>
      <c r="CA3463" s="20"/>
    </row>
    <row r="3464" spans="78:79" x14ac:dyDescent="0.35">
      <c r="BZ3464" s="105"/>
      <c r="CA3464" s="20"/>
    </row>
    <row r="3465" spans="78:79" x14ac:dyDescent="0.35">
      <c r="BZ3465" s="105"/>
      <c r="CA3465" s="20"/>
    </row>
    <row r="3466" spans="78:79" x14ac:dyDescent="0.35">
      <c r="BZ3466" s="105"/>
      <c r="CA3466" s="20"/>
    </row>
    <row r="3467" spans="78:79" x14ac:dyDescent="0.35">
      <c r="BZ3467" s="105"/>
      <c r="CA3467" s="20"/>
    </row>
    <row r="3468" spans="78:79" x14ac:dyDescent="0.35">
      <c r="BZ3468" s="105"/>
      <c r="CA3468" s="20"/>
    </row>
    <row r="3469" spans="78:79" x14ac:dyDescent="0.35">
      <c r="BZ3469" s="105"/>
      <c r="CA3469" s="20"/>
    </row>
    <row r="3470" spans="78:79" x14ac:dyDescent="0.35">
      <c r="BZ3470" s="105"/>
      <c r="CA3470" s="20"/>
    </row>
    <row r="3471" spans="78:79" x14ac:dyDescent="0.35">
      <c r="BZ3471" s="105"/>
      <c r="CA3471" s="20"/>
    </row>
    <row r="3472" spans="78:79" x14ac:dyDescent="0.35">
      <c r="BZ3472" s="105"/>
      <c r="CA3472" s="20"/>
    </row>
    <row r="3473" spans="78:79" x14ac:dyDescent="0.35">
      <c r="BZ3473" s="105"/>
      <c r="CA3473" s="20"/>
    </row>
    <row r="3474" spans="78:79" x14ac:dyDescent="0.35">
      <c r="BZ3474" s="105"/>
      <c r="CA3474" s="20"/>
    </row>
    <row r="3475" spans="78:79" x14ac:dyDescent="0.35">
      <c r="BZ3475" s="105"/>
      <c r="CA3475" s="20"/>
    </row>
    <row r="3476" spans="78:79" x14ac:dyDescent="0.35">
      <c r="BZ3476" s="105"/>
      <c r="CA3476" s="20"/>
    </row>
    <row r="3477" spans="78:79" x14ac:dyDescent="0.35">
      <c r="BZ3477" s="105"/>
      <c r="CA3477" s="20"/>
    </row>
    <row r="3478" spans="78:79" x14ac:dyDescent="0.35">
      <c r="BZ3478" s="105"/>
      <c r="CA3478" s="20"/>
    </row>
    <row r="3479" spans="78:79" x14ac:dyDescent="0.35">
      <c r="BZ3479" s="105"/>
      <c r="CA3479" s="20"/>
    </row>
    <row r="3480" spans="78:79" x14ac:dyDescent="0.35">
      <c r="BZ3480" s="105"/>
      <c r="CA3480" s="20"/>
    </row>
    <row r="3481" spans="78:79" x14ac:dyDescent="0.35">
      <c r="BZ3481" s="105"/>
      <c r="CA3481" s="20"/>
    </row>
    <row r="3482" spans="78:79" x14ac:dyDescent="0.35">
      <c r="BZ3482" s="105"/>
      <c r="CA3482" s="20"/>
    </row>
    <row r="3483" spans="78:79" x14ac:dyDescent="0.35">
      <c r="BZ3483" s="105"/>
      <c r="CA3483" s="20"/>
    </row>
    <row r="3484" spans="78:79" x14ac:dyDescent="0.35">
      <c r="BZ3484" s="105"/>
      <c r="CA3484" s="20"/>
    </row>
    <row r="3485" spans="78:79" x14ac:dyDescent="0.35">
      <c r="BZ3485" s="105"/>
      <c r="CA3485" s="20"/>
    </row>
    <row r="3486" spans="78:79" x14ac:dyDescent="0.35">
      <c r="BZ3486" s="105"/>
      <c r="CA3486" s="20"/>
    </row>
    <row r="3487" spans="78:79" x14ac:dyDescent="0.35">
      <c r="BZ3487" s="105"/>
      <c r="CA3487" s="20"/>
    </row>
    <row r="3488" spans="78:79" x14ac:dyDescent="0.35">
      <c r="BZ3488" s="105"/>
      <c r="CA3488" s="20"/>
    </row>
    <row r="3489" spans="78:79" x14ac:dyDescent="0.35">
      <c r="BZ3489" s="105"/>
      <c r="CA3489" s="20"/>
    </row>
    <row r="3490" spans="78:79" x14ac:dyDescent="0.35">
      <c r="BZ3490" s="105"/>
      <c r="CA3490" s="20"/>
    </row>
    <row r="3491" spans="78:79" x14ac:dyDescent="0.35">
      <c r="BZ3491" s="105"/>
      <c r="CA3491" s="20"/>
    </row>
    <row r="3492" spans="78:79" x14ac:dyDescent="0.35">
      <c r="BZ3492" s="105"/>
      <c r="CA3492" s="20"/>
    </row>
    <row r="3493" spans="78:79" x14ac:dyDescent="0.35">
      <c r="BZ3493" s="105"/>
      <c r="CA3493" s="20"/>
    </row>
    <row r="3494" spans="78:79" x14ac:dyDescent="0.35">
      <c r="BZ3494" s="105"/>
      <c r="CA3494" s="20"/>
    </row>
    <row r="3495" spans="78:79" x14ac:dyDescent="0.35">
      <c r="BZ3495" s="105"/>
      <c r="CA3495" s="20"/>
    </row>
    <row r="3496" spans="78:79" x14ac:dyDescent="0.35">
      <c r="BZ3496" s="105"/>
      <c r="CA3496" s="20"/>
    </row>
    <row r="3497" spans="78:79" x14ac:dyDescent="0.35">
      <c r="BZ3497" s="105"/>
      <c r="CA3497" s="20"/>
    </row>
    <row r="3498" spans="78:79" x14ac:dyDescent="0.35">
      <c r="BZ3498" s="105"/>
      <c r="CA3498" s="20"/>
    </row>
    <row r="3499" spans="78:79" x14ac:dyDescent="0.35">
      <c r="BZ3499" s="105"/>
      <c r="CA3499" s="20"/>
    </row>
    <row r="3500" spans="78:79" x14ac:dyDescent="0.35">
      <c r="BZ3500" s="105"/>
      <c r="CA3500" s="20"/>
    </row>
    <row r="3501" spans="78:79" x14ac:dyDescent="0.35">
      <c r="BZ3501" s="105"/>
      <c r="CA3501" s="20"/>
    </row>
    <row r="3502" spans="78:79" x14ac:dyDescent="0.35">
      <c r="BZ3502" s="105"/>
      <c r="CA3502" s="20"/>
    </row>
    <row r="3503" spans="78:79" x14ac:dyDescent="0.35">
      <c r="BZ3503" s="105"/>
      <c r="CA3503" s="20"/>
    </row>
    <row r="3504" spans="78:79" x14ac:dyDescent="0.35">
      <c r="BZ3504" s="105"/>
      <c r="CA3504" s="20"/>
    </row>
    <row r="3505" spans="78:79" x14ac:dyDescent="0.35">
      <c r="BZ3505" s="105"/>
      <c r="CA3505" s="20"/>
    </row>
    <row r="3506" spans="78:79" x14ac:dyDescent="0.35">
      <c r="BZ3506" s="105"/>
      <c r="CA3506" s="20"/>
    </row>
    <row r="3507" spans="78:79" x14ac:dyDescent="0.35">
      <c r="BZ3507" s="105"/>
      <c r="CA3507" s="20"/>
    </row>
    <row r="3508" spans="78:79" x14ac:dyDescent="0.35">
      <c r="BZ3508" s="105"/>
      <c r="CA3508" s="20"/>
    </row>
    <row r="3509" spans="78:79" x14ac:dyDescent="0.35">
      <c r="BZ3509" s="105"/>
      <c r="CA3509" s="20"/>
    </row>
    <row r="3510" spans="78:79" x14ac:dyDescent="0.35">
      <c r="BZ3510" s="105"/>
      <c r="CA3510" s="20"/>
    </row>
    <row r="3511" spans="78:79" x14ac:dyDescent="0.35">
      <c r="BZ3511" s="105"/>
      <c r="CA3511" s="20"/>
    </row>
    <row r="3512" spans="78:79" x14ac:dyDescent="0.35">
      <c r="BZ3512" s="105"/>
      <c r="CA3512" s="20"/>
    </row>
    <row r="3513" spans="78:79" x14ac:dyDescent="0.35">
      <c r="BZ3513" s="105"/>
      <c r="CA3513" s="20"/>
    </row>
    <row r="3514" spans="78:79" x14ac:dyDescent="0.35">
      <c r="BZ3514" s="105"/>
      <c r="CA3514" s="20"/>
    </row>
    <row r="3515" spans="78:79" x14ac:dyDescent="0.35">
      <c r="BZ3515" s="105"/>
      <c r="CA3515" s="20"/>
    </row>
    <row r="3516" spans="78:79" x14ac:dyDescent="0.35">
      <c r="BZ3516" s="105"/>
      <c r="CA3516" s="20"/>
    </row>
    <row r="3517" spans="78:79" x14ac:dyDescent="0.35">
      <c r="BZ3517" s="105"/>
      <c r="CA3517" s="20"/>
    </row>
    <row r="3518" spans="78:79" x14ac:dyDescent="0.35">
      <c r="BZ3518" s="105"/>
      <c r="CA3518" s="20"/>
    </row>
    <row r="3519" spans="78:79" x14ac:dyDescent="0.35">
      <c r="BZ3519" s="105"/>
      <c r="CA3519" s="20"/>
    </row>
    <row r="3520" spans="78:79" x14ac:dyDescent="0.35">
      <c r="BZ3520" s="105"/>
      <c r="CA3520" s="20"/>
    </row>
    <row r="3521" spans="78:79" x14ac:dyDescent="0.35">
      <c r="BZ3521" s="105"/>
      <c r="CA3521" s="20"/>
    </row>
    <row r="3522" spans="78:79" x14ac:dyDescent="0.35">
      <c r="BZ3522" s="105"/>
      <c r="CA3522" s="20"/>
    </row>
    <row r="3523" spans="78:79" x14ac:dyDescent="0.35">
      <c r="BZ3523" s="105"/>
      <c r="CA3523" s="20"/>
    </row>
    <row r="3524" spans="78:79" x14ac:dyDescent="0.35">
      <c r="BZ3524" s="105"/>
      <c r="CA3524" s="20"/>
    </row>
    <row r="3525" spans="78:79" x14ac:dyDescent="0.35">
      <c r="BZ3525" s="105"/>
      <c r="CA3525" s="20"/>
    </row>
    <row r="3526" spans="78:79" x14ac:dyDescent="0.35">
      <c r="BZ3526" s="105"/>
      <c r="CA3526" s="20"/>
    </row>
    <row r="3527" spans="78:79" x14ac:dyDescent="0.35">
      <c r="BZ3527" s="105"/>
      <c r="CA3527" s="20"/>
    </row>
    <row r="3528" spans="78:79" x14ac:dyDescent="0.35">
      <c r="BZ3528" s="105"/>
      <c r="CA3528" s="20"/>
    </row>
    <row r="3529" spans="78:79" x14ac:dyDescent="0.35">
      <c r="BZ3529" s="105"/>
      <c r="CA3529" s="20"/>
    </row>
    <row r="3530" spans="78:79" x14ac:dyDescent="0.35">
      <c r="BZ3530" s="105"/>
      <c r="CA3530" s="20"/>
    </row>
    <row r="3531" spans="78:79" x14ac:dyDescent="0.35">
      <c r="BZ3531" s="105"/>
      <c r="CA3531" s="20"/>
    </row>
    <row r="3532" spans="78:79" x14ac:dyDescent="0.35">
      <c r="BZ3532" s="105"/>
      <c r="CA3532" s="20"/>
    </row>
    <row r="3533" spans="78:79" x14ac:dyDescent="0.35">
      <c r="BZ3533" s="105"/>
      <c r="CA3533" s="20"/>
    </row>
    <row r="3534" spans="78:79" x14ac:dyDescent="0.35">
      <c r="BZ3534" s="105"/>
      <c r="CA3534" s="20"/>
    </row>
    <row r="3535" spans="78:79" x14ac:dyDescent="0.35">
      <c r="BZ3535" s="105"/>
      <c r="CA3535" s="20"/>
    </row>
    <row r="3536" spans="78:79" x14ac:dyDescent="0.35">
      <c r="BZ3536" s="105"/>
      <c r="CA3536" s="20"/>
    </row>
    <row r="3537" spans="78:79" x14ac:dyDescent="0.35">
      <c r="BZ3537" s="105"/>
      <c r="CA3537" s="20"/>
    </row>
    <row r="3538" spans="78:79" x14ac:dyDescent="0.35">
      <c r="BZ3538" s="105"/>
      <c r="CA3538" s="20"/>
    </row>
    <row r="3539" spans="78:79" x14ac:dyDescent="0.35">
      <c r="BZ3539" s="105"/>
      <c r="CA3539" s="20"/>
    </row>
    <row r="3540" spans="78:79" x14ac:dyDescent="0.35">
      <c r="BZ3540" s="105"/>
      <c r="CA3540" s="20"/>
    </row>
    <row r="3541" spans="78:79" x14ac:dyDescent="0.35">
      <c r="BZ3541" s="105"/>
      <c r="CA3541" s="20"/>
    </row>
    <row r="3542" spans="78:79" x14ac:dyDescent="0.35">
      <c r="BZ3542" s="105"/>
      <c r="CA3542" s="20"/>
    </row>
    <row r="3543" spans="78:79" x14ac:dyDescent="0.35">
      <c r="BZ3543" s="105"/>
      <c r="CA3543" s="20"/>
    </row>
    <row r="3544" spans="78:79" x14ac:dyDescent="0.35">
      <c r="BZ3544" s="105"/>
      <c r="CA3544" s="20"/>
    </row>
    <row r="3545" spans="78:79" x14ac:dyDescent="0.35">
      <c r="BZ3545" s="105"/>
      <c r="CA3545" s="20"/>
    </row>
    <row r="3546" spans="78:79" x14ac:dyDescent="0.35">
      <c r="BZ3546" s="105"/>
      <c r="CA3546" s="20"/>
    </row>
    <row r="3547" spans="78:79" x14ac:dyDescent="0.35">
      <c r="BZ3547" s="105"/>
      <c r="CA3547" s="20"/>
    </row>
    <row r="3548" spans="78:79" x14ac:dyDescent="0.35">
      <c r="BZ3548" s="105"/>
      <c r="CA3548" s="20"/>
    </row>
    <row r="3549" spans="78:79" x14ac:dyDescent="0.35">
      <c r="BZ3549" s="105"/>
      <c r="CA3549" s="20"/>
    </row>
    <row r="3550" spans="78:79" x14ac:dyDescent="0.35">
      <c r="BZ3550" s="105"/>
      <c r="CA3550" s="20"/>
    </row>
    <row r="3551" spans="78:79" x14ac:dyDescent="0.35">
      <c r="BZ3551" s="105"/>
      <c r="CA3551" s="20"/>
    </row>
    <row r="3552" spans="78:79" x14ac:dyDescent="0.35">
      <c r="BZ3552" s="105"/>
      <c r="CA3552" s="20"/>
    </row>
    <row r="3553" spans="78:79" x14ac:dyDescent="0.35">
      <c r="BZ3553" s="105"/>
      <c r="CA3553" s="20"/>
    </row>
    <row r="3554" spans="78:79" x14ac:dyDescent="0.35">
      <c r="BZ3554" s="105"/>
      <c r="CA3554" s="20"/>
    </row>
    <row r="3555" spans="78:79" x14ac:dyDescent="0.35">
      <c r="BZ3555" s="105"/>
      <c r="CA3555" s="20"/>
    </row>
    <row r="3556" spans="78:79" x14ac:dyDescent="0.35">
      <c r="BZ3556" s="105"/>
      <c r="CA3556" s="20"/>
    </row>
    <row r="3557" spans="78:79" x14ac:dyDescent="0.35">
      <c r="BZ3557" s="105"/>
      <c r="CA3557" s="20"/>
    </row>
    <row r="3558" spans="78:79" x14ac:dyDescent="0.35">
      <c r="BZ3558" s="105"/>
      <c r="CA3558" s="20"/>
    </row>
    <row r="3559" spans="78:79" x14ac:dyDescent="0.35">
      <c r="BZ3559" s="105"/>
      <c r="CA3559" s="20"/>
    </row>
    <row r="3560" spans="78:79" x14ac:dyDescent="0.35">
      <c r="BZ3560" s="105"/>
      <c r="CA3560" s="20"/>
    </row>
    <row r="3561" spans="78:79" x14ac:dyDescent="0.35">
      <c r="BZ3561" s="105"/>
      <c r="CA3561" s="20"/>
    </row>
    <row r="3562" spans="78:79" x14ac:dyDescent="0.35">
      <c r="BZ3562" s="105"/>
      <c r="CA3562" s="20"/>
    </row>
    <row r="3563" spans="78:79" x14ac:dyDescent="0.35">
      <c r="BZ3563" s="105"/>
      <c r="CA3563" s="20"/>
    </row>
    <row r="3564" spans="78:79" x14ac:dyDescent="0.35">
      <c r="BZ3564" s="105"/>
      <c r="CA3564" s="20"/>
    </row>
    <row r="3565" spans="78:79" x14ac:dyDescent="0.35">
      <c r="BZ3565" s="105"/>
      <c r="CA3565" s="20"/>
    </row>
    <row r="3566" spans="78:79" x14ac:dyDescent="0.35">
      <c r="BZ3566" s="105"/>
      <c r="CA3566" s="20"/>
    </row>
    <row r="3567" spans="78:79" x14ac:dyDescent="0.35">
      <c r="BZ3567" s="105"/>
      <c r="CA3567" s="20"/>
    </row>
    <row r="3568" spans="78:79" x14ac:dyDescent="0.35">
      <c r="BZ3568" s="105"/>
      <c r="CA3568" s="20"/>
    </row>
    <row r="3569" spans="78:79" x14ac:dyDescent="0.35">
      <c r="BZ3569" s="105"/>
      <c r="CA3569" s="20"/>
    </row>
    <row r="3570" spans="78:79" x14ac:dyDescent="0.35">
      <c r="BZ3570" s="105"/>
      <c r="CA3570" s="20"/>
    </row>
    <row r="3571" spans="78:79" x14ac:dyDescent="0.35">
      <c r="BZ3571" s="105"/>
      <c r="CA3571" s="20"/>
    </row>
    <row r="3572" spans="78:79" x14ac:dyDescent="0.35">
      <c r="BZ3572" s="105"/>
      <c r="CA3572" s="20"/>
    </row>
    <row r="3573" spans="78:79" x14ac:dyDescent="0.35">
      <c r="BZ3573" s="105"/>
      <c r="CA3573" s="20"/>
    </row>
    <row r="3574" spans="78:79" x14ac:dyDescent="0.35">
      <c r="BZ3574" s="105"/>
      <c r="CA3574" s="20"/>
    </row>
    <row r="3575" spans="78:79" x14ac:dyDescent="0.35">
      <c r="BZ3575" s="105"/>
      <c r="CA3575" s="20"/>
    </row>
    <row r="3576" spans="78:79" x14ac:dyDescent="0.35">
      <c r="BZ3576" s="105"/>
      <c r="CA3576" s="20"/>
    </row>
    <row r="3577" spans="78:79" x14ac:dyDescent="0.35">
      <c r="BZ3577" s="105"/>
      <c r="CA3577" s="20"/>
    </row>
    <row r="3578" spans="78:79" x14ac:dyDescent="0.35">
      <c r="BZ3578" s="105"/>
      <c r="CA3578" s="20"/>
    </row>
    <row r="3579" spans="78:79" x14ac:dyDescent="0.35">
      <c r="BZ3579" s="105"/>
      <c r="CA3579" s="20"/>
    </row>
    <row r="3580" spans="78:79" x14ac:dyDescent="0.35">
      <c r="BZ3580" s="105"/>
      <c r="CA3580" s="20"/>
    </row>
    <row r="3581" spans="78:79" x14ac:dyDescent="0.35">
      <c r="BZ3581" s="105"/>
      <c r="CA3581" s="20"/>
    </row>
    <row r="3582" spans="78:79" x14ac:dyDescent="0.35">
      <c r="BZ3582" s="105"/>
      <c r="CA3582" s="20"/>
    </row>
    <row r="3583" spans="78:79" x14ac:dyDescent="0.35">
      <c r="BZ3583" s="105"/>
      <c r="CA3583" s="20"/>
    </row>
    <row r="3584" spans="78:79" x14ac:dyDescent="0.35">
      <c r="BZ3584" s="105"/>
      <c r="CA3584" s="20"/>
    </row>
    <row r="3585" spans="78:79" x14ac:dyDescent="0.35">
      <c r="BZ3585" s="105"/>
      <c r="CA3585" s="20"/>
    </row>
    <row r="3586" spans="78:79" x14ac:dyDescent="0.35">
      <c r="BZ3586" s="105"/>
      <c r="CA3586" s="20"/>
    </row>
    <row r="3587" spans="78:79" x14ac:dyDescent="0.35">
      <c r="BZ3587" s="105"/>
      <c r="CA3587" s="20"/>
    </row>
    <row r="3588" spans="78:79" x14ac:dyDescent="0.35">
      <c r="BZ3588" s="105"/>
      <c r="CA3588" s="20"/>
    </row>
    <row r="3589" spans="78:79" x14ac:dyDescent="0.35">
      <c r="BZ3589" s="105"/>
      <c r="CA3589" s="20"/>
    </row>
    <row r="3590" spans="78:79" x14ac:dyDescent="0.35">
      <c r="BZ3590" s="105"/>
      <c r="CA3590" s="20"/>
    </row>
    <row r="3591" spans="78:79" x14ac:dyDescent="0.35">
      <c r="BZ3591" s="105"/>
      <c r="CA3591" s="20"/>
    </row>
    <row r="3592" spans="78:79" x14ac:dyDescent="0.35">
      <c r="BZ3592" s="105"/>
      <c r="CA3592" s="20"/>
    </row>
    <row r="3593" spans="78:79" x14ac:dyDescent="0.35">
      <c r="BZ3593" s="105"/>
      <c r="CA3593" s="20"/>
    </row>
    <row r="3594" spans="78:79" x14ac:dyDescent="0.35">
      <c r="BZ3594" s="105"/>
      <c r="CA3594" s="20"/>
    </row>
    <row r="3595" spans="78:79" x14ac:dyDescent="0.35">
      <c r="BZ3595" s="105"/>
      <c r="CA3595" s="20"/>
    </row>
    <row r="3596" spans="78:79" x14ac:dyDescent="0.35">
      <c r="BZ3596" s="105"/>
      <c r="CA3596" s="20"/>
    </row>
    <row r="3597" spans="78:79" x14ac:dyDescent="0.35">
      <c r="BZ3597" s="105"/>
      <c r="CA3597" s="20"/>
    </row>
    <row r="3598" spans="78:79" x14ac:dyDescent="0.35">
      <c r="BZ3598" s="105"/>
      <c r="CA3598" s="20"/>
    </row>
    <row r="3599" spans="78:79" x14ac:dyDescent="0.35">
      <c r="BZ3599" s="105"/>
      <c r="CA3599" s="20"/>
    </row>
    <row r="3600" spans="78:79" x14ac:dyDescent="0.35">
      <c r="BZ3600" s="105"/>
      <c r="CA3600" s="20"/>
    </row>
    <row r="3601" spans="78:79" x14ac:dyDescent="0.35">
      <c r="BZ3601" s="105"/>
      <c r="CA3601" s="20"/>
    </row>
    <row r="3602" spans="78:79" x14ac:dyDescent="0.35">
      <c r="BZ3602" s="105"/>
      <c r="CA3602" s="20"/>
    </row>
    <row r="3603" spans="78:79" x14ac:dyDescent="0.35">
      <c r="BZ3603" s="105"/>
      <c r="CA3603" s="20"/>
    </row>
    <row r="3604" spans="78:79" x14ac:dyDescent="0.35">
      <c r="BZ3604" s="105"/>
      <c r="CA3604" s="20"/>
    </row>
    <row r="3605" spans="78:79" x14ac:dyDescent="0.35">
      <c r="BZ3605" s="105"/>
      <c r="CA3605" s="20"/>
    </row>
    <row r="3606" spans="78:79" x14ac:dyDescent="0.35">
      <c r="BZ3606" s="105"/>
      <c r="CA3606" s="20"/>
    </row>
    <row r="3607" spans="78:79" x14ac:dyDescent="0.35">
      <c r="BZ3607" s="105"/>
      <c r="CA3607" s="20"/>
    </row>
    <row r="3608" spans="78:79" x14ac:dyDescent="0.35">
      <c r="BZ3608" s="105"/>
      <c r="CA3608" s="20"/>
    </row>
    <row r="3609" spans="78:79" x14ac:dyDescent="0.35">
      <c r="BZ3609" s="105"/>
      <c r="CA3609" s="20"/>
    </row>
    <row r="3610" spans="78:79" x14ac:dyDescent="0.35">
      <c r="BZ3610" s="105"/>
      <c r="CA3610" s="20"/>
    </row>
    <row r="3611" spans="78:79" x14ac:dyDescent="0.35">
      <c r="BZ3611" s="105"/>
      <c r="CA3611" s="20"/>
    </row>
    <row r="3612" spans="78:79" x14ac:dyDescent="0.35">
      <c r="BZ3612" s="105"/>
      <c r="CA3612" s="20"/>
    </row>
    <row r="3613" spans="78:79" x14ac:dyDescent="0.35">
      <c r="BZ3613" s="105"/>
      <c r="CA3613" s="20"/>
    </row>
    <row r="3614" spans="78:79" x14ac:dyDescent="0.35">
      <c r="BZ3614" s="105"/>
      <c r="CA3614" s="20"/>
    </row>
    <row r="3615" spans="78:79" x14ac:dyDescent="0.35">
      <c r="BZ3615" s="105"/>
      <c r="CA3615" s="20"/>
    </row>
    <row r="3616" spans="78:79" x14ac:dyDescent="0.35">
      <c r="BZ3616" s="105"/>
      <c r="CA3616" s="20"/>
    </row>
    <row r="3617" spans="78:79" x14ac:dyDescent="0.35">
      <c r="BZ3617" s="105"/>
      <c r="CA3617" s="20"/>
    </row>
    <row r="3618" spans="78:79" x14ac:dyDescent="0.35">
      <c r="BZ3618" s="105"/>
      <c r="CA3618" s="20"/>
    </row>
    <row r="3619" spans="78:79" x14ac:dyDescent="0.35">
      <c r="BZ3619" s="105"/>
      <c r="CA3619" s="20"/>
    </row>
    <row r="3620" spans="78:79" x14ac:dyDescent="0.35">
      <c r="BZ3620" s="105"/>
      <c r="CA3620" s="20"/>
    </row>
    <row r="3621" spans="78:79" x14ac:dyDescent="0.35">
      <c r="BZ3621" s="105"/>
      <c r="CA3621" s="20"/>
    </row>
    <row r="3622" spans="78:79" x14ac:dyDescent="0.35">
      <c r="BZ3622" s="105"/>
      <c r="CA3622" s="20"/>
    </row>
    <row r="3623" spans="78:79" x14ac:dyDescent="0.35">
      <c r="BZ3623" s="105"/>
      <c r="CA3623" s="20"/>
    </row>
    <row r="3624" spans="78:79" x14ac:dyDescent="0.35">
      <c r="BZ3624" s="105"/>
      <c r="CA3624" s="20"/>
    </row>
    <row r="3625" spans="78:79" x14ac:dyDescent="0.35">
      <c r="BZ3625" s="105"/>
      <c r="CA3625" s="20"/>
    </row>
    <row r="3626" spans="78:79" x14ac:dyDescent="0.35">
      <c r="BZ3626" s="105"/>
      <c r="CA3626" s="20"/>
    </row>
    <row r="3627" spans="78:79" x14ac:dyDescent="0.35">
      <c r="BZ3627" s="105"/>
      <c r="CA3627" s="20"/>
    </row>
    <row r="3628" spans="78:79" x14ac:dyDescent="0.35">
      <c r="BZ3628" s="105"/>
      <c r="CA3628" s="20"/>
    </row>
    <row r="3629" spans="78:79" x14ac:dyDescent="0.35">
      <c r="BZ3629" s="105"/>
      <c r="CA3629" s="20"/>
    </row>
    <row r="3630" spans="78:79" x14ac:dyDescent="0.35">
      <c r="BZ3630" s="105"/>
      <c r="CA3630" s="20"/>
    </row>
    <row r="3631" spans="78:79" x14ac:dyDescent="0.35">
      <c r="BZ3631" s="105"/>
      <c r="CA3631" s="20"/>
    </row>
    <row r="3632" spans="78:79" x14ac:dyDescent="0.35">
      <c r="BZ3632" s="105"/>
      <c r="CA3632" s="20"/>
    </row>
    <row r="3633" spans="78:79" x14ac:dyDescent="0.35">
      <c r="BZ3633" s="105"/>
      <c r="CA3633" s="20"/>
    </row>
    <row r="3634" spans="78:79" x14ac:dyDescent="0.35">
      <c r="BZ3634" s="105"/>
      <c r="CA3634" s="20"/>
    </row>
    <row r="3635" spans="78:79" x14ac:dyDescent="0.35">
      <c r="BZ3635" s="105"/>
      <c r="CA3635" s="20"/>
    </row>
    <row r="3636" spans="78:79" x14ac:dyDescent="0.35">
      <c r="BZ3636" s="105"/>
      <c r="CA3636" s="20"/>
    </row>
    <row r="3637" spans="78:79" x14ac:dyDescent="0.35">
      <c r="BZ3637" s="105"/>
      <c r="CA3637" s="20"/>
    </row>
    <row r="3638" spans="78:79" x14ac:dyDescent="0.35">
      <c r="BZ3638" s="105"/>
      <c r="CA3638" s="20"/>
    </row>
    <row r="3639" spans="78:79" x14ac:dyDescent="0.35">
      <c r="BZ3639" s="105"/>
      <c r="CA3639" s="20"/>
    </row>
    <row r="3640" spans="78:79" x14ac:dyDescent="0.35">
      <c r="BZ3640" s="105"/>
      <c r="CA3640" s="20"/>
    </row>
    <row r="3641" spans="78:79" x14ac:dyDescent="0.35">
      <c r="BZ3641" s="105"/>
      <c r="CA3641" s="20"/>
    </row>
    <row r="3642" spans="78:79" x14ac:dyDescent="0.35">
      <c r="BZ3642" s="105"/>
      <c r="CA3642" s="20"/>
    </row>
    <row r="3643" spans="78:79" x14ac:dyDescent="0.35">
      <c r="BZ3643" s="105"/>
      <c r="CA3643" s="20"/>
    </row>
    <row r="3644" spans="78:79" x14ac:dyDescent="0.35">
      <c r="BZ3644" s="105"/>
      <c r="CA3644" s="20"/>
    </row>
    <row r="3645" spans="78:79" x14ac:dyDescent="0.35">
      <c r="BZ3645" s="105"/>
      <c r="CA3645" s="20"/>
    </row>
    <row r="3646" spans="78:79" x14ac:dyDescent="0.35">
      <c r="BZ3646" s="105"/>
      <c r="CA3646" s="20"/>
    </row>
    <row r="3647" spans="78:79" x14ac:dyDescent="0.35">
      <c r="BZ3647" s="105"/>
      <c r="CA3647" s="20"/>
    </row>
    <row r="3648" spans="78:79" x14ac:dyDescent="0.35">
      <c r="BZ3648" s="105"/>
      <c r="CA3648" s="20"/>
    </row>
    <row r="3649" spans="78:79" x14ac:dyDescent="0.35">
      <c r="BZ3649" s="105"/>
      <c r="CA3649" s="20"/>
    </row>
    <row r="3650" spans="78:79" x14ac:dyDescent="0.35">
      <c r="BZ3650" s="105"/>
      <c r="CA3650" s="20"/>
    </row>
    <row r="3651" spans="78:79" x14ac:dyDescent="0.35">
      <c r="BZ3651" s="105"/>
      <c r="CA3651" s="20"/>
    </row>
    <row r="3652" spans="78:79" x14ac:dyDescent="0.35">
      <c r="BZ3652" s="105"/>
      <c r="CA3652" s="20"/>
    </row>
    <row r="3653" spans="78:79" x14ac:dyDescent="0.35">
      <c r="BZ3653" s="105"/>
      <c r="CA3653" s="20"/>
    </row>
    <row r="3654" spans="78:79" x14ac:dyDescent="0.35">
      <c r="BZ3654" s="105"/>
      <c r="CA3654" s="20"/>
    </row>
    <row r="3655" spans="78:79" x14ac:dyDescent="0.35">
      <c r="BZ3655" s="105"/>
      <c r="CA3655" s="20"/>
    </row>
    <row r="3656" spans="78:79" x14ac:dyDescent="0.35">
      <c r="BZ3656" s="105"/>
      <c r="CA3656" s="20"/>
    </row>
    <row r="3657" spans="78:79" x14ac:dyDescent="0.35">
      <c r="BZ3657" s="105"/>
      <c r="CA3657" s="20"/>
    </row>
    <row r="3658" spans="78:79" x14ac:dyDescent="0.35">
      <c r="BZ3658" s="105"/>
      <c r="CA3658" s="20"/>
    </row>
    <row r="3659" spans="78:79" x14ac:dyDescent="0.35">
      <c r="BZ3659" s="105"/>
      <c r="CA3659" s="20"/>
    </row>
    <row r="3660" spans="78:79" x14ac:dyDescent="0.35">
      <c r="BZ3660" s="105"/>
      <c r="CA3660" s="20"/>
    </row>
    <row r="3661" spans="78:79" x14ac:dyDescent="0.35">
      <c r="BZ3661" s="105"/>
      <c r="CA3661" s="20"/>
    </row>
    <row r="3662" spans="78:79" x14ac:dyDescent="0.35">
      <c r="BZ3662" s="105"/>
      <c r="CA3662" s="20"/>
    </row>
    <row r="3663" spans="78:79" x14ac:dyDescent="0.35">
      <c r="BZ3663" s="105"/>
      <c r="CA3663" s="20"/>
    </row>
    <row r="3664" spans="78:79" x14ac:dyDescent="0.35">
      <c r="BZ3664" s="105"/>
      <c r="CA3664" s="20"/>
    </row>
    <row r="3665" spans="78:79" x14ac:dyDescent="0.35">
      <c r="BZ3665" s="105"/>
      <c r="CA3665" s="20"/>
    </row>
    <row r="3666" spans="78:79" x14ac:dyDescent="0.35">
      <c r="BZ3666" s="105"/>
      <c r="CA3666" s="20"/>
    </row>
    <row r="3667" spans="78:79" x14ac:dyDescent="0.35">
      <c r="BZ3667" s="105"/>
      <c r="CA3667" s="20"/>
    </row>
    <row r="3668" spans="78:79" x14ac:dyDescent="0.35">
      <c r="BZ3668" s="105"/>
      <c r="CA3668" s="20"/>
    </row>
    <row r="3669" spans="78:79" x14ac:dyDescent="0.35">
      <c r="BZ3669" s="105"/>
      <c r="CA3669" s="20"/>
    </row>
    <row r="3670" spans="78:79" x14ac:dyDescent="0.35">
      <c r="BZ3670" s="105"/>
      <c r="CA3670" s="20"/>
    </row>
    <row r="3671" spans="78:79" x14ac:dyDescent="0.35">
      <c r="BZ3671" s="105"/>
      <c r="CA3671" s="20"/>
    </row>
    <row r="3672" spans="78:79" x14ac:dyDescent="0.35">
      <c r="BZ3672" s="105"/>
      <c r="CA3672" s="20"/>
    </row>
    <row r="3673" spans="78:79" x14ac:dyDescent="0.35">
      <c r="BZ3673" s="105"/>
      <c r="CA3673" s="20"/>
    </row>
    <row r="3674" spans="78:79" x14ac:dyDescent="0.35">
      <c r="BZ3674" s="105"/>
      <c r="CA3674" s="20"/>
    </row>
    <row r="3675" spans="78:79" x14ac:dyDescent="0.35">
      <c r="BZ3675" s="105"/>
      <c r="CA3675" s="20"/>
    </row>
    <row r="3676" spans="78:79" x14ac:dyDescent="0.35">
      <c r="BZ3676" s="105"/>
      <c r="CA3676" s="20"/>
    </row>
    <row r="3677" spans="78:79" x14ac:dyDescent="0.35">
      <c r="BZ3677" s="105"/>
      <c r="CA3677" s="20"/>
    </row>
    <row r="3678" spans="78:79" x14ac:dyDescent="0.35">
      <c r="BZ3678" s="105"/>
      <c r="CA3678" s="20"/>
    </row>
    <row r="3679" spans="78:79" x14ac:dyDescent="0.35">
      <c r="BZ3679" s="105"/>
      <c r="CA3679" s="20"/>
    </row>
    <row r="3680" spans="78:79" x14ac:dyDescent="0.35">
      <c r="BZ3680" s="105"/>
      <c r="CA3680" s="20"/>
    </row>
    <row r="3681" spans="78:79" x14ac:dyDescent="0.35">
      <c r="BZ3681" s="105"/>
      <c r="CA3681" s="20"/>
    </row>
    <row r="3682" spans="78:79" x14ac:dyDescent="0.35">
      <c r="BZ3682" s="105"/>
      <c r="CA3682" s="20"/>
    </row>
    <row r="3683" spans="78:79" x14ac:dyDescent="0.35">
      <c r="BZ3683" s="105"/>
      <c r="CA3683" s="20"/>
    </row>
    <row r="3684" spans="78:79" x14ac:dyDescent="0.35">
      <c r="BZ3684" s="105"/>
      <c r="CA3684" s="20"/>
    </row>
    <row r="3685" spans="78:79" x14ac:dyDescent="0.35">
      <c r="BZ3685" s="105"/>
      <c r="CA3685" s="20"/>
    </row>
    <row r="3686" spans="78:79" x14ac:dyDescent="0.35">
      <c r="BZ3686" s="105"/>
      <c r="CA3686" s="20"/>
    </row>
    <row r="3687" spans="78:79" x14ac:dyDescent="0.35">
      <c r="BZ3687" s="105"/>
      <c r="CA3687" s="20"/>
    </row>
    <row r="3688" spans="78:79" x14ac:dyDescent="0.35">
      <c r="BZ3688" s="105"/>
      <c r="CA3688" s="20"/>
    </row>
    <row r="3689" spans="78:79" x14ac:dyDescent="0.35">
      <c r="BZ3689" s="105"/>
      <c r="CA3689" s="20"/>
    </row>
    <row r="3690" spans="78:79" x14ac:dyDescent="0.35">
      <c r="BZ3690" s="105"/>
      <c r="CA3690" s="20"/>
    </row>
    <row r="3691" spans="78:79" x14ac:dyDescent="0.35">
      <c r="BZ3691" s="105"/>
      <c r="CA3691" s="20"/>
    </row>
    <row r="3692" spans="78:79" x14ac:dyDescent="0.35">
      <c r="BZ3692" s="105"/>
      <c r="CA3692" s="20"/>
    </row>
    <row r="3693" spans="78:79" x14ac:dyDescent="0.35">
      <c r="BZ3693" s="105"/>
      <c r="CA3693" s="20"/>
    </row>
    <row r="3694" spans="78:79" x14ac:dyDescent="0.35">
      <c r="BZ3694" s="105"/>
      <c r="CA3694" s="20"/>
    </row>
    <row r="3695" spans="78:79" x14ac:dyDescent="0.35">
      <c r="BZ3695" s="105"/>
      <c r="CA3695" s="20"/>
    </row>
    <row r="3696" spans="78:79" x14ac:dyDescent="0.35">
      <c r="BZ3696" s="105"/>
      <c r="CA3696" s="20"/>
    </row>
    <row r="3697" spans="78:79" x14ac:dyDescent="0.35">
      <c r="BZ3697" s="105"/>
      <c r="CA3697" s="20"/>
    </row>
    <row r="3698" spans="78:79" x14ac:dyDescent="0.35">
      <c r="BZ3698" s="105"/>
      <c r="CA3698" s="20"/>
    </row>
    <row r="3699" spans="78:79" x14ac:dyDescent="0.35">
      <c r="BZ3699" s="105"/>
      <c r="CA3699" s="20"/>
    </row>
    <row r="3700" spans="78:79" x14ac:dyDescent="0.35">
      <c r="BZ3700" s="105"/>
      <c r="CA3700" s="20"/>
    </row>
    <row r="3701" spans="78:79" x14ac:dyDescent="0.35">
      <c r="BZ3701" s="105"/>
      <c r="CA3701" s="20"/>
    </row>
    <row r="3702" spans="78:79" x14ac:dyDescent="0.35">
      <c r="BZ3702" s="105"/>
      <c r="CA3702" s="20"/>
    </row>
    <row r="3703" spans="78:79" x14ac:dyDescent="0.35">
      <c r="BZ3703" s="105"/>
      <c r="CA3703" s="20"/>
    </row>
    <row r="3704" spans="78:79" x14ac:dyDescent="0.35">
      <c r="BZ3704" s="105"/>
      <c r="CA3704" s="20"/>
    </row>
    <row r="3705" spans="78:79" x14ac:dyDescent="0.35">
      <c r="BZ3705" s="105"/>
      <c r="CA3705" s="20"/>
    </row>
    <row r="3706" spans="78:79" x14ac:dyDescent="0.35">
      <c r="BZ3706" s="105"/>
      <c r="CA3706" s="20"/>
    </row>
    <row r="3707" spans="78:79" x14ac:dyDescent="0.35">
      <c r="BZ3707" s="105"/>
      <c r="CA3707" s="20"/>
    </row>
    <row r="3708" spans="78:79" x14ac:dyDescent="0.35">
      <c r="BZ3708" s="105"/>
      <c r="CA3708" s="20"/>
    </row>
    <row r="3709" spans="78:79" x14ac:dyDescent="0.35">
      <c r="BZ3709" s="105"/>
      <c r="CA3709" s="20"/>
    </row>
    <row r="3710" spans="78:79" x14ac:dyDescent="0.35">
      <c r="BZ3710" s="105"/>
      <c r="CA3710" s="20"/>
    </row>
    <row r="3711" spans="78:79" x14ac:dyDescent="0.35">
      <c r="BZ3711" s="105"/>
      <c r="CA3711" s="20"/>
    </row>
    <row r="3712" spans="78:79" x14ac:dyDescent="0.35">
      <c r="BZ3712" s="105"/>
      <c r="CA3712" s="20"/>
    </row>
    <row r="3713" spans="78:79" x14ac:dyDescent="0.35">
      <c r="BZ3713" s="105"/>
      <c r="CA3713" s="20"/>
    </row>
    <row r="3714" spans="78:79" x14ac:dyDescent="0.35">
      <c r="BZ3714" s="105"/>
      <c r="CA3714" s="20"/>
    </row>
    <row r="3715" spans="78:79" x14ac:dyDescent="0.35">
      <c r="BZ3715" s="105"/>
      <c r="CA3715" s="20"/>
    </row>
    <row r="3716" spans="78:79" x14ac:dyDescent="0.35">
      <c r="BZ3716" s="105"/>
      <c r="CA3716" s="20"/>
    </row>
    <row r="3717" spans="78:79" x14ac:dyDescent="0.35">
      <c r="BZ3717" s="105"/>
      <c r="CA3717" s="20"/>
    </row>
    <row r="3718" spans="78:79" x14ac:dyDescent="0.35">
      <c r="BZ3718" s="105"/>
      <c r="CA3718" s="20"/>
    </row>
    <row r="3719" spans="78:79" x14ac:dyDescent="0.35">
      <c r="BZ3719" s="105"/>
      <c r="CA3719" s="20"/>
    </row>
    <row r="3720" spans="78:79" x14ac:dyDescent="0.35">
      <c r="BZ3720" s="105"/>
      <c r="CA3720" s="20"/>
    </row>
    <row r="3721" spans="78:79" x14ac:dyDescent="0.35">
      <c r="BZ3721" s="105"/>
      <c r="CA3721" s="20"/>
    </row>
    <row r="3722" spans="78:79" x14ac:dyDescent="0.35">
      <c r="BZ3722" s="105"/>
      <c r="CA3722" s="20"/>
    </row>
    <row r="3723" spans="78:79" x14ac:dyDescent="0.35">
      <c r="BZ3723" s="105"/>
      <c r="CA3723" s="20"/>
    </row>
    <row r="3724" spans="78:79" x14ac:dyDescent="0.35">
      <c r="BZ3724" s="105"/>
      <c r="CA3724" s="20"/>
    </row>
    <row r="3725" spans="78:79" x14ac:dyDescent="0.35">
      <c r="BZ3725" s="105"/>
      <c r="CA3725" s="20"/>
    </row>
    <row r="3726" spans="78:79" x14ac:dyDescent="0.35">
      <c r="BZ3726" s="105"/>
      <c r="CA3726" s="20"/>
    </row>
    <row r="3727" spans="78:79" x14ac:dyDescent="0.35">
      <c r="BZ3727" s="105"/>
      <c r="CA3727" s="20"/>
    </row>
    <row r="3728" spans="78:79" x14ac:dyDescent="0.35">
      <c r="BZ3728" s="105"/>
      <c r="CA3728" s="20"/>
    </row>
    <row r="3729" spans="78:79" x14ac:dyDescent="0.35">
      <c r="BZ3729" s="105"/>
      <c r="CA3729" s="20"/>
    </row>
    <row r="3730" spans="78:79" x14ac:dyDescent="0.35">
      <c r="BZ3730" s="105"/>
      <c r="CA3730" s="20"/>
    </row>
    <row r="3731" spans="78:79" x14ac:dyDescent="0.35">
      <c r="BZ3731" s="105"/>
      <c r="CA3731" s="20"/>
    </row>
    <row r="3732" spans="78:79" x14ac:dyDescent="0.35">
      <c r="BZ3732" s="105"/>
      <c r="CA3732" s="20"/>
    </row>
    <row r="3733" spans="78:79" x14ac:dyDescent="0.35">
      <c r="BZ3733" s="105"/>
      <c r="CA3733" s="20"/>
    </row>
    <row r="3734" spans="78:79" x14ac:dyDescent="0.35">
      <c r="BZ3734" s="105"/>
      <c r="CA3734" s="20"/>
    </row>
    <row r="3735" spans="78:79" x14ac:dyDescent="0.35">
      <c r="BZ3735" s="105"/>
      <c r="CA3735" s="20"/>
    </row>
    <row r="3736" spans="78:79" x14ac:dyDescent="0.35">
      <c r="BZ3736" s="105"/>
      <c r="CA3736" s="20"/>
    </row>
    <row r="3737" spans="78:79" x14ac:dyDescent="0.35">
      <c r="BZ3737" s="105"/>
      <c r="CA3737" s="20"/>
    </row>
    <row r="3738" spans="78:79" x14ac:dyDescent="0.35">
      <c r="BZ3738" s="105"/>
      <c r="CA3738" s="20"/>
    </row>
    <row r="3739" spans="78:79" x14ac:dyDescent="0.35">
      <c r="BZ3739" s="105"/>
      <c r="CA3739" s="20"/>
    </row>
    <row r="3740" spans="78:79" x14ac:dyDescent="0.35">
      <c r="BZ3740" s="105"/>
      <c r="CA3740" s="20"/>
    </row>
    <row r="3741" spans="78:79" x14ac:dyDescent="0.35">
      <c r="BZ3741" s="105"/>
      <c r="CA3741" s="20"/>
    </row>
    <row r="3742" spans="78:79" x14ac:dyDescent="0.35">
      <c r="BZ3742" s="105"/>
      <c r="CA3742" s="20"/>
    </row>
    <row r="3743" spans="78:79" x14ac:dyDescent="0.35">
      <c r="BZ3743" s="105"/>
      <c r="CA3743" s="20"/>
    </row>
    <row r="3744" spans="78:79" x14ac:dyDescent="0.35">
      <c r="BZ3744" s="105"/>
      <c r="CA3744" s="20"/>
    </row>
    <row r="3745" spans="78:79" x14ac:dyDescent="0.35">
      <c r="BZ3745" s="105"/>
      <c r="CA3745" s="20"/>
    </row>
    <row r="3746" spans="78:79" x14ac:dyDescent="0.35">
      <c r="BZ3746" s="105"/>
      <c r="CA3746" s="20"/>
    </row>
    <row r="3747" spans="78:79" x14ac:dyDescent="0.35">
      <c r="BZ3747" s="105"/>
      <c r="CA3747" s="20"/>
    </row>
    <row r="3748" spans="78:79" x14ac:dyDescent="0.35">
      <c r="BZ3748" s="105"/>
      <c r="CA3748" s="20"/>
    </row>
    <row r="3749" spans="78:79" x14ac:dyDescent="0.35">
      <c r="BZ3749" s="105"/>
      <c r="CA3749" s="20"/>
    </row>
    <row r="3750" spans="78:79" x14ac:dyDescent="0.35">
      <c r="BZ3750" s="105"/>
      <c r="CA3750" s="20"/>
    </row>
    <row r="3751" spans="78:79" x14ac:dyDescent="0.35">
      <c r="BZ3751" s="105"/>
      <c r="CA3751" s="20"/>
    </row>
    <row r="3752" spans="78:79" x14ac:dyDescent="0.35">
      <c r="BZ3752" s="105"/>
      <c r="CA3752" s="20"/>
    </row>
    <row r="3753" spans="78:79" x14ac:dyDescent="0.35">
      <c r="BZ3753" s="105"/>
      <c r="CA3753" s="20"/>
    </row>
    <row r="3754" spans="78:79" x14ac:dyDescent="0.35">
      <c r="BZ3754" s="105"/>
      <c r="CA3754" s="20"/>
    </row>
    <row r="3755" spans="78:79" x14ac:dyDescent="0.35">
      <c r="BZ3755" s="105"/>
      <c r="CA3755" s="20"/>
    </row>
    <row r="3756" spans="78:79" x14ac:dyDescent="0.35">
      <c r="BZ3756" s="105"/>
      <c r="CA3756" s="20"/>
    </row>
    <row r="3757" spans="78:79" x14ac:dyDescent="0.35">
      <c r="BZ3757" s="105"/>
      <c r="CA3757" s="20"/>
    </row>
    <row r="3758" spans="78:79" x14ac:dyDescent="0.35">
      <c r="BZ3758" s="105"/>
      <c r="CA3758" s="20"/>
    </row>
    <row r="3759" spans="78:79" x14ac:dyDescent="0.35">
      <c r="BZ3759" s="105"/>
      <c r="CA3759" s="20"/>
    </row>
    <row r="3760" spans="78:79" x14ac:dyDescent="0.35">
      <c r="BZ3760" s="105"/>
      <c r="CA3760" s="20"/>
    </row>
    <row r="3761" spans="78:79" x14ac:dyDescent="0.35">
      <c r="BZ3761" s="105"/>
      <c r="CA3761" s="20"/>
    </row>
    <row r="3762" spans="78:79" x14ac:dyDescent="0.35">
      <c r="BZ3762" s="105"/>
      <c r="CA3762" s="20"/>
    </row>
    <row r="3763" spans="78:79" x14ac:dyDescent="0.35">
      <c r="BZ3763" s="105"/>
      <c r="CA3763" s="20"/>
    </row>
    <row r="3764" spans="78:79" x14ac:dyDescent="0.35">
      <c r="BZ3764" s="105"/>
      <c r="CA3764" s="20"/>
    </row>
    <row r="3765" spans="78:79" x14ac:dyDescent="0.35">
      <c r="BZ3765" s="105"/>
      <c r="CA3765" s="20"/>
    </row>
    <row r="3766" spans="78:79" x14ac:dyDescent="0.35">
      <c r="BZ3766" s="105"/>
      <c r="CA3766" s="20"/>
    </row>
    <row r="3767" spans="78:79" x14ac:dyDescent="0.35">
      <c r="BZ3767" s="105"/>
      <c r="CA3767" s="20"/>
    </row>
    <row r="3768" spans="78:79" x14ac:dyDescent="0.35">
      <c r="BZ3768" s="105"/>
      <c r="CA3768" s="20"/>
    </row>
    <row r="3769" spans="78:79" x14ac:dyDescent="0.35">
      <c r="BZ3769" s="105"/>
      <c r="CA3769" s="20"/>
    </row>
    <row r="3770" spans="78:79" x14ac:dyDescent="0.35">
      <c r="BZ3770" s="105"/>
      <c r="CA3770" s="20"/>
    </row>
    <row r="3771" spans="78:79" x14ac:dyDescent="0.35">
      <c r="BZ3771" s="105"/>
      <c r="CA3771" s="20"/>
    </row>
    <row r="3772" spans="78:79" x14ac:dyDescent="0.35">
      <c r="BZ3772" s="105"/>
      <c r="CA3772" s="20"/>
    </row>
    <row r="3773" spans="78:79" x14ac:dyDescent="0.35">
      <c r="BZ3773" s="105"/>
      <c r="CA3773" s="20"/>
    </row>
    <row r="3774" spans="78:79" x14ac:dyDescent="0.35">
      <c r="BZ3774" s="105"/>
      <c r="CA3774" s="20"/>
    </row>
    <row r="3775" spans="78:79" x14ac:dyDescent="0.35">
      <c r="BZ3775" s="105"/>
      <c r="CA3775" s="20"/>
    </row>
    <row r="3776" spans="78:79" x14ac:dyDescent="0.35">
      <c r="BZ3776" s="105"/>
      <c r="CA3776" s="20"/>
    </row>
    <row r="3777" spans="78:79" x14ac:dyDescent="0.35">
      <c r="BZ3777" s="105"/>
      <c r="CA3777" s="20"/>
    </row>
    <row r="3778" spans="78:79" x14ac:dyDescent="0.35">
      <c r="BZ3778" s="105"/>
      <c r="CA3778" s="20"/>
    </row>
    <row r="3779" spans="78:79" x14ac:dyDescent="0.35">
      <c r="BZ3779" s="105"/>
      <c r="CA3779" s="20"/>
    </row>
    <row r="3780" spans="78:79" x14ac:dyDescent="0.35">
      <c r="BZ3780" s="105"/>
      <c r="CA3780" s="20"/>
    </row>
    <row r="3781" spans="78:79" x14ac:dyDescent="0.35">
      <c r="BZ3781" s="105"/>
      <c r="CA3781" s="20"/>
    </row>
    <row r="3782" spans="78:79" x14ac:dyDescent="0.35">
      <c r="BZ3782" s="105"/>
      <c r="CA3782" s="20"/>
    </row>
    <row r="3783" spans="78:79" x14ac:dyDescent="0.35">
      <c r="BZ3783" s="105"/>
      <c r="CA3783" s="20"/>
    </row>
    <row r="3784" spans="78:79" x14ac:dyDescent="0.35">
      <c r="BZ3784" s="105"/>
      <c r="CA3784" s="20"/>
    </row>
    <row r="3785" spans="78:79" x14ac:dyDescent="0.35">
      <c r="BZ3785" s="105"/>
      <c r="CA3785" s="20"/>
    </row>
    <row r="3786" spans="78:79" x14ac:dyDescent="0.35">
      <c r="BZ3786" s="105"/>
      <c r="CA3786" s="20"/>
    </row>
    <row r="3787" spans="78:79" x14ac:dyDescent="0.35">
      <c r="BZ3787" s="105"/>
      <c r="CA3787" s="20"/>
    </row>
    <row r="3788" spans="78:79" x14ac:dyDescent="0.35">
      <c r="BZ3788" s="105"/>
      <c r="CA3788" s="20"/>
    </row>
    <row r="3789" spans="78:79" x14ac:dyDescent="0.35">
      <c r="BZ3789" s="105"/>
      <c r="CA3789" s="20"/>
    </row>
    <row r="3790" spans="78:79" x14ac:dyDescent="0.35">
      <c r="BZ3790" s="105"/>
      <c r="CA3790" s="20"/>
    </row>
    <row r="3791" spans="78:79" x14ac:dyDescent="0.35">
      <c r="BZ3791" s="105"/>
      <c r="CA3791" s="20"/>
    </row>
    <row r="3792" spans="78:79" x14ac:dyDescent="0.35">
      <c r="BZ3792" s="105"/>
      <c r="CA3792" s="20"/>
    </row>
    <row r="3793" spans="78:79" x14ac:dyDescent="0.35">
      <c r="BZ3793" s="105"/>
      <c r="CA3793" s="20"/>
    </row>
    <row r="3794" spans="78:79" x14ac:dyDescent="0.35">
      <c r="BZ3794" s="105"/>
      <c r="CA3794" s="20"/>
    </row>
    <row r="3795" spans="78:79" x14ac:dyDescent="0.35">
      <c r="BZ3795" s="105"/>
      <c r="CA3795" s="20"/>
    </row>
    <row r="3796" spans="78:79" x14ac:dyDescent="0.35">
      <c r="BZ3796" s="105"/>
      <c r="CA3796" s="20"/>
    </row>
    <row r="3797" spans="78:79" x14ac:dyDescent="0.35">
      <c r="BZ3797" s="105"/>
      <c r="CA3797" s="20"/>
    </row>
    <row r="3798" spans="78:79" x14ac:dyDescent="0.35">
      <c r="BZ3798" s="105"/>
      <c r="CA3798" s="20"/>
    </row>
    <row r="3799" spans="78:79" x14ac:dyDescent="0.35">
      <c r="BZ3799" s="105"/>
      <c r="CA3799" s="20"/>
    </row>
    <row r="3800" spans="78:79" x14ac:dyDescent="0.35">
      <c r="BZ3800" s="105"/>
      <c r="CA3800" s="20"/>
    </row>
    <row r="3801" spans="78:79" x14ac:dyDescent="0.35">
      <c r="BZ3801" s="105"/>
      <c r="CA3801" s="20"/>
    </row>
    <row r="3802" spans="78:79" x14ac:dyDescent="0.35">
      <c r="BZ3802" s="105"/>
      <c r="CA3802" s="20"/>
    </row>
    <row r="3803" spans="78:79" x14ac:dyDescent="0.35">
      <c r="BZ3803" s="105"/>
      <c r="CA3803" s="20"/>
    </row>
    <row r="3804" spans="78:79" x14ac:dyDescent="0.35">
      <c r="BZ3804" s="105"/>
      <c r="CA3804" s="20"/>
    </row>
    <row r="3805" spans="78:79" x14ac:dyDescent="0.35">
      <c r="BZ3805" s="105"/>
      <c r="CA3805" s="20"/>
    </row>
    <row r="3806" spans="78:79" x14ac:dyDescent="0.35">
      <c r="BZ3806" s="105"/>
      <c r="CA3806" s="20"/>
    </row>
    <row r="3807" spans="78:79" x14ac:dyDescent="0.35">
      <c r="BZ3807" s="105"/>
      <c r="CA3807" s="20"/>
    </row>
    <row r="3808" spans="78:79" x14ac:dyDescent="0.35">
      <c r="BZ3808" s="105"/>
      <c r="CA3808" s="20"/>
    </row>
    <row r="3809" spans="78:79" x14ac:dyDescent="0.35">
      <c r="BZ3809" s="105"/>
      <c r="CA3809" s="20"/>
    </row>
    <row r="3810" spans="78:79" x14ac:dyDescent="0.35">
      <c r="BZ3810" s="105"/>
      <c r="CA3810" s="20"/>
    </row>
    <row r="3811" spans="78:79" x14ac:dyDescent="0.35">
      <c r="BZ3811" s="105"/>
      <c r="CA3811" s="20"/>
    </row>
    <row r="3812" spans="78:79" x14ac:dyDescent="0.35">
      <c r="BZ3812" s="105"/>
      <c r="CA3812" s="20"/>
    </row>
    <row r="3813" spans="78:79" x14ac:dyDescent="0.35">
      <c r="BZ3813" s="105"/>
      <c r="CA3813" s="20"/>
    </row>
    <row r="3814" spans="78:79" x14ac:dyDescent="0.35">
      <c r="BZ3814" s="105"/>
      <c r="CA3814" s="20"/>
    </row>
    <row r="3815" spans="78:79" x14ac:dyDescent="0.35">
      <c r="BZ3815" s="105"/>
      <c r="CA3815" s="20"/>
    </row>
    <row r="3816" spans="78:79" x14ac:dyDescent="0.35">
      <c r="BZ3816" s="105"/>
      <c r="CA3816" s="20"/>
    </row>
    <row r="3817" spans="78:79" x14ac:dyDescent="0.35">
      <c r="BZ3817" s="105"/>
      <c r="CA3817" s="20"/>
    </row>
    <row r="3818" spans="78:79" x14ac:dyDescent="0.35">
      <c r="BZ3818" s="105"/>
      <c r="CA3818" s="20"/>
    </row>
    <row r="3819" spans="78:79" x14ac:dyDescent="0.35">
      <c r="BZ3819" s="105"/>
      <c r="CA3819" s="20"/>
    </row>
    <row r="3820" spans="78:79" x14ac:dyDescent="0.35">
      <c r="BZ3820" s="105"/>
      <c r="CA3820" s="20"/>
    </row>
    <row r="3821" spans="78:79" x14ac:dyDescent="0.35">
      <c r="BZ3821" s="105"/>
      <c r="CA3821" s="20"/>
    </row>
    <row r="3822" spans="78:79" x14ac:dyDescent="0.35">
      <c r="BZ3822" s="105"/>
      <c r="CA3822" s="20"/>
    </row>
    <row r="3823" spans="78:79" x14ac:dyDescent="0.35">
      <c r="BZ3823" s="105"/>
      <c r="CA3823" s="20"/>
    </row>
    <row r="3824" spans="78:79" x14ac:dyDescent="0.35">
      <c r="BZ3824" s="105"/>
      <c r="CA3824" s="20"/>
    </row>
    <row r="3825" spans="78:79" x14ac:dyDescent="0.35">
      <c r="BZ3825" s="105"/>
      <c r="CA3825" s="20"/>
    </row>
    <row r="3826" spans="78:79" x14ac:dyDescent="0.35">
      <c r="BZ3826" s="105"/>
      <c r="CA3826" s="20"/>
    </row>
    <row r="3827" spans="78:79" x14ac:dyDescent="0.35">
      <c r="BZ3827" s="105"/>
      <c r="CA3827" s="20"/>
    </row>
    <row r="3828" spans="78:79" x14ac:dyDescent="0.35">
      <c r="BZ3828" s="105"/>
      <c r="CA3828" s="20"/>
    </row>
    <row r="3829" spans="78:79" x14ac:dyDescent="0.35">
      <c r="BZ3829" s="105"/>
      <c r="CA3829" s="20"/>
    </row>
    <row r="3830" spans="78:79" x14ac:dyDescent="0.35">
      <c r="BZ3830" s="105"/>
      <c r="CA3830" s="20"/>
    </row>
    <row r="3831" spans="78:79" x14ac:dyDescent="0.35">
      <c r="BZ3831" s="105"/>
      <c r="CA3831" s="20"/>
    </row>
    <row r="3832" spans="78:79" x14ac:dyDescent="0.35">
      <c r="BZ3832" s="105"/>
      <c r="CA3832" s="20"/>
    </row>
    <row r="3833" spans="78:79" x14ac:dyDescent="0.35">
      <c r="BZ3833" s="105"/>
      <c r="CA3833" s="20"/>
    </row>
    <row r="3834" spans="78:79" x14ac:dyDescent="0.35">
      <c r="BZ3834" s="105"/>
      <c r="CA3834" s="20"/>
    </row>
    <row r="3835" spans="78:79" x14ac:dyDescent="0.35">
      <c r="BZ3835" s="105"/>
      <c r="CA3835" s="20"/>
    </row>
    <row r="3836" spans="78:79" x14ac:dyDescent="0.35">
      <c r="BZ3836" s="105"/>
      <c r="CA3836" s="20"/>
    </row>
    <row r="3837" spans="78:79" x14ac:dyDescent="0.35">
      <c r="BZ3837" s="105"/>
      <c r="CA3837" s="20"/>
    </row>
    <row r="3838" spans="78:79" x14ac:dyDescent="0.35">
      <c r="BZ3838" s="105"/>
      <c r="CA3838" s="20"/>
    </row>
    <row r="3839" spans="78:79" x14ac:dyDescent="0.35">
      <c r="BZ3839" s="105"/>
      <c r="CA3839" s="20"/>
    </row>
    <row r="3840" spans="78:79" x14ac:dyDescent="0.35">
      <c r="BZ3840" s="105"/>
      <c r="CA3840" s="20"/>
    </row>
    <row r="3841" spans="78:79" x14ac:dyDescent="0.35">
      <c r="BZ3841" s="105"/>
      <c r="CA3841" s="20"/>
    </row>
    <row r="3842" spans="78:79" x14ac:dyDescent="0.35">
      <c r="BZ3842" s="105"/>
      <c r="CA3842" s="20"/>
    </row>
    <row r="3843" spans="78:79" x14ac:dyDescent="0.35">
      <c r="BZ3843" s="105"/>
      <c r="CA3843" s="20"/>
    </row>
    <row r="3844" spans="78:79" x14ac:dyDescent="0.35">
      <c r="BZ3844" s="105"/>
      <c r="CA3844" s="20"/>
    </row>
    <row r="3845" spans="78:79" x14ac:dyDescent="0.35">
      <c r="BZ3845" s="105"/>
      <c r="CA3845" s="20"/>
    </row>
    <row r="3846" spans="78:79" x14ac:dyDescent="0.35">
      <c r="BZ3846" s="105"/>
      <c r="CA3846" s="20"/>
    </row>
    <row r="3847" spans="78:79" x14ac:dyDescent="0.35">
      <c r="BZ3847" s="105"/>
      <c r="CA3847" s="20"/>
    </row>
    <row r="3848" spans="78:79" x14ac:dyDescent="0.35">
      <c r="BZ3848" s="105"/>
      <c r="CA3848" s="20"/>
    </row>
    <row r="3849" spans="78:79" x14ac:dyDescent="0.35">
      <c r="BZ3849" s="105"/>
      <c r="CA3849" s="20"/>
    </row>
    <row r="3850" spans="78:79" x14ac:dyDescent="0.35">
      <c r="BZ3850" s="105"/>
      <c r="CA3850" s="20"/>
    </row>
    <row r="3851" spans="78:79" x14ac:dyDescent="0.35">
      <c r="BZ3851" s="105"/>
      <c r="CA3851" s="20"/>
    </row>
    <row r="3852" spans="78:79" x14ac:dyDescent="0.35">
      <c r="BZ3852" s="105"/>
      <c r="CA3852" s="20"/>
    </row>
    <row r="3853" spans="78:79" x14ac:dyDescent="0.35">
      <c r="BZ3853" s="105"/>
      <c r="CA3853" s="20"/>
    </row>
    <row r="3854" spans="78:79" x14ac:dyDescent="0.35">
      <c r="BZ3854" s="105"/>
      <c r="CA3854" s="20"/>
    </row>
    <row r="3855" spans="78:79" x14ac:dyDescent="0.35">
      <c r="BZ3855" s="105"/>
      <c r="CA3855" s="20"/>
    </row>
    <row r="3856" spans="78:79" x14ac:dyDescent="0.35">
      <c r="BZ3856" s="105"/>
      <c r="CA3856" s="20"/>
    </row>
    <row r="3857" spans="78:79" x14ac:dyDescent="0.35">
      <c r="BZ3857" s="105"/>
      <c r="CA3857" s="20"/>
    </row>
    <row r="3858" spans="78:79" x14ac:dyDescent="0.35">
      <c r="BZ3858" s="105"/>
      <c r="CA3858" s="20"/>
    </row>
    <row r="3859" spans="78:79" x14ac:dyDescent="0.35">
      <c r="BZ3859" s="105"/>
      <c r="CA3859" s="20"/>
    </row>
    <row r="3860" spans="78:79" x14ac:dyDescent="0.35">
      <c r="BZ3860" s="105"/>
      <c r="CA3860" s="20"/>
    </row>
    <row r="3861" spans="78:79" x14ac:dyDescent="0.35">
      <c r="BZ3861" s="105"/>
      <c r="CA3861" s="20"/>
    </row>
    <row r="3862" spans="78:79" x14ac:dyDescent="0.35">
      <c r="BZ3862" s="105"/>
      <c r="CA3862" s="20"/>
    </row>
    <row r="3863" spans="78:79" x14ac:dyDescent="0.35">
      <c r="BZ3863" s="105"/>
      <c r="CA3863" s="20"/>
    </row>
    <row r="3864" spans="78:79" x14ac:dyDescent="0.35">
      <c r="BZ3864" s="105"/>
      <c r="CA3864" s="20"/>
    </row>
    <row r="3865" spans="78:79" x14ac:dyDescent="0.35">
      <c r="BZ3865" s="105"/>
      <c r="CA3865" s="20"/>
    </row>
    <row r="3866" spans="78:79" x14ac:dyDescent="0.35">
      <c r="BZ3866" s="105"/>
      <c r="CA3866" s="20"/>
    </row>
    <row r="3867" spans="78:79" x14ac:dyDescent="0.35">
      <c r="BZ3867" s="105"/>
      <c r="CA3867" s="20"/>
    </row>
    <row r="3868" spans="78:79" x14ac:dyDescent="0.35">
      <c r="BZ3868" s="105"/>
      <c r="CA3868" s="20"/>
    </row>
    <row r="3869" spans="78:79" x14ac:dyDescent="0.35">
      <c r="BZ3869" s="105"/>
      <c r="CA3869" s="20"/>
    </row>
    <row r="3870" spans="78:79" x14ac:dyDescent="0.35">
      <c r="BZ3870" s="105"/>
      <c r="CA3870" s="20"/>
    </row>
    <row r="3871" spans="78:79" x14ac:dyDescent="0.35">
      <c r="BZ3871" s="105"/>
      <c r="CA3871" s="20"/>
    </row>
    <row r="3872" spans="78:79" x14ac:dyDescent="0.35">
      <c r="BZ3872" s="105"/>
      <c r="CA3872" s="20"/>
    </row>
    <row r="3873" spans="78:79" x14ac:dyDescent="0.35">
      <c r="BZ3873" s="105"/>
      <c r="CA3873" s="20"/>
    </row>
    <row r="3874" spans="78:79" x14ac:dyDescent="0.35">
      <c r="BZ3874" s="105"/>
      <c r="CA3874" s="20"/>
    </row>
    <row r="3875" spans="78:79" x14ac:dyDescent="0.35">
      <c r="BZ3875" s="105"/>
      <c r="CA3875" s="20"/>
    </row>
    <row r="3876" spans="78:79" x14ac:dyDescent="0.35">
      <c r="BZ3876" s="105"/>
      <c r="CA3876" s="20"/>
    </row>
    <row r="3877" spans="78:79" x14ac:dyDescent="0.35">
      <c r="BZ3877" s="105"/>
      <c r="CA3877" s="20"/>
    </row>
    <row r="3878" spans="78:79" x14ac:dyDescent="0.35">
      <c r="BZ3878" s="105"/>
      <c r="CA3878" s="20"/>
    </row>
    <row r="3879" spans="78:79" x14ac:dyDescent="0.35">
      <c r="BZ3879" s="105"/>
      <c r="CA3879" s="20"/>
    </row>
    <row r="3880" spans="78:79" x14ac:dyDescent="0.35">
      <c r="BZ3880" s="105"/>
      <c r="CA3880" s="20"/>
    </row>
    <row r="3881" spans="78:79" x14ac:dyDescent="0.35">
      <c r="BZ3881" s="105"/>
      <c r="CA3881" s="20"/>
    </row>
    <row r="3882" spans="78:79" x14ac:dyDescent="0.35">
      <c r="BZ3882" s="105"/>
      <c r="CA3882" s="20"/>
    </row>
    <row r="3883" spans="78:79" x14ac:dyDescent="0.35">
      <c r="BZ3883" s="105"/>
      <c r="CA3883" s="20"/>
    </row>
    <row r="3884" spans="78:79" x14ac:dyDescent="0.35">
      <c r="BZ3884" s="105"/>
      <c r="CA3884" s="20"/>
    </row>
    <row r="3885" spans="78:79" x14ac:dyDescent="0.35">
      <c r="BZ3885" s="105"/>
      <c r="CA3885" s="20"/>
    </row>
    <row r="3886" spans="78:79" x14ac:dyDescent="0.35">
      <c r="BZ3886" s="105"/>
      <c r="CA3886" s="20"/>
    </row>
    <row r="3887" spans="78:79" x14ac:dyDescent="0.35">
      <c r="BZ3887" s="105"/>
      <c r="CA3887" s="20"/>
    </row>
    <row r="3888" spans="78:79" x14ac:dyDescent="0.35">
      <c r="BZ3888" s="105"/>
      <c r="CA3888" s="20"/>
    </row>
    <row r="3889" spans="78:79" x14ac:dyDescent="0.35">
      <c r="BZ3889" s="105"/>
      <c r="CA3889" s="20"/>
    </row>
    <row r="3890" spans="78:79" x14ac:dyDescent="0.35">
      <c r="BZ3890" s="105"/>
      <c r="CA3890" s="20"/>
    </row>
    <row r="3891" spans="78:79" x14ac:dyDescent="0.35">
      <c r="BZ3891" s="105"/>
      <c r="CA3891" s="20"/>
    </row>
    <row r="3892" spans="78:79" x14ac:dyDescent="0.35">
      <c r="BZ3892" s="105"/>
      <c r="CA3892" s="20"/>
    </row>
    <row r="3893" spans="78:79" x14ac:dyDescent="0.35">
      <c r="BZ3893" s="105"/>
      <c r="CA3893" s="20"/>
    </row>
    <row r="3894" spans="78:79" x14ac:dyDescent="0.35">
      <c r="BZ3894" s="105"/>
      <c r="CA3894" s="20"/>
    </row>
    <row r="3895" spans="78:79" x14ac:dyDescent="0.35">
      <c r="BZ3895" s="105"/>
      <c r="CA3895" s="20"/>
    </row>
    <row r="3896" spans="78:79" x14ac:dyDescent="0.35">
      <c r="BZ3896" s="105"/>
      <c r="CA3896" s="20"/>
    </row>
    <row r="3897" spans="78:79" x14ac:dyDescent="0.35">
      <c r="BZ3897" s="105"/>
      <c r="CA3897" s="20"/>
    </row>
    <row r="3898" spans="78:79" x14ac:dyDescent="0.35">
      <c r="BZ3898" s="105"/>
      <c r="CA3898" s="20"/>
    </row>
    <row r="3899" spans="78:79" x14ac:dyDescent="0.35">
      <c r="BZ3899" s="105"/>
      <c r="CA3899" s="20"/>
    </row>
    <row r="3900" spans="78:79" x14ac:dyDescent="0.35">
      <c r="BZ3900" s="105"/>
      <c r="CA3900" s="20"/>
    </row>
    <row r="3901" spans="78:79" x14ac:dyDescent="0.35">
      <c r="BZ3901" s="105"/>
      <c r="CA3901" s="20"/>
    </row>
    <row r="3902" spans="78:79" x14ac:dyDescent="0.35">
      <c r="BZ3902" s="105"/>
      <c r="CA3902" s="20"/>
    </row>
    <row r="3903" spans="78:79" x14ac:dyDescent="0.35">
      <c r="BZ3903" s="105"/>
      <c r="CA3903" s="20"/>
    </row>
    <row r="3904" spans="78:79" x14ac:dyDescent="0.35">
      <c r="BZ3904" s="105"/>
      <c r="CA3904" s="20"/>
    </row>
    <row r="3905" spans="78:79" x14ac:dyDescent="0.35">
      <c r="BZ3905" s="105"/>
      <c r="CA3905" s="20"/>
    </row>
    <row r="3906" spans="78:79" x14ac:dyDescent="0.35">
      <c r="BZ3906" s="105"/>
      <c r="CA3906" s="20"/>
    </row>
    <row r="3907" spans="78:79" x14ac:dyDescent="0.35">
      <c r="BZ3907" s="105"/>
      <c r="CA3907" s="20"/>
    </row>
    <row r="3908" spans="78:79" x14ac:dyDescent="0.35">
      <c r="BZ3908" s="105"/>
      <c r="CA3908" s="20"/>
    </row>
    <row r="3909" spans="78:79" x14ac:dyDescent="0.35">
      <c r="BZ3909" s="105"/>
      <c r="CA3909" s="20"/>
    </row>
    <row r="3910" spans="78:79" x14ac:dyDescent="0.35">
      <c r="BZ3910" s="105"/>
      <c r="CA3910" s="20"/>
    </row>
    <row r="3911" spans="78:79" x14ac:dyDescent="0.35">
      <c r="BZ3911" s="105"/>
      <c r="CA3911" s="20"/>
    </row>
    <row r="3912" spans="78:79" x14ac:dyDescent="0.35">
      <c r="BZ3912" s="105"/>
      <c r="CA3912" s="20"/>
    </row>
    <row r="3913" spans="78:79" x14ac:dyDescent="0.35">
      <c r="BZ3913" s="105"/>
      <c r="CA3913" s="20"/>
    </row>
    <row r="3914" spans="78:79" x14ac:dyDescent="0.35">
      <c r="BZ3914" s="105"/>
      <c r="CA3914" s="20"/>
    </row>
    <row r="3915" spans="78:79" x14ac:dyDescent="0.35">
      <c r="BZ3915" s="105"/>
      <c r="CA3915" s="20"/>
    </row>
    <row r="3916" spans="78:79" x14ac:dyDescent="0.35">
      <c r="BZ3916" s="105"/>
      <c r="CA3916" s="20"/>
    </row>
    <row r="3917" spans="78:79" x14ac:dyDescent="0.35">
      <c r="BZ3917" s="105"/>
      <c r="CA3917" s="20"/>
    </row>
    <row r="3918" spans="78:79" x14ac:dyDescent="0.35">
      <c r="BZ3918" s="105"/>
      <c r="CA3918" s="20"/>
    </row>
    <row r="3919" spans="78:79" x14ac:dyDescent="0.35">
      <c r="BZ3919" s="105"/>
      <c r="CA3919" s="20"/>
    </row>
    <row r="3920" spans="78:79" x14ac:dyDescent="0.35">
      <c r="BZ3920" s="105"/>
      <c r="CA3920" s="20"/>
    </row>
    <row r="3921" spans="78:79" x14ac:dyDescent="0.35">
      <c r="BZ3921" s="105"/>
      <c r="CA3921" s="20"/>
    </row>
    <row r="3922" spans="78:79" x14ac:dyDescent="0.35">
      <c r="BZ3922" s="105"/>
      <c r="CA3922" s="20"/>
    </row>
    <row r="3923" spans="78:79" x14ac:dyDescent="0.35">
      <c r="BZ3923" s="105"/>
      <c r="CA3923" s="20"/>
    </row>
    <row r="3924" spans="78:79" x14ac:dyDescent="0.35">
      <c r="BZ3924" s="105"/>
      <c r="CA3924" s="20"/>
    </row>
    <row r="3925" spans="78:79" x14ac:dyDescent="0.35">
      <c r="BZ3925" s="105"/>
      <c r="CA3925" s="20"/>
    </row>
    <row r="3926" spans="78:79" x14ac:dyDescent="0.35">
      <c r="BZ3926" s="105"/>
      <c r="CA3926" s="20"/>
    </row>
    <row r="3927" spans="78:79" x14ac:dyDescent="0.35">
      <c r="BZ3927" s="105"/>
      <c r="CA3927" s="20"/>
    </row>
    <row r="3928" spans="78:79" x14ac:dyDescent="0.35">
      <c r="BZ3928" s="105"/>
      <c r="CA3928" s="20"/>
    </row>
    <row r="3929" spans="78:79" x14ac:dyDescent="0.35">
      <c r="BZ3929" s="105"/>
      <c r="CA3929" s="20"/>
    </row>
    <row r="3930" spans="78:79" x14ac:dyDescent="0.35">
      <c r="BZ3930" s="105"/>
      <c r="CA3930" s="20"/>
    </row>
    <row r="3931" spans="78:79" x14ac:dyDescent="0.35">
      <c r="BZ3931" s="105"/>
      <c r="CA3931" s="20"/>
    </row>
    <row r="3932" spans="78:79" x14ac:dyDescent="0.35">
      <c r="BZ3932" s="105"/>
      <c r="CA3932" s="20"/>
    </row>
    <row r="3933" spans="78:79" x14ac:dyDescent="0.35">
      <c r="BZ3933" s="105"/>
      <c r="CA3933" s="20"/>
    </row>
    <row r="3934" spans="78:79" x14ac:dyDescent="0.35">
      <c r="BZ3934" s="105"/>
      <c r="CA3934" s="20"/>
    </row>
    <row r="3935" spans="78:79" x14ac:dyDescent="0.35">
      <c r="BZ3935" s="105"/>
      <c r="CA3935" s="20"/>
    </row>
    <row r="3936" spans="78:79" x14ac:dyDescent="0.35">
      <c r="BZ3936" s="105"/>
      <c r="CA3936" s="20"/>
    </row>
    <row r="3937" spans="78:79" x14ac:dyDescent="0.35">
      <c r="BZ3937" s="105"/>
      <c r="CA3937" s="20"/>
    </row>
    <row r="3938" spans="78:79" x14ac:dyDescent="0.35">
      <c r="BZ3938" s="105"/>
      <c r="CA3938" s="20"/>
    </row>
    <row r="3939" spans="78:79" x14ac:dyDescent="0.35">
      <c r="BZ3939" s="105"/>
      <c r="CA3939" s="20"/>
    </row>
    <row r="3940" spans="78:79" x14ac:dyDescent="0.35">
      <c r="BZ3940" s="105"/>
      <c r="CA3940" s="20"/>
    </row>
    <row r="3941" spans="78:79" x14ac:dyDescent="0.35">
      <c r="BZ3941" s="105"/>
      <c r="CA3941" s="20"/>
    </row>
    <row r="3942" spans="78:79" x14ac:dyDescent="0.35">
      <c r="BZ3942" s="105"/>
      <c r="CA3942" s="20"/>
    </row>
    <row r="3943" spans="78:79" x14ac:dyDescent="0.35">
      <c r="BZ3943" s="105"/>
      <c r="CA3943" s="20"/>
    </row>
    <row r="3944" spans="78:79" x14ac:dyDescent="0.35">
      <c r="BZ3944" s="105"/>
      <c r="CA3944" s="20"/>
    </row>
    <row r="3945" spans="78:79" x14ac:dyDescent="0.35">
      <c r="BZ3945" s="105"/>
      <c r="CA3945" s="20"/>
    </row>
    <row r="3946" spans="78:79" x14ac:dyDescent="0.35">
      <c r="BZ3946" s="105"/>
      <c r="CA3946" s="20"/>
    </row>
    <row r="3947" spans="78:79" x14ac:dyDescent="0.35">
      <c r="BZ3947" s="105"/>
      <c r="CA3947" s="20"/>
    </row>
    <row r="3948" spans="78:79" x14ac:dyDescent="0.35">
      <c r="BZ3948" s="105"/>
      <c r="CA3948" s="20"/>
    </row>
    <row r="3949" spans="78:79" x14ac:dyDescent="0.35">
      <c r="BZ3949" s="105"/>
      <c r="CA3949" s="20"/>
    </row>
    <row r="3950" spans="78:79" x14ac:dyDescent="0.35">
      <c r="BZ3950" s="105"/>
      <c r="CA3950" s="20"/>
    </row>
    <row r="3951" spans="78:79" x14ac:dyDescent="0.35">
      <c r="BZ3951" s="105"/>
      <c r="CA3951" s="20"/>
    </row>
    <row r="3952" spans="78:79" x14ac:dyDescent="0.35">
      <c r="BZ3952" s="105"/>
      <c r="CA3952" s="20"/>
    </row>
    <row r="3953" spans="78:79" x14ac:dyDescent="0.35">
      <c r="BZ3953" s="105"/>
      <c r="CA3953" s="20"/>
    </row>
    <row r="3954" spans="78:79" x14ac:dyDescent="0.35">
      <c r="BZ3954" s="105"/>
      <c r="CA3954" s="20"/>
    </row>
    <row r="3955" spans="78:79" x14ac:dyDescent="0.35">
      <c r="BZ3955" s="105"/>
      <c r="CA3955" s="20"/>
    </row>
    <row r="3956" spans="78:79" x14ac:dyDescent="0.35">
      <c r="BZ3956" s="105"/>
      <c r="CA3956" s="20"/>
    </row>
    <row r="3957" spans="78:79" x14ac:dyDescent="0.35">
      <c r="BZ3957" s="105"/>
      <c r="CA3957" s="20"/>
    </row>
    <row r="3958" spans="78:79" x14ac:dyDescent="0.35">
      <c r="BZ3958" s="105"/>
      <c r="CA3958" s="20"/>
    </row>
    <row r="3959" spans="78:79" x14ac:dyDescent="0.35">
      <c r="BZ3959" s="105"/>
      <c r="CA3959" s="20"/>
    </row>
    <row r="3960" spans="78:79" x14ac:dyDescent="0.35">
      <c r="BZ3960" s="105"/>
      <c r="CA3960" s="20"/>
    </row>
    <row r="3961" spans="78:79" x14ac:dyDescent="0.35">
      <c r="BZ3961" s="105"/>
      <c r="CA3961" s="20"/>
    </row>
    <row r="3962" spans="78:79" x14ac:dyDescent="0.35">
      <c r="BZ3962" s="105"/>
      <c r="CA3962" s="20"/>
    </row>
    <row r="3963" spans="78:79" x14ac:dyDescent="0.35">
      <c r="BZ3963" s="105"/>
      <c r="CA3963" s="20"/>
    </row>
    <row r="3964" spans="78:79" x14ac:dyDescent="0.35">
      <c r="BZ3964" s="105"/>
      <c r="CA3964" s="20"/>
    </row>
    <row r="3965" spans="78:79" x14ac:dyDescent="0.35">
      <c r="BZ3965" s="105"/>
      <c r="CA3965" s="20"/>
    </row>
    <row r="3966" spans="78:79" x14ac:dyDescent="0.35">
      <c r="BZ3966" s="105"/>
      <c r="CA3966" s="20"/>
    </row>
    <row r="3967" spans="78:79" x14ac:dyDescent="0.35">
      <c r="BZ3967" s="105"/>
      <c r="CA3967" s="20"/>
    </row>
    <row r="3968" spans="78:79" x14ac:dyDescent="0.35">
      <c r="BZ3968" s="105"/>
      <c r="CA3968" s="20"/>
    </row>
    <row r="3969" spans="78:79" x14ac:dyDescent="0.35">
      <c r="BZ3969" s="105"/>
      <c r="CA3969" s="20"/>
    </row>
    <row r="3970" spans="78:79" x14ac:dyDescent="0.35">
      <c r="BZ3970" s="105"/>
      <c r="CA3970" s="20"/>
    </row>
    <row r="3971" spans="78:79" x14ac:dyDescent="0.35">
      <c r="BZ3971" s="105"/>
      <c r="CA3971" s="20"/>
    </row>
    <row r="3972" spans="78:79" x14ac:dyDescent="0.35">
      <c r="BZ3972" s="105"/>
      <c r="CA3972" s="20"/>
    </row>
    <row r="3973" spans="78:79" x14ac:dyDescent="0.35">
      <c r="BZ3973" s="105"/>
      <c r="CA3973" s="20"/>
    </row>
    <row r="3974" spans="78:79" x14ac:dyDescent="0.35">
      <c r="BZ3974" s="105"/>
      <c r="CA3974" s="20"/>
    </row>
    <row r="3975" spans="78:79" x14ac:dyDescent="0.35">
      <c r="BZ3975" s="105"/>
      <c r="CA3975" s="20"/>
    </row>
    <row r="3976" spans="78:79" x14ac:dyDescent="0.35">
      <c r="BZ3976" s="105"/>
      <c r="CA3976" s="20"/>
    </row>
    <row r="3977" spans="78:79" x14ac:dyDescent="0.35">
      <c r="BZ3977" s="105"/>
      <c r="CA3977" s="20"/>
    </row>
    <row r="3978" spans="78:79" x14ac:dyDescent="0.35">
      <c r="BZ3978" s="105"/>
      <c r="CA3978" s="20"/>
    </row>
    <row r="3979" spans="78:79" x14ac:dyDescent="0.35">
      <c r="BZ3979" s="105"/>
      <c r="CA3979" s="20"/>
    </row>
    <row r="3980" spans="78:79" x14ac:dyDescent="0.35">
      <c r="BZ3980" s="105"/>
      <c r="CA3980" s="20"/>
    </row>
    <row r="3981" spans="78:79" x14ac:dyDescent="0.35">
      <c r="BZ3981" s="105"/>
      <c r="CA3981" s="20"/>
    </row>
    <row r="3982" spans="78:79" x14ac:dyDescent="0.35">
      <c r="BZ3982" s="105"/>
      <c r="CA3982" s="20"/>
    </row>
    <row r="3983" spans="78:79" x14ac:dyDescent="0.35">
      <c r="BZ3983" s="105"/>
      <c r="CA3983" s="20"/>
    </row>
    <row r="3984" spans="78:79" x14ac:dyDescent="0.35">
      <c r="BZ3984" s="105"/>
      <c r="CA3984" s="20"/>
    </row>
    <row r="3985" spans="78:79" x14ac:dyDescent="0.35">
      <c r="BZ3985" s="105"/>
      <c r="CA3985" s="20"/>
    </row>
    <row r="3986" spans="78:79" x14ac:dyDescent="0.35">
      <c r="BZ3986" s="105"/>
      <c r="CA3986" s="20"/>
    </row>
    <row r="3987" spans="78:79" x14ac:dyDescent="0.35">
      <c r="BZ3987" s="105"/>
      <c r="CA3987" s="20"/>
    </row>
    <row r="3988" spans="78:79" x14ac:dyDescent="0.35">
      <c r="BZ3988" s="105"/>
      <c r="CA3988" s="20"/>
    </row>
    <row r="3989" spans="78:79" x14ac:dyDescent="0.35">
      <c r="BZ3989" s="105"/>
      <c r="CA3989" s="20"/>
    </row>
    <row r="3990" spans="78:79" x14ac:dyDescent="0.35">
      <c r="BZ3990" s="105"/>
      <c r="CA3990" s="20"/>
    </row>
    <row r="3991" spans="78:79" x14ac:dyDescent="0.35">
      <c r="BZ3991" s="105"/>
      <c r="CA3991" s="20"/>
    </row>
    <row r="3992" spans="78:79" x14ac:dyDescent="0.35">
      <c r="BZ3992" s="105"/>
      <c r="CA3992" s="20"/>
    </row>
    <row r="3993" spans="78:79" x14ac:dyDescent="0.35">
      <c r="BZ3993" s="105"/>
      <c r="CA3993" s="20"/>
    </row>
    <row r="3994" spans="78:79" x14ac:dyDescent="0.35">
      <c r="BZ3994" s="105"/>
      <c r="CA3994" s="20"/>
    </row>
    <row r="3995" spans="78:79" x14ac:dyDescent="0.35">
      <c r="BZ3995" s="105"/>
      <c r="CA3995" s="20"/>
    </row>
    <row r="3996" spans="78:79" x14ac:dyDescent="0.35">
      <c r="BZ3996" s="105"/>
      <c r="CA3996" s="20"/>
    </row>
    <row r="3997" spans="78:79" x14ac:dyDescent="0.35">
      <c r="BZ3997" s="105"/>
      <c r="CA3997" s="20"/>
    </row>
    <row r="3998" spans="78:79" x14ac:dyDescent="0.35">
      <c r="BZ3998" s="105"/>
      <c r="CA3998" s="20"/>
    </row>
    <row r="3999" spans="78:79" x14ac:dyDescent="0.35">
      <c r="BZ3999" s="105"/>
      <c r="CA3999" s="20"/>
    </row>
    <row r="4000" spans="78:79" x14ac:dyDescent="0.35">
      <c r="BZ4000" s="105"/>
      <c r="CA4000" s="20"/>
    </row>
    <row r="4001" spans="78:79" x14ac:dyDescent="0.35">
      <c r="BZ4001" s="105"/>
      <c r="CA4001" s="20"/>
    </row>
    <row r="4002" spans="78:79" x14ac:dyDescent="0.35">
      <c r="BZ4002" s="105"/>
      <c r="CA4002" s="20"/>
    </row>
    <row r="4003" spans="78:79" x14ac:dyDescent="0.35">
      <c r="BZ4003" s="105"/>
      <c r="CA4003" s="20"/>
    </row>
    <row r="4004" spans="78:79" x14ac:dyDescent="0.35">
      <c r="BZ4004" s="105"/>
      <c r="CA4004" s="20"/>
    </row>
    <row r="4005" spans="78:79" x14ac:dyDescent="0.35">
      <c r="BZ4005" s="105"/>
      <c r="CA4005" s="20"/>
    </row>
    <row r="4006" spans="78:79" x14ac:dyDescent="0.35">
      <c r="BZ4006" s="105"/>
      <c r="CA4006" s="20"/>
    </row>
    <row r="4007" spans="78:79" x14ac:dyDescent="0.35">
      <c r="BZ4007" s="105"/>
      <c r="CA4007" s="20"/>
    </row>
    <row r="4008" spans="78:79" x14ac:dyDescent="0.35">
      <c r="BZ4008" s="105"/>
      <c r="CA4008" s="20"/>
    </row>
    <row r="4009" spans="78:79" x14ac:dyDescent="0.35">
      <c r="BZ4009" s="105"/>
      <c r="CA4009" s="20"/>
    </row>
    <row r="4010" spans="78:79" x14ac:dyDescent="0.35">
      <c r="BZ4010" s="105"/>
      <c r="CA4010" s="20"/>
    </row>
    <row r="4011" spans="78:79" x14ac:dyDescent="0.35">
      <c r="BZ4011" s="105"/>
      <c r="CA4011" s="20"/>
    </row>
    <row r="4012" spans="78:79" x14ac:dyDescent="0.35">
      <c r="BZ4012" s="105"/>
      <c r="CA4012" s="20"/>
    </row>
    <row r="4013" spans="78:79" x14ac:dyDescent="0.35">
      <c r="BZ4013" s="105"/>
      <c r="CA4013" s="20"/>
    </row>
    <row r="4014" spans="78:79" x14ac:dyDescent="0.35">
      <c r="BZ4014" s="105"/>
      <c r="CA4014" s="20"/>
    </row>
    <row r="4015" spans="78:79" x14ac:dyDescent="0.35">
      <c r="BZ4015" s="105"/>
      <c r="CA4015" s="20"/>
    </row>
    <row r="4016" spans="78:79" x14ac:dyDescent="0.35">
      <c r="BZ4016" s="105"/>
      <c r="CA4016" s="20"/>
    </row>
    <row r="4017" spans="78:79" x14ac:dyDescent="0.35">
      <c r="BZ4017" s="105"/>
      <c r="CA4017" s="20"/>
    </row>
    <row r="4018" spans="78:79" x14ac:dyDescent="0.35">
      <c r="BZ4018" s="105"/>
      <c r="CA4018" s="20"/>
    </row>
    <row r="4019" spans="78:79" x14ac:dyDescent="0.35">
      <c r="BZ4019" s="105"/>
      <c r="CA4019" s="20"/>
    </row>
    <row r="4020" spans="78:79" x14ac:dyDescent="0.35">
      <c r="BZ4020" s="105"/>
      <c r="CA4020" s="20"/>
    </row>
    <row r="4021" spans="78:79" x14ac:dyDescent="0.35">
      <c r="BZ4021" s="105"/>
      <c r="CA4021" s="20"/>
    </row>
    <row r="4022" spans="78:79" x14ac:dyDescent="0.35">
      <c r="BZ4022" s="105"/>
      <c r="CA4022" s="20"/>
    </row>
    <row r="4023" spans="78:79" x14ac:dyDescent="0.35">
      <c r="BZ4023" s="105"/>
      <c r="CA4023" s="20"/>
    </row>
    <row r="4024" spans="78:79" x14ac:dyDescent="0.35">
      <c r="BZ4024" s="105"/>
      <c r="CA4024" s="20"/>
    </row>
    <row r="4025" spans="78:79" x14ac:dyDescent="0.35">
      <c r="BZ4025" s="105"/>
      <c r="CA4025" s="20"/>
    </row>
    <row r="4026" spans="78:79" x14ac:dyDescent="0.35">
      <c r="BZ4026" s="105"/>
      <c r="CA4026" s="20"/>
    </row>
    <row r="4027" spans="78:79" x14ac:dyDescent="0.35">
      <c r="BZ4027" s="105"/>
      <c r="CA4027" s="20"/>
    </row>
    <row r="4028" spans="78:79" x14ac:dyDescent="0.35">
      <c r="BZ4028" s="105"/>
      <c r="CA4028" s="20"/>
    </row>
    <row r="4029" spans="78:79" x14ac:dyDescent="0.35">
      <c r="BZ4029" s="105"/>
      <c r="CA4029" s="20"/>
    </row>
    <row r="4030" spans="78:79" x14ac:dyDescent="0.35">
      <c r="BZ4030" s="105"/>
      <c r="CA4030" s="20"/>
    </row>
    <row r="4031" spans="78:79" x14ac:dyDescent="0.35">
      <c r="BZ4031" s="105"/>
      <c r="CA4031" s="20"/>
    </row>
    <row r="4032" spans="78:79" x14ac:dyDescent="0.35">
      <c r="BZ4032" s="105"/>
      <c r="CA4032" s="20"/>
    </row>
    <row r="4033" spans="78:79" x14ac:dyDescent="0.35">
      <c r="BZ4033" s="105"/>
      <c r="CA4033" s="20"/>
    </row>
    <row r="4034" spans="78:79" x14ac:dyDescent="0.35">
      <c r="BZ4034" s="105"/>
      <c r="CA4034" s="20"/>
    </row>
    <row r="4035" spans="78:79" x14ac:dyDescent="0.35">
      <c r="BZ4035" s="105"/>
      <c r="CA4035" s="20"/>
    </row>
    <row r="4036" spans="78:79" x14ac:dyDescent="0.35">
      <c r="BZ4036" s="105"/>
      <c r="CA4036" s="20"/>
    </row>
    <row r="4037" spans="78:79" x14ac:dyDescent="0.35">
      <c r="BZ4037" s="105"/>
      <c r="CA4037" s="20"/>
    </row>
    <row r="4038" spans="78:79" x14ac:dyDescent="0.35">
      <c r="BZ4038" s="105"/>
      <c r="CA4038" s="20"/>
    </row>
    <row r="4039" spans="78:79" x14ac:dyDescent="0.35">
      <c r="BZ4039" s="105"/>
      <c r="CA4039" s="20"/>
    </row>
    <row r="4040" spans="78:79" x14ac:dyDescent="0.35">
      <c r="BZ4040" s="105"/>
      <c r="CA4040" s="20"/>
    </row>
    <row r="4041" spans="78:79" x14ac:dyDescent="0.35">
      <c r="BZ4041" s="105"/>
      <c r="CA4041" s="20"/>
    </row>
    <row r="4042" spans="78:79" x14ac:dyDescent="0.35">
      <c r="BZ4042" s="105"/>
      <c r="CA4042" s="20"/>
    </row>
    <row r="4043" spans="78:79" x14ac:dyDescent="0.35">
      <c r="BZ4043" s="105"/>
      <c r="CA4043" s="20"/>
    </row>
    <row r="4044" spans="78:79" x14ac:dyDescent="0.35">
      <c r="BZ4044" s="105"/>
      <c r="CA4044" s="20"/>
    </row>
    <row r="4045" spans="78:79" x14ac:dyDescent="0.35">
      <c r="BZ4045" s="105"/>
      <c r="CA4045" s="20"/>
    </row>
    <row r="4046" spans="78:79" x14ac:dyDescent="0.35">
      <c r="BZ4046" s="105"/>
      <c r="CA4046" s="20"/>
    </row>
    <row r="4047" spans="78:79" x14ac:dyDescent="0.35">
      <c r="BZ4047" s="105"/>
      <c r="CA4047" s="20"/>
    </row>
    <row r="4048" spans="78:79" x14ac:dyDescent="0.35">
      <c r="BZ4048" s="105"/>
      <c r="CA4048" s="20"/>
    </row>
    <row r="4049" spans="78:79" x14ac:dyDescent="0.35">
      <c r="BZ4049" s="105"/>
      <c r="CA4049" s="20"/>
    </row>
    <row r="4050" spans="78:79" x14ac:dyDescent="0.35">
      <c r="BZ4050" s="105"/>
      <c r="CA4050" s="20"/>
    </row>
    <row r="4051" spans="78:79" x14ac:dyDescent="0.35">
      <c r="BZ4051" s="105"/>
      <c r="CA4051" s="20"/>
    </row>
    <row r="4052" spans="78:79" x14ac:dyDescent="0.35">
      <c r="BZ4052" s="105"/>
      <c r="CA4052" s="20"/>
    </row>
    <row r="4053" spans="78:79" x14ac:dyDescent="0.35">
      <c r="BZ4053" s="105"/>
      <c r="CA4053" s="20"/>
    </row>
    <row r="4054" spans="78:79" x14ac:dyDescent="0.35">
      <c r="BZ4054" s="105"/>
      <c r="CA4054" s="20"/>
    </row>
    <row r="4055" spans="78:79" x14ac:dyDescent="0.35">
      <c r="BZ4055" s="105"/>
      <c r="CA4055" s="20"/>
    </row>
    <row r="4056" spans="78:79" x14ac:dyDescent="0.35">
      <c r="BZ4056" s="105"/>
      <c r="CA4056" s="20"/>
    </row>
    <row r="4057" spans="78:79" x14ac:dyDescent="0.35">
      <c r="BZ4057" s="105"/>
      <c r="CA4057" s="20"/>
    </row>
    <row r="4058" spans="78:79" x14ac:dyDescent="0.35">
      <c r="BZ4058" s="105"/>
      <c r="CA4058" s="20"/>
    </row>
    <row r="4059" spans="78:79" x14ac:dyDescent="0.35">
      <c r="BZ4059" s="105"/>
      <c r="CA4059" s="20"/>
    </row>
    <row r="4060" spans="78:79" x14ac:dyDescent="0.35">
      <c r="BZ4060" s="105"/>
      <c r="CA4060" s="20"/>
    </row>
    <row r="4061" spans="78:79" x14ac:dyDescent="0.35">
      <c r="BZ4061" s="105"/>
      <c r="CA4061" s="20"/>
    </row>
    <row r="4062" spans="78:79" x14ac:dyDescent="0.35">
      <c r="BZ4062" s="105"/>
      <c r="CA4062" s="20"/>
    </row>
    <row r="4063" spans="78:79" x14ac:dyDescent="0.35">
      <c r="BZ4063" s="105"/>
      <c r="CA4063" s="20"/>
    </row>
    <row r="4064" spans="78:79" x14ac:dyDescent="0.35">
      <c r="BZ4064" s="105"/>
      <c r="CA4064" s="20"/>
    </row>
    <row r="4065" spans="78:79" x14ac:dyDescent="0.35">
      <c r="BZ4065" s="105"/>
      <c r="CA4065" s="20"/>
    </row>
    <row r="4066" spans="78:79" x14ac:dyDescent="0.35">
      <c r="BZ4066" s="105"/>
      <c r="CA4066" s="20"/>
    </row>
    <row r="4067" spans="78:79" x14ac:dyDescent="0.35">
      <c r="BZ4067" s="105"/>
      <c r="CA4067" s="20"/>
    </row>
    <row r="4068" spans="78:79" x14ac:dyDescent="0.35">
      <c r="BZ4068" s="105"/>
      <c r="CA4068" s="20"/>
    </row>
    <row r="4069" spans="78:79" x14ac:dyDescent="0.35">
      <c r="BZ4069" s="105"/>
      <c r="CA4069" s="20"/>
    </row>
    <row r="4070" spans="78:79" x14ac:dyDescent="0.35">
      <c r="BZ4070" s="105"/>
      <c r="CA4070" s="20"/>
    </row>
    <row r="4071" spans="78:79" x14ac:dyDescent="0.35">
      <c r="BZ4071" s="105"/>
      <c r="CA4071" s="20"/>
    </row>
    <row r="4072" spans="78:79" x14ac:dyDescent="0.35">
      <c r="BZ4072" s="105"/>
      <c r="CA4072" s="20"/>
    </row>
    <row r="4073" spans="78:79" x14ac:dyDescent="0.35">
      <c r="BZ4073" s="105"/>
      <c r="CA4073" s="20"/>
    </row>
    <row r="4074" spans="78:79" x14ac:dyDescent="0.35">
      <c r="BZ4074" s="105"/>
      <c r="CA4074" s="20"/>
    </row>
    <row r="4075" spans="78:79" x14ac:dyDescent="0.35">
      <c r="BZ4075" s="105"/>
      <c r="CA4075" s="20"/>
    </row>
    <row r="4076" spans="78:79" x14ac:dyDescent="0.35">
      <c r="BZ4076" s="105"/>
      <c r="CA4076" s="20"/>
    </row>
    <row r="4077" spans="78:79" x14ac:dyDescent="0.35">
      <c r="BZ4077" s="105"/>
      <c r="CA4077" s="20"/>
    </row>
    <row r="4078" spans="78:79" x14ac:dyDescent="0.35">
      <c r="BZ4078" s="105"/>
      <c r="CA4078" s="20"/>
    </row>
    <row r="4079" spans="78:79" x14ac:dyDescent="0.35">
      <c r="BZ4079" s="105"/>
      <c r="CA4079" s="20"/>
    </row>
    <row r="4080" spans="78:79" x14ac:dyDescent="0.35">
      <c r="BZ4080" s="105"/>
      <c r="CA4080" s="20"/>
    </row>
    <row r="4081" spans="78:79" x14ac:dyDescent="0.35">
      <c r="BZ4081" s="105"/>
      <c r="CA4081" s="20"/>
    </row>
    <row r="4082" spans="78:79" x14ac:dyDescent="0.35">
      <c r="BZ4082" s="105"/>
      <c r="CA4082" s="20"/>
    </row>
    <row r="4083" spans="78:79" x14ac:dyDescent="0.35">
      <c r="BZ4083" s="105"/>
      <c r="CA4083" s="20"/>
    </row>
    <row r="4084" spans="78:79" x14ac:dyDescent="0.35">
      <c r="BZ4084" s="105"/>
      <c r="CA4084" s="20"/>
    </row>
    <row r="4085" spans="78:79" x14ac:dyDescent="0.35">
      <c r="BZ4085" s="105"/>
      <c r="CA4085" s="20"/>
    </row>
    <row r="4086" spans="78:79" x14ac:dyDescent="0.35">
      <c r="BZ4086" s="105"/>
      <c r="CA4086" s="20"/>
    </row>
    <row r="4087" spans="78:79" x14ac:dyDescent="0.35">
      <c r="BZ4087" s="105"/>
      <c r="CA4087" s="20"/>
    </row>
    <row r="4088" spans="78:79" x14ac:dyDescent="0.35">
      <c r="BZ4088" s="105"/>
      <c r="CA4088" s="20"/>
    </row>
    <row r="4089" spans="78:79" x14ac:dyDescent="0.35">
      <c r="BZ4089" s="105"/>
      <c r="CA4089" s="20"/>
    </row>
    <row r="4090" spans="78:79" x14ac:dyDescent="0.35">
      <c r="BZ4090" s="105"/>
      <c r="CA4090" s="20"/>
    </row>
    <row r="4091" spans="78:79" x14ac:dyDescent="0.35">
      <c r="BZ4091" s="105"/>
      <c r="CA4091" s="20"/>
    </row>
    <row r="4092" spans="78:79" x14ac:dyDescent="0.35">
      <c r="BZ4092" s="105"/>
      <c r="CA4092" s="20"/>
    </row>
    <row r="4093" spans="78:79" x14ac:dyDescent="0.35">
      <c r="BZ4093" s="105"/>
      <c r="CA4093" s="20"/>
    </row>
    <row r="4094" spans="78:79" x14ac:dyDescent="0.35">
      <c r="BZ4094" s="105"/>
      <c r="CA4094" s="20"/>
    </row>
    <row r="4095" spans="78:79" x14ac:dyDescent="0.35">
      <c r="BZ4095" s="105"/>
      <c r="CA4095" s="20"/>
    </row>
    <row r="4096" spans="78:79" x14ac:dyDescent="0.35">
      <c r="BZ4096" s="105"/>
      <c r="CA4096" s="20"/>
    </row>
    <row r="4097" spans="78:79" x14ac:dyDescent="0.35">
      <c r="BZ4097" s="105"/>
      <c r="CA4097" s="20"/>
    </row>
    <row r="4098" spans="78:79" x14ac:dyDescent="0.35">
      <c r="BZ4098" s="105"/>
      <c r="CA4098" s="20"/>
    </row>
    <row r="4099" spans="78:79" x14ac:dyDescent="0.35">
      <c r="BZ4099" s="105"/>
      <c r="CA4099" s="20"/>
    </row>
    <row r="4100" spans="78:79" x14ac:dyDescent="0.35">
      <c r="BZ4100" s="105"/>
      <c r="CA4100" s="20"/>
    </row>
    <row r="4101" spans="78:79" x14ac:dyDescent="0.35">
      <c r="BZ4101" s="105"/>
      <c r="CA4101" s="20"/>
    </row>
    <row r="4102" spans="78:79" x14ac:dyDescent="0.35">
      <c r="BZ4102" s="105"/>
      <c r="CA4102" s="20"/>
    </row>
    <row r="4103" spans="78:79" x14ac:dyDescent="0.35">
      <c r="BZ4103" s="105"/>
      <c r="CA4103" s="20"/>
    </row>
    <row r="4104" spans="78:79" x14ac:dyDescent="0.35">
      <c r="BZ4104" s="105"/>
      <c r="CA4104" s="20"/>
    </row>
    <row r="4105" spans="78:79" x14ac:dyDescent="0.35">
      <c r="BZ4105" s="105"/>
      <c r="CA4105" s="20"/>
    </row>
    <row r="4106" spans="78:79" x14ac:dyDescent="0.35">
      <c r="BZ4106" s="105"/>
      <c r="CA4106" s="20"/>
    </row>
    <row r="4107" spans="78:79" x14ac:dyDescent="0.35">
      <c r="BZ4107" s="105"/>
      <c r="CA4107" s="20"/>
    </row>
    <row r="4108" spans="78:79" x14ac:dyDescent="0.35">
      <c r="BZ4108" s="105"/>
      <c r="CA4108" s="20"/>
    </row>
    <row r="4109" spans="78:79" x14ac:dyDescent="0.35">
      <c r="BZ4109" s="105"/>
      <c r="CA4109" s="20"/>
    </row>
    <row r="4110" spans="78:79" x14ac:dyDescent="0.35">
      <c r="BZ4110" s="105"/>
      <c r="CA4110" s="20"/>
    </row>
    <row r="4111" spans="78:79" x14ac:dyDescent="0.35">
      <c r="BZ4111" s="105"/>
      <c r="CA4111" s="20"/>
    </row>
    <row r="4112" spans="78:79" x14ac:dyDescent="0.35">
      <c r="BZ4112" s="105"/>
      <c r="CA4112" s="20"/>
    </row>
    <row r="4113" spans="78:79" x14ac:dyDescent="0.35">
      <c r="BZ4113" s="105"/>
      <c r="CA4113" s="20"/>
    </row>
    <row r="4114" spans="78:79" x14ac:dyDescent="0.35">
      <c r="BZ4114" s="105"/>
      <c r="CA4114" s="20"/>
    </row>
    <row r="4115" spans="78:79" x14ac:dyDescent="0.35">
      <c r="BZ4115" s="105"/>
      <c r="CA4115" s="20"/>
    </row>
    <row r="4116" spans="78:79" x14ac:dyDescent="0.35">
      <c r="BZ4116" s="105"/>
      <c r="CA4116" s="20"/>
    </row>
    <row r="4117" spans="78:79" x14ac:dyDescent="0.35">
      <c r="BZ4117" s="105"/>
      <c r="CA4117" s="20"/>
    </row>
    <row r="4118" spans="78:79" x14ac:dyDescent="0.35">
      <c r="BZ4118" s="105"/>
      <c r="CA4118" s="20"/>
    </row>
    <row r="4119" spans="78:79" x14ac:dyDescent="0.35">
      <c r="BZ4119" s="105"/>
      <c r="CA4119" s="20"/>
    </row>
    <row r="4120" spans="78:79" x14ac:dyDescent="0.35">
      <c r="BZ4120" s="105"/>
      <c r="CA4120" s="20"/>
    </row>
    <row r="4121" spans="78:79" x14ac:dyDescent="0.35">
      <c r="BZ4121" s="105"/>
      <c r="CA4121" s="20"/>
    </row>
    <row r="4122" spans="78:79" x14ac:dyDescent="0.35">
      <c r="BZ4122" s="105"/>
      <c r="CA4122" s="20"/>
    </row>
    <row r="4123" spans="78:79" x14ac:dyDescent="0.35">
      <c r="BZ4123" s="105"/>
      <c r="CA4123" s="20"/>
    </row>
    <row r="4124" spans="78:79" x14ac:dyDescent="0.35">
      <c r="BZ4124" s="105"/>
      <c r="CA4124" s="20"/>
    </row>
    <row r="4125" spans="78:79" x14ac:dyDescent="0.35">
      <c r="BZ4125" s="105"/>
      <c r="CA4125" s="20"/>
    </row>
    <row r="4126" spans="78:79" x14ac:dyDescent="0.35">
      <c r="BZ4126" s="105"/>
      <c r="CA4126" s="20"/>
    </row>
    <row r="4127" spans="78:79" x14ac:dyDescent="0.35">
      <c r="BZ4127" s="105"/>
      <c r="CA4127" s="20"/>
    </row>
    <row r="4128" spans="78:79" x14ac:dyDescent="0.35">
      <c r="BZ4128" s="105"/>
      <c r="CA4128" s="20"/>
    </row>
    <row r="4129" spans="78:79" x14ac:dyDescent="0.35">
      <c r="BZ4129" s="105"/>
      <c r="CA4129" s="20"/>
    </row>
    <row r="4130" spans="78:79" x14ac:dyDescent="0.35">
      <c r="BZ4130" s="105"/>
      <c r="CA4130" s="20"/>
    </row>
    <row r="4131" spans="78:79" x14ac:dyDescent="0.35">
      <c r="BZ4131" s="105"/>
      <c r="CA4131" s="20"/>
    </row>
    <row r="4132" spans="78:79" x14ac:dyDescent="0.35">
      <c r="BZ4132" s="105"/>
      <c r="CA4132" s="20"/>
    </row>
    <row r="4133" spans="78:79" x14ac:dyDescent="0.35">
      <c r="BZ4133" s="105"/>
      <c r="CA4133" s="20"/>
    </row>
    <row r="4134" spans="78:79" x14ac:dyDescent="0.35">
      <c r="BZ4134" s="105"/>
      <c r="CA4134" s="20"/>
    </row>
    <row r="4135" spans="78:79" x14ac:dyDescent="0.35">
      <c r="BZ4135" s="105"/>
      <c r="CA4135" s="20"/>
    </row>
    <row r="4136" spans="78:79" x14ac:dyDescent="0.35">
      <c r="BZ4136" s="105"/>
      <c r="CA4136" s="20"/>
    </row>
    <row r="4137" spans="78:79" x14ac:dyDescent="0.35">
      <c r="BZ4137" s="105"/>
      <c r="CA4137" s="20"/>
    </row>
    <row r="4138" spans="78:79" x14ac:dyDescent="0.35">
      <c r="BZ4138" s="105"/>
      <c r="CA4138" s="20"/>
    </row>
    <row r="4139" spans="78:79" x14ac:dyDescent="0.35">
      <c r="BZ4139" s="105"/>
      <c r="CA4139" s="20"/>
    </row>
    <row r="4140" spans="78:79" x14ac:dyDescent="0.35">
      <c r="BZ4140" s="105"/>
      <c r="CA4140" s="20"/>
    </row>
    <row r="4141" spans="78:79" x14ac:dyDescent="0.35">
      <c r="BZ4141" s="105"/>
      <c r="CA4141" s="20"/>
    </row>
    <row r="4142" spans="78:79" x14ac:dyDescent="0.35">
      <c r="BZ4142" s="105"/>
      <c r="CA4142" s="20"/>
    </row>
    <row r="4143" spans="78:79" x14ac:dyDescent="0.35">
      <c r="BZ4143" s="105"/>
      <c r="CA4143" s="20"/>
    </row>
    <row r="4144" spans="78:79" x14ac:dyDescent="0.35">
      <c r="BZ4144" s="105"/>
      <c r="CA4144" s="20"/>
    </row>
    <row r="4145" spans="78:79" x14ac:dyDescent="0.35">
      <c r="BZ4145" s="105"/>
      <c r="CA4145" s="20"/>
    </row>
    <row r="4146" spans="78:79" x14ac:dyDescent="0.35">
      <c r="BZ4146" s="105"/>
      <c r="CA4146" s="20"/>
    </row>
    <row r="4147" spans="78:79" x14ac:dyDescent="0.35">
      <c r="BZ4147" s="105"/>
      <c r="CA4147" s="20"/>
    </row>
    <row r="4148" spans="78:79" x14ac:dyDescent="0.35">
      <c r="BZ4148" s="105"/>
      <c r="CA4148" s="20"/>
    </row>
    <row r="4149" spans="78:79" x14ac:dyDescent="0.35">
      <c r="BZ4149" s="105"/>
      <c r="CA4149" s="20"/>
    </row>
    <row r="4150" spans="78:79" x14ac:dyDescent="0.35">
      <c r="BZ4150" s="105"/>
      <c r="CA4150" s="20"/>
    </row>
    <row r="4151" spans="78:79" x14ac:dyDescent="0.35">
      <c r="BZ4151" s="105"/>
      <c r="CA4151" s="20"/>
    </row>
    <row r="4152" spans="78:79" x14ac:dyDescent="0.35">
      <c r="BZ4152" s="105"/>
      <c r="CA4152" s="20"/>
    </row>
    <row r="4153" spans="78:79" x14ac:dyDescent="0.35">
      <c r="BZ4153" s="105"/>
      <c r="CA4153" s="20"/>
    </row>
    <row r="4154" spans="78:79" x14ac:dyDescent="0.35">
      <c r="BZ4154" s="105"/>
      <c r="CA4154" s="20"/>
    </row>
    <row r="4155" spans="78:79" x14ac:dyDescent="0.35">
      <c r="BZ4155" s="105"/>
      <c r="CA4155" s="20"/>
    </row>
    <row r="4156" spans="78:79" x14ac:dyDescent="0.35">
      <c r="BZ4156" s="105"/>
      <c r="CA4156" s="20"/>
    </row>
    <row r="4157" spans="78:79" x14ac:dyDescent="0.35">
      <c r="BZ4157" s="105"/>
      <c r="CA4157" s="20"/>
    </row>
    <row r="4158" spans="78:79" x14ac:dyDescent="0.35">
      <c r="BZ4158" s="105"/>
      <c r="CA4158" s="20"/>
    </row>
    <row r="4159" spans="78:79" x14ac:dyDescent="0.35">
      <c r="BZ4159" s="105"/>
      <c r="CA4159" s="20"/>
    </row>
    <row r="4160" spans="78:79" x14ac:dyDescent="0.35">
      <c r="BZ4160" s="105"/>
      <c r="CA4160" s="20"/>
    </row>
    <row r="4161" spans="78:79" x14ac:dyDescent="0.35">
      <c r="BZ4161" s="105"/>
      <c r="CA4161" s="20"/>
    </row>
    <row r="4162" spans="78:79" x14ac:dyDescent="0.35">
      <c r="BZ4162" s="105"/>
      <c r="CA4162" s="20"/>
    </row>
    <row r="4163" spans="78:79" x14ac:dyDescent="0.35">
      <c r="BZ4163" s="105"/>
      <c r="CA4163" s="20"/>
    </row>
    <row r="4164" spans="78:79" x14ac:dyDescent="0.35">
      <c r="BZ4164" s="105"/>
      <c r="CA4164" s="20"/>
    </row>
    <row r="4165" spans="78:79" x14ac:dyDescent="0.35">
      <c r="BZ4165" s="105"/>
      <c r="CA4165" s="20"/>
    </row>
    <row r="4166" spans="78:79" x14ac:dyDescent="0.35">
      <c r="BZ4166" s="105"/>
      <c r="CA4166" s="20"/>
    </row>
    <row r="4167" spans="78:79" x14ac:dyDescent="0.35">
      <c r="BZ4167" s="105"/>
      <c r="CA4167" s="20"/>
    </row>
    <row r="4168" spans="78:79" x14ac:dyDescent="0.35">
      <c r="BZ4168" s="105"/>
      <c r="CA4168" s="20"/>
    </row>
    <row r="4169" spans="78:79" x14ac:dyDescent="0.35">
      <c r="BZ4169" s="105"/>
      <c r="CA4169" s="20"/>
    </row>
    <row r="4170" spans="78:79" x14ac:dyDescent="0.35">
      <c r="BZ4170" s="105"/>
      <c r="CA4170" s="20"/>
    </row>
    <row r="4171" spans="78:79" x14ac:dyDescent="0.35">
      <c r="BZ4171" s="105"/>
      <c r="CA4171" s="20"/>
    </row>
    <row r="4172" spans="78:79" x14ac:dyDescent="0.35">
      <c r="BZ4172" s="105"/>
      <c r="CA4172" s="20"/>
    </row>
    <row r="4173" spans="78:79" x14ac:dyDescent="0.35">
      <c r="BZ4173" s="105"/>
      <c r="CA4173" s="20"/>
    </row>
    <row r="4174" spans="78:79" x14ac:dyDescent="0.35">
      <c r="BZ4174" s="105"/>
      <c r="CA4174" s="20"/>
    </row>
    <row r="4175" spans="78:79" x14ac:dyDescent="0.35">
      <c r="BZ4175" s="105"/>
      <c r="CA4175" s="20"/>
    </row>
    <row r="4176" spans="78:79" x14ac:dyDescent="0.35">
      <c r="BZ4176" s="105"/>
      <c r="CA4176" s="20"/>
    </row>
    <row r="4177" spans="78:79" x14ac:dyDescent="0.35">
      <c r="BZ4177" s="105"/>
      <c r="CA4177" s="20"/>
    </row>
    <row r="4178" spans="78:79" x14ac:dyDescent="0.35">
      <c r="BZ4178" s="105"/>
      <c r="CA4178" s="20"/>
    </row>
    <row r="4179" spans="78:79" x14ac:dyDescent="0.35">
      <c r="BZ4179" s="105"/>
      <c r="CA4179" s="20"/>
    </row>
    <row r="4180" spans="78:79" x14ac:dyDescent="0.35">
      <c r="BZ4180" s="105"/>
      <c r="CA4180" s="20"/>
    </row>
    <row r="4181" spans="78:79" x14ac:dyDescent="0.35">
      <c r="BZ4181" s="105"/>
      <c r="CA4181" s="20"/>
    </row>
    <row r="4182" spans="78:79" x14ac:dyDescent="0.35">
      <c r="BZ4182" s="105"/>
      <c r="CA4182" s="20"/>
    </row>
    <row r="4183" spans="78:79" x14ac:dyDescent="0.35">
      <c r="BZ4183" s="105"/>
      <c r="CA4183" s="20"/>
    </row>
    <row r="4184" spans="78:79" x14ac:dyDescent="0.35">
      <c r="BZ4184" s="105"/>
      <c r="CA4184" s="20"/>
    </row>
    <row r="4185" spans="78:79" x14ac:dyDescent="0.35">
      <c r="BZ4185" s="105"/>
      <c r="CA4185" s="20"/>
    </row>
    <row r="4186" spans="78:79" x14ac:dyDescent="0.35">
      <c r="BZ4186" s="105"/>
      <c r="CA4186" s="20"/>
    </row>
    <row r="4187" spans="78:79" x14ac:dyDescent="0.35">
      <c r="BZ4187" s="105"/>
      <c r="CA4187" s="20"/>
    </row>
    <row r="4188" spans="78:79" x14ac:dyDescent="0.35">
      <c r="BZ4188" s="105"/>
      <c r="CA4188" s="20"/>
    </row>
    <row r="4189" spans="78:79" x14ac:dyDescent="0.35">
      <c r="BZ4189" s="105"/>
      <c r="CA4189" s="20"/>
    </row>
    <row r="4190" spans="78:79" x14ac:dyDescent="0.35">
      <c r="BZ4190" s="105"/>
      <c r="CA4190" s="20"/>
    </row>
    <row r="4191" spans="78:79" x14ac:dyDescent="0.35">
      <c r="BZ4191" s="105"/>
      <c r="CA4191" s="20"/>
    </row>
    <row r="4192" spans="78:79" x14ac:dyDescent="0.35">
      <c r="BZ4192" s="105"/>
      <c r="CA4192" s="20"/>
    </row>
    <row r="4193" spans="78:79" x14ac:dyDescent="0.35">
      <c r="BZ4193" s="105"/>
      <c r="CA4193" s="20"/>
    </row>
    <row r="4194" spans="78:79" x14ac:dyDescent="0.35">
      <c r="BZ4194" s="105"/>
      <c r="CA4194" s="20"/>
    </row>
    <row r="4195" spans="78:79" x14ac:dyDescent="0.35">
      <c r="BZ4195" s="105"/>
      <c r="CA4195" s="20"/>
    </row>
    <row r="4196" spans="78:79" x14ac:dyDescent="0.35">
      <c r="BZ4196" s="105"/>
      <c r="CA4196" s="20"/>
    </row>
    <row r="4197" spans="78:79" x14ac:dyDescent="0.35">
      <c r="BZ4197" s="105"/>
      <c r="CA4197" s="20"/>
    </row>
    <row r="4198" spans="78:79" x14ac:dyDescent="0.35">
      <c r="BZ4198" s="105"/>
      <c r="CA4198" s="20"/>
    </row>
    <row r="4199" spans="78:79" x14ac:dyDescent="0.35">
      <c r="BZ4199" s="105"/>
      <c r="CA4199" s="20"/>
    </row>
    <row r="4200" spans="78:79" x14ac:dyDescent="0.35">
      <c r="BZ4200" s="105"/>
      <c r="CA4200" s="20"/>
    </row>
    <row r="4201" spans="78:79" x14ac:dyDescent="0.35">
      <c r="BZ4201" s="105"/>
      <c r="CA4201" s="20"/>
    </row>
    <row r="4202" spans="78:79" x14ac:dyDescent="0.35">
      <c r="BZ4202" s="105"/>
      <c r="CA4202" s="20"/>
    </row>
    <row r="4203" spans="78:79" x14ac:dyDescent="0.35">
      <c r="BZ4203" s="105"/>
      <c r="CA4203" s="20"/>
    </row>
    <row r="4204" spans="78:79" x14ac:dyDescent="0.35">
      <c r="BZ4204" s="105"/>
      <c r="CA4204" s="20"/>
    </row>
    <row r="4205" spans="78:79" x14ac:dyDescent="0.35">
      <c r="BZ4205" s="105"/>
      <c r="CA4205" s="20"/>
    </row>
    <row r="4206" spans="78:79" x14ac:dyDescent="0.35">
      <c r="BZ4206" s="105"/>
      <c r="CA4206" s="20"/>
    </row>
    <row r="4207" spans="78:79" x14ac:dyDescent="0.35">
      <c r="BZ4207" s="105"/>
      <c r="CA4207" s="20"/>
    </row>
    <row r="4208" spans="78:79" x14ac:dyDescent="0.35">
      <c r="BZ4208" s="105"/>
      <c r="CA4208" s="20"/>
    </row>
    <row r="4209" spans="78:79" x14ac:dyDescent="0.35">
      <c r="BZ4209" s="105"/>
      <c r="CA4209" s="20"/>
    </row>
    <row r="4210" spans="78:79" x14ac:dyDescent="0.35">
      <c r="BZ4210" s="105"/>
      <c r="CA4210" s="20"/>
    </row>
    <row r="4211" spans="78:79" x14ac:dyDescent="0.35">
      <c r="BZ4211" s="105"/>
      <c r="CA4211" s="20"/>
    </row>
    <row r="4212" spans="78:79" x14ac:dyDescent="0.35">
      <c r="BZ4212" s="105"/>
      <c r="CA4212" s="20"/>
    </row>
    <row r="4213" spans="78:79" x14ac:dyDescent="0.35">
      <c r="BZ4213" s="105"/>
      <c r="CA4213" s="20"/>
    </row>
    <row r="4214" spans="78:79" x14ac:dyDescent="0.35">
      <c r="BZ4214" s="105"/>
      <c r="CA4214" s="20"/>
    </row>
    <row r="4215" spans="78:79" x14ac:dyDescent="0.35">
      <c r="BZ4215" s="105"/>
      <c r="CA4215" s="20"/>
    </row>
    <row r="4216" spans="78:79" x14ac:dyDescent="0.35">
      <c r="BZ4216" s="105"/>
      <c r="CA4216" s="20"/>
    </row>
    <row r="4217" spans="78:79" x14ac:dyDescent="0.35">
      <c r="BZ4217" s="105"/>
      <c r="CA4217" s="20"/>
    </row>
    <row r="4218" spans="78:79" x14ac:dyDescent="0.35">
      <c r="BZ4218" s="105"/>
      <c r="CA4218" s="20"/>
    </row>
    <row r="4219" spans="78:79" x14ac:dyDescent="0.35">
      <c r="BZ4219" s="105"/>
      <c r="CA4219" s="20"/>
    </row>
    <row r="4220" spans="78:79" x14ac:dyDescent="0.35">
      <c r="BZ4220" s="105"/>
      <c r="CA4220" s="20"/>
    </row>
    <row r="4221" spans="78:79" x14ac:dyDescent="0.35">
      <c r="BZ4221" s="105"/>
      <c r="CA4221" s="20"/>
    </row>
    <row r="4222" spans="78:79" x14ac:dyDescent="0.35">
      <c r="BZ4222" s="105"/>
      <c r="CA4222" s="20"/>
    </row>
    <row r="4223" spans="78:79" x14ac:dyDescent="0.35">
      <c r="BZ4223" s="105"/>
      <c r="CA4223" s="20"/>
    </row>
    <row r="4224" spans="78:79" x14ac:dyDescent="0.35">
      <c r="BZ4224" s="105"/>
      <c r="CA4224" s="20"/>
    </row>
    <row r="4225" spans="78:79" x14ac:dyDescent="0.35">
      <c r="BZ4225" s="105"/>
      <c r="CA4225" s="20"/>
    </row>
    <row r="4226" spans="78:79" x14ac:dyDescent="0.35">
      <c r="BZ4226" s="105"/>
      <c r="CA4226" s="20"/>
    </row>
    <row r="4227" spans="78:79" x14ac:dyDescent="0.35">
      <c r="BZ4227" s="105"/>
      <c r="CA4227" s="20"/>
    </row>
    <row r="4228" spans="78:79" x14ac:dyDescent="0.35">
      <c r="BZ4228" s="105"/>
      <c r="CA4228" s="20"/>
    </row>
    <row r="4229" spans="78:79" x14ac:dyDescent="0.35">
      <c r="BZ4229" s="105"/>
      <c r="CA4229" s="20"/>
    </row>
    <row r="4230" spans="78:79" x14ac:dyDescent="0.35">
      <c r="BZ4230" s="105"/>
      <c r="CA4230" s="20"/>
    </row>
    <row r="4231" spans="78:79" x14ac:dyDescent="0.35">
      <c r="BZ4231" s="105"/>
      <c r="CA4231" s="20"/>
    </row>
    <row r="4232" spans="78:79" x14ac:dyDescent="0.35">
      <c r="BZ4232" s="105"/>
      <c r="CA4232" s="20"/>
    </row>
    <row r="4233" spans="78:79" x14ac:dyDescent="0.35">
      <c r="BZ4233" s="105"/>
      <c r="CA4233" s="20"/>
    </row>
    <row r="4234" spans="78:79" x14ac:dyDescent="0.35">
      <c r="BZ4234" s="105"/>
      <c r="CA4234" s="20"/>
    </row>
    <row r="4235" spans="78:79" x14ac:dyDescent="0.35">
      <c r="BZ4235" s="105"/>
      <c r="CA4235" s="20"/>
    </row>
    <row r="4236" spans="78:79" x14ac:dyDescent="0.35">
      <c r="BZ4236" s="105"/>
      <c r="CA4236" s="20"/>
    </row>
    <row r="4237" spans="78:79" x14ac:dyDescent="0.35">
      <c r="BZ4237" s="105"/>
      <c r="CA4237" s="20"/>
    </row>
    <row r="4238" spans="78:79" x14ac:dyDescent="0.35">
      <c r="BZ4238" s="105"/>
      <c r="CA4238" s="20"/>
    </row>
    <row r="4239" spans="78:79" x14ac:dyDescent="0.35">
      <c r="BZ4239" s="105"/>
      <c r="CA4239" s="20"/>
    </row>
    <row r="4240" spans="78:79" x14ac:dyDescent="0.35">
      <c r="BZ4240" s="105"/>
      <c r="CA4240" s="20"/>
    </row>
    <row r="4241" spans="78:79" x14ac:dyDescent="0.35">
      <c r="BZ4241" s="105"/>
      <c r="CA4241" s="20"/>
    </row>
    <row r="4242" spans="78:79" x14ac:dyDescent="0.35">
      <c r="BZ4242" s="105"/>
      <c r="CA4242" s="20"/>
    </row>
    <row r="4243" spans="78:79" x14ac:dyDescent="0.35">
      <c r="BZ4243" s="105"/>
      <c r="CA4243" s="20"/>
    </row>
    <row r="4244" spans="78:79" x14ac:dyDescent="0.35">
      <c r="BZ4244" s="105"/>
      <c r="CA4244" s="20"/>
    </row>
    <row r="4245" spans="78:79" x14ac:dyDescent="0.35">
      <c r="BZ4245" s="105"/>
      <c r="CA4245" s="20"/>
    </row>
    <row r="4246" spans="78:79" x14ac:dyDescent="0.35">
      <c r="BZ4246" s="105"/>
      <c r="CA4246" s="20"/>
    </row>
    <row r="4247" spans="78:79" x14ac:dyDescent="0.35">
      <c r="BZ4247" s="105"/>
      <c r="CA4247" s="20"/>
    </row>
    <row r="4248" spans="78:79" x14ac:dyDescent="0.35">
      <c r="BZ4248" s="105"/>
      <c r="CA4248" s="20"/>
    </row>
    <row r="4249" spans="78:79" x14ac:dyDescent="0.35">
      <c r="BZ4249" s="105"/>
      <c r="CA4249" s="20"/>
    </row>
    <row r="4250" spans="78:79" x14ac:dyDescent="0.35">
      <c r="BZ4250" s="105"/>
      <c r="CA4250" s="20"/>
    </row>
    <row r="4251" spans="78:79" x14ac:dyDescent="0.35">
      <c r="BZ4251" s="105"/>
      <c r="CA4251" s="20"/>
    </row>
    <row r="4252" spans="78:79" x14ac:dyDescent="0.35">
      <c r="BZ4252" s="105"/>
      <c r="CA4252" s="20"/>
    </row>
    <row r="4253" spans="78:79" x14ac:dyDescent="0.35">
      <c r="BZ4253" s="105"/>
      <c r="CA4253" s="20"/>
    </row>
    <row r="4254" spans="78:79" x14ac:dyDescent="0.35">
      <c r="BZ4254" s="105"/>
      <c r="CA4254" s="20"/>
    </row>
    <row r="4255" spans="78:79" x14ac:dyDescent="0.35">
      <c r="BZ4255" s="105"/>
      <c r="CA4255" s="20"/>
    </row>
    <row r="4256" spans="78:79" x14ac:dyDescent="0.35">
      <c r="BZ4256" s="105"/>
      <c r="CA4256" s="20"/>
    </row>
    <row r="4257" spans="78:79" x14ac:dyDescent="0.35">
      <c r="BZ4257" s="105"/>
      <c r="CA4257" s="20"/>
    </row>
    <row r="4258" spans="78:79" x14ac:dyDescent="0.35">
      <c r="BZ4258" s="105"/>
      <c r="CA4258" s="20"/>
    </row>
    <row r="4259" spans="78:79" x14ac:dyDescent="0.35">
      <c r="BZ4259" s="105"/>
      <c r="CA4259" s="20"/>
    </row>
    <row r="4260" spans="78:79" x14ac:dyDescent="0.35">
      <c r="BZ4260" s="105"/>
      <c r="CA4260" s="20"/>
    </row>
    <row r="4261" spans="78:79" x14ac:dyDescent="0.35">
      <c r="BZ4261" s="105"/>
      <c r="CA4261" s="20"/>
    </row>
    <row r="4262" spans="78:79" x14ac:dyDescent="0.35">
      <c r="BZ4262" s="105"/>
      <c r="CA4262" s="20"/>
    </row>
    <row r="4263" spans="78:79" x14ac:dyDescent="0.35">
      <c r="BZ4263" s="105"/>
      <c r="CA4263" s="20"/>
    </row>
    <row r="4264" spans="78:79" x14ac:dyDescent="0.35">
      <c r="BZ4264" s="105"/>
      <c r="CA4264" s="20"/>
    </row>
    <row r="4265" spans="78:79" x14ac:dyDescent="0.35">
      <c r="BZ4265" s="105"/>
      <c r="CA4265" s="20"/>
    </row>
    <row r="4266" spans="78:79" x14ac:dyDescent="0.35">
      <c r="BZ4266" s="105"/>
      <c r="CA4266" s="20"/>
    </row>
    <row r="4267" spans="78:79" x14ac:dyDescent="0.35">
      <c r="BZ4267" s="105"/>
      <c r="CA4267" s="20"/>
    </row>
    <row r="4268" spans="78:79" x14ac:dyDescent="0.35">
      <c r="BZ4268" s="105"/>
      <c r="CA4268" s="20"/>
    </row>
    <row r="4269" spans="78:79" x14ac:dyDescent="0.35">
      <c r="BZ4269" s="105"/>
      <c r="CA4269" s="20"/>
    </row>
    <row r="4270" spans="78:79" x14ac:dyDescent="0.35">
      <c r="BZ4270" s="105"/>
      <c r="CA4270" s="20"/>
    </row>
    <row r="4271" spans="78:79" x14ac:dyDescent="0.35">
      <c r="BZ4271" s="105"/>
      <c r="CA4271" s="20"/>
    </row>
    <row r="4272" spans="78:79" x14ac:dyDescent="0.35">
      <c r="BZ4272" s="105"/>
      <c r="CA4272" s="20"/>
    </row>
    <row r="4273" spans="78:79" x14ac:dyDescent="0.35">
      <c r="BZ4273" s="105"/>
      <c r="CA4273" s="20"/>
    </row>
    <row r="4274" spans="78:79" x14ac:dyDescent="0.35">
      <c r="BZ4274" s="105"/>
      <c r="CA4274" s="20"/>
    </row>
    <row r="4275" spans="78:79" x14ac:dyDescent="0.35">
      <c r="BZ4275" s="105"/>
      <c r="CA4275" s="20"/>
    </row>
    <row r="4276" spans="78:79" x14ac:dyDescent="0.35">
      <c r="BZ4276" s="105"/>
      <c r="CA4276" s="20"/>
    </row>
    <row r="4277" spans="78:79" x14ac:dyDescent="0.35">
      <c r="BZ4277" s="105"/>
      <c r="CA4277" s="20"/>
    </row>
    <row r="4278" spans="78:79" x14ac:dyDescent="0.35">
      <c r="BZ4278" s="105"/>
      <c r="CA4278" s="20"/>
    </row>
    <row r="4279" spans="78:79" x14ac:dyDescent="0.35">
      <c r="BZ4279" s="105"/>
      <c r="CA4279" s="20"/>
    </row>
    <row r="4280" spans="78:79" x14ac:dyDescent="0.35">
      <c r="BZ4280" s="105"/>
      <c r="CA4280" s="20"/>
    </row>
    <row r="4281" spans="78:79" x14ac:dyDescent="0.35">
      <c r="BZ4281" s="105"/>
      <c r="CA4281" s="20"/>
    </row>
    <row r="4282" spans="78:79" x14ac:dyDescent="0.35">
      <c r="BZ4282" s="105"/>
      <c r="CA4282" s="20"/>
    </row>
    <row r="4283" spans="78:79" x14ac:dyDescent="0.35">
      <c r="BZ4283" s="105"/>
      <c r="CA4283" s="20"/>
    </row>
    <row r="4284" spans="78:79" x14ac:dyDescent="0.35">
      <c r="BZ4284" s="105"/>
      <c r="CA4284" s="20"/>
    </row>
    <row r="4285" spans="78:79" x14ac:dyDescent="0.35">
      <c r="BZ4285" s="105"/>
      <c r="CA4285" s="20"/>
    </row>
    <row r="4286" spans="78:79" x14ac:dyDescent="0.35">
      <c r="BZ4286" s="105"/>
      <c r="CA4286" s="20"/>
    </row>
    <row r="4287" spans="78:79" x14ac:dyDescent="0.35">
      <c r="BZ4287" s="105"/>
      <c r="CA4287" s="20"/>
    </row>
    <row r="4288" spans="78:79" x14ac:dyDescent="0.35">
      <c r="BZ4288" s="105"/>
      <c r="CA4288" s="20"/>
    </row>
    <row r="4289" spans="78:79" x14ac:dyDescent="0.35">
      <c r="BZ4289" s="105"/>
      <c r="CA4289" s="20"/>
    </row>
    <row r="4290" spans="78:79" x14ac:dyDescent="0.35">
      <c r="BZ4290" s="105"/>
      <c r="CA4290" s="20"/>
    </row>
    <row r="4291" spans="78:79" x14ac:dyDescent="0.35">
      <c r="BZ4291" s="105"/>
      <c r="CA4291" s="20"/>
    </row>
    <row r="4292" spans="78:79" x14ac:dyDescent="0.35">
      <c r="BZ4292" s="105"/>
      <c r="CA4292" s="20"/>
    </row>
    <row r="4293" spans="78:79" x14ac:dyDescent="0.35">
      <c r="BZ4293" s="105"/>
      <c r="CA4293" s="20"/>
    </row>
    <row r="4294" spans="78:79" x14ac:dyDescent="0.35">
      <c r="BZ4294" s="105"/>
      <c r="CA4294" s="20"/>
    </row>
    <row r="4295" spans="78:79" x14ac:dyDescent="0.35">
      <c r="BZ4295" s="105"/>
      <c r="CA4295" s="20"/>
    </row>
    <row r="4296" spans="78:79" x14ac:dyDescent="0.35">
      <c r="BZ4296" s="105"/>
      <c r="CA4296" s="20"/>
    </row>
    <row r="4297" spans="78:79" x14ac:dyDescent="0.35">
      <c r="BZ4297" s="105"/>
      <c r="CA4297" s="20"/>
    </row>
    <row r="4298" spans="78:79" x14ac:dyDescent="0.35">
      <c r="BZ4298" s="105"/>
      <c r="CA4298" s="20"/>
    </row>
    <row r="4299" spans="78:79" x14ac:dyDescent="0.35">
      <c r="BZ4299" s="105"/>
      <c r="CA4299" s="20"/>
    </row>
    <row r="4300" spans="78:79" x14ac:dyDescent="0.35">
      <c r="BZ4300" s="105"/>
      <c r="CA4300" s="20"/>
    </row>
    <row r="4301" spans="78:79" x14ac:dyDescent="0.35">
      <c r="BZ4301" s="105"/>
      <c r="CA4301" s="20"/>
    </row>
    <row r="4302" spans="78:79" x14ac:dyDescent="0.35">
      <c r="BZ4302" s="105"/>
      <c r="CA4302" s="20"/>
    </row>
    <row r="4303" spans="78:79" x14ac:dyDescent="0.35">
      <c r="BZ4303" s="105"/>
      <c r="CA4303" s="20"/>
    </row>
    <row r="4304" spans="78:79" x14ac:dyDescent="0.35">
      <c r="BZ4304" s="105"/>
      <c r="CA4304" s="20"/>
    </row>
    <row r="4305" spans="78:79" x14ac:dyDescent="0.35">
      <c r="BZ4305" s="105"/>
      <c r="CA4305" s="20"/>
    </row>
    <row r="4306" spans="78:79" x14ac:dyDescent="0.35">
      <c r="BZ4306" s="105"/>
      <c r="CA4306" s="20"/>
    </row>
    <row r="4307" spans="78:79" x14ac:dyDescent="0.35">
      <c r="BZ4307" s="105"/>
      <c r="CA4307" s="20"/>
    </row>
    <row r="4308" spans="78:79" x14ac:dyDescent="0.35">
      <c r="BZ4308" s="105"/>
      <c r="CA4308" s="20"/>
    </row>
    <row r="4309" spans="78:79" x14ac:dyDescent="0.35">
      <c r="BZ4309" s="105"/>
      <c r="CA4309" s="20"/>
    </row>
    <row r="4310" spans="78:79" x14ac:dyDescent="0.35">
      <c r="BZ4310" s="105"/>
      <c r="CA4310" s="20"/>
    </row>
    <row r="4311" spans="78:79" x14ac:dyDescent="0.35">
      <c r="BZ4311" s="105"/>
      <c r="CA4311" s="20"/>
    </row>
    <row r="4312" spans="78:79" x14ac:dyDescent="0.35">
      <c r="BZ4312" s="105"/>
      <c r="CA4312" s="20"/>
    </row>
    <row r="4313" spans="78:79" x14ac:dyDescent="0.35">
      <c r="BZ4313" s="105"/>
      <c r="CA4313" s="20"/>
    </row>
    <row r="4314" spans="78:79" x14ac:dyDescent="0.35">
      <c r="BZ4314" s="105"/>
      <c r="CA4314" s="20"/>
    </row>
    <row r="4315" spans="78:79" x14ac:dyDescent="0.35">
      <c r="BZ4315" s="105"/>
      <c r="CA4315" s="20"/>
    </row>
    <row r="4316" spans="78:79" x14ac:dyDescent="0.35">
      <c r="BZ4316" s="105"/>
      <c r="CA4316" s="20"/>
    </row>
    <row r="4317" spans="78:79" x14ac:dyDescent="0.35">
      <c r="BZ4317" s="105"/>
      <c r="CA4317" s="20"/>
    </row>
    <row r="4318" spans="78:79" x14ac:dyDescent="0.35">
      <c r="BZ4318" s="105"/>
      <c r="CA4318" s="20"/>
    </row>
    <row r="4319" spans="78:79" x14ac:dyDescent="0.35">
      <c r="BZ4319" s="105"/>
      <c r="CA4319" s="20"/>
    </row>
    <row r="4320" spans="78:79" x14ac:dyDescent="0.35">
      <c r="BZ4320" s="105"/>
      <c r="CA4320" s="20"/>
    </row>
    <row r="4321" spans="78:79" x14ac:dyDescent="0.35">
      <c r="BZ4321" s="105"/>
      <c r="CA4321" s="20"/>
    </row>
    <row r="4322" spans="78:79" x14ac:dyDescent="0.35">
      <c r="BZ4322" s="105"/>
      <c r="CA4322" s="20"/>
    </row>
    <row r="4323" spans="78:79" x14ac:dyDescent="0.35">
      <c r="BZ4323" s="105"/>
      <c r="CA4323" s="20"/>
    </row>
    <row r="4324" spans="78:79" x14ac:dyDescent="0.35">
      <c r="BZ4324" s="105"/>
      <c r="CA4324" s="20"/>
    </row>
    <row r="4325" spans="78:79" x14ac:dyDescent="0.35">
      <c r="BZ4325" s="105"/>
      <c r="CA4325" s="20"/>
    </row>
    <row r="4326" spans="78:79" x14ac:dyDescent="0.35">
      <c r="BZ4326" s="105"/>
      <c r="CA4326" s="20"/>
    </row>
    <row r="4327" spans="78:79" x14ac:dyDescent="0.35">
      <c r="BZ4327" s="105"/>
      <c r="CA4327" s="20"/>
    </row>
    <row r="4328" spans="78:79" x14ac:dyDescent="0.35">
      <c r="BZ4328" s="105"/>
      <c r="CA4328" s="20"/>
    </row>
    <row r="4329" spans="78:79" x14ac:dyDescent="0.35">
      <c r="BZ4329" s="105"/>
      <c r="CA4329" s="20"/>
    </row>
    <row r="4330" spans="78:79" x14ac:dyDescent="0.35">
      <c r="BZ4330" s="105"/>
      <c r="CA4330" s="20"/>
    </row>
    <row r="4331" spans="78:79" x14ac:dyDescent="0.35">
      <c r="BZ4331" s="105"/>
      <c r="CA4331" s="20"/>
    </row>
    <row r="4332" spans="78:79" x14ac:dyDescent="0.35">
      <c r="BZ4332" s="105"/>
      <c r="CA4332" s="20"/>
    </row>
    <row r="4333" spans="78:79" x14ac:dyDescent="0.35">
      <c r="BZ4333" s="105"/>
      <c r="CA4333" s="20"/>
    </row>
    <row r="4334" spans="78:79" x14ac:dyDescent="0.35">
      <c r="BZ4334" s="105"/>
      <c r="CA4334" s="20"/>
    </row>
    <row r="4335" spans="78:79" x14ac:dyDescent="0.35">
      <c r="BZ4335" s="105"/>
      <c r="CA4335" s="20"/>
    </row>
    <row r="4336" spans="78:79" x14ac:dyDescent="0.35">
      <c r="BZ4336" s="105"/>
      <c r="CA4336" s="20"/>
    </row>
    <row r="4337" spans="78:79" x14ac:dyDescent="0.35">
      <c r="BZ4337" s="105"/>
      <c r="CA4337" s="20"/>
    </row>
    <row r="4338" spans="78:79" x14ac:dyDescent="0.35">
      <c r="BZ4338" s="105"/>
      <c r="CA4338" s="20"/>
    </row>
    <row r="4339" spans="78:79" x14ac:dyDescent="0.35">
      <c r="BZ4339" s="105"/>
      <c r="CA4339" s="20"/>
    </row>
    <row r="4340" spans="78:79" x14ac:dyDescent="0.35">
      <c r="BZ4340" s="105"/>
      <c r="CA4340" s="20"/>
    </row>
    <row r="4341" spans="78:79" x14ac:dyDescent="0.35">
      <c r="BZ4341" s="105"/>
      <c r="CA4341" s="20"/>
    </row>
    <row r="4342" spans="78:79" x14ac:dyDescent="0.35">
      <c r="BZ4342" s="105"/>
      <c r="CA4342" s="20"/>
    </row>
    <row r="4343" spans="78:79" x14ac:dyDescent="0.35">
      <c r="BZ4343" s="105"/>
      <c r="CA4343" s="20"/>
    </row>
    <row r="4344" spans="78:79" x14ac:dyDescent="0.35">
      <c r="BZ4344" s="105"/>
      <c r="CA4344" s="20"/>
    </row>
    <row r="4345" spans="78:79" x14ac:dyDescent="0.35">
      <c r="BZ4345" s="105"/>
      <c r="CA4345" s="20"/>
    </row>
    <row r="4346" spans="78:79" x14ac:dyDescent="0.35">
      <c r="BZ4346" s="105"/>
      <c r="CA4346" s="20"/>
    </row>
    <row r="4347" spans="78:79" x14ac:dyDescent="0.35">
      <c r="BZ4347" s="105"/>
      <c r="CA4347" s="20"/>
    </row>
    <row r="4348" spans="78:79" x14ac:dyDescent="0.35">
      <c r="BZ4348" s="105"/>
      <c r="CA4348" s="20"/>
    </row>
    <row r="4349" spans="78:79" x14ac:dyDescent="0.35">
      <c r="BZ4349" s="105"/>
      <c r="CA4349" s="20"/>
    </row>
    <row r="4350" spans="78:79" x14ac:dyDescent="0.35">
      <c r="BZ4350" s="105"/>
      <c r="CA4350" s="20"/>
    </row>
    <row r="4351" spans="78:79" x14ac:dyDescent="0.35">
      <c r="BZ4351" s="105"/>
      <c r="CA4351" s="20"/>
    </row>
    <row r="4352" spans="78:79" x14ac:dyDescent="0.35">
      <c r="BZ4352" s="105"/>
      <c r="CA4352" s="20"/>
    </row>
    <row r="4353" spans="78:79" x14ac:dyDescent="0.35">
      <c r="BZ4353" s="105"/>
      <c r="CA4353" s="20"/>
    </row>
    <row r="4354" spans="78:79" x14ac:dyDescent="0.35">
      <c r="BZ4354" s="105"/>
      <c r="CA4354" s="20"/>
    </row>
    <row r="4355" spans="78:79" x14ac:dyDescent="0.35">
      <c r="BZ4355" s="105"/>
      <c r="CA4355" s="20"/>
    </row>
    <row r="4356" spans="78:79" x14ac:dyDescent="0.35">
      <c r="BZ4356" s="105"/>
      <c r="CA4356" s="20"/>
    </row>
    <row r="4357" spans="78:79" x14ac:dyDescent="0.35">
      <c r="BZ4357" s="105"/>
      <c r="CA4357" s="20"/>
    </row>
    <row r="4358" spans="78:79" x14ac:dyDescent="0.35">
      <c r="BZ4358" s="105"/>
      <c r="CA4358" s="20"/>
    </row>
    <row r="4359" spans="78:79" x14ac:dyDescent="0.35">
      <c r="BZ4359" s="105"/>
      <c r="CA4359" s="20"/>
    </row>
    <row r="4360" spans="78:79" x14ac:dyDescent="0.35">
      <c r="BZ4360" s="105"/>
      <c r="CA4360" s="20"/>
    </row>
    <row r="4361" spans="78:79" x14ac:dyDescent="0.35">
      <c r="BZ4361" s="105"/>
      <c r="CA4361" s="20"/>
    </row>
    <row r="4362" spans="78:79" x14ac:dyDescent="0.35">
      <c r="BZ4362" s="105"/>
      <c r="CA4362" s="20"/>
    </row>
    <row r="4363" spans="78:79" x14ac:dyDescent="0.35">
      <c r="BZ4363" s="105"/>
      <c r="CA4363" s="20"/>
    </row>
    <row r="4364" spans="78:79" x14ac:dyDescent="0.35">
      <c r="BZ4364" s="105"/>
      <c r="CA4364" s="20"/>
    </row>
    <row r="4365" spans="78:79" x14ac:dyDescent="0.35">
      <c r="BZ4365" s="105"/>
      <c r="CA4365" s="20"/>
    </row>
    <row r="4366" spans="78:79" x14ac:dyDescent="0.35">
      <c r="BZ4366" s="105"/>
      <c r="CA4366" s="20"/>
    </row>
    <row r="4367" spans="78:79" x14ac:dyDescent="0.35">
      <c r="BZ4367" s="105"/>
      <c r="CA4367" s="20"/>
    </row>
    <row r="4368" spans="78:79" x14ac:dyDescent="0.35">
      <c r="BZ4368" s="105"/>
      <c r="CA4368" s="20"/>
    </row>
    <row r="4369" spans="78:79" x14ac:dyDescent="0.35">
      <c r="BZ4369" s="105"/>
      <c r="CA4369" s="20"/>
    </row>
    <row r="4370" spans="78:79" x14ac:dyDescent="0.35">
      <c r="BZ4370" s="105"/>
      <c r="CA4370" s="20"/>
    </row>
    <row r="4371" spans="78:79" x14ac:dyDescent="0.35">
      <c r="BZ4371" s="105"/>
      <c r="CA4371" s="20"/>
    </row>
    <row r="4372" spans="78:79" x14ac:dyDescent="0.35">
      <c r="BZ4372" s="105"/>
      <c r="CA4372" s="20"/>
    </row>
    <row r="4373" spans="78:79" x14ac:dyDescent="0.35">
      <c r="BZ4373" s="105"/>
      <c r="CA4373" s="20"/>
    </row>
    <row r="4374" spans="78:79" x14ac:dyDescent="0.35">
      <c r="BZ4374" s="105"/>
      <c r="CA4374" s="20"/>
    </row>
    <row r="4375" spans="78:79" x14ac:dyDescent="0.35">
      <c r="BZ4375" s="105"/>
      <c r="CA4375" s="20"/>
    </row>
    <row r="4376" spans="78:79" x14ac:dyDescent="0.35">
      <c r="BZ4376" s="105"/>
      <c r="CA4376" s="20"/>
    </row>
    <row r="4377" spans="78:79" x14ac:dyDescent="0.35">
      <c r="BZ4377" s="105"/>
      <c r="CA4377" s="20"/>
    </row>
    <row r="4378" spans="78:79" x14ac:dyDescent="0.35">
      <c r="BZ4378" s="105"/>
      <c r="CA4378" s="20"/>
    </row>
    <row r="4379" spans="78:79" x14ac:dyDescent="0.35">
      <c r="BZ4379" s="105"/>
      <c r="CA4379" s="20"/>
    </row>
    <row r="4380" spans="78:79" x14ac:dyDescent="0.35">
      <c r="BZ4380" s="105"/>
      <c r="CA4380" s="20"/>
    </row>
    <row r="4381" spans="78:79" x14ac:dyDescent="0.35">
      <c r="BZ4381" s="105"/>
      <c r="CA4381" s="20"/>
    </row>
    <row r="4382" spans="78:79" x14ac:dyDescent="0.35">
      <c r="BZ4382" s="105"/>
      <c r="CA4382" s="20"/>
    </row>
    <row r="4383" spans="78:79" x14ac:dyDescent="0.35">
      <c r="BZ4383" s="105"/>
      <c r="CA4383" s="20"/>
    </row>
    <row r="4384" spans="78:79" x14ac:dyDescent="0.35">
      <c r="BZ4384" s="105"/>
      <c r="CA4384" s="20"/>
    </row>
    <row r="4385" spans="78:79" x14ac:dyDescent="0.35">
      <c r="BZ4385" s="105"/>
      <c r="CA4385" s="20"/>
    </row>
    <row r="4386" spans="78:79" x14ac:dyDescent="0.35">
      <c r="BZ4386" s="105"/>
      <c r="CA4386" s="20"/>
    </row>
    <row r="4387" spans="78:79" x14ac:dyDescent="0.35">
      <c r="BZ4387" s="105"/>
      <c r="CA4387" s="20"/>
    </row>
    <row r="4388" spans="78:79" x14ac:dyDescent="0.35">
      <c r="BZ4388" s="105"/>
      <c r="CA4388" s="20"/>
    </row>
    <row r="4389" spans="78:79" x14ac:dyDescent="0.35">
      <c r="BZ4389" s="105"/>
      <c r="CA4389" s="20"/>
    </row>
    <row r="4390" spans="78:79" x14ac:dyDescent="0.35">
      <c r="BZ4390" s="105"/>
      <c r="CA4390" s="20"/>
    </row>
    <row r="4391" spans="78:79" x14ac:dyDescent="0.35">
      <c r="BZ4391" s="105"/>
      <c r="CA4391" s="20"/>
    </row>
    <row r="4392" spans="78:79" x14ac:dyDescent="0.35">
      <c r="BZ4392" s="105"/>
      <c r="CA4392" s="20"/>
    </row>
    <row r="4393" spans="78:79" x14ac:dyDescent="0.35">
      <c r="BZ4393" s="105"/>
      <c r="CA4393" s="20"/>
    </row>
    <row r="4394" spans="78:79" x14ac:dyDescent="0.35">
      <c r="BZ4394" s="105"/>
      <c r="CA4394" s="20"/>
    </row>
    <row r="4395" spans="78:79" x14ac:dyDescent="0.35">
      <c r="BZ4395" s="105"/>
      <c r="CA4395" s="20"/>
    </row>
    <row r="4396" spans="78:79" x14ac:dyDescent="0.35">
      <c r="BZ4396" s="105"/>
      <c r="CA4396" s="20"/>
    </row>
    <row r="4397" spans="78:79" x14ac:dyDescent="0.35">
      <c r="BZ4397" s="105"/>
      <c r="CA4397" s="20"/>
    </row>
    <row r="4398" spans="78:79" x14ac:dyDescent="0.35">
      <c r="BZ4398" s="105"/>
      <c r="CA4398" s="20"/>
    </row>
    <row r="4399" spans="78:79" x14ac:dyDescent="0.35">
      <c r="BZ4399" s="105"/>
      <c r="CA4399" s="20"/>
    </row>
    <row r="4400" spans="78:79" x14ac:dyDescent="0.35">
      <c r="BZ4400" s="105"/>
      <c r="CA4400" s="20"/>
    </row>
    <row r="4401" spans="78:79" x14ac:dyDescent="0.35">
      <c r="BZ4401" s="105"/>
      <c r="CA4401" s="20"/>
    </row>
    <row r="4402" spans="78:79" x14ac:dyDescent="0.35">
      <c r="BZ4402" s="105"/>
      <c r="CA4402" s="20"/>
    </row>
    <row r="4403" spans="78:79" x14ac:dyDescent="0.35">
      <c r="BZ4403" s="105"/>
      <c r="CA4403" s="20"/>
    </row>
    <row r="4404" spans="78:79" x14ac:dyDescent="0.35">
      <c r="BZ4404" s="105"/>
      <c r="CA4404" s="20"/>
    </row>
    <row r="4405" spans="78:79" x14ac:dyDescent="0.35">
      <c r="BZ4405" s="105"/>
      <c r="CA4405" s="20"/>
    </row>
    <row r="4406" spans="78:79" x14ac:dyDescent="0.35">
      <c r="BZ4406" s="105"/>
      <c r="CA4406" s="20"/>
    </row>
    <row r="4407" spans="78:79" x14ac:dyDescent="0.35">
      <c r="BZ4407" s="105"/>
      <c r="CA4407" s="20"/>
    </row>
    <row r="4408" spans="78:79" x14ac:dyDescent="0.35">
      <c r="BZ4408" s="105"/>
      <c r="CA4408" s="20"/>
    </row>
    <row r="4409" spans="78:79" x14ac:dyDescent="0.35">
      <c r="BZ4409" s="105"/>
      <c r="CA4409" s="20"/>
    </row>
    <row r="4410" spans="78:79" x14ac:dyDescent="0.35">
      <c r="BZ4410" s="105"/>
      <c r="CA4410" s="20"/>
    </row>
    <row r="4411" spans="78:79" x14ac:dyDescent="0.35">
      <c r="BZ4411" s="105"/>
      <c r="CA4411" s="20"/>
    </row>
    <row r="4412" spans="78:79" x14ac:dyDescent="0.35">
      <c r="BZ4412" s="105"/>
      <c r="CA4412" s="20"/>
    </row>
    <row r="4413" spans="78:79" x14ac:dyDescent="0.35">
      <c r="BZ4413" s="105"/>
      <c r="CA4413" s="20"/>
    </row>
    <row r="4414" spans="78:79" x14ac:dyDescent="0.35">
      <c r="BZ4414" s="105"/>
      <c r="CA4414" s="20"/>
    </row>
    <row r="4415" spans="78:79" x14ac:dyDescent="0.35">
      <c r="BZ4415" s="105"/>
      <c r="CA4415" s="20"/>
    </row>
    <row r="4416" spans="78:79" x14ac:dyDescent="0.35">
      <c r="BZ4416" s="105"/>
      <c r="CA4416" s="20"/>
    </row>
    <row r="4417" spans="78:79" x14ac:dyDescent="0.35">
      <c r="BZ4417" s="105"/>
      <c r="CA4417" s="20"/>
    </row>
    <row r="4418" spans="78:79" x14ac:dyDescent="0.35">
      <c r="BZ4418" s="105"/>
      <c r="CA4418" s="20"/>
    </row>
    <row r="4419" spans="78:79" x14ac:dyDescent="0.35">
      <c r="BZ4419" s="105"/>
      <c r="CA4419" s="20"/>
    </row>
    <row r="4420" spans="78:79" x14ac:dyDescent="0.35">
      <c r="BZ4420" s="105"/>
      <c r="CA4420" s="20"/>
    </row>
    <row r="4421" spans="78:79" x14ac:dyDescent="0.35">
      <c r="BZ4421" s="105"/>
      <c r="CA4421" s="20"/>
    </row>
    <row r="4422" spans="78:79" x14ac:dyDescent="0.35">
      <c r="BZ4422" s="105"/>
      <c r="CA4422" s="20"/>
    </row>
    <row r="4423" spans="78:79" x14ac:dyDescent="0.35">
      <c r="BZ4423" s="105"/>
      <c r="CA4423" s="20"/>
    </row>
    <row r="4424" spans="78:79" x14ac:dyDescent="0.35">
      <c r="BZ4424" s="105"/>
      <c r="CA4424" s="20"/>
    </row>
    <row r="4425" spans="78:79" x14ac:dyDescent="0.35">
      <c r="BZ4425" s="105"/>
      <c r="CA4425" s="20"/>
    </row>
    <row r="4426" spans="78:79" x14ac:dyDescent="0.35">
      <c r="BZ4426" s="105"/>
      <c r="CA4426" s="20"/>
    </row>
    <row r="4427" spans="78:79" x14ac:dyDescent="0.35">
      <c r="BZ4427" s="105"/>
      <c r="CA4427" s="20"/>
    </row>
    <row r="4428" spans="78:79" x14ac:dyDescent="0.35">
      <c r="BZ4428" s="105"/>
      <c r="CA4428" s="20"/>
    </row>
    <row r="4429" spans="78:79" x14ac:dyDescent="0.35">
      <c r="BZ4429" s="105"/>
      <c r="CA4429" s="20"/>
    </row>
    <row r="4430" spans="78:79" x14ac:dyDescent="0.35">
      <c r="BZ4430" s="105"/>
      <c r="CA4430" s="20"/>
    </row>
    <row r="4431" spans="78:79" x14ac:dyDescent="0.35">
      <c r="BZ4431" s="105"/>
      <c r="CA4431" s="20"/>
    </row>
    <row r="4432" spans="78:79" x14ac:dyDescent="0.35">
      <c r="BZ4432" s="105"/>
      <c r="CA4432" s="20"/>
    </row>
    <row r="4433" spans="78:79" x14ac:dyDescent="0.35">
      <c r="BZ4433" s="105"/>
      <c r="CA4433" s="20"/>
    </row>
    <row r="4434" spans="78:79" x14ac:dyDescent="0.35">
      <c r="BZ4434" s="105"/>
      <c r="CA4434" s="20"/>
    </row>
    <row r="4435" spans="78:79" x14ac:dyDescent="0.35">
      <c r="BZ4435" s="105"/>
      <c r="CA4435" s="20"/>
    </row>
    <row r="4436" spans="78:79" x14ac:dyDescent="0.35">
      <c r="BZ4436" s="105"/>
      <c r="CA4436" s="20"/>
    </row>
    <row r="4437" spans="78:79" x14ac:dyDescent="0.35">
      <c r="BZ4437" s="105"/>
      <c r="CA4437" s="20"/>
    </row>
    <row r="4438" spans="78:79" x14ac:dyDescent="0.35">
      <c r="BZ4438" s="105"/>
      <c r="CA4438" s="20"/>
    </row>
    <row r="4439" spans="78:79" x14ac:dyDescent="0.35">
      <c r="BZ4439" s="105"/>
      <c r="CA4439" s="20"/>
    </row>
    <row r="4440" spans="78:79" x14ac:dyDescent="0.35">
      <c r="BZ4440" s="105"/>
      <c r="CA4440" s="20"/>
    </row>
    <row r="4441" spans="78:79" x14ac:dyDescent="0.35">
      <c r="BZ4441" s="105"/>
      <c r="CA4441" s="20"/>
    </row>
    <row r="4442" spans="78:79" x14ac:dyDescent="0.35">
      <c r="BZ4442" s="105"/>
      <c r="CA4442" s="20"/>
    </row>
    <row r="4443" spans="78:79" x14ac:dyDescent="0.35">
      <c r="BZ4443" s="105"/>
      <c r="CA4443" s="20"/>
    </row>
    <row r="4444" spans="78:79" x14ac:dyDescent="0.35">
      <c r="BZ4444" s="105"/>
      <c r="CA4444" s="20"/>
    </row>
    <row r="4445" spans="78:79" x14ac:dyDescent="0.35">
      <c r="BZ4445" s="105"/>
      <c r="CA4445" s="20"/>
    </row>
    <row r="4446" spans="78:79" x14ac:dyDescent="0.35">
      <c r="BZ4446" s="105"/>
      <c r="CA4446" s="20"/>
    </row>
    <row r="4447" spans="78:79" x14ac:dyDescent="0.35">
      <c r="BZ4447" s="105"/>
      <c r="CA4447" s="20"/>
    </row>
    <row r="4448" spans="78:79" x14ac:dyDescent="0.35">
      <c r="BZ4448" s="105"/>
      <c r="CA4448" s="20"/>
    </row>
    <row r="4449" spans="78:79" x14ac:dyDescent="0.35">
      <c r="BZ4449" s="105"/>
      <c r="CA4449" s="20"/>
    </row>
    <row r="4450" spans="78:79" x14ac:dyDescent="0.35">
      <c r="BZ4450" s="105"/>
      <c r="CA4450" s="20"/>
    </row>
    <row r="4451" spans="78:79" x14ac:dyDescent="0.35">
      <c r="BZ4451" s="105"/>
      <c r="CA4451" s="20"/>
    </row>
    <row r="4452" spans="78:79" x14ac:dyDescent="0.35">
      <c r="BZ4452" s="105"/>
      <c r="CA4452" s="20"/>
    </row>
    <row r="4453" spans="78:79" x14ac:dyDescent="0.35">
      <c r="BZ4453" s="105"/>
      <c r="CA4453" s="20"/>
    </row>
    <row r="4454" spans="78:79" x14ac:dyDescent="0.35">
      <c r="BZ4454" s="105"/>
      <c r="CA4454" s="20"/>
    </row>
    <row r="4455" spans="78:79" x14ac:dyDescent="0.35">
      <c r="BZ4455" s="105"/>
      <c r="CA4455" s="20"/>
    </row>
    <row r="4456" spans="78:79" x14ac:dyDescent="0.35">
      <c r="BZ4456" s="105"/>
      <c r="CA4456" s="20"/>
    </row>
    <row r="4457" spans="78:79" x14ac:dyDescent="0.35">
      <c r="BZ4457" s="105"/>
      <c r="CA4457" s="20"/>
    </row>
    <row r="4458" spans="78:79" x14ac:dyDescent="0.35">
      <c r="BZ4458" s="105"/>
      <c r="CA4458" s="20"/>
    </row>
    <row r="4459" spans="78:79" x14ac:dyDescent="0.35">
      <c r="BZ4459" s="105"/>
      <c r="CA4459" s="20"/>
    </row>
    <row r="4460" spans="78:79" x14ac:dyDescent="0.35">
      <c r="BZ4460" s="105"/>
      <c r="CA4460" s="20"/>
    </row>
    <row r="4461" spans="78:79" x14ac:dyDescent="0.35">
      <c r="BZ4461" s="105"/>
      <c r="CA4461" s="20"/>
    </row>
    <row r="4462" spans="78:79" x14ac:dyDescent="0.35">
      <c r="BZ4462" s="105"/>
      <c r="CA4462" s="20"/>
    </row>
    <row r="4463" spans="78:79" x14ac:dyDescent="0.35">
      <c r="BZ4463" s="105"/>
      <c r="CA4463" s="20"/>
    </row>
    <row r="4464" spans="78:79" x14ac:dyDescent="0.35">
      <c r="BZ4464" s="105"/>
      <c r="CA4464" s="20"/>
    </row>
    <row r="4465" spans="78:79" x14ac:dyDescent="0.35">
      <c r="BZ4465" s="105"/>
      <c r="CA4465" s="20"/>
    </row>
    <row r="4466" spans="78:79" x14ac:dyDescent="0.35">
      <c r="BZ4466" s="105"/>
      <c r="CA4466" s="20"/>
    </row>
    <row r="4467" spans="78:79" x14ac:dyDescent="0.35">
      <c r="BZ4467" s="105"/>
      <c r="CA4467" s="20"/>
    </row>
    <row r="4468" spans="78:79" x14ac:dyDescent="0.35">
      <c r="BZ4468" s="105"/>
      <c r="CA4468" s="20"/>
    </row>
    <row r="4469" spans="78:79" x14ac:dyDescent="0.35">
      <c r="BZ4469" s="105"/>
      <c r="CA4469" s="20"/>
    </row>
    <row r="4470" spans="78:79" x14ac:dyDescent="0.35">
      <c r="BZ4470" s="105"/>
      <c r="CA4470" s="20"/>
    </row>
    <row r="4471" spans="78:79" x14ac:dyDescent="0.35">
      <c r="BZ4471" s="105"/>
      <c r="CA4471" s="20"/>
    </row>
    <row r="4472" spans="78:79" x14ac:dyDescent="0.35">
      <c r="BZ4472" s="105"/>
      <c r="CA4472" s="20"/>
    </row>
    <row r="4473" spans="78:79" x14ac:dyDescent="0.35">
      <c r="BZ4473" s="105"/>
      <c r="CA4473" s="20"/>
    </row>
    <row r="4474" spans="78:79" x14ac:dyDescent="0.35">
      <c r="BZ4474" s="105"/>
      <c r="CA4474" s="20"/>
    </row>
    <row r="4475" spans="78:79" x14ac:dyDescent="0.35">
      <c r="BZ4475" s="105"/>
      <c r="CA4475" s="20"/>
    </row>
    <row r="4476" spans="78:79" x14ac:dyDescent="0.35">
      <c r="BZ4476" s="105"/>
      <c r="CA4476" s="20"/>
    </row>
    <row r="4477" spans="78:79" x14ac:dyDescent="0.35">
      <c r="BZ4477" s="105"/>
      <c r="CA4477" s="20"/>
    </row>
    <row r="4478" spans="78:79" x14ac:dyDescent="0.35">
      <c r="BZ4478" s="105"/>
      <c r="CA4478" s="20"/>
    </row>
    <row r="4479" spans="78:79" x14ac:dyDescent="0.35">
      <c r="BZ4479" s="105"/>
      <c r="CA4479" s="20"/>
    </row>
    <row r="4480" spans="78:79" x14ac:dyDescent="0.35">
      <c r="BZ4480" s="105"/>
      <c r="CA4480" s="20"/>
    </row>
    <row r="4481" spans="78:79" x14ac:dyDescent="0.35">
      <c r="BZ4481" s="105"/>
      <c r="CA4481" s="20"/>
    </row>
    <row r="4482" spans="78:79" x14ac:dyDescent="0.35">
      <c r="BZ4482" s="105"/>
      <c r="CA4482" s="20"/>
    </row>
    <row r="4483" spans="78:79" x14ac:dyDescent="0.35">
      <c r="BZ4483" s="105"/>
      <c r="CA4483" s="20"/>
    </row>
    <row r="4484" spans="78:79" x14ac:dyDescent="0.35">
      <c r="BZ4484" s="105"/>
      <c r="CA4484" s="20"/>
    </row>
    <row r="4485" spans="78:79" x14ac:dyDescent="0.35">
      <c r="BZ4485" s="105"/>
      <c r="CA4485" s="20"/>
    </row>
    <row r="4486" spans="78:79" x14ac:dyDescent="0.35">
      <c r="BZ4486" s="105"/>
      <c r="CA4486" s="20"/>
    </row>
    <row r="4487" spans="78:79" x14ac:dyDescent="0.35">
      <c r="BZ4487" s="105"/>
      <c r="CA4487" s="20"/>
    </row>
    <row r="4488" spans="78:79" x14ac:dyDescent="0.35">
      <c r="BZ4488" s="105"/>
      <c r="CA4488" s="20"/>
    </row>
    <row r="4489" spans="78:79" x14ac:dyDescent="0.35">
      <c r="BZ4489" s="105"/>
      <c r="CA4489" s="20"/>
    </row>
    <row r="4490" spans="78:79" x14ac:dyDescent="0.35">
      <c r="BZ4490" s="105"/>
      <c r="CA4490" s="20"/>
    </row>
    <row r="4491" spans="78:79" x14ac:dyDescent="0.35">
      <c r="BZ4491" s="105"/>
      <c r="CA4491" s="20"/>
    </row>
    <row r="4492" spans="78:79" x14ac:dyDescent="0.35">
      <c r="BZ4492" s="105"/>
      <c r="CA4492" s="20"/>
    </row>
    <row r="4493" spans="78:79" x14ac:dyDescent="0.35">
      <c r="BZ4493" s="105"/>
      <c r="CA4493" s="20"/>
    </row>
    <row r="4494" spans="78:79" x14ac:dyDescent="0.35">
      <c r="BZ4494" s="105"/>
      <c r="CA4494" s="20"/>
    </row>
    <row r="4495" spans="78:79" x14ac:dyDescent="0.35">
      <c r="BZ4495" s="105"/>
      <c r="CA4495" s="20"/>
    </row>
    <row r="4496" spans="78:79" x14ac:dyDescent="0.35">
      <c r="BZ4496" s="105"/>
      <c r="CA4496" s="20"/>
    </row>
    <row r="4497" spans="78:79" x14ac:dyDescent="0.35">
      <c r="BZ4497" s="105"/>
      <c r="CA4497" s="20"/>
    </row>
    <row r="4498" spans="78:79" x14ac:dyDescent="0.35">
      <c r="BZ4498" s="105"/>
      <c r="CA4498" s="20"/>
    </row>
    <row r="4499" spans="78:79" x14ac:dyDescent="0.35">
      <c r="BZ4499" s="105"/>
      <c r="CA4499" s="20"/>
    </row>
    <row r="4500" spans="78:79" x14ac:dyDescent="0.35">
      <c r="BZ4500" s="105"/>
      <c r="CA4500" s="20"/>
    </row>
    <row r="4501" spans="78:79" x14ac:dyDescent="0.35">
      <c r="BZ4501" s="105"/>
      <c r="CA4501" s="20"/>
    </row>
    <row r="4502" spans="78:79" x14ac:dyDescent="0.35">
      <c r="BZ4502" s="105"/>
      <c r="CA4502" s="20"/>
    </row>
    <row r="4503" spans="78:79" x14ac:dyDescent="0.35">
      <c r="BZ4503" s="105"/>
      <c r="CA4503" s="20"/>
    </row>
    <row r="4504" spans="78:79" x14ac:dyDescent="0.35">
      <c r="BZ4504" s="105"/>
      <c r="CA4504" s="20"/>
    </row>
    <row r="4505" spans="78:79" x14ac:dyDescent="0.35">
      <c r="BZ4505" s="105"/>
      <c r="CA4505" s="20"/>
    </row>
    <row r="4506" spans="78:79" x14ac:dyDescent="0.35">
      <c r="BZ4506" s="105"/>
      <c r="CA4506" s="20"/>
    </row>
    <row r="4507" spans="78:79" x14ac:dyDescent="0.35">
      <c r="BZ4507" s="105"/>
      <c r="CA4507" s="20"/>
    </row>
    <row r="4508" spans="78:79" x14ac:dyDescent="0.35">
      <c r="BZ4508" s="105"/>
      <c r="CA4508" s="20"/>
    </row>
    <row r="4509" spans="78:79" x14ac:dyDescent="0.35">
      <c r="BZ4509" s="105"/>
      <c r="CA4509" s="20"/>
    </row>
    <row r="4510" spans="78:79" x14ac:dyDescent="0.35">
      <c r="BZ4510" s="105"/>
      <c r="CA4510" s="20"/>
    </row>
    <row r="4511" spans="78:79" x14ac:dyDescent="0.35">
      <c r="BZ4511" s="105"/>
      <c r="CA4511" s="20"/>
    </row>
    <row r="4512" spans="78:79" x14ac:dyDescent="0.35">
      <c r="BZ4512" s="105"/>
      <c r="CA4512" s="20"/>
    </row>
    <row r="4513" spans="78:79" x14ac:dyDescent="0.35">
      <c r="BZ4513" s="105"/>
      <c r="CA4513" s="20"/>
    </row>
    <row r="4514" spans="78:79" x14ac:dyDescent="0.35">
      <c r="BZ4514" s="105"/>
      <c r="CA4514" s="20"/>
    </row>
    <row r="4515" spans="78:79" x14ac:dyDescent="0.35">
      <c r="BZ4515" s="105"/>
      <c r="CA4515" s="20"/>
    </row>
    <row r="4516" spans="78:79" x14ac:dyDescent="0.35">
      <c r="BZ4516" s="105"/>
      <c r="CA4516" s="20"/>
    </row>
    <row r="4517" spans="78:79" x14ac:dyDescent="0.35">
      <c r="BZ4517" s="105"/>
      <c r="CA4517" s="20"/>
    </row>
    <row r="4518" spans="78:79" x14ac:dyDescent="0.35">
      <c r="BZ4518" s="105"/>
      <c r="CA4518" s="20"/>
    </row>
    <row r="4519" spans="78:79" x14ac:dyDescent="0.35">
      <c r="BZ4519" s="105"/>
      <c r="CA4519" s="20"/>
    </row>
    <row r="4520" spans="78:79" x14ac:dyDescent="0.35">
      <c r="BZ4520" s="105"/>
      <c r="CA4520" s="20"/>
    </row>
    <row r="4521" spans="78:79" x14ac:dyDescent="0.35">
      <c r="BZ4521" s="105"/>
      <c r="CA4521" s="20"/>
    </row>
    <row r="4522" spans="78:79" x14ac:dyDescent="0.35">
      <c r="BZ4522" s="105"/>
      <c r="CA4522" s="20"/>
    </row>
    <row r="4523" spans="78:79" x14ac:dyDescent="0.35">
      <c r="BZ4523" s="105"/>
      <c r="CA4523" s="20"/>
    </row>
    <row r="4524" spans="78:79" x14ac:dyDescent="0.35">
      <c r="BZ4524" s="105"/>
      <c r="CA4524" s="20"/>
    </row>
    <row r="4525" spans="78:79" x14ac:dyDescent="0.35">
      <c r="BZ4525" s="105"/>
      <c r="CA4525" s="20"/>
    </row>
    <row r="4526" spans="78:79" x14ac:dyDescent="0.35">
      <c r="BZ4526" s="105"/>
      <c r="CA4526" s="20"/>
    </row>
    <row r="4527" spans="78:79" x14ac:dyDescent="0.35">
      <c r="BZ4527" s="105"/>
      <c r="CA4527" s="20"/>
    </row>
    <row r="4528" spans="78:79" x14ac:dyDescent="0.35">
      <c r="BZ4528" s="105"/>
      <c r="CA4528" s="20"/>
    </row>
    <row r="4529" spans="78:79" x14ac:dyDescent="0.35">
      <c r="BZ4529" s="105"/>
      <c r="CA4529" s="20"/>
    </row>
    <row r="4530" spans="78:79" x14ac:dyDescent="0.35">
      <c r="BZ4530" s="105"/>
      <c r="CA4530" s="20"/>
    </row>
    <row r="4531" spans="78:79" x14ac:dyDescent="0.35">
      <c r="BZ4531" s="105"/>
      <c r="CA4531" s="20"/>
    </row>
    <row r="4532" spans="78:79" x14ac:dyDescent="0.35">
      <c r="BZ4532" s="105"/>
      <c r="CA4532" s="20"/>
    </row>
    <row r="4533" spans="78:79" x14ac:dyDescent="0.35">
      <c r="BZ4533" s="105"/>
      <c r="CA4533" s="20"/>
    </row>
    <row r="4534" spans="78:79" x14ac:dyDescent="0.35">
      <c r="BZ4534" s="105"/>
      <c r="CA4534" s="20"/>
    </row>
    <row r="4535" spans="78:79" x14ac:dyDescent="0.35">
      <c r="BZ4535" s="105"/>
      <c r="CA4535" s="20"/>
    </row>
    <row r="4536" spans="78:79" x14ac:dyDescent="0.35">
      <c r="BZ4536" s="105"/>
      <c r="CA4536" s="20"/>
    </row>
    <row r="4537" spans="78:79" x14ac:dyDescent="0.35">
      <c r="BZ4537" s="105"/>
      <c r="CA4537" s="20"/>
    </row>
    <row r="4538" spans="78:79" x14ac:dyDescent="0.35">
      <c r="BZ4538" s="105"/>
      <c r="CA4538" s="20"/>
    </row>
    <row r="4539" spans="78:79" x14ac:dyDescent="0.35">
      <c r="BZ4539" s="105"/>
      <c r="CA4539" s="20"/>
    </row>
    <row r="4540" spans="78:79" x14ac:dyDescent="0.35">
      <c r="BZ4540" s="105"/>
      <c r="CA4540" s="20"/>
    </row>
    <row r="4541" spans="78:79" x14ac:dyDescent="0.35">
      <c r="BZ4541" s="105"/>
      <c r="CA4541" s="20"/>
    </row>
    <row r="4542" spans="78:79" x14ac:dyDescent="0.35">
      <c r="BZ4542" s="105"/>
      <c r="CA4542" s="20"/>
    </row>
    <row r="4543" spans="78:79" x14ac:dyDescent="0.35">
      <c r="BZ4543" s="105"/>
      <c r="CA4543" s="20"/>
    </row>
    <row r="4544" spans="78:79" x14ac:dyDescent="0.35">
      <c r="BZ4544" s="105"/>
      <c r="CA4544" s="20"/>
    </row>
    <row r="4545" spans="78:79" x14ac:dyDescent="0.35">
      <c r="BZ4545" s="105"/>
      <c r="CA4545" s="20"/>
    </row>
    <row r="4546" spans="78:79" x14ac:dyDescent="0.35">
      <c r="BZ4546" s="105"/>
      <c r="CA4546" s="20"/>
    </row>
    <row r="4547" spans="78:79" x14ac:dyDescent="0.35">
      <c r="BZ4547" s="105"/>
      <c r="CA4547" s="20"/>
    </row>
    <row r="4548" spans="78:79" x14ac:dyDescent="0.35">
      <c r="BZ4548" s="105"/>
      <c r="CA4548" s="20"/>
    </row>
    <row r="4549" spans="78:79" x14ac:dyDescent="0.35">
      <c r="BZ4549" s="105"/>
      <c r="CA4549" s="20"/>
    </row>
    <row r="4550" spans="78:79" x14ac:dyDescent="0.35">
      <c r="BZ4550" s="105"/>
      <c r="CA4550" s="20"/>
    </row>
    <row r="4551" spans="78:79" x14ac:dyDescent="0.35">
      <c r="BZ4551" s="105"/>
      <c r="CA4551" s="20"/>
    </row>
    <row r="4552" spans="78:79" x14ac:dyDescent="0.35">
      <c r="BZ4552" s="105"/>
      <c r="CA4552" s="20"/>
    </row>
    <row r="4553" spans="78:79" x14ac:dyDescent="0.35">
      <c r="BZ4553" s="105"/>
      <c r="CA4553" s="20"/>
    </row>
    <row r="4554" spans="78:79" x14ac:dyDescent="0.35">
      <c r="BZ4554" s="105"/>
      <c r="CA4554" s="20"/>
    </row>
    <row r="4555" spans="78:79" x14ac:dyDescent="0.35">
      <c r="BZ4555" s="105"/>
      <c r="CA4555" s="20"/>
    </row>
    <row r="4556" spans="78:79" x14ac:dyDescent="0.35">
      <c r="BZ4556" s="105"/>
      <c r="CA4556" s="20"/>
    </row>
    <row r="4557" spans="78:79" x14ac:dyDescent="0.35">
      <c r="BZ4557" s="105"/>
      <c r="CA4557" s="20"/>
    </row>
    <row r="4558" spans="78:79" x14ac:dyDescent="0.35">
      <c r="BZ4558" s="105"/>
      <c r="CA4558" s="20"/>
    </row>
    <row r="4559" spans="78:79" x14ac:dyDescent="0.35">
      <c r="BZ4559" s="105"/>
      <c r="CA4559" s="20"/>
    </row>
    <row r="4560" spans="78:79" x14ac:dyDescent="0.35">
      <c r="BZ4560" s="105"/>
      <c r="CA4560" s="20"/>
    </row>
    <row r="4561" spans="78:79" x14ac:dyDescent="0.35">
      <c r="BZ4561" s="105"/>
      <c r="CA4561" s="20"/>
    </row>
    <row r="4562" spans="78:79" x14ac:dyDescent="0.35">
      <c r="BZ4562" s="105"/>
      <c r="CA4562" s="20"/>
    </row>
    <row r="4563" spans="78:79" x14ac:dyDescent="0.35">
      <c r="BZ4563" s="105"/>
      <c r="CA4563" s="20"/>
    </row>
    <row r="4564" spans="78:79" x14ac:dyDescent="0.35">
      <c r="BZ4564" s="105"/>
      <c r="CA4564" s="20"/>
    </row>
    <row r="4565" spans="78:79" x14ac:dyDescent="0.35">
      <c r="BZ4565" s="105"/>
      <c r="CA4565" s="20"/>
    </row>
    <row r="4566" spans="78:79" x14ac:dyDescent="0.35">
      <c r="BZ4566" s="105"/>
      <c r="CA4566" s="20"/>
    </row>
    <row r="4567" spans="78:79" x14ac:dyDescent="0.35">
      <c r="BZ4567" s="105"/>
      <c r="CA4567" s="20"/>
    </row>
    <row r="4568" spans="78:79" x14ac:dyDescent="0.35">
      <c r="BZ4568" s="105"/>
      <c r="CA4568" s="20"/>
    </row>
    <row r="4569" spans="78:79" x14ac:dyDescent="0.35">
      <c r="BZ4569" s="105"/>
      <c r="CA4569" s="20"/>
    </row>
    <row r="4570" spans="78:79" x14ac:dyDescent="0.35">
      <c r="BZ4570" s="105"/>
      <c r="CA4570" s="20"/>
    </row>
    <row r="4571" spans="78:79" x14ac:dyDescent="0.35">
      <c r="BZ4571" s="105"/>
      <c r="CA4571" s="20"/>
    </row>
    <row r="4572" spans="78:79" x14ac:dyDescent="0.35">
      <c r="BZ4572" s="105"/>
      <c r="CA4572" s="20"/>
    </row>
    <row r="4573" spans="78:79" x14ac:dyDescent="0.35">
      <c r="BZ4573" s="105"/>
      <c r="CA4573" s="20"/>
    </row>
    <row r="4574" spans="78:79" x14ac:dyDescent="0.35">
      <c r="BZ4574" s="105"/>
      <c r="CA4574" s="20"/>
    </row>
    <row r="4575" spans="78:79" x14ac:dyDescent="0.35">
      <c r="BZ4575" s="105"/>
      <c r="CA4575" s="20"/>
    </row>
    <row r="4576" spans="78:79" x14ac:dyDescent="0.35">
      <c r="BZ4576" s="105"/>
      <c r="CA4576" s="20"/>
    </row>
    <row r="4577" spans="78:79" x14ac:dyDescent="0.35">
      <c r="BZ4577" s="105"/>
      <c r="CA4577" s="20"/>
    </row>
    <row r="4578" spans="78:79" x14ac:dyDescent="0.35">
      <c r="BZ4578" s="105"/>
      <c r="CA4578" s="20"/>
    </row>
    <row r="4579" spans="78:79" x14ac:dyDescent="0.35">
      <c r="BZ4579" s="105"/>
      <c r="CA4579" s="20"/>
    </row>
    <row r="4580" spans="78:79" x14ac:dyDescent="0.35">
      <c r="BZ4580" s="105"/>
      <c r="CA4580" s="20"/>
    </row>
    <row r="4581" spans="78:79" x14ac:dyDescent="0.35">
      <c r="BZ4581" s="105"/>
      <c r="CA4581" s="20"/>
    </row>
    <row r="4582" spans="78:79" x14ac:dyDescent="0.35">
      <c r="BZ4582" s="105"/>
      <c r="CA4582" s="20"/>
    </row>
    <row r="4583" spans="78:79" x14ac:dyDescent="0.35">
      <c r="BZ4583" s="105"/>
      <c r="CA4583" s="20"/>
    </row>
    <row r="4584" spans="78:79" x14ac:dyDescent="0.35">
      <c r="BZ4584" s="105"/>
      <c r="CA4584" s="20"/>
    </row>
    <row r="4585" spans="78:79" x14ac:dyDescent="0.35">
      <c r="BZ4585" s="105"/>
      <c r="CA4585" s="20"/>
    </row>
    <row r="4586" spans="78:79" x14ac:dyDescent="0.35">
      <c r="BZ4586" s="105"/>
      <c r="CA4586" s="20"/>
    </row>
    <row r="4587" spans="78:79" x14ac:dyDescent="0.35">
      <c r="BZ4587" s="105"/>
      <c r="CA4587" s="20"/>
    </row>
    <row r="4588" spans="78:79" x14ac:dyDescent="0.35">
      <c r="BZ4588" s="105"/>
      <c r="CA4588" s="20"/>
    </row>
    <row r="4589" spans="78:79" x14ac:dyDescent="0.35">
      <c r="BZ4589" s="105"/>
      <c r="CA4589" s="20"/>
    </row>
    <row r="4590" spans="78:79" x14ac:dyDescent="0.35">
      <c r="BZ4590" s="105"/>
      <c r="CA4590" s="20"/>
    </row>
    <row r="4591" spans="78:79" x14ac:dyDescent="0.35">
      <c r="BZ4591" s="105"/>
      <c r="CA4591" s="20"/>
    </row>
    <row r="4592" spans="78:79" x14ac:dyDescent="0.35">
      <c r="BZ4592" s="105"/>
      <c r="CA4592" s="20"/>
    </row>
    <row r="4593" spans="78:79" x14ac:dyDescent="0.35">
      <c r="BZ4593" s="105"/>
      <c r="CA4593" s="20"/>
    </row>
    <row r="4594" spans="78:79" x14ac:dyDescent="0.35">
      <c r="BZ4594" s="105"/>
      <c r="CA4594" s="20"/>
    </row>
    <row r="4595" spans="78:79" x14ac:dyDescent="0.35">
      <c r="BZ4595" s="105"/>
      <c r="CA4595" s="20"/>
    </row>
    <row r="4596" spans="78:79" x14ac:dyDescent="0.35">
      <c r="BZ4596" s="105"/>
      <c r="CA4596" s="20"/>
    </row>
    <row r="4597" spans="78:79" x14ac:dyDescent="0.35">
      <c r="BZ4597" s="105"/>
      <c r="CA4597" s="20"/>
    </row>
    <row r="4598" spans="78:79" x14ac:dyDescent="0.35">
      <c r="BZ4598" s="105"/>
      <c r="CA4598" s="20"/>
    </row>
    <row r="4599" spans="78:79" x14ac:dyDescent="0.35">
      <c r="BZ4599" s="105"/>
      <c r="CA4599" s="20"/>
    </row>
    <row r="4600" spans="78:79" x14ac:dyDescent="0.35">
      <c r="BZ4600" s="105"/>
      <c r="CA4600" s="20"/>
    </row>
    <row r="4601" spans="78:79" x14ac:dyDescent="0.35">
      <c r="BZ4601" s="105"/>
      <c r="CA4601" s="20"/>
    </row>
    <row r="4602" spans="78:79" x14ac:dyDescent="0.35">
      <c r="BZ4602" s="105"/>
      <c r="CA4602" s="20"/>
    </row>
    <row r="4603" spans="78:79" x14ac:dyDescent="0.35">
      <c r="BZ4603" s="105"/>
      <c r="CA4603" s="20"/>
    </row>
    <row r="4604" spans="78:79" x14ac:dyDescent="0.35">
      <c r="BZ4604" s="105"/>
      <c r="CA4604" s="20"/>
    </row>
    <row r="4605" spans="78:79" x14ac:dyDescent="0.35">
      <c r="BZ4605" s="105"/>
      <c r="CA4605" s="20"/>
    </row>
    <row r="4606" spans="78:79" x14ac:dyDescent="0.35">
      <c r="BZ4606" s="105"/>
      <c r="CA4606" s="20"/>
    </row>
    <row r="4607" spans="78:79" x14ac:dyDescent="0.35">
      <c r="BZ4607" s="105"/>
      <c r="CA4607" s="20"/>
    </row>
    <row r="4608" spans="78:79" x14ac:dyDescent="0.35">
      <c r="BZ4608" s="105"/>
      <c r="CA4608" s="20"/>
    </row>
    <row r="4609" spans="78:79" x14ac:dyDescent="0.35">
      <c r="BZ4609" s="105"/>
      <c r="CA4609" s="20"/>
    </row>
    <row r="4610" spans="78:79" x14ac:dyDescent="0.35">
      <c r="BZ4610" s="105"/>
      <c r="CA4610" s="20"/>
    </row>
    <row r="4611" spans="78:79" x14ac:dyDescent="0.35">
      <c r="BZ4611" s="105"/>
      <c r="CA4611" s="20"/>
    </row>
    <row r="4612" spans="78:79" x14ac:dyDescent="0.35">
      <c r="BZ4612" s="105"/>
      <c r="CA4612" s="20"/>
    </row>
    <row r="4613" spans="78:79" x14ac:dyDescent="0.35">
      <c r="BZ4613" s="105"/>
      <c r="CA4613" s="20"/>
    </row>
    <row r="4614" spans="78:79" x14ac:dyDescent="0.35">
      <c r="BZ4614" s="105"/>
      <c r="CA4614" s="20"/>
    </row>
    <row r="4615" spans="78:79" x14ac:dyDescent="0.35">
      <c r="BZ4615" s="105"/>
      <c r="CA4615" s="20"/>
    </row>
    <row r="4616" spans="78:79" x14ac:dyDescent="0.35">
      <c r="BZ4616" s="105"/>
      <c r="CA4616" s="20"/>
    </row>
    <row r="4617" spans="78:79" x14ac:dyDescent="0.35">
      <c r="BZ4617" s="105"/>
      <c r="CA4617" s="20"/>
    </row>
    <row r="4618" spans="78:79" x14ac:dyDescent="0.35">
      <c r="BZ4618" s="105"/>
      <c r="CA4618" s="20"/>
    </row>
    <row r="4619" spans="78:79" x14ac:dyDescent="0.35">
      <c r="BZ4619" s="105"/>
      <c r="CA4619" s="20"/>
    </row>
    <row r="4620" spans="78:79" x14ac:dyDescent="0.35">
      <c r="BZ4620" s="105"/>
      <c r="CA4620" s="20"/>
    </row>
    <row r="4621" spans="78:79" x14ac:dyDescent="0.35">
      <c r="BZ4621" s="105"/>
      <c r="CA4621" s="20"/>
    </row>
    <row r="4622" spans="78:79" x14ac:dyDescent="0.35">
      <c r="BZ4622" s="105"/>
      <c r="CA4622" s="20"/>
    </row>
    <row r="4623" spans="78:79" x14ac:dyDescent="0.35">
      <c r="BZ4623" s="105"/>
      <c r="CA4623" s="20"/>
    </row>
    <row r="4624" spans="78:79" x14ac:dyDescent="0.35">
      <c r="BZ4624" s="105"/>
      <c r="CA4624" s="20"/>
    </row>
    <row r="4625" spans="78:79" x14ac:dyDescent="0.35">
      <c r="BZ4625" s="105"/>
      <c r="CA4625" s="20"/>
    </row>
    <row r="4626" spans="78:79" x14ac:dyDescent="0.35">
      <c r="BZ4626" s="105"/>
      <c r="CA4626" s="20"/>
    </row>
    <row r="4627" spans="78:79" x14ac:dyDescent="0.35">
      <c r="BZ4627" s="105"/>
      <c r="CA4627" s="20"/>
    </row>
    <row r="4628" spans="78:79" x14ac:dyDescent="0.35">
      <c r="BZ4628" s="105"/>
      <c r="CA4628" s="20"/>
    </row>
    <row r="4629" spans="78:79" x14ac:dyDescent="0.35">
      <c r="BZ4629" s="105"/>
      <c r="CA4629" s="20"/>
    </row>
    <row r="4630" spans="78:79" x14ac:dyDescent="0.35">
      <c r="BZ4630" s="105"/>
      <c r="CA4630" s="20"/>
    </row>
    <row r="4631" spans="78:79" x14ac:dyDescent="0.35">
      <c r="BZ4631" s="105"/>
      <c r="CA4631" s="20"/>
    </row>
    <row r="4632" spans="78:79" x14ac:dyDescent="0.35">
      <c r="BZ4632" s="105"/>
      <c r="CA4632" s="20"/>
    </row>
    <row r="4633" spans="78:79" x14ac:dyDescent="0.35">
      <c r="BZ4633" s="105"/>
      <c r="CA4633" s="20"/>
    </row>
    <row r="4634" spans="78:79" x14ac:dyDescent="0.35">
      <c r="BZ4634" s="105"/>
      <c r="CA4634" s="20"/>
    </row>
    <row r="4635" spans="78:79" x14ac:dyDescent="0.35">
      <c r="BZ4635" s="105"/>
      <c r="CA4635" s="20"/>
    </row>
    <row r="4636" spans="78:79" x14ac:dyDescent="0.35">
      <c r="BZ4636" s="105"/>
      <c r="CA4636" s="20"/>
    </row>
    <row r="4637" spans="78:79" x14ac:dyDescent="0.35">
      <c r="BZ4637" s="105"/>
      <c r="CA4637" s="20"/>
    </row>
    <row r="4638" spans="78:79" x14ac:dyDescent="0.35">
      <c r="BZ4638" s="105"/>
      <c r="CA4638" s="20"/>
    </row>
    <row r="4639" spans="78:79" x14ac:dyDescent="0.35">
      <c r="BZ4639" s="105"/>
      <c r="CA4639" s="20"/>
    </row>
    <row r="4640" spans="78:79" x14ac:dyDescent="0.35">
      <c r="BZ4640" s="105"/>
      <c r="CA4640" s="20"/>
    </row>
    <row r="4641" spans="78:79" x14ac:dyDescent="0.35">
      <c r="BZ4641" s="105"/>
      <c r="CA4641" s="20"/>
    </row>
    <row r="4642" spans="78:79" x14ac:dyDescent="0.35">
      <c r="BZ4642" s="105"/>
      <c r="CA4642" s="20"/>
    </row>
    <row r="4643" spans="78:79" x14ac:dyDescent="0.35">
      <c r="BZ4643" s="105"/>
      <c r="CA4643" s="20"/>
    </row>
    <row r="4644" spans="78:79" x14ac:dyDescent="0.35">
      <c r="BZ4644" s="105"/>
      <c r="CA4644" s="20"/>
    </row>
    <row r="4645" spans="78:79" x14ac:dyDescent="0.35">
      <c r="BZ4645" s="105"/>
      <c r="CA4645" s="20"/>
    </row>
    <row r="4646" spans="78:79" x14ac:dyDescent="0.35">
      <c r="BZ4646" s="105"/>
      <c r="CA4646" s="20"/>
    </row>
    <row r="4647" spans="78:79" x14ac:dyDescent="0.35">
      <c r="BZ4647" s="105"/>
      <c r="CA4647" s="20"/>
    </row>
    <row r="4648" spans="78:79" x14ac:dyDescent="0.35">
      <c r="BZ4648" s="105"/>
      <c r="CA4648" s="20"/>
    </row>
    <row r="4649" spans="78:79" x14ac:dyDescent="0.35">
      <c r="BZ4649" s="105"/>
      <c r="CA4649" s="20"/>
    </row>
    <row r="4650" spans="78:79" x14ac:dyDescent="0.35">
      <c r="BZ4650" s="105"/>
      <c r="CA4650" s="20"/>
    </row>
    <row r="4651" spans="78:79" x14ac:dyDescent="0.35">
      <c r="BZ4651" s="105"/>
      <c r="CA4651" s="20"/>
    </row>
    <row r="4652" spans="78:79" x14ac:dyDescent="0.35">
      <c r="BZ4652" s="105"/>
      <c r="CA4652" s="20"/>
    </row>
    <row r="4653" spans="78:79" x14ac:dyDescent="0.35">
      <c r="BZ4653" s="105"/>
      <c r="CA4653" s="20"/>
    </row>
    <row r="4654" spans="78:79" x14ac:dyDescent="0.35">
      <c r="BZ4654" s="105"/>
      <c r="CA4654" s="20"/>
    </row>
    <row r="4655" spans="78:79" x14ac:dyDescent="0.35">
      <c r="BZ4655" s="105"/>
      <c r="CA4655" s="20"/>
    </row>
    <row r="4656" spans="78:79" x14ac:dyDescent="0.35">
      <c r="BZ4656" s="105"/>
      <c r="CA4656" s="20"/>
    </row>
    <row r="4657" spans="78:79" x14ac:dyDescent="0.35">
      <c r="BZ4657" s="105"/>
      <c r="CA4657" s="20"/>
    </row>
    <row r="4658" spans="78:79" x14ac:dyDescent="0.35">
      <c r="BZ4658" s="105"/>
      <c r="CA4658" s="20"/>
    </row>
    <row r="4659" spans="78:79" x14ac:dyDescent="0.35">
      <c r="BZ4659" s="105"/>
      <c r="CA4659" s="20"/>
    </row>
    <row r="4660" spans="78:79" x14ac:dyDescent="0.35">
      <c r="BZ4660" s="105"/>
      <c r="CA4660" s="20"/>
    </row>
    <row r="4661" spans="78:79" x14ac:dyDescent="0.35">
      <c r="BZ4661" s="105"/>
      <c r="CA4661" s="20"/>
    </row>
    <row r="4662" spans="78:79" x14ac:dyDescent="0.35">
      <c r="BZ4662" s="105"/>
      <c r="CA4662" s="20"/>
    </row>
    <row r="4663" spans="78:79" x14ac:dyDescent="0.35">
      <c r="BZ4663" s="105"/>
      <c r="CA4663" s="20"/>
    </row>
    <row r="4664" spans="78:79" x14ac:dyDescent="0.35">
      <c r="BZ4664" s="105"/>
      <c r="CA4664" s="20"/>
    </row>
    <row r="4665" spans="78:79" x14ac:dyDescent="0.35">
      <c r="BZ4665" s="105"/>
      <c r="CA4665" s="20"/>
    </row>
    <row r="4666" spans="78:79" x14ac:dyDescent="0.35">
      <c r="BZ4666" s="105"/>
      <c r="CA4666" s="20"/>
    </row>
    <row r="4667" spans="78:79" x14ac:dyDescent="0.35">
      <c r="BZ4667" s="105"/>
      <c r="CA4667" s="20"/>
    </row>
    <row r="4668" spans="78:79" x14ac:dyDescent="0.35">
      <c r="BZ4668" s="105"/>
      <c r="CA4668" s="20"/>
    </row>
    <row r="4669" spans="78:79" x14ac:dyDescent="0.35">
      <c r="BZ4669" s="105"/>
      <c r="CA4669" s="20"/>
    </row>
    <row r="4670" spans="78:79" x14ac:dyDescent="0.35">
      <c r="BZ4670" s="105"/>
      <c r="CA4670" s="20"/>
    </row>
    <row r="4671" spans="78:79" x14ac:dyDescent="0.35">
      <c r="BZ4671" s="105"/>
      <c r="CA4671" s="20"/>
    </row>
    <row r="4672" spans="78:79" x14ac:dyDescent="0.35">
      <c r="BZ4672" s="105"/>
      <c r="CA4672" s="20"/>
    </row>
    <row r="4673" spans="78:79" x14ac:dyDescent="0.35">
      <c r="BZ4673" s="105"/>
      <c r="CA4673" s="20"/>
    </row>
    <row r="4674" spans="78:79" x14ac:dyDescent="0.35">
      <c r="BZ4674" s="105"/>
      <c r="CA4674" s="20"/>
    </row>
    <row r="4675" spans="78:79" x14ac:dyDescent="0.35">
      <c r="BZ4675" s="105"/>
      <c r="CA4675" s="20"/>
    </row>
    <row r="4676" spans="78:79" x14ac:dyDescent="0.35">
      <c r="BZ4676" s="105"/>
      <c r="CA4676" s="20"/>
    </row>
    <row r="4677" spans="78:79" x14ac:dyDescent="0.35">
      <c r="BZ4677" s="105"/>
      <c r="CA4677" s="20"/>
    </row>
    <row r="4678" spans="78:79" x14ac:dyDescent="0.35">
      <c r="BZ4678" s="105"/>
      <c r="CA4678" s="20"/>
    </row>
    <row r="4679" spans="78:79" x14ac:dyDescent="0.35">
      <c r="BZ4679" s="105"/>
      <c r="CA4679" s="20"/>
    </row>
    <row r="4680" spans="78:79" x14ac:dyDescent="0.35">
      <c r="BZ4680" s="105"/>
      <c r="CA4680" s="20"/>
    </row>
    <row r="4681" spans="78:79" x14ac:dyDescent="0.35">
      <c r="BZ4681" s="105"/>
      <c r="CA4681" s="20"/>
    </row>
    <row r="4682" spans="78:79" x14ac:dyDescent="0.35">
      <c r="BZ4682" s="105"/>
      <c r="CA4682" s="20"/>
    </row>
    <row r="4683" spans="78:79" x14ac:dyDescent="0.35">
      <c r="BZ4683" s="105"/>
      <c r="CA4683" s="20"/>
    </row>
    <row r="4684" spans="78:79" x14ac:dyDescent="0.35">
      <c r="BZ4684" s="105"/>
      <c r="CA4684" s="20"/>
    </row>
    <row r="4685" spans="78:79" x14ac:dyDescent="0.35">
      <c r="BZ4685" s="105"/>
      <c r="CA4685" s="20"/>
    </row>
    <row r="4686" spans="78:79" x14ac:dyDescent="0.35">
      <c r="BZ4686" s="105"/>
      <c r="CA4686" s="20"/>
    </row>
    <row r="4687" spans="78:79" x14ac:dyDescent="0.35">
      <c r="BZ4687" s="105"/>
      <c r="CA4687" s="20"/>
    </row>
    <row r="4688" spans="78:79" x14ac:dyDescent="0.35">
      <c r="BZ4688" s="105"/>
      <c r="CA4688" s="20"/>
    </row>
    <row r="4689" spans="78:79" x14ac:dyDescent="0.35">
      <c r="BZ4689" s="105"/>
      <c r="CA4689" s="20"/>
    </row>
    <row r="4690" spans="78:79" x14ac:dyDescent="0.35">
      <c r="BZ4690" s="105"/>
      <c r="CA4690" s="20"/>
    </row>
    <row r="4691" spans="78:79" x14ac:dyDescent="0.35">
      <c r="BZ4691" s="105"/>
      <c r="CA4691" s="20"/>
    </row>
    <row r="4692" spans="78:79" x14ac:dyDescent="0.35">
      <c r="BZ4692" s="105"/>
      <c r="CA4692" s="20"/>
    </row>
    <row r="4693" spans="78:79" x14ac:dyDescent="0.35">
      <c r="BZ4693" s="105"/>
      <c r="CA4693" s="20"/>
    </row>
    <row r="4694" spans="78:79" x14ac:dyDescent="0.35">
      <c r="BZ4694" s="105"/>
      <c r="CA4694" s="20"/>
    </row>
    <row r="4695" spans="78:79" x14ac:dyDescent="0.35">
      <c r="BZ4695" s="105"/>
      <c r="CA4695" s="20"/>
    </row>
    <row r="4696" spans="78:79" x14ac:dyDescent="0.35">
      <c r="BZ4696" s="105"/>
      <c r="CA4696" s="20"/>
    </row>
    <row r="4697" spans="78:79" x14ac:dyDescent="0.35">
      <c r="BZ4697" s="105"/>
      <c r="CA4697" s="20"/>
    </row>
    <row r="4698" spans="78:79" x14ac:dyDescent="0.35">
      <c r="BZ4698" s="105"/>
      <c r="CA4698" s="20"/>
    </row>
    <row r="4699" spans="78:79" x14ac:dyDescent="0.35">
      <c r="BZ4699" s="105"/>
      <c r="CA4699" s="20"/>
    </row>
    <row r="4700" spans="78:79" x14ac:dyDescent="0.35">
      <c r="BZ4700" s="105"/>
      <c r="CA4700" s="20"/>
    </row>
    <row r="4701" spans="78:79" x14ac:dyDescent="0.35">
      <c r="BZ4701" s="105"/>
      <c r="CA4701" s="20"/>
    </row>
    <row r="4702" spans="78:79" x14ac:dyDescent="0.35">
      <c r="BZ4702" s="105"/>
      <c r="CA4702" s="20"/>
    </row>
    <row r="4703" spans="78:79" x14ac:dyDescent="0.35">
      <c r="BZ4703" s="105"/>
      <c r="CA4703" s="20"/>
    </row>
    <row r="4704" spans="78:79" x14ac:dyDescent="0.35">
      <c r="BZ4704" s="105"/>
      <c r="CA4704" s="20"/>
    </row>
    <row r="4705" spans="78:79" x14ac:dyDescent="0.35">
      <c r="BZ4705" s="105"/>
      <c r="CA4705" s="20"/>
    </row>
    <row r="4706" spans="78:79" x14ac:dyDescent="0.35">
      <c r="BZ4706" s="105"/>
      <c r="CA4706" s="20"/>
    </row>
    <row r="4707" spans="78:79" x14ac:dyDescent="0.35">
      <c r="BZ4707" s="105"/>
      <c r="CA4707" s="20"/>
    </row>
    <row r="4708" spans="78:79" x14ac:dyDescent="0.35">
      <c r="BZ4708" s="105"/>
      <c r="CA4708" s="20"/>
    </row>
    <row r="4709" spans="78:79" x14ac:dyDescent="0.35">
      <c r="BZ4709" s="105"/>
      <c r="CA4709" s="20"/>
    </row>
    <row r="4710" spans="78:79" x14ac:dyDescent="0.35">
      <c r="BZ4710" s="105"/>
      <c r="CA4710" s="20"/>
    </row>
    <row r="4711" spans="78:79" x14ac:dyDescent="0.35">
      <c r="BZ4711" s="105"/>
      <c r="CA4711" s="20"/>
    </row>
    <row r="4712" spans="78:79" x14ac:dyDescent="0.35">
      <c r="BZ4712" s="105"/>
      <c r="CA4712" s="20"/>
    </row>
    <row r="4713" spans="78:79" x14ac:dyDescent="0.35">
      <c r="BZ4713" s="105"/>
      <c r="CA4713" s="20"/>
    </row>
    <row r="4714" spans="78:79" x14ac:dyDescent="0.35">
      <c r="BZ4714" s="105"/>
      <c r="CA4714" s="20"/>
    </row>
    <row r="4715" spans="78:79" x14ac:dyDescent="0.35">
      <c r="BZ4715" s="105"/>
      <c r="CA4715" s="20"/>
    </row>
    <row r="4716" spans="78:79" x14ac:dyDescent="0.35">
      <c r="BZ4716" s="105"/>
      <c r="CA4716" s="20"/>
    </row>
    <row r="4717" spans="78:79" x14ac:dyDescent="0.35">
      <c r="BZ4717" s="105"/>
      <c r="CA4717" s="20"/>
    </row>
    <row r="4718" spans="78:79" x14ac:dyDescent="0.35">
      <c r="BZ4718" s="105"/>
      <c r="CA4718" s="20"/>
    </row>
    <row r="4719" spans="78:79" x14ac:dyDescent="0.35">
      <c r="BZ4719" s="105"/>
      <c r="CA4719" s="20"/>
    </row>
    <row r="4720" spans="78:79" x14ac:dyDescent="0.35">
      <c r="BZ4720" s="105"/>
      <c r="CA4720" s="20"/>
    </row>
    <row r="4721" spans="78:79" x14ac:dyDescent="0.35">
      <c r="BZ4721" s="105"/>
      <c r="CA4721" s="20"/>
    </row>
    <row r="4722" spans="78:79" x14ac:dyDescent="0.35">
      <c r="BZ4722" s="105"/>
      <c r="CA4722" s="20"/>
    </row>
    <row r="4723" spans="78:79" x14ac:dyDescent="0.35">
      <c r="BZ4723" s="105"/>
      <c r="CA4723" s="20"/>
    </row>
    <row r="4724" spans="78:79" x14ac:dyDescent="0.35">
      <c r="BZ4724" s="105"/>
      <c r="CA4724" s="20"/>
    </row>
    <row r="4725" spans="78:79" x14ac:dyDescent="0.35">
      <c r="BZ4725" s="105"/>
      <c r="CA4725" s="20"/>
    </row>
    <row r="4726" spans="78:79" x14ac:dyDescent="0.35">
      <c r="BZ4726" s="105"/>
      <c r="CA4726" s="20"/>
    </row>
    <row r="4727" spans="78:79" x14ac:dyDescent="0.35">
      <c r="BZ4727" s="105"/>
      <c r="CA4727" s="20"/>
    </row>
    <row r="4728" spans="78:79" x14ac:dyDescent="0.35">
      <c r="BZ4728" s="105"/>
      <c r="CA4728" s="20"/>
    </row>
    <row r="4729" spans="78:79" x14ac:dyDescent="0.35">
      <c r="BZ4729" s="105"/>
      <c r="CA4729" s="20"/>
    </row>
    <row r="4730" spans="78:79" x14ac:dyDescent="0.35">
      <c r="BZ4730" s="105"/>
      <c r="CA4730" s="20"/>
    </row>
    <row r="4731" spans="78:79" x14ac:dyDescent="0.35">
      <c r="BZ4731" s="105"/>
      <c r="CA4731" s="20"/>
    </row>
    <row r="4732" spans="78:79" x14ac:dyDescent="0.35">
      <c r="BZ4732" s="105"/>
      <c r="CA4732" s="20"/>
    </row>
    <row r="4733" spans="78:79" x14ac:dyDescent="0.35">
      <c r="BZ4733" s="105"/>
      <c r="CA4733" s="20"/>
    </row>
    <row r="4734" spans="78:79" x14ac:dyDescent="0.35">
      <c r="BZ4734" s="105"/>
      <c r="CA4734" s="20"/>
    </row>
    <row r="4735" spans="78:79" x14ac:dyDescent="0.35">
      <c r="BZ4735" s="105"/>
      <c r="CA4735" s="20"/>
    </row>
    <row r="4736" spans="78:79" x14ac:dyDescent="0.35">
      <c r="BZ4736" s="105"/>
      <c r="CA4736" s="20"/>
    </row>
    <row r="4737" spans="78:79" x14ac:dyDescent="0.35">
      <c r="BZ4737" s="105"/>
      <c r="CA4737" s="20"/>
    </row>
    <row r="4738" spans="78:79" x14ac:dyDescent="0.35">
      <c r="BZ4738" s="105"/>
      <c r="CA4738" s="20"/>
    </row>
    <row r="4739" spans="78:79" x14ac:dyDescent="0.35">
      <c r="BZ4739" s="105"/>
      <c r="CA4739" s="20"/>
    </row>
    <row r="4740" spans="78:79" x14ac:dyDescent="0.35">
      <c r="BZ4740" s="105"/>
      <c r="CA4740" s="20"/>
    </row>
    <row r="4741" spans="78:79" x14ac:dyDescent="0.35">
      <c r="BZ4741" s="105"/>
      <c r="CA4741" s="20"/>
    </row>
    <row r="4742" spans="78:79" x14ac:dyDescent="0.35">
      <c r="BZ4742" s="105"/>
      <c r="CA4742" s="20"/>
    </row>
    <row r="4743" spans="78:79" x14ac:dyDescent="0.35">
      <c r="BZ4743" s="105"/>
      <c r="CA4743" s="20"/>
    </row>
    <row r="4744" spans="78:79" x14ac:dyDescent="0.35">
      <c r="BZ4744" s="105"/>
      <c r="CA4744" s="20"/>
    </row>
    <row r="4745" spans="78:79" x14ac:dyDescent="0.35">
      <c r="BZ4745" s="105"/>
      <c r="CA4745" s="20"/>
    </row>
    <row r="4746" spans="78:79" x14ac:dyDescent="0.35">
      <c r="BZ4746" s="105"/>
      <c r="CA4746" s="20"/>
    </row>
    <row r="4747" spans="78:79" x14ac:dyDescent="0.35">
      <c r="BZ4747" s="105"/>
      <c r="CA4747" s="20"/>
    </row>
    <row r="4748" spans="78:79" x14ac:dyDescent="0.35">
      <c r="BZ4748" s="105"/>
      <c r="CA4748" s="20"/>
    </row>
    <row r="4749" spans="78:79" x14ac:dyDescent="0.35">
      <c r="BZ4749" s="105"/>
      <c r="CA4749" s="20"/>
    </row>
    <row r="4750" spans="78:79" x14ac:dyDescent="0.35">
      <c r="BZ4750" s="105"/>
      <c r="CA4750" s="20"/>
    </row>
    <row r="4751" spans="78:79" x14ac:dyDescent="0.35">
      <c r="BZ4751" s="105"/>
      <c r="CA4751" s="20"/>
    </row>
    <row r="4752" spans="78:79" x14ac:dyDescent="0.35">
      <c r="BZ4752" s="105"/>
      <c r="CA4752" s="20"/>
    </row>
    <row r="4753" spans="78:79" x14ac:dyDescent="0.35">
      <c r="BZ4753" s="105"/>
      <c r="CA4753" s="20"/>
    </row>
    <row r="4754" spans="78:79" x14ac:dyDescent="0.35">
      <c r="BZ4754" s="105"/>
      <c r="CA4754" s="20"/>
    </row>
    <row r="4755" spans="78:79" x14ac:dyDescent="0.35">
      <c r="BZ4755" s="105"/>
      <c r="CA4755" s="20"/>
    </row>
    <row r="4756" spans="78:79" x14ac:dyDescent="0.35">
      <c r="BZ4756" s="105"/>
      <c r="CA4756" s="20"/>
    </row>
    <row r="4757" spans="78:79" x14ac:dyDescent="0.35">
      <c r="BZ4757" s="105"/>
      <c r="CA4757" s="20"/>
    </row>
    <row r="4758" spans="78:79" x14ac:dyDescent="0.35">
      <c r="BZ4758" s="105"/>
      <c r="CA4758" s="20"/>
    </row>
    <row r="4759" spans="78:79" x14ac:dyDescent="0.35">
      <c r="BZ4759" s="105"/>
      <c r="CA4759" s="20"/>
    </row>
    <row r="4760" spans="78:79" x14ac:dyDescent="0.35">
      <c r="BZ4760" s="105"/>
      <c r="CA4760" s="20"/>
    </row>
    <row r="4761" spans="78:79" x14ac:dyDescent="0.35">
      <c r="BZ4761" s="105"/>
      <c r="CA4761" s="20"/>
    </row>
    <row r="4762" spans="78:79" x14ac:dyDescent="0.35">
      <c r="BZ4762" s="105"/>
      <c r="CA4762" s="20"/>
    </row>
    <row r="4763" spans="78:79" x14ac:dyDescent="0.35">
      <c r="BZ4763" s="105"/>
      <c r="CA4763" s="20"/>
    </row>
    <row r="4764" spans="78:79" x14ac:dyDescent="0.35">
      <c r="BZ4764" s="105"/>
      <c r="CA4764" s="20"/>
    </row>
    <row r="4765" spans="78:79" x14ac:dyDescent="0.35">
      <c r="BZ4765" s="105"/>
      <c r="CA4765" s="20"/>
    </row>
    <row r="4766" spans="78:79" x14ac:dyDescent="0.35">
      <c r="BZ4766" s="105"/>
      <c r="CA4766" s="20"/>
    </row>
    <row r="4767" spans="78:79" x14ac:dyDescent="0.35">
      <c r="BZ4767" s="105"/>
      <c r="CA4767" s="20"/>
    </row>
    <row r="4768" spans="78:79" x14ac:dyDescent="0.35">
      <c r="BZ4768" s="105"/>
      <c r="CA4768" s="20"/>
    </row>
    <row r="4769" spans="78:79" x14ac:dyDescent="0.35">
      <c r="BZ4769" s="105"/>
      <c r="CA4769" s="20"/>
    </row>
    <row r="4770" spans="78:79" x14ac:dyDescent="0.35">
      <c r="BZ4770" s="105"/>
      <c r="CA4770" s="20"/>
    </row>
    <row r="4771" spans="78:79" x14ac:dyDescent="0.35">
      <c r="BZ4771" s="105"/>
      <c r="CA4771" s="20"/>
    </row>
    <row r="4772" spans="78:79" x14ac:dyDescent="0.35">
      <c r="BZ4772" s="105"/>
      <c r="CA4772" s="20"/>
    </row>
    <row r="4773" spans="78:79" x14ac:dyDescent="0.35">
      <c r="BZ4773" s="105"/>
      <c r="CA4773" s="20"/>
    </row>
    <row r="4774" spans="78:79" x14ac:dyDescent="0.35">
      <c r="BZ4774" s="105"/>
      <c r="CA4774" s="20"/>
    </row>
    <row r="4775" spans="78:79" x14ac:dyDescent="0.35">
      <c r="BZ4775" s="105"/>
      <c r="CA4775" s="20"/>
    </row>
    <row r="4776" spans="78:79" x14ac:dyDescent="0.35">
      <c r="BZ4776" s="105"/>
      <c r="CA4776" s="20"/>
    </row>
    <row r="4777" spans="78:79" x14ac:dyDescent="0.35">
      <c r="BZ4777" s="105"/>
      <c r="CA4777" s="20"/>
    </row>
    <row r="4778" spans="78:79" x14ac:dyDescent="0.35">
      <c r="BZ4778" s="105"/>
      <c r="CA4778" s="20"/>
    </row>
    <row r="4779" spans="78:79" x14ac:dyDescent="0.35">
      <c r="BZ4779" s="105"/>
      <c r="CA4779" s="20"/>
    </row>
    <row r="4780" spans="78:79" x14ac:dyDescent="0.35">
      <c r="BZ4780" s="105"/>
      <c r="CA4780" s="20"/>
    </row>
    <row r="4781" spans="78:79" x14ac:dyDescent="0.35">
      <c r="BZ4781" s="105"/>
      <c r="CA4781" s="20"/>
    </row>
    <row r="4782" spans="78:79" x14ac:dyDescent="0.35">
      <c r="BZ4782" s="105"/>
      <c r="CA4782" s="20"/>
    </row>
    <row r="4783" spans="78:79" x14ac:dyDescent="0.35">
      <c r="BZ4783" s="105"/>
      <c r="CA4783" s="20"/>
    </row>
    <row r="4784" spans="78:79" x14ac:dyDescent="0.35">
      <c r="BZ4784" s="105"/>
      <c r="CA4784" s="20"/>
    </row>
    <row r="4785" spans="78:79" x14ac:dyDescent="0.35">
      <c r="BZ4785" s="105"/>
      <c r="CA4785" s="20"/>
    </row>
    <row r="4786" spans="78:79" x14ac:dyDescent="0.35">
      <c r="BZ4786" s="105"/>
      <c r="CA4786" s="20"/>
    </row>
    <row r="4787" spans="78:79" x14ac:dyDescent="0.35">
      <c r="BZ4787" s="105"/>
      <c r="CA4787" s="20"/>
    </row>
    <row r="4788" spans="78:79" x14ac:dyDescent="0.35">
      <c r="BZ4788" s="105"/>
      <c r="CA4788" s="20"/>
    </row>
    <row r="4789" spans="78:79" x14ac:dyDescent="0.35">
      <c r="BZ4789" s="105"/>
      <c r="CA4789" s="20"/>
    </row>
    <row r="4790" spans="78:79" x14ac:dyDescent="0.35">
      <c r="BZ4790" s="105"/>
      <c r="CA4790" s="20"/>
    </row>
    <row r="4791" spans="78:79" x14ac:dyDescent="0.35">
      <c r="BZ4791" s="105"/>
      <c r="CA4791" s="20"/>
    </row>
    <row r="4792" spans="78:79" x14ac:dyDescent="0.35">
      <c r="BZ4792" s="105"/>
      <c r="CA4792" s="20"/>
    </row>
    <row r="4793" spans="78:79" x14ac:dyDescent="0.35">
      <c r="BZ4793" s="105"/>
      <c r="CA4793" s="20"/>
    </row>
    <row r="4794" spans="78:79" x14ac:dyDescent="0.35">
      <c r="BZ4794" s="105"/>
      <c r="CA4794" s="20"/>
    </row>
    <row r="4795" spans="78:79" x14ac:dyDescent="0.35">
      <c r="BZ4795" s="105"/>
      <c r="CA4795" s="20"/>
    </row>
    <row r="4796" spans="78:79" x14ac:dyDescent="0.35">
      <c r="BZ4796" s="105"/>
      <c r="CA4796" s="20"/>
    </row>
    <row r="4797" spans="78:79" x14ac:dyDescent="0.35">
      <c r="BZ4797" s="105"/>
      <c r="CA4797" s="20"/>
    </row>
    <row r="4798" spans="78:79" x14ac:dyDescent="0.35">
      <c r="BZ4798" s="105"/>
      <c r="CA4798" s="20"/>
    </row>
    <row r="4799" spans="78:79" x14ac:dyDescent="0.35">
      <c r="BZ4799" s="105"/>
      <c r="CA4799" s="20"/>
    </row>
    <row r="4800" spans="78:79" x14ac:dyDescent="0.35">
      <c r="BZ4800" s="105"/>
      <c r="CA4800" s="20"/>
    </row>
    <row r="4801" spans="78:79" x14ac:dyDescent="0.35">
      <c r="BZ4801" s="105"/>
      <c r="CA4801" s="20"/>
    </row>
    <row r="4802" spans="78:79" x14ac:dyDescent="0.35">
      <c r="BZ4802" s="105"/>
      <c r="CA4802" s="20"/>
    </row>
    <row r="4803" spans="78:79" x14ac:dyDescent="0.35">
      <c r="BZ4803" s="105"/>
      <c r="CA4803" s="20"/>
    </row>
    <row r="4804" spans="78:79" x14ac:dyDescent="0.35">
      <c r="BZ4804" s="105"/>
      <c r="CA4804" s="20"/>
    </row>
    <row r="4805" spans="78:79" x14ac:dyDescent="0.35">
      <c r="BZ4805" s="105"/>
      <c r="CA4805" s="20"/>
    </row>
    <row r="4806" spans="78:79" x14ac:dyDescent="0.35">
      <c r="BZ4806" s="105"/>
      <c r="CA4806" s="20"/>
    </row>
    <row r="4807" spans="78:79" x14ac:dyDescent="0.35">
      <c r="BZ4807" s="105"/>
      <c r="CA4807" s="20"/>
    </row>
    <row r="4808" spans="78:79" x14ac:dyDescent="0.35">
      <c r="BZ4808" s="105"/>
      <c r="CA4808" s="20"/>
    </row>
    <row r="4809" spans="78:79" x14ac:dyDescent="0.35">
      <c r="BZ4809" s="105"/>
      <c r="CA4809" s="20"/>
    </row>
    <row r="4810" spans="78:79" x14ac:dyDescent="0.35">
      <c r="BZ4810" s="105"/>
      <c r="CA4810" s="20"/>
    </row>
    <row r="4811" spans="78:79" x14ac:dyDescent="0.35">
      <c r="BZ4811" s="105"/>
      <c r="CA4811" s="20"/>
    </row>
    <row r="4812" spans="78:79" x14ac:dyDescent="0.35">
      <c r="BZ4812" s="105"/>
      <c r="CA4812" s="20"/>
    </row>
    <row r="4813" spans="78:79" x14ac:dyDescent="0.35">
      <c r="BZ4813" s="105"/>
      <c r="CA4813" s="20"/>
    </row>
    <row r="4814" spans="78:79" x14ac:dyDescent="0.35">
      <c r="BZ4814" s="105"/>
      <c r="CA4814" s="20"/>
    </row>
    <row r="4815" spans="78:79" x14ac:dyDescent="0.35">
      <c r="BZ4815" s="105"/>
      <c r="CA4815" s="20"/>
    </row>
    <row r="4816" spans="78:79" x14ac:dyDescent="0.35">
      <c r="BZ4816" s="105"/>
      <c r="CA4816" s="20"/>
    </row>
    <row r="4817" spans="78:79" x14ac:dyDescent="0.35">
      <c r="BZ4817" s="105"/>
      <c r="CA4817" s="20"/>
    </row>
    <row r="4818" spans="78:79" x14ac:dyDescent="0.35">
      <c r="BZ4818" s="105"/>
      <c r="CA4818" s="20"/>
    </row>
    <row r="4819" spans="78:79" x14ac:dyDescent="0.35">
      <c r="BZ4819" s="105"/>
      <c r="CA4819" s="20"/>
    </row>
    <row r="4820" spans="78:79" x14ac:dyDescent="0.35">
      <c r="BZ4820" s="105"/>
      <c r="CA4820" s="20"/>
    </row>
    <row r="4821" spans="78:79" x14ac:dyDescent="0.35">
      <c r="BZ4821" s="105"/>
      <c r="CA4821" s="20"/>
    </row>
    <row r="4822" spans="78:79" x14ac:dyDescent="0.35">
      <c r="BZ4822" s="105"/>
      <c r="CA4822" s="20"/>
    </row>
    <row r="4823" spans="78:79" x14ac:dyDescent="0.35">
      <c r="BZ4823" s="105"/>
      <c r="CA4823" s="20"/>
    </row>
    <row r="4824" spans="78:79" x14ac:dyDescent="0.35">
      <c r="BZ4824" s="105"/>
      <c r="CA4824" s="20"/>
    </row>
    <row r="4825" spans="78:79" x14ac:dyDescent="0.35">
      <c r="BZ4825" s="105"/>
      <c r="CA4825" s="20"/>
    </row>
    <row r="4826" spans="78:79" x14ac:dyDescent="0.35">
      <c r="BZ4826" s="105"/>
      <c r="CA4826" s="20"/>
    </row>
    <row r="4827" spans="78:79" x14ac:dyDescent="0.35">
      <c r="BZ4827" s="105"/>
      <c r="CA4827" s="20"/>
    </row>
    <row r="4828" spans="78:79" x14ac:dyDescent="0.35">
      <c r="BZ4828" s="105"/>
      <c r="CA4828" s="20"/>
    </row>
    <row r="4829" spans="78:79" x14ac:dyDescent="0.35">
      <c r="BZ4829" s="105"/>
      <c r="CA4829" s="20"/>
    </row>
    <row r="4830" spans="78:79" x14ac:dyDescent="0.35">
      <c r="BZ4830" s="105"/>
      <c r="CA4830" s="20"/>
    </row>
    <row r="4831" spans="78:79" x14ac:dyDescent="0.35">
      <c r="BZ4831" s="105"/>
      <c r="CA4831" s="20"/>
    </row>
    <row r="4832" spans="78:79" x14ac:dyDescent="0.35">
      <c r="BZ4832" s="105"/>
      <c r="CA4832" s="20"/>
    </row>
    <row r="4833" spans="78:79" x14ac:dyDescent="0.35">
      <c r="BZ4833" s="105"/>
      <c r="CA4833" s="20"/>
    </row>
    <row r="4834" spans="78:79" x14ac:dyDescent="0.35">
      <c r="BZ4834" s="105"/>
      <c r="CA4834" s="20"/>
    </row>
    <row r="4835" spans="78:79" x14ac:dyDescent="0.35">
      <c r="BZ4835" s="105"/>
      <c r="CA4835" s="20"/>
    </row>
    <row r="4836" spans="78:79" x14ac:dyDescent="0.35">
      <c r="BZ4836" s="105"/>
      <c r="CA4836" s="20"/>
    </row>
    <row r="4837" spans="78:79" x14ac:dyDescent="0.35">
      <c r="BZ4837" s="105"/>
      <c r="CA4837" s="20"/>
    </row>
    <row r="4838" spans="78:79" x14ac:dyDescent="0.35">
      <c r="BZ4838" s="105"/>
      <c r="CA4838" s="20"/>
    </row>
    <row r="4839" spans="78:79" x14ac:dyDescent="0.35">
      <c r="BZ4839" s="105"/>
      <c r="CA4839" s="20"/>
    </row>
    <row r="4840" spans="78:79" x14ac:dyDescent="0.35">
      <c r="BZ4840" s="105"/>
      <c r="CA4840" s="20"/>
    </row>
    <row r="4841" spans="78:79" x14ac:dyDescent="0.35">
      <c r="BZ4841" s="105"/>
      <c r="CA4841" s="20"/>
    </row>
    <row r="4842" spans="78:79" x14ac:dyDescent="0.35">
      <c r="BZ4842" s="105"/>
      <c r="CA4842" s="20"/>
    </row>
    <row r="4843" spans="78:79" x14ac:dyDescent="0.35">
      <c r="BZ4843" s="105"/>
      <c r="CA4843" s="20"/>
    </row>
    <row r="4844" spans="78:79" x14ac:dyDescent="0.35">
      <c r="BZ4844" s="105"/>
      <c r="CA4844" s="20"/>
    </row>
    <row r="4845" spans="78:79" x14ac:dyDescent="0.35">
      <c r="BZ4845" s="105"/>
      <c r="CA4845" s="20"/>
    </row>
    <row r="4846" spans="78:79" x14ac:dyDescent="0.35">
      <c r="BZ4846" s="105"/>
      <c r="CA4846" s="20"/>
    </row>
    <row r="4847" spans="78:79" x14ac:dyDescent="0.35">
      <c r="BZ4847" s="105"/>
      <c r="CA4847" s="20"/>
    </row>
    <row r="4848" spans="78:79" x14ac:dyDescent="0.35">
      <c r="BZ4848" s="105"/>
      <c r="CA4848" s="20"/>
    </row>
    <row r="4849" spans="78:79" x14ac:dyDescent="0.35">
      <c r="BZ4849" s="105"/>
      <c r="CA4849" s="20"/>
    </row>
    <row r="4850" spans="78:79" x14ac:dyDescent="0.35">
      <c r="BZ4850" s="105"/>
      <c r="CA4850" s="20"/>
    </row>
    <row r="4851" spans="78:79" x14ac:dyDescent="0.35">
      <c r="BZ4851" s="105"/>
      <c r="CA4851" s="20"/>
    </row>
    <row r="4852" spans="78:79" x14ac:dyDescent="0.35">
      <c r="BZ4852" s="105"/>
      <c r="CA4852" s="20"/>
    </row>
    <row r="4853" spans="78:79" x14ac:dyDescent="0.35">
      <c r="BZ4853" s="105"/>
      <c r="CA4853" s="20"/>
    </row>
    <row r="4854" spans="78:79" x14ac:dyDescent="0.35">
      <c r="BZ4854" s="105"/>
      <c r="CA4854" s="20"/>
    </row>
    <row r="4855" spans="78:79" x14ac:dyDescent="0.35">
      <c r="BZ4855" s="105"/>
      <c r="CA4855" s="20"/>
    </row>
    <row r="4856" spans="78:79" x14ac:dyDescent="0.35">
      <c r="BZ4856" s="105"/>
      <c r="CA4856" s="20"/>
    </row>
    <row r="4857" spans="78:79" x14ac:dyDescent="0.35">
      <c r="BZ4857" s="105"/>
      <c r="CA4857" s="20"/>
    </row>
    <row r="4858" spans="78:79" x14ac:dyDescent="0.35">
      <c r="BZ4858" s="105"/>
      <c r="CA4858" s="20"/>
    </row>
    <row r="4859" spans="78:79" x14ac:dyDescent="0.35">
      <c r="BZ4859" s="105"/>
      <c r="CA4859" s="20"/>
    </row>
    <row r="4860" spans="78:79" x14ac:dyDescent="0.35">
      <c r="BZ4860" s="105"/>
      <c r="CA4860" s="20"/>
    </row>
    <row r="4861" spans="78:79" x14ac:dyDescent="0.35">
      <c r="BZ4861" s="105"/>
      <c r="CA4861" s="20"/>
    </row>
    <row r="4862" spans="78:79" x14ac:dyDescent="0.35">
      <c r="BZ4862" s="105"/>
      <c r="CA4862" s="20"/>
    </row>
    <row r="4863" spans="78:79" x14ac:dyDescent="0.35">
      <c r="BZ4863" s="105"/>
      <c r="CA4863" s="20"/>
    </row>
    <row r="4864" spans="78:79" x14ac:dyDescent="0.35">
      <c r="BZ4864" s="105"/>
      <c r="CA4864" s="20"/>
    </row>
    <row r="4865" spans="78:79" x14ac:dyDescent="0.35">
      <c r="BZ4865" s="105"/>
      <c r="CA4865" s="20"/>
    </row>
    <row r="4866" spans="78:79" x14ac:dyDescent="0.35">
      <c r="BZ4866" s="105"/>
      <c r="CA4866" s="20"/>
    </row>
    <row r="4867" spans="78:79" x14ac:dyDescent="0.35">
      <c r="BZ4867" s="105"/>
      <c r="CA4867" s="20"/>
    </row>
    <row r="4868" spans="78:79" x14ac:dyDescent="0.35">
      <c r="BZ4868" s="105"/>
      <c r="CA4868" s="20"/>
    </row>
    <row r="4869" spans="78:79" x14ac:dyDescent="0.35">
      <c r="BZ4869" s="105"/>
      <c r="CA4869" s="20"/>
    </row>
    <row r="4870" spans="78:79" x14ac:dyDescent="0.35">
      <c r="BZ4870" s="105"/>
      <c r="CA4870" s="20"/>
    </row>
    <row r="4871" spans="78:79" x14ac:dyDescent="0.35">
      <c r="BZ4871" s="105"/>
      <c r="CA4871" s="20"/>
    </row>
    <row r="4872" spans="78:79" x14ac:dyDescent="0.35">
      <c r="BZ4872" s="105"/>
      <c r="CA4872" s="20"/>
    </row>
    <row r="4873" spans="78:79" x14ac:dyDescent="0.35">
      <c r="BZ4873" s="105"/>
      <c r="CA4873" s="20"/>
    </row>
    <row r="4874" spans="78:79" x14ac:dyDescent="0.35">
      <c r="BZ4874" s="105"/>
      <c r="CA4874" s="20"/>
    </row>
    <row r="4875" spans="78:79" x14ac:dyDescent="0.35">
      <c r="BZ4875" s="105"/>
      <c r="CA4875" s="20"/>
    </row>
    <row r="4876" spans="78:79" x14ac:dyDescent="0.35">
      <c r="BZ4876" s="105"/>
      <c r="CA4876" s="20"/>
    </row>
    <row r="4877" spans="78:79" x14ac:dyDescent="0.35">
      <c r="BZ4877" s="105"/>
      <c r="CA4877" s="20"/>
    </row>
    <row r="4878" spans="78:79" x14ac:dyDescent="0.35">
      <c r="BZ4878" s="105"/>
      <c r="CA4878" s="20"/>
    </row>
    <row r="4879" spans="78:79" x14ac:dyDescent="0.35">
      <c r="BZ4879" s="105"/>
      <c r="CA4879" s="20"/>
    </row>
    <row r="4880" spans="78:79" x14ac:dyDescent="0.35">
      <c r="BZ4880" s="105"/>
      <c r="CA4880" s="20"/>
    </row>
    <row r="4881" spans="78:79" x14ac:dyDescent="0.35">
      <c r="BZ4881" s="105"/>
      <c r="CA4881" s="20"/>
    </row>
    <row r="4882" spans="78:79" x14ac:dyDescent="0.35">
      <c r="BZ4882" s="105"/>
      <c r="CA4882" s="20"/>
    </row>
    <row r="4883" spans="78:79" x14ac:dyDescent="0.35">
      <c r="BZ4883" s="105"/>
      <c r="CA4883" s="20"/>
    </row>
    <row r="4884" spans="78:79" x14ac:dyDescent="0.35">
      <c r="BZ4884" s="105"/>
      <c r="CA4884" s="20"/>
    </row>
    <row r="4885" spans="78:79" x14ac:dyDescent="0.35">
      <c r="BZ4885" s="105"/>
      <c r="CA4885" s="20"/>
    </row>
    <row r="4886" spans="78:79" x14ac:dyDescent="0.35">
      <c r="BZ4886" s="105"/>
      <c r="CA4886" s="20"/>
    </row>
    <row r="4887" spans="78:79" x14ac:dyDescent="0.35">
      <c r="BZ4887" s="105"/>
      <c r="CA4887" s="20"/>
    </row>
    <row r="4888" spans="78:79" x14ac:dyDescent="0.35">
      <c r="BZ4888" s="105"/>
      <c r="CA4888" s="20"/>
    </row>
    <row r="4889" spans="78:79" x14ac:dyDescent="0.35">
      <c r="BZ4889" s="105"/>
      <c r="CA4889" s="20"/>
    </row>
    <row r="4890" spans="78:79" x14ac:dyDescent="0.35">
      <c r="BZ4890" s="105"/>
      <c r="CA4890" s="20"/>
    </row>
    <row r="4891" spans="78:79" x14ac:dyDescent="0.35">
      <c r="BZ4891" s="105"/>
      <c r="CA4891" s="20"/>
    </row>
    <row r="4892" spans="78:79" x14ac:dyDescent="0.35">
      <c r="BZ4892" s="105"/>
      <c r="CA4892" s="20"/>
    </row>
    <row r="4893" spans="78:79" x14ac:dyDescent="0.35">
      <c r="BZ4893" s="105"/>
      <c r="CA4893" s="20"/>
    </row>
    <row r="4894" spans="78:79" x14ac:dyDescent="0.35">
      <c r="BZ4894" s="105"/>
      <c r="CA4894" s="20"/>
    </row>
    <row r="4895" spans="78:79" x14ac:dyDescent="0.35">
      <c r="BZ4895" s="105"/>
      <c r="CA4895" s="20"/>
    </row>
    <row r="4896" spans="78:79" x14ac:dyDescent="0.35">
      <c r="BZ4896" s="105"/>
      <c r="CA4896" s="20"/>
    </row>
    <row r="4897" spans="78:79" x14ac:dyDescent="0.35">
      <c r="BZ4897" s="105"/>
      <c r="CA4897" s="20"/>
    </row>
    <row r="4898" spans="78:79" x14ac:dyDescent="0.35">
      <c r="BZ4898" s="105"/>
      <c r="CA4898" s="20"/>
    </row>
    <row r="4899" spans="78:79" x14ac:dyDescent="0.35">
      <c r="BZ4899" s="105"/>
      <c r="CA4899" s="20"/>
    </row>
    <row r="4900" spans="78:79" x14ac:dyDescent="0.35">
      <c r="BZ4900" s="105"/>
      <c r="CA4900" s="20"/>
    </row>
    <row r="4901" spans="78:79" x14ac:dyDescent="0.35">
      <c r="BZ4901" s="105"/>
      <c r="CA4901" s="20"/>
    </row>
    <row r="4902" spans="78:79" x14ac:dyDescent="0.35">
      <c r="BZ4902" s="105"/>
      <c r="CA4902" s="20"/>
    </row>
    <row r="4903" spans="78:79" x14ac:dyDescent="0.35">
      <c r="BZ4903" s="105"/>
      <c r="CA4903" s="20"/>
    </row>
    <row r="4904" spans="78:79" x14ac:dyDescent="0.35">
      <c r="BZ4904" s="105"/>
      <c r="CA4904" s="20"/>
    </row>
    <row r="4905" spans="78:79" x14ac:dyDescent="0.35">
      <c r="BZ4905" s="105"/>
      <c r="CA4905" s="20"/>
    </row>
    <row r="4906" spans="78:79" x14ac:dyDescent="0.35">
      <c r="BZ4906" s="105"/>
      <c r="CA4906" s="20"/>
    </row>
    <row r="4907" spans="78:79" x14ac:dyDescent="0.35">
      <c r="BZ4907" s="105"/>
      <c r="CA4907" s="20"/>
    </row>
    <row r="4908" spans="78:79" x14ac:dyDescent="0.35">
      <c r="BZ4908" s="105"/>
      <c r="CA4908" s="20"/>
    </row>
    <row r="4909" spans="78:79" x14ac:dyDescent="0.35">
      <c r="BZ4909" s="105"/>
      <c r="CA4909" s="20"/>
    </row>
    <row r="4910" spans="78:79" x14ac:dyDescent="0.35">
      <c r="BZ4910" s="105"/>
      <c r="CA4910" s="20"/>
    </row>
    <row r="4911" spans="78:79" x14ac:dyDescent="0.35">
      <c r="BZ4911" s="105"/>
      <c r="CA4911" s="20"/>
    </row>
    <row r="4912" spans="78:79" x14ac:dyDescent="0.35">
      <c r="BZ4912" s="105"/>
      <c r="CA4912" s="20"/>
    </row>
    <row r="4913" spans="78:79" x14ac:dyDescent="0.35">
      <c r="BZ4913" s="105"/>
      <c r="CA4913" s="20"/>
    </row>
    <row r="4914" spans="78:79" x14ac:dyDescent="0.35">
      <c r="BZ4914" s="105"/>
      <c r="CA4914" s="20"/>
    </row>
    <row r="4915" spans="78:79" x14ac:dyDescent="0.35">
      <c r="BZ4915" s="105"/>
      <c r="CA4915" s="20"/>
    </row>
    <row r="4916" spans="78:79" x14ac:dyDescent="0.35">
      <c r="BZ4916" s="105"/>
      <c r="CA4916" s="20"/>
    </row>
    <row r="4917" spans="78:79" x14ac:dyDescent="0.35">
      <c r="BZ4917" s="105"/>
      <c r="CA4917" s="20"/>
    </row>
    <row r="4918" spans="78:79" x14ac:dyDescent="0.35">
      <c r="BZ4918" s="105"/>
      <c r="CA4918" s="20"/>
    </row>
    <row r="4919" spans="78:79" x14ac:dyDescent="0.35">
      <c r="BZ4919" s="105"/>
      <c r="CA4919" s="20"/>
    </row>
    <row r="4920" spans="78:79" x14ac:dyDescent="0.35">
      <c r="BZ4920" s="105"/>
      <c r="CA4920" s="20"/>
    </row>
    <row r="4921" spans="78:79" x14ac:dyDescent="0.35">
      <c r="BZ4921" s="105"/>
      <c r="CA4921" s="20"/>
    </row>
    <row r="4922" spans="78:79" x14ac:dyDescent="0.35">
      <c r="BZ4922" s="105"/>
      <c r="CA4922" s="20"/>
    </row>
    <row r="4923" spans="78:79" x14ac:dyDescent="0.35">
      <c r="BZ4923" s="105"/>
      <c r="CA4923" s="20"/>
    </row>
    <row r="4924" spans="78:79" x14ac:dyDescent="0.35">
      <c r="BZ4924" s="105"/>
      <c r="CA4924" s="20"/>
    </row>
    <row r="4925" spans="78:79" x14ac:dyDescent="0.35">
      <c r="BZ4925" s="105"/>
      <c r="CA4925" s="20"/>
    </row>
    <row r="4926" spans="78:79" x14ac:dyDescent="0.35">
      <c r="BZ4926" s="105"/>
      <c r="CA4926" s="20"/>
    </row>
    <row r="4927" spans="78:79" x14ac:dyDescent="0.35">
      <c r="BZ4927" s="105"/>
      <c r="CA4927" s="20"/>
    </row>
    <row r="4928" spans="78:79" x14ac:dyDescent="0.35">
      <c r="BZ4928" s="105"/>
      <c r="CA4928" s="20"/>
    </row>
    <row r="4929" spans="78:79" x14ac:dyDescent="0.35">
      <c r="BZ4929" s="105"/>
      <c r="CA4929" s="20"/>
    </row>
    <row r="4930" spans="78:79" x14ac:dyDescent="0.35">
      <c r="BZ4930" s="105"/>
      <c r="CA4930" s="20"/>
    </row>
    <row r="4931" spans="78:79" x14ac:dyDescent="0.35">
      <c r="BZ4931" s="105"/>
      <c r="CA4931" s="20"/>
    </row>
    <row r="4932" spans="78:79" x14ac:dyDescent="0.35">
      <c r="BZ4932" s="105"/>
      <c r="CA4932" s="20"/>
    </row>
    <row r="4933" spans="78:79" x14ac:dyDescent="0.35">
      <c r="BZ4933" s="105"/>
      <c r="CA4933" s="20"/>
    </row>
    <row r="4934" spans="78:79" x14ac:dyDescent="0.35">
      <c r="BZ4934" s="105"/>
      <c r="CA4934" s="20"/>
    </row>
    <row r="4935" spans="78:79" x14ac:dyDescent="0.35">
      <c r="BZ4935" s="105"/>
      <c r="CA4935" s="20"/>
    </row>
    <row r="4936" spans="78:79" x14ac:dyDescent="0.35">
      <c r="BZ4936" s="105"/>
      <c r="CA4936" s="20"/>
    </row>
    <row r="4937" spans="78:79" x14ac:dyDescent="0.35">
      <c r="BZ4937" s="105"/>
      <c r="CA4937" s="20"/>
    </row>
    <row r="4938" spans="78:79" x14ac:dyDescent="0.35">
      <c r="BZ4938" s="105"/>
      <c r="CA4938" s="20"/>
    </row>
    <row r="4939" spans="78:79" x14ac:dyDescent="0.35">
      <c r="BZ4939" s="105"/>
      <c r="CA4939" s="20"/>
    </row>
    <row r="4940" spans="78:79" x14ac:dyDescent="0.35">
      <c r="BZ4940" s="105"/>
      <c r="CA4940" s="20"/>
    </row>
    <row r="4941" spans="78:79" x14ac:dyDescent="0.35">
      <c r="BZ4941" s="105"/>
      <c r="CA4941" s="20"/>
    </row>
    <row r="4942" spans="78:79" x14ac:dyDescent="0.35">
      <c r="BZ4942" s="105"/>
      <c r="CA4942" s="20"/>
    </row>
    <row r="4943" spans="78:79" x14ac:dyDescent="0.35">
      <c r="BZ4943" s="105"/>
      <c r="CA4943" s="20"/>
    </row>
    <row r="4944" spans="78:79" x14ac:dyDescent="0.35">
      <c r="BZ4944" s="105"/>
      <c r="CA4944" s="20"/>
    </row>
    <row r="4945" spans="78:79" x14ac:dyDescent="0.35">
      <c r="BZ4945" s="105"/>
      <c r="CA4945" s="20"/>
    </row>
    <row r="4946" spans="78:79" x14ac:dyDescent="0.35">
      <c r="BZ4946" s="105"/>
      <c r="CA4946" s="20"/>
    </row>
    <row r="4947" spans="78:79" x14ac:dyDescent="0.35">
      <c r="BZ4947" s="105"/>
      <c r="CA4947" s="20"/>
    </row>
    <row r="4948" spans="78:79" x14ac:dyDescent="0.35">
      <c r="BZ4948" s="105"/>
      <c r="CA4948" s="20"/>
    </row>
    <row r="4949" spans="78:79" x14ac:dyDescent="0.35">
      <c r="BZ4949" s="105"/>
      <c r="CA4949" s="20"/>
    </row>
    <row r="4950" spans="78:79" x14ac:dyDescent="0.35">
      <c r="BZ4950" s="105"/>
      <c r="CA4950" s="20"/>
    </row>
    <row r="4951" spans="78:79" x14ac:dyDescent="0.35">
      <c r="BZ4951" s="105"/>
      <c r="CA4951" s="20"/>
    </row>
    <row r="4952" spans="78:79" x14ac:dyDescent="0.35">
      <c r="BZ4952" s="105"/>
      <c r="CA4952" s="20"/>
    </row>
    <row r="4953" spans="78:79" x14ac:dyDescent="0.35">
      <c r="BZ4953" s="105"/>
      <c r="CA4953" s="20"/>
    </row>
    <row r="4954" spans="78:79" x14ac:dyDescent="0.35">
      <c r="BZ4954" s="105"/>
      <c r="CA4954" s="20"/>
    </row>
    <row r="4955" spans="78:79" x14ac:dyDescent="0.35">
      <c r="BZ4955" s="105"/>
      <c r="CA4955" s="20"/>
    </row>
    <row r="4956" spans="78:79" x14ac:dyDescent="0.35">
      <c r="BZ4956" s="105"/>
      <c r="CA4956" s="20"/>
    </row>
    <row r="4957" spans="78:79" x14ac:dyDescent="0.35">
      <c r="BZ4957" s="105"/>
      <c r="CA4957" s="20"/>
    </row>
    <row r="4958" spans="78:79" x14ac:dyDescent="0.35">
      <c r="BZ4958" s="105"/>
      <c r="CA4958" s="20"/>
    </row>
    <row r="4959" spans="78:79" x14ac:dyDescent="0.35">
      <c r="BZ4959" s="105"/>
      <c r="CA4959" s="20"/>
    </row>
    <row r="4960" spans="78:79" x14ac:dyDescent="0.35">
      <c r="BZ4960" s="105"/>
      <c r="CA4960" s="20"/>
    </row>
    <row r="4961" spans="78:79" x14ac:dyDescent="0.35">
      <c r="BZ4961" s="105"/>
      <c r="CA4961" s="20"/>
    </row>
    <row r="4962" spans="78:79" x14ac:dyDescent="0.35">
      <c r="BZ4962" s="105"/>
      <c r="CA4962" s="20"/>
    </row>
    <row r="4963" spans="78:79" x14ac:dyDescent="0.35">
      <c r="BZ4963" s="105"/>
      <c r="CA4963" s="20"/>
    </row>
    <row r="4964" spans="78:79" x14ac:dyDescent="0.35">
      <c r="BZ4964" s="105"/>
      <c r="CA4964" s="20"/>
    </row>
    <row r="4965" spans="78:79" x14ac:dyDescent="0.35">
      <c r="BZ4965" s="105"/>
      <c r="CA4965" s="20"/>
    </row>
    <row r="4966" spans="78:79" x14ac:dyDescent="0.35">
      <c r="BZ4966" s="105"/>
      <c r="CA4966" s="20"/>
    </row>
    <row r="4967" spans="78:79" x14ac:dyDescent="0.35">
      <c r="BZ4967" s="105"/>
      <c r="CA4967" s="20"/>
    </row>
    <row r="4968" spans="78:79" x14ac:dyDescent="0.35">
      <c r="BZ4968" s="105"/>
      <c r="CA4968" s="20"/>
    </row>
    <row r="4969" spans="78:79" x14ac:dyDescent="0.35">
      <c r="BZ4969" s="105"/>
      <c r="CA4969" s="20"/>
    </row>
    <row r="4970" spans="78:79" x14ac:dyDescent="0.35">
      <c r="BZ4970" s="105"/>
      <c r="CA4970" s="20"/>
    </row>
    <row r="4971" spans="78:79" x14ac:dyDescent="0.35">
      <c r="BZ4971" s="105"/>
      <c r="CA4971" s="20"/>
    </row>
    <row r="4972" spans="78:79" x14ac:dyDescent="0.35">
      <c r="BZ4972" s="105"/>
      <c r="CA4972" s="20"/>
    </row>
    <row r="4973" spans="78:79" x14ac:dyDescent="0.35">
      <c r="BZ4973" s="105"/>
      <c r="CA4973" s="20"/>
    </row>
    <row r="4974" spans="78:79" x14ac:dyDescent="0.35">
      <c r="BZ4974" s="105"/>
      <c r="CA4974" s="20"/>
    </row>
    <row r="4975" spans="78:79" x14ac:dyDescent="0.35">
      <c r="BZ4975" s="105"/>
      <c r="CA4975" s="20"/>
    </row>
    <row r="4976" spans="78:79" x14ac:dyDescent="0.35">
      <c r="BZ4976" s="105"/>
      <c r="CA4976" s="20"/>
    </row>
    <row r="4977" spans="78:79" x14ac:dyDescent="0.35">
      <c r="BZ4977" s="105"/>
      <c r="CA4977" s="20"/>
    </row>
    <row r="4978" spans="78:79" x14ac:dyDescent="0.35">
      <c r="BZ4978" s="105"/>
      <c r="CA4978" s="20"/>
    </row>
    <row r="4979" spans="78:79" x14ac:dyDescent="0.35">
      <c r="BZ4979" s="105"/>
      <c r="CA4979" s="20"/>
    </row>
    <row r="4980" spans="78:79" x14ac:dyDescent="0.35">
      <c r="BZ4980" s="105"/>
      <c r="CA4980" s="20"/>
    </row>
    <row r="4981" spans="78:79" x14ac:dyDescent="0.35">
      <c r="BZ4981" s="105"/>
      <c r="CA4981" s="20"/>
    </row>
    <row r="4982" spans="78:79" x14ac:dyDescent="0.35">
      <c r="BZ4982" s="105"/>
      <c r="CA4982" s="20"/>
    </row>
    <row r="4983" spans="78:79" x14ac:dyDescent="0.35">
      <c r="BZ4983" s="105"/>
      <c r="CA4983" s="20"/>
    </row>
    <row r="4984" spans="78:79" x14ac:dyDescent="0.35">
      <c r="BZ4984" s="105"/>
      <c r="CA4984" s="20"/>
    </row>
    <row r="4985" spans="78:79" x14ac:dyDescent="0.35">
      <c r="BZ4985" s="105"/>
      <c r="CA4985" s="20"/>
    </row>
    <row r="4986" spans="78:79" x14ac:dyDescent="0.35">
      <c r="BZ4986" s="105"/>
      <c r="CA4986" s="20"/>
    </row>
    <row r="4987" spans="78:79" x14ac:dyDescent="0.35">
      <c r="BZ4987" s="105"/>
      <c r="CA4987" s="20"/>
    </row>
    <row r="4988" spans="78:79" x14ac:dyDescent="0.35">
      <c r="BZ4988" s="105"/>
      <c r="CA4988" s="20"/>
    </row>
    <row r="4989" spans="78:79" x14ac:dyDescent="0.35">
      <c r="BZ4989" s="105"/>
      <c r="CA4989" s="20"/>
    </row>
    <row r="4990" spans="78:79" x14ac:dyDescent="0.35">
      <c r="BZ4990" s="105"/>
      <c r="CA4990" s="20"/>
    </row>
    <row r="4991" spans="78:79" x14ac:dyDescent="0.35">
      <c r="BZ4991" s="105"/>
      <c r="CA4991" s="20"/>
    </row>
    <row r="4992" spans="78:79" x14ac:dyDescent="0.35">
      <c r="BZ4992" s="105"/>
      <c r="CA4992" s="20"/>
    </row>
    <row r="4993" spans="78:79" x14ac:dyDescent="0.35">
      <c r="BZ4993" s="105"/>
      <c r="CA4993" s="20"/>
    </row>
    <row r="4994" spans="78:79" x14ac:dyDescent="0.35">
      <c r="BZ4994" s="105"/>
      <c r="CA4994" s="20"/>
    </row>
    <row r="4995" spans="78:79" x14ac:dyDescent="0.35">
      <c r="BZ4995" s="105"/>
      <c r="CA4995" s="20"/>
    </row>
    <row r="4996" spans="78:79" x14ac:dyDescent="0.35">
      <c r="BZ4996" s="105"/>
      <c r="CA4996" s="20"/>
    </row>
    <row r="4997" spans="78:79" x14ac:dyDescent="0.35">
      <c r="BZ4997" s="105"/>
      <c r="CA4997" s="20"/>
    </row>
    <row r="4998" spans="78:79" x14ac:dyDescent="0.35">
      <c r="BZ4998" s="105"/>
      <c r="CA4998" s="20"/>
    </row>
    <row r="4999" spans="78:79" x14ac:dyDescent="0.35">
      <c r="BZ4999" s="105"/>
      <c r="CA4999" s="20"/>
    </row>
    <row r="5000" spans="78:79" x14ac:dyDescent="0.35">
      <c r="BZ5000" s="105"/>
      <c r="CA5000" s="20"/>
    </row>
    <row r="5001" spans="78:79" x14ac:dyDescent="0.35">
      <c r="BZ5001" s="105"/>
      <c r="CA5001" s="20"/>
    </row>
    <row r="5002" spans="78:79" x14ac:dyDescent="0.35">
      <c r="BZ5002" s="105"/>
      <c r="CA5002" s="20"/>
    </row>
    <row r="5003" spans="78:79" x14ac:dyDescent="0.35">
      <c r="BZ5003" s="105"/>
      <c r="CA5003" s="20"/>
    </row>
    <row r="5004" spans="78:79" x14ac:dyDescent="0.35">
      <c r="BZ5004" s="105"/>
      <c r="CA5004" s="20"/>
    </row>
    <row r="5005" spans="78:79" x14ac:dyDescent="0.35">
      <c r="BZ5005" s="105"/>
      <c r="CA5005" s="20"/>
    </row>
    <row r="5006" spans="78:79" x14ac:dyDescent="0.35">
      <c r="BZ5006" s="105"/>
      <c r="CA5006" s="20"/>
    </row>
    <row r="5007" spans="78:79" x14ac:dyDescent="0.35">
      <c r="BZ5007" s="105"/>
      <c r="CA5007" s="20"/>
    </row>
    <row r="5008" spans="78:79" x14ac:dyDescent="0.35">
      <c r="BZ5008" s="105"/>
      <c r="CA5008" s="20"/>
    </row>
    <row r="5009" spans="78:79" x14ac:dyDescent="0.35">
      <c r="BZ5009" s="105"/>
      <c r="CA5009" s="20"/>
    </row>
    <row r="5010" spans="78:79" x14ac:dyDescent="0.35">
      <c r="BZ5010" s="105"/>
      <c r="CA5010" s="20"/>
    </row>
    <row r="5011" spans="78:79" x14ac:dyDescent="0.35">
      <c r="BZ5011" s="105"/>
      <c r="CA5011" s="20"/>
    </row>
    <row r="5012" spans="78:79" x14ac:dyDescent="0.35">
      <c r="BZ5012" s="105"/>
      <c r="CA5012" s="20"/>
    </row>
    <row r="5013" spans="78:79" x14ac:dyDescent="0.35">
      <c r="BZ5013" s="105"/>
      <c r="CA5013" s="20"/>
    </row>
    <row r="5014" spans="78:79" x14ac:dyDescent="0.35">
      <c r="BZ5014" s="105"/>
      <c r="CA5014" s="20"/>
    </row>
    <row r="5015" spans="78:79" x14ac:dyDescent="0.35">
      <c r="BZ5015" s="105"/>
      <c r="CA5015" s="20"/>
    </row>
    <row r="5016" spans="78:79" x14ac:dyDescent="0.35">
      <c r="BZ5016" s="105"/>
      <c r="CA5016" s="20"/>
    </row>
    <row r="5017" spans="78:79" x14ac:dyDescent="0.35">
      <c r="BZ5017" s="105"/>
      <c r="CA5017" s="20"/>
    </row>
    <row r="5018" spans="78:79" x14ac:dyDescent="0.35">
      <c r="BZ5018" s="105"/>
      <c r="CA5018" s="20"/>
    </row>
    <row r="5019" spans="78:79" x14ac:dyDescent="0.35">
      <c r="BZ5019" s="105"/>
      <c r="CA5019" s="20"/>
    </row>
    <row r="5020" spans="78:79" x14ac:dyDescent="0.35">
      <c r="BZ5020" s="105"/>
      <c r="CA5020" s="20"/>
    </row>
    <row r="5021" spans="78:79" x14ac:dyDescent="0.35">
      <c r="BZ5021" s="105"/>
      <c r="CA5021" s="20"/>
    </row>
    <row r="5022" spans="78:79" x14ac:dyDescent="0.35">
      <c r="BZ5022" s="105"/>
      <c r="CA5022" s="20"/>
    </row>
    <row r="5023" spans="78:79" x14ac:dyDescent="0.35">
      <c r="BZ5023" s="105"/>
      <c r="CA5023" s="20"/>
    </row>
    <row r="5024" spans="78:79" x14ac:dyDescent="0.35">
      <c r="BZ5024" s="105"/>
      <c r="CA5024" s="20"/>
    </row>
    <row r="5025" spans="78:79" x14ac:dyDescent="0.35">
      <c r="BZ5025" s="105"/>
      <c r="CA5025" s="20"/>
    </row>
    <row r="5026" spans="78:79" x14ac:dyDescent="0.35">
      <c r="BZ5026" s="105"/>
      <c r="CA5026" s="20"/>
    </row>
    <row r="5027" spans="78:79" x14ac:dyDescent="0.35">
      <c r="BZ5027" s="105"/>
      <c r="CA5027" s="20"/>
    </row>
    <row r="5028" spans="78:79" x14ac:dyDescent="0.35">
      <c r="BZ5028" s="105"/>
      <c r="CA5028" s="20"/>
    </row>
    <row r="5029" spans="78:79" x14ac:dyDescent="0.35">
      <c r="BZ5029" s="105"/>
      <c r="CA5029" s="20"/>
    </row>
    <row r="5030" spans="78:79" x14ac:dyDescent="0.35">
      <c r="BZ5030" s="105"/>
      <c r="CA5030" s="20"/>
    </row>
    <row r="5031" spans="78:79" x14ac:dyDescent="0.35">
      <c r="BZ5031" s="105"/>
      <c r="CA5031" s="20"/>
    </row>
    <row r="5032" spans="78:79" x14ac:dyDescent="0.35">
      <c r="BZ5032" s="105"/>
      <c r="CA5032" s="20"/>
    </row>
    <row r="5033" spans="78:79" x14ac:dyDescent="0.35">
      <c r="BZ5033" s="105"/>
      <c r="CA5033" s="20"/>
    </row>
    <row r="5034" spans="78:79" x14ac:dyDescent="0.35">
      <c r="BZ5034" s="105"/>
      <c r="CA5034" s="20"/>
    </row>
    <row r="5035" spans="78:79" x14ac:dyDescent="0.35">
      <c r="BZ5035" s="105"/>
      <c r="CA5035" s="20"/>
    </row>
    <row r="5036" spans="78:79" x14ac:dyDescent="0.35">
      <c r="BZ5036" s="105"/>
      <c r="CA5036" s="20"/>
    </row>
    <row r="5037" spans="78:79" x14ac:dyDescent="0.35">
      <c r="BZ5037" s="105"/>
      <c r="CA5037" s="20"/>
    </row>
    <row r="5038" spans="78:79" x14ac:dyDescent="0.35">
      <c r="BZ5038" s="105"/>
      <c r="CA5038" s="20"/>
    </row>
    <row r="5039" spans="78:79" x14ac:dyDescent="0.35">
      <c r="BZ5039" s="105"/>
      <c r="CA5039" s="20"/>
    </row>
    <row r="5040" spans="78:79" x14ac:dyDescent="0.35">
      <c r="BZ5040" s="105"/>
      <c r="CA5040" s="20"/>
    </row>
    <row r="5041" spans="78:79" x14ac:dyDescent="0.35">
      <c r="BZ5041" s="105"/>
      <c r="CA5041" s="20"/>
    </row>
    <row r="5042" spans="78:79" x14ac:dyDescent="0.35">
      <c r="BZ5042" s="105"/>
      <c r="CA5042" s="20"/>
    </row>
    <row r="5043" spans="78:79" x14ac:dyDescent="0.35">
      <c r="BZ5043" s="105"/>
      <c r="CA5043" s="20"/>
    </row>
    <row r="5044" spans="78:79" x14ac:dyDescent="0.35">
      <c r="BZ5044" s="105"/>
      <c r="CA5044" s="20"/>
    </row>
    <row r="5045" spans="78:79" x14ac:dyDescent="0.35">
      <c r="BZ5045" s="105"/>
      <c r="CA5045" s="20"/>
    </row>
    <row r="5046" spans="78:79" x14ac:dyDescent="0.35">
      <c r="BZ5046" s="105"/>
      <c r="CA5046" s="20"/>
    </row>
    <row r="5047" spans="78:79" x14ac:dyDescent="0.35">
      <c r="BZ5047" s="105"/>
      <c r="CA5047" s="20"/>
    </row>
    <row r="5048" spans="78:79" x14ac:dyDescent="0.35">
      <c r="BZ5048" s="105"/>
      <c r="CA5048" s="20"/>
    </row>
    <row r="5049" spans="78:79" x14ac:dyDescent="0.35">
      <c r="BZ5049" s="105"/>
      <c r="CA5049" s="20"/>
    </row>
    <row r="5050" spans="78:79" x14ac:dyDescent="0.35">
      <c r="BZ5050" s="105"/>
      <c r="CA5050" s="20"/>
    </row>
    <row r="5051" spans="78:79" x14ac:dyDescent="0.35">
      <c r="BZ5051" s="105"/>
      <c r="CA5051" s="20"/>
    </row>
    <row r="5052" spans="78:79" x14ac:dyDescent="0.35">
      <c r="BZ5052" s="105"/>
      <c r="CA5052" s="20"/>
    </row>
    <row r="5053" spans="78:79" x14ac:dyDescent="0.35">
      <c r="BZ5053" s="105"/>
      <c r="CA5053" s="20"/>
    </row>
    <row r="5054" spans="78:79" x14ac:dyDescent="0.35">
      <c r="BZ5054" s="105"/>
      <c r="CA5054" s="20"/>
    </row>
    <row r="5055" spans="78:79" x14ac:dyDescent="0.35">
      <c r="BZ5055" s="105"/>
      <c r="CA5055" s="20"/>
    </row>
    <row r="5056" spans="78:79" x14ac:dyDescent="0.35">
      <c r="BZ5056" s="105"/>
      <c r="CA5056" s="20"/>
    </row>
    <row r="5057" spans="78:79" x14ac:dyDescent="0.35">
      <c r="BZ5057" s="105"/>
      <c r="CA5057" s="20"/>
    </row>
    <row r="5058" spans="78:79" x14ac:dyDescent="0.35">
      <c r="BZ5058" s="105"/>
      <c r="CA5058" s="20"/>
    </row>
    <row r="5059" spans="78:79" x14ac:dyDescent="0.35">
      <c r="BZ5059" s="105"/>
      <c r="CA5059" s="20"/>
    </row>
    <row r="5060" spans="78:79" x14ac:dyDescent="0.35">
      <c r="BZ5060" s="105"/>
      <c r="CA5060" s="20"/>
    </row>
    <row r="5061" spans="78:79" x14ac:dyDescent="0.35">
      <c r="BZ5061" s="105"/>
      <c r="CA5061" s="20"/>
    </row>
    <row r="5062" spans="78:79" x14ac:dyDescent="0.35">
      <c r="BZ5062" s="105"/>
      <c r="CA5062" s="20"/>
    </row>
    <row r="5063" spans="78:79" x14ac:dyDescent="0.35">
      <c r="BZ5063" s="105"/>
      <c r="CA5063" s="20"/>
    </row>
    <row r="5064" spans="78:79" x14ac:dyDescent="0.35">
      <c r="BZ5064" s="105"/>
      <c r="CA5064" s="20"/>
    </row>
    <row r="5065" spans="78:79" x14ac:dyDescent="0.35">
      <c r="BZ5065" s="105"/>
      <c r="CA5065" s="20"/>
    </row>
    <row r="5066" spans="78:79" x14ac:dyDescent="0.35">
      <c r="BZ5066" s="105"/>
      <c r="CA5066" s="20"/>
    </row>
    <row r="5067" spans="78:79" x14ac:dyDescent="0.35">
      <c r="BZ5067" s="105"/>
      <c r="CA5067" s="20"/>
    </row>
    <row r="5068" spans="78:79" x14ac:dyDescent="0.35">
      <c r="BZ5068" s="105"/>
      <c r="CA5068" s="20"/>
    </row>
    <row r="5069" spans="78:79" x14ac:dyDescent="0.35">
      <c r="BZ5069" s="105"/>
      <c r="CA5069" s="20"/>
    </row>
    <row r="5070" spans="78:79" x14ac:dyDescent="0.35">
      <c r="BZ5070" s="105"/>
      <c r="CA5070" s="20"/>
    </row>
    <row r="5071" spans="78:79" x14ac:dyDescent="0.35">
      <c r="BZ5071" s="105"/>
      <c r="CA5071" s="20"/>
    </row>
    <row r="5072" spans="78:79" x14ac:dyDescent="0.35">
      <c r="BZ5072" s="105"/>
      <c r="CA5072" s="20"/>
    </row>
    <row r="5073" spans="78:79" x14ac:dyDescent="0.35">
      <c r="BZ5073" s="105"/>
      <c r="CA5073" s="20"/>
    </row>
    <row r="5074" spans="78:79" x14ac:dyDescent="0.35">
      <c r="BZ5074" s="105"/>
      <c r="CA5074" s="20"/>
    </row>
    <row r="5075" spans="78:79" x14ac:dyDescent="0.35">
      <c r="BZ5075" s="105"/>
      <c r="CA5075" s="20"/>
    </row>
    <row r="5076" spans="78:79" x14ac:dyDescent="0.35">
      <c r="BZ5076" s="105"/>
      <c r="CA5076" s="20"/>
    </row>
    <row r="5077" spans="78:79" x14ac:dyDescent="0.35">
      <c r="BZ5077" s="105"/>
      <c r="CA5077" s="20"/>
    </row>
    <row r="5078" spans="78:79" x14ac:dyDescent="0.35">
      <c r="BZ5078" s="105"/>
      <c r="CA5078" s="20"/>
    </row>
    <row r="5079" spans="78:79" x14ac:dyDescent="0.35">
      <c r="BZ5079" s="105"/>
      <c r="CA5079" s="20"/>
    </row>
    <row r="5080" spans="78:79" x14ac:dyDescent="0.35">
      <c r="BZ5080" s="105"/>
      <c r="CA5080" s="20"/>
    </row>
    <row r="5081" spans="78:79" x14ac:dyDescent="0.35">
      <c r="BZ5081" s="105"/>
      <c r="CA5081" s="20"/>
    </row>
    <row r="5082" spans="78:79" x14ac:dyDescent="0.35">
      <c r="BZ5082" s="105"/>
      <c r="CA5082" s="20"/>
    </row>
    <row r="5083" spans="78:79" x14ac:dyDescent="0.35">
      <c r="BZ5083" s="105"/>
      <c r="CA5083" s="20"/>
    </row>
    <row r="5084" spans="78:79" x14ac:dyDescent="0.35">
      <c r="BZ5084" s="105"/>
      <c r="CA5084" s="20"/>
    </row>
    <row r="5085" spans="78:79" x14ac:dyDescent="0.35">
      <c r="BZ5085" s="105"/>
      <c r="CA5085" s="20"/>
    </row>
    <row r="5086" spans="78:79" x14ac:dyDescent="0.35">
      <c r="BZ5086" s="105"/>
      <c r="CA5086" s="20"/>
    </row>
    <row r="5087" spans="78:79" x14ac:dyDescent="0.35">
      <c r="BZ5087" s="105"/>
      <c r="CA5087" s="20"/>
    </row>
    <row r="5088" spans="78:79" x14ac:dyDescent="0.35">
      <c r="BZ5088" s="105"/>
      <c r="CA5088" s="20"/>
    </row>
    <row r="5089" spans="78:79" x14ac:dyDescent="0.35">
      <c r="BZ5089" s="105"/>
      <c r="CA5089" s="20"/>
    </row>
    <row r="5090" spans="78:79" x14ac:dyDescent="0.35">
      <c r="BZ5090" s="105"/>
      <c r="CA5090" s="20"/>
    </row>
    <row r="5091" spans="78:79" x14ac:dyDescent="0.35">
      <c r="BZ5091" s="105"/>
      <c r="CA5091" s="20"/>
    </row>
    <row r="5092" spans="78:79" x14ac:dyDescent="0.35">
      <c r="BZ5092" s="105"/>
      <c r="CA5092" s="20"/>
    </row>
    <row r="5093" spans="78:79" x14ac:dyDescent="0.35">
      <c r="BZ5093" s="105"/>
      <c r="CA5093" s="20"/>
    </row>
    <row r="5094" spans="78:79" x14ac:dyDescent="0.35">
      <c r="BZ5094" s="105"/>
      <c r="CA5094" s="20"/>
    </row>
    <row r="5095" spans="78:79" x14ac:dyDescent="0.35">
      <c r="BZ5095" s="105"/>
      <c r="CA5095" s="20"/>
    </row>
    <row r="5096" spans="78:79" x14ac:dyDescent="0.35">
      <c r="BZ5096" s="105"/>
      <c r="CA5096" s="20"/>
    </row>
    <row r="5097" spans="78:79" x14ac:dyDescent="0.35">
      <c r="BZ5097" s="105"/>
      <c r="CA5097" s="20"/>
    </row>
    <row r="5098" spans="78:79" x14ac:dyDescent="0.35">
      <c r="BZ5098" s="105"/>
      <c r="CA5098" s="20"/>
    </row>
    <row r="5099" spans="78:79" x14ac:dyDescent="0.35">
      <c r="BZ5099" s="105"/>
      <c r="CA5099" s="20"/>
    </row>
    <row r="5100" spans="78:79" x14ac:dyDescent="0.35">
      <c r="BZ5100" s="105"/>
      <c r="CA5100" s="20"/>
    </row>
    <row r="5101" spans="78:79" x14ac:dyDescent="0.35">
      <c r="BZ5101" s="105"/>
      <c r="CA5101" s="20"/>
    </row>
    <row r="5102" spans="78:79" x14ac:dyDescent="0.35">
      <c r="BZ5102" s="105"/>
      <c r="CA5102" s="20"/>
    </row>
    <row r="5103" spans="78:79" x14ac:dyDescent="0.35">
      <c r="BZ5103" s="105"/>
      <c r="CA5103" s="20"/>
    </row>
    <row r="5104" spans="78:79" x14ac:dyDescent="0.35">
      <c r="BZ5104" s="105"/>
      <c r="CA5104" s="20"/>
    </row>
    <row r="5105" spans="78:79" x14ac:dyDescent="0.35">
      <c r="BZ5105" s="105"/>
      <c r="CA5105" s="20"/>
    </row>
    <row r="5106" spans="78:79" x14ac:dyDescent="0.35">
      <c r="BZ5106" s="105"/>
      <c r="CA5106" s="20"/>
    </row>
    <row r="5107" spans="78:79" x14ac:dyDescent="0.35">
      <c r="BZ5107" s="105"/>
      <c r="CA5107" s="20"/>
    </row>
    <row r="5108" spans="78:79" x14ac:dyDescent="0.35">
      <c r="BZ5108" s="105"/>
      <c r="CA5108" s="20"/>
    </row>
    <row r="5109" spans="78:79" x14ac:dyDescent="0.35">
      <c r="BZ5109" s="105"/>
      <c r="CA5109" s="20"/>
    </row>
    <row r="5110" spans="78:79" x14ac:dyDescent="0.35">
      <c r="BZ5110" s="105"/>
      <c r="CA5110" s="20"/>
    </row>
    <row r="5111" spans="78:79" x14ac:dyDescent="0.35">
      <c r="BZ5111" s="105"/>
      <c r="CA5111" s="20"/>
    </row>
    <row r="5112" spans="78:79" x14ac:dyDescent="0.35">
      <c r="BZ5112" s="105"/>
      <c r="CA5112" s="20"/>
    </row>
    <row r="5113" spans="78:79" x14ac:dyDescent="0.35">
      <c r="BZ5113" s="105"/>
      <c r="CA5113" s="20"/>
    </row>
    <row r="5114" spans="78:79" x14ac:dyDescent="0.35">
      <c r="BZ5114" s="105"/>
      <c r="CA5114" s="20"/>
    </row>
    <row r="5115" spans="78:79" x14ac:dyDescent="0.35">
      <c r="BZ5115" s="105"/>
      <c r="CA5115" s="20"/>
    </row>
    <row r="5116" spans="78:79" x14ac:dyDescent="0.35">
      <c r="BZ5116" s="105"/>
      <c r="CA5116" s="20"/>
    </row>
    <row r="5117" spans="78:79" x14ac:dyDescent="0.35">
      <c r="BZ5117" s="105"/>
      <c r="CA5117" s="20"/>
    </row>
    <row r="5118" spans="78:79" x14ac:dyDescent="0.35">
      <c r="BZ5118" s="105"/>
      <c r="CA5118" s="20"/>
    </row>
    <row r="5119" spans="78:79" x14ac:dyDescent="0.35">
      <c r="BZ5119" s="105"/>
      <c r="CA5119" s="20"/>
    </row>
    <row r="5120" spans="78:79" x14ac:dyDescent="0.35">
      <c r="BZ5120" s="105"/>
      <c r="CA5120" s="20"/>
    </row>
    <row r="5121" spans="78:79" x14ac:dyDescent="0.35">
      <c r="BZ5121" s="105"/>
      <c r="CA5121" s="20"/>
    </row>
    <row r="5122" spans="78:79" x14ac:dyDescent="0.35">
      <c r="BZ5122" s="105"/>
      <c r="CA5122" s="20"/>
    </row>
    <row r="5123" spans="78:79" x14ac:dyDescent="0.35">
      <c r="BZ5123" s="105"/>
      <c r="CA5123" s="20"/>
    </row>
    <row r="5124" spans="78:79" x14ac:dyDescent="0.35">
      <c r="BZ5124" s="105"/>
      <c r="CA5124" s="20"/>
    </row>
    <row r="5125" spans="78:79" x14ac:dyDescent="0.35">
      <c r="BZ5125" s="105"/>
      <c r="CA5125" s="20"/>
    </row>
    <row r="5126" spans="78:79" x14ac:dyDescent="0.35">
      <c r="BZ5126" s="105"/>
      <c r="CA5126" s="20"/>
    </row>
    <row r="5127" spans="78:79" x14ac:dyDescent="0.35">
      <c r="BZ5127" s="105"/>
      <c r="CA5127" s="20"/>
    </row>
    <row r="5128" spans="78:79" x14ac:dyDescent="0.35">
      <c r="BZ5128" s="105"/>
      <c r="CA5128" s="20"/>
    </row>
    <row r="5129" spans="78:79" x14ac:dyDescent="0.35">
      <c r="BZ5129" s="105"/>
      <c r="CA5129" s="20"/>
    </row>
    <row r="5130" spans="78:79" x14ac:dyDescent="0.35">
      <c r="BZ5130" s="105"/>
      <c r="CA5130" s="20"/>
    </row>
    <row r="5131" spans="78:79" x14ac:dyDescent="0.35">
      <c r="BZ5131" s="105"/>
      <c r="CA5131" s="20"/>
    </row>
    <row r="5132" spans="78:79" x14ac:dyDescent="0.35">
      <c r="BZ5132" s="105"/>
      <c r="CA5132" s="20"/>
    </row>
    <row r="5133" spans="78:79" x14ac:dyDescent="0.35">
      <c r="BZ5133" s="105"/>
      <c r="CA5133" s="20"/>
    </row>
    <row r="5134" spans="78:79" x14ac:dyDescent="0.35">
      <c r="BZ5134" s="105"/>
      <c r="CA5134" s="20"/>
    </row>
    <row r="5135" spans="78:79" x14ac:dyDescent="0.35">
      <c r="BZ5135" s="105"/>
      <c r="CA5135" s="20"/>
    </row>
    <row r="5136" spans="78:79" x14ac:dyDescent="0.35">
      <c r="BZ5136" s="105"/>
      <c r="CA5136" s="20"/>
    </row>
    <row r="5137" spans="78:79" x14ac:dyDescent="0.35">
      <c r="BZ5137" s="105"/>
      <c r="CA5137" s="20"/>
    </row>
    <row r="5138" spans="78:79" x14ac:dyDescent="0.35">
      <c r="BZ5138" s="105"/>
      <c r="CA5138" s="20"/>
    </row>
    <row r="5139" spans="78:79" x14ac:dyDescent="0.35">
      <c r="BZ5139" s="105"/>
      <c r="CA5139" s="20"/>
    </row>
    <row r="5140" spans="78:79" x14ac:dyDescent="0.35">
      <c r="BZ5140" s="105"/>
      <c r="CA5140" s="20"/>
    </row>
    <row r="5141" spans="78:79" x14ac:dyDescent="0.35">
      <c r="BZ5141" s="105"/>
      <c r="CA5141" s="20"/>
    </row>
    <row r="5142" spans="78:79" x14ac:dyDescent="0.35">
      <c r="BZ5142" s="105"/>
      <c r="CA5142" s="20"/>
    </row>
    <row r="5143" spans="78:79" x14ac:dyDescent="0.35">
      <c r="BZ5143" s="105"/>
      <c r="CA5143" s="20"/>
    </row>
    <row r="5144" spans="78:79" x14ac:dyDescent="0.35">
      <c r="BZ5144" s="105"/>
      <c r="CA5144" s="20"/>
    </row>
    <row r="5145" spans="78:79" x14ac:dyDescent="0.35">
      <c r="BZ5145" s="105"/>
      <c r="CA5145" s="20"/>
    </row>
    <row r="5146" spans="78:79" x14ac:dyDescent="0.35">
      <c r="BZ5146" s="105"/>
      <c r="CA5146" s="20"/>
    </row>
    <row r="5147" spans="78:79" x14ac:dyDescent="0.35">
      <c r="BZ5147" s="105"/>
      <c r="CA5147" s="20"/>
    </row>
    <row r="5148" spans="78:79" x14ac:dyDescent="0.35">
      <c r="BZ5148" s="105"/>
      <c r="CA5148" s="20"/>
    </row>
    <row r="5149" spans="78:79" x14ac:dyDescent="0.35">
      <c r="BZ5149" s="105"/>
      <c r="CA5149" s="20"/>
    </row>
    <row r="5150" spans="78:79" x14ac:dyDescent="0.35">
      <c r="BZ5150" s="105"/>
      <c r="CA5150" s="20"/>
    </row>
    <row r="5151" spans="78:79" x14ac:dyDescent="0.35">
      <c r="BZ5151" s="105"/>
      <c r="CA5151" s="20"/>
    </row>
    <row r="5152" spans="78:79" x14ac:dyDescent="0.35">
      <c r="BZ5152" s="105"/>
      <c r="CA5152" s="20"/>
    </row>
    <row r="5153" spans="78:79" x14ac:dyDescent="0.35">
      <c r="BZ5153" s="105"/>
      <c r="CA5153" s="20"/>
    </row>
    <row r="5154" spans="78:79" x14ac:dyDescent="0.35">
      <c r="BZ5154" s="105"/>
      <c r="CA5154" s="20"/>
    </row>
    <row r="5155" spans="78:79" x14ac:dyDescent="0.35">
      <c r="BZ5155" s="105"/>
      <c r="CA5155" s="20"/>
    </row>
    <row r="5156" spans="78:79" x14ac:dyDescent="0.35">
      <c r="BZ5156" s="105"/>
      <c r="CA5156" s="20"/>
    </row>
    <row r="5157" spans="78:79" x14ac:dyDescent="0.35">
      <c r="BZ5157" s="105"/>
      <c r="CA5157" s="20"/>
    </row>
    <row r="5158" spans="78:79" x14ac:dyDescent="0.35">
      <c r="BZ5158" s="105"/>
      <c r="CA5158" s="20"/>
    </row>
    <row r="5159" spans="78:79" x14ac:dyDescent="0.35">
      <c r="BZ5159" s="105"/>
      <c r="CA5159" s="20"/>
    </row>
    <row r="5160" spans="78:79" x14ac:dyDescent="0.35">
      <c r="BZ5160" s="105"/>
      <c r="CA5160" s="20"/>
    </row>
    <row r="5161" spans="78:79" x14ac:dyDescent="0.35">
      <c r="BZ5161" s="105"/>
      <c r="CA5161" s="20"/>
    </row>
    <row r="5162" spans="78:79" x14ac:dyDescent="0.35">
      <c r="BZ5162" s="105"/>
      <c r="CA5162" s="20"/>
    </row>
    <row r="5163" spans="78:79" x14ac:dyDescent="0.35">
      <c r="BZ5163" s="105"/>
      <c r="CA5163" s="20"/>
    </row>
    <row r="5164" spans="78:79" x14ac:dyDescent="0.35">
      <c r="BZ5164" s="105"/>
      <c r="CA5164" s="20"/>
    </row>
    <row r="5165" spans="78:79" x14ac:dyDescent="0.35">
      <c r="BZ5165" s="105"/>
      <c r="CA5165" s="20"/>
    </row>
    <row r="5166" spans="78:79" x14ac:dyDescent="0.35">
      <c r="BZ5166" s="105"/>
      <c r="CA5166" s="20"/>
    </row>
    <row r="5167" spans="78:79" x14ac:dyDescent="0.35">
      <c r="BZ5167" s="105"/>
      <c r="CA5167" s="20"/>
    </row>
    <row r="5168" spans="78:79" x14ac:dyDescent="0.35">
      <c r="BZ5168" s="105"/>
      <c r="CA5168" s="20"/>
    </row>
    <row r="5169" spans="78:79" x14ac:dyDescent="0.35">
      <c r="BZ5169" s="105"/>
      <c r="CA5169" s="20"/>
    </row>
    <row r="5170" spans="78:79" x14ac:dyDescent="0.35">
      <c r="BZ5170" s="105"/>
      <c r="CA5170" s="20"/>
    </row>
    <row r="5171" spans="78:79" x14ac:dyDescent="0.35">
      <c r="BZ5171" s="105"/>
      <c r="CA5171" s="20"/>
    </row>
    <row r="5172" spans="78:79" x14ac:dyDescent="0.35">
      <c r="BZ5172" s="105"/>
      <c r="CA5172" s="20"/>
    </row>
    <row r="5173" spans="78:79" x14ac:dyDescent="0.35">
      <c r="BZ5173" s="105"/>
      <c r="CA5173" s="20"/>
    </row>
    <row r="5174" spans="78:79" x14ac:dyDescent="0.35">
      <c r="BZ5174" s="105"/>
      <c r="CA5174" s="20"/>
    </row>
    <row r="5175" spans="78:79" x14ac:dyDescent="0.35">
      <c r="BZ5175" s="105"/>
      <c r="CA5175" s="20"/>
    </row>
    <row r="5176" spans="78:79" x14ac:dyDescent="0.35">
      <c r="BZ5176" s="105"/>
      <c r="CA5176" s="20"/>
    </row>
    <row r="5177" spans="78:79" x14ac:dyDescent="0.35">
      <c r="BZ5177" s="105"/>
      <c r="CA5177" s="20"/>
    </row>
    <row r="5178" spans="78:79" x14ac:dyDescent="0.35">
      <c r="BZ5178" s="105"/>
      <c r="CA5178" s="20"/>
    </row>
    <row r="5179" spans="78:79" x14ac:dyDescent="0.35">
      <c r="BZ5179" s="105"/>
      <c r="CA5179" s="20"/>
    </row>
    <row r="5180" spans="78:79" x14ac:dyDescent="0.35">
      <c r="BZ5180" s="105"/>
      <c r="CA5180" s="20"/>
    </row>
    <row r="5181" spans="78:79" x14ac:dyDescent="0.35">
      <c r="BZ5181" s="105"/>
      <c r="CA5181" s="20"/>
    </row>
    <row r="5182" spans="78:79" x14ac:dyDescent="0.35">
      <c r="BZ5182" s="105"/>
      <c r="CA5182" s="20"/>
    </row>
    <row r="5183" spans="78:79" x14ac:dyDescent="0.35">
      <c r="BZ5183" s="105"/>
      <c r="CA5183" s="20"/>
    </row>
    <row r="5184" spans="78:79" x14ac:dyDescent="0.35">
      <c r="BZ5184" s="105"/>
      <c r="CA5184" s="20"/>
    </row>
    <row r="5185" spans="78:79" x14ac:dyDescent="0.35">
      <c r="BZ5185" s="105"/>
      <c r="CA5185" s="20"/>
    </row>
    <row r="5186" spans="78:79" x14ac:dyDescent="0.35">
      <c r="BZ5186" s="105"/>
      <c r="CA5186" s="20"/>
    </row>
    <row r="5187" spans="78:79" x14ac:dyDescent="0.35">
      <c r="BZ5187" s="105"/>
      <c r="CA5187" s="20"/>
    </row>
    <row r="5188" spans="78:79" x14ac:dyDescent="0.35">
      <c r="BZ5188" s="105"/>
      <c r="CA5188" s="20"/>
    </row>
    <row r="5189" spans="78:79" x14ac:dyDescent="0.35">
      <c r="BZ5189" s="105"/>
      <c r="CA5189" s="20"/>
    </row>
    <row r="5190" spans="78:79" x14ac:dyDescent="0.35">
      <c r="BZ5190" s="105"/>
      <c r="CA5190" s="20"/>
    </row>
    <row r="5191" spans="78:79" x14ac:dyDescent="0.35">
      <c r="BZ5191" s="105"/>
      <c r="CA5191" s="20"/>
    </row>
    <row r="5192" spans="78:79" x14ac:dyDescent="0.35">
      <c r="BZ5192" s="105"/>
      <c r="CA5192" s="20"/>
    </row>
    <row r="5193" spans="78:79" x14ac:dyDescent="0.35">
      <c r="BZ5193" s="105"/>
      <c r="CA5193" s="20"/>
    </row>
    <row r="5194" spans="78:79" x14ac:dyDescent="0.35">
      <c r="BZ5194" s="105"/>
      <c r="CA5194" s="20"/>
    </row>
    <row r="5195" spans="78:79" x14ac:dyDescent="0.35">
      <c r="BZ5195" s="105"/>
      <c r="CA5195" s="20"/>
    </row>
    <row r="5196" spans="78:79" x14ac:dyDescent="0.35">
      <c r="BZ5196" s="105"/>
      <c r="CA5196" s="20"/>
    </row>
    <row r="5197" spans="78:79" x14ac:dyDescent="0.35">
      <c r="BZ5197" s="105"/>
      <c r="CA5197" s="20"/>
    </row>
    <row r="5198" spans="78:79" x14ac:dyDescent="0.35">
      <c r="BZ5198" s="105"/>
      <c r="CA5198" s="20"/>
    </row>
    <row r="5199" spans="78:79" x14ac:dyDescent="0.35">
      <c r="BZ5199" s="105"/>
      <c r="CA5199" s="20"/>
    </row>
    <row r="5200" spans="78:79" x14ac:dyDescent="0.35">
      <c r="BZ5200" s="105"/>
      <c r="CA5200" s="20"/>
    </row>
    <row r="5201" spans="78:79" x14ac:dyDescent="0.35">
      <c r="BZ5201" s="105"/>
      <c r="CA5201" s="20"/>
    </row>
    <row r="5202" spans="78:79" x14ac:dyDescent="0.35">
      <c r="BZ5202" s="105"/>
      <c r="CA5202" s="20"/>
    </row>
    <row r="5203" spans="78:79" x14ac:dyDescent="0.35">
      <c r="BZ5203" s="105"/>
      <c r="CA5203" s="20"/>
    </row>
    <row r="5204" spans="78:79" x14ac:dyDescent="0.35">
      <c r="BZ5204" s="105"/>
      <c r="CA5204" s="20"/>
    </row>
    <row r="5205" spans="78:79" x14ac:dyDescent="0.35">
      <c r="BZ5205" s="105"/>
      <c r="CA5205" s="20"/>
    </row>
    <row r="5206" spans="78:79" x14ac:dyDescent="0.35">
      <c r="BZ5206" s="105"/>
      <c r="CA5206" s="20"/>
    </row>
    <row r="5207" spans="78:79" x14ac:dyDescent="0.35">
      <c r="BZ5207" s="105"/>
      <c r="CA5207" s="20"/>
    </row>
    <row r="5208" spans="78:79" x14ac:dyDescent="0.35">
      <c r="BZ5208" s="105"/>
      <c r="CA5208" s="20"/>
    </row>
    <row r="5209" spans="78:79" x14ac:dyDescent="0.35">
      <c r="BZ5209" s="105"/>
      <c r="CA5209" s="20"/>
    </row>
    <row r="5210" spans="78:79" x14ac:dyDescent="0.35">
      <c r="BZ5210" s="105"/>
      <c r="CA5210" s="20"/>
    </row>
    <row r="5211" spans="78:79" x14ac:dyDescent="0.35">
      <c r="BZ5211" s="105"/>
      <c r="CA5211" s="20"/>
    </row>
    <row r="5212" spans="78:79" x14ac:dyDescent="0.35">
      <c r="BZ5212" s="105"/>
      <c r="CA5212" s="20"/>
    </row>
    <row r="5213" spans="78:79" x14ac:dyDescent="0.35">
      <c r="BZ5213" s="105"/>
      <c r="CA5213" s="20"/>
    </row>
    <row r="5214" spans="78:79" x14ac:dyDescent="0.35">
      <c r="BZ5214" s="105"/>
      <c r="CA5214" s="20"/>
    </row>
    <row r="5215" spans="78:79" x14ac:dyDescent="0.35">
      <c r="BZ5215" s="105"/>
      <c r="CA5215" s="20"/>
    </row>
    <row r="5216" spans="78:79" x14ac:dyDescent="0.35">
      <c r="BZ5216" s="105"/>
      <c r="CA5216" s="20"/>
    </row>
    <row r="5217" spans="78:79" x14ac:dyDescent="0.35">
      <c r="BZ5217" s="105"/>
      <c r="CA5217" s="20"/>
    </row>
    <row r="5218" spans="78:79" x14ac:dyDescent="0.35">
      <c r="BZ5218" s="105"/>
      <c r="CA5218" s="20"/>
    </row>
    <row r="5219" spans="78:79" x14ac:dyDescent="0.35">
      <c r="BZ5219" s="105"/>
      <c r="CA5219" s="20"/>
    </row>
    <row r="5220" spans="78:79" x14ac:dyDescent="0.35">
      <c r="BZ5220" s="105"/>
      <c r="CA5220" s="20"/>
    </row>
    <row r="5221" spans="78:79" x14ac:dyDescent="0.35">
      <c r="BZ5221" s="105"/>
      <c r="CA5221" s="20"/>
    </row>
    <row r="5222" spans="78:79" x14ac:dyDescent="0.35">
      <c r="BZ5222" s="105"/>
      <c r="CA5222" s="20"/>
    </row>
    <row r="5223" spans="78:79" x14ac:dyDescent="0.35">
      <c r="BZ5223" s="105"/>
      <c r="CA5223" s="20"/>
    </row>
    <row r="5224" spans="78:79" x14ac:dyDescent="0.35">
      <c r="BZ5224" s="105"/>
      <c r="CA5224" s="20"/>
    </row>
    <row r="5225" spans="78:79" x14ac:dyDescent="0.35">
      <c r="BZ5225" s="105"/>
      <c r="CA5225" s="20"/>
    </row>
    <row r="5226" spans="78:79" x14ac:dyDescent="0.35">
      <c r="BZ5226" s="105"/>
      <c r="CA5226" s="20"/>
    </row>
    <row r="5227" spans="78:79" x14ac:dyDescent="0.35">
      <c r="BZ5227" s="105"/>
      <c r="CA5227" s="20"/>
    </row>
    <row r="5228" spans="78:79" x14ac:dyDescent="0.35">
      <c r="BZ5228" s="105"/>
      <c r="CA5228" s="20"/>
    </row>
    <row r="5229" spans="78:79" x14ac:dyDescent="0.35">
      <c r="BZ5229" s="105"/>
      <c r="CA5229" s="20"/>
    </row>
    <row r="5230" spans="78:79" x14ac:dyDescent="0.35">
      <c r="BZ5230" s="105"/>
      <c r="CA5230" s="20"/>
    </row>
    <row r="5231" spans="78:79" x14ac:dyDescent="0.35">
      <c r="BZ5231" s="105"/>
      <c r="CA5231" s="20"/>
    </row>
    <row r="5232" spans="78:79" x14ac:dyDescent="0.35">
      <c r="BZ5232" s="105"/>
      <c r="CA5232" s="20"/>
    </row>
    <row r="5233" spans="78:79" x14ac:dyDescent="0.35">
      <c r="BZ5233" s="105"/>
      <c r="CA5233" s="20"/>
    </row>
    <row r="5234" spans="78:79" x14ac:dyDescent="0.35">
      <c r="BZ5234" s="105"/>
      <c r="CA5234" s="20"/>
    </row>
    <row r="5235" spans="78:79" x14ac:dyDescent="0.35">
      <c r="BZ5235" s="105"/>
      <c r="CA5235" s="20"/>
    </row>
    <row r="5236" spans="78:79" x14ac:dyDescent="0.35">
      <c r="BZ5236" s="105"/>
      <c r="CA5236" s="20"/>
    </row>
    <row r="5237" spans="78:79" x14ac:dyDescent="0.35">
      <c r="BZ5237" s="105"/>
      <c r="CA5237" s="20"/>
    </row>
    <row r="5238" spans="78:79" x14ac:dyDescent="0.35">
      <c r="BZ5238" s="105"/>
      <c r="CA5238" s="20"/>
    </row>
    <row r="5239" spans="78:79" x14ac:dyDescent="0.35">
      <c r="BZ5239" s="105"/>
      <c r="CA5239" s="20"/>
    </row>
    <row r="5240" spans="78:79" x14ac:dyDescent="0.35">
      <c r="BZ5240" s="105"/>
      <c r="CA5240" s="20"/>
    </row>
    <row r="5241" spans="78:79" x14ac:dyDescent="0.35">
      <c r="BZ5241" s="105"/>
      <c r="CA5241" s="20"/>
    </row>
    <row r="5242" spans="78:79" x14ac:dyDescent="0.35">
      <c r="BZ5242" s="105"/>
      <c r="CA5242" s="20"/>
    </row>
    <row r="5243" spans="78:79" x14ac:dyDescent="0.35">
      <c r="BZ5243" s="105"/>
      <c r="CA5243" s="20"/>
    </row>
    <row r="5244" spans="78:79" x14ac:dyDescent="0.35">
      <c r="BZ5244" s="105"/>
      <c r="CA5244" s="20"/>
    </row>
    <row r="5245" spans="78:79" x14ac:dyDescent="0.35">
      <c r="BZ5245" s="105"/>
      <c r="CA5245" s="20"/>
    </row>
    <row r="5246" spans="78:79" x14ac:dyDescent="0.35">
      <c r="BZ5246" s="105"/>
      <c r="CA5246" s="20"/>
    </row>
    <row r="5247" spans="78:79" x14ac:dyDescent="0.35">
      <c r="BZ5247" s="105"/>
      <c r="CA5247" s="20"/>
    </row>
    <row r="5248" spans="78:79" x14ac:dyDescent="0.35">
      <c r="BZ5248" s="105"/>
      <c r="CA5248" s="20"/>
    </row>
    <row r="5249" spans="78:79" x14ac:dyDescent="0.35">
      <c r="BZ5249" s="105"/>
      <c r="CA5249" s="20"/>
    </row>
    <row r="5250" spans="78:79" x14ac:dyDescent="0.35">
      <c r="BZ5250" s="105"/>
      <c r="CA5250" s="20"/>
    </row>
    <row r="5251" spans="78:79" x14ac:dyDescent="0.35">
      <c r="BZ5251" s="105"/>
      <c r="CA5251" s="20"/>
    </row>
    <row r="5252" spans="78:79" x14ac:dyDescent="0.35">
      <c r="BZ5252" s="105"/>
      <c r="CA5252" s="20"/>
    </row>
    <row r="5253" spans="78:79" x14ac:dyDescent="0.35">
      <c r="BZ5253" s="105"/>
      <c r="CA5253" s="20"/>
    </row>
    <row r="5254" spans="78:79" x14ac:dyDescent="0.35">
      <c r="BZ5254" s="105"/>
      <c r="CA5254" s="20"/>
    </row>
    <row r="5255" spans="78:79" x14ac:dyDescent="0.35">
      <c r="BZ5255" s="105"/>
      <c r="CA5255" s="20"/>
    </row>
    <row r="5256" spans="78:79" x14ac:dyDescent="0.35">
      <c r="BZ5256" s="105"/>
      <c r="CA5256" s="20"/>
    </row>
    <row r="5257" spans="78:79" x14ac:dyDescent="0.35">
      <c r="BZ5257" s="105"/>
      <c r="CA5257" s="20"/>
    </row>
    <row r="5258" spans="78:79" x14ac:dyDescent="0.35">
      <c r="BZ5258" s="105"/>
      <c r="CA5258" s="20"/>
    </row>
    <row r="5259" spans="78:79" x14ac:dyDescent="0.35">
      <c r="BZ5259" s="105"/>
      <c r="CA5259" s="20"/>
    </row>
    <row r="5260" spans="78:79" x14ac:dyDescent="0.35">
      <c r="BZ5260" s="105"/>
      <c r="CA5260" s="20"/>
    </row>
    <row r="5261" spans="78:79" x14ac:dyDescent="0.35">
      <c r="BZ5261" s="105"/>
      <c r="CA5261" s="20"/>
    </row>
    <row r="5262" spans="78:79" x14ac:dyDescent="0.35">
      <c r="BZ5262" s="105"/>
      <c r="CA5262" s="20"/>
    </row>
    <row r="5263" spans="78:79" x14ac:dyDescent="0.35">
      <c r="BZ5263" s="105"/>
      <c r="CA5263" s="20"/>
    </row>
    <row r="5264" spans="78:79" x14ac:dyDescent="0.35">
      <c r="BZ5264" s="105"/>
      <c r="CA5264" s="20"/>
    </row>
    <row r="5265" spans="78:79" x14ac:dyDescent="0.35">
      <c r="BZ5265" s="105"/>
      <c r="CA5265" s="20"/>
    </row>
    <row r="5266" spans="78:79" x14ac:dyDescent="0.35">
      <c r="BZ5266" s="105"/>
      <c r="CA5266" s="20"/>
    </row>
    <row r="5267" spans="78:79" x14ac:dyDescent="0.35">
      <c r="BZ5267" s="105"/>
      <c r="CA5267" s="20"/>
    </row>
    <row r="5268" spans="78:79" x14ac:dyDescent="0.35">
      <c r="BZ5268" s="105"/>
      <c r="CA5268" s="20"/>
    </row>
    <row r="5269" spans="78:79" x14ac:dyDescent="0.35">
      <c r="BZ5269" s="105"/>
      <c r="CA5269" s="20"/>
    </row>
    <row r="5270" spans="78:79" x14ac:dyDescent="0.35">
      <c r="BZ5270" s="105"/>
      <c r="CA5270" s="20"/>
    </row>
    <row r="5271" spans="78:79" x14ac:dyDescent="0.35">
      <c r="BZ5271" s="105"/>
      <c r="CA5271" s="20"/>
    </row>
    <row r="5272" spans="78:79" x14ac:dyDescent="0.35">
      <c r="BZ5272" s="105"/>
      <c r="CA5272" s="20"/>
    </row>
    <row r="5273" spans="78:79" x14ac:dyDescent="0.35">
      <c r="BZ5273" s="105"/>
      <c r="CA5273" s="20"/>
    </row>
    <row r="5274" spans="78:79" x14ac:dyDescent="0.35">
      <c r="BZ5274" s="105"/>
      <c r="CA5274" s="20"/>
    </row>
    <row r="5275" spans="78:79" x14ac:dyDescent="0.35">
      <c r="BZ5275" s="105"/>
      <c r="CA5275" s="20"/>
    </row>
    <row r="5276" spans="78:79" x14ac:dyDescent="0.35">
      <c r="BZ5276" s="105"/>
      <c r="CA5276" s="20"/>
    </row>
    <row r="5277" spans="78:79" x14ac:dyDescent="0.35">
      <c r="BZ5277" s="105"/>
      <c r="CA5277" s="20"/>
    </row>
    <row r="5278" spans="78:79" x14ac:dyDescent="0.35">
      <c r="BZ5278" s="105"/>
      <c r="CA5278" s="20"/>
    </row>
    <row r="5279" spans="78:79" x14ac:dyDescent="0.35">
      <c r="BZ5279" s="105"/>
      <c r="CA5279" s="20"/>
    </row>
    <row r="5280" spans="78:79" x14ac:dyDescent="0.35">
      <c r="BZ5280" s="105"/>
      <c r="CA5280" s="20"/>
    </row>
    <row r="5281" spans="78:79" x14ac:dyDescent="0.35">
      <c r="BZ5281" s="105"/>
      <c r="CA5281" s="20"/>
    </row>
    <row r="5282" spans="78:79" x14ac:dyDescent="0.35">
      <c r="BZ5282" s="105"/>
      <c r="CA5282" s="20"/>
    </row>
    <row r="5283" spans="78:79" x14ac:dyDescent="0.35">
      <c r="BZ5283" s="105"/>
      <c r="CA5283" s="20"/>
    </row>
    <row r="5284" spans="78:79" x14ac:dyDescent="0.35">
      <c r="BZ5284" s="105"/>
      <c r="CA5284" s="20"/>
    </row>
    <row r="5285" spans="78:79" x14ac:dyDescent="0.35">
      <c r="BZ5285" s="105"/>
      <c r="CA5285" s="20"/>
    </row>
    <row r="5286" spans="78:79" x14ac:dyDescent="0.35">
      <c r="BZ5286" s="105"/>
      <c r="CA5286" s="20"/>
    </row>
    <row r="5287" spans="78:79" x14ac:dyDescent="0.35">
      <c r="BZ5287" s="105"/>
      <c r="CA5287" s="20"/>
    </row>
    <row r="5288" spans="78:79" x14ac:dyDescent="0.35">
      <c r="BZ5288" s="105"/>
      <c r="CA5288" s="20"/>
    </row>
    <row r="5289" spans="78:79" x14ac:dyDescent="0.35">
      <c r="BZ5289" s="105"/>
      <c r="CA5289" s="20"/>
    </row>
    <row r="5290" spans="78:79" x14ac:dyDescent="0.35">
      <c r="BZ5290" s="105"/>
      <c r="CA5290" s="20"/>
    </row>
    <row r="5291" spans="78:79" x14ac:dyDescent="0.35">
      <c r="BZ5291" s="105"/>
      <c r="CA5291" s="20"/>
    </row>
    <row r="5292" spans="78:79" x14ac:dyDescent="0.35">
      <c r="BZ5292" s="105"/>
      <c r="CA5292" s="20"/>
    </row>
    <row r="5293" spans="78:79" x14ac:dyDescent="0.35">
      <c r="BZ5293" s="105"/>
      <c r="CA5293" s="20"/>
    </row>
    <row r="5294" spans="78:79" x14ac:dyDescent="0.35">
      <c r="BZ5294" s="105"/>
      <c r="CA5294" s="20"/>
    </row>
    <row r="5295" spans="78:79" x14ac:dyDescent="0.35">
      <c r="BZ5295" s="105"/>
      <c r="CA5295" s="20"/>
    </row>
    <row r="5296" spans="78:79" x14ac:dyDescent="0.35">
      <c r="BZ5296" s="105"/>
      <c r="CA5296" s="20"/>
    </row>
    <row r="5297" spans="78:79" x14ac:dyDescent="0.35">
      <c r="BZ5297" s="105"/>
      <c r="CA5297" s="20"/>
    </row>
    <row r="5298" spans="78:79" x14ac:dyDescent="0.35">
      <c r="BZ5298" s="105"/>
      <c r="CA5298" s="20"/>
    </row>
    <row r="5299" spans="78:79" x14ac:dyDescent="0.35">
      <c r="BZ5299" s="105"/>
      <c r="CA5299" s="20"/>
    </row>
    <row r="5300" spans="78:79" x14ac:dyDescent="0.35">
      <c r="BZ5300" s="105"/>
      <c r="CA5300" s="20"/>
    </row>
    <row r="5301" spans="78:79" x14ac:dyDescent="0.35">
      <c r="BZ5301" s="105"/>
      <c r="CA5301" s="20"/>
    </row>
    <row r="5302" spans="78:79" x14ac:dyDescent="0.35">
      <c r="BZ5302" s="105"/>
      <c r="CA5302" s="20"/>
    </row>
    <row r="5303" spans="78:79" x14ac:dyDescent="0.35">
      <c r="BZ5303" s="105"/>
      <c r="CA5303" s="20"/>
    </row>
    <row r="5304" spans="78:79" x14ac:dyDescent="0.35">
      <c r="BZ5304" s="105"/>
      <c r="CA5304" s="20"/>
    </row>
    <row r="5305" spans="78:79" x14ac:dyDescent="0.35">
      <c r="BZ5305" s="105"/>
      <c r="CA5305" s="20"/>
    </row>
    <row r="5306" spans="78:79" x14ac:dyDescent="0.35">
      <c r="BZ5306" s="105"/>
      <c r="CA5306" s="20"/>
    </row>
    <row r="5307" spans="78:79" x14ac:dyDescent="0.35">
      <c r="BZ5307" s="105"/>
      <c r="CA5307" s="20"/>
    </row>
    <row r="5308" spans="78:79" x14ac:dyDescent="0.35">
      <c r="BZ5308" s="105"/>
      <c r="CA5308" s="20"/>
    </row>
    <row r="5309" spans="78:79" x14ac:dyDescent="0.35">
      <c r="BZ5309" s="105"/>
      <c r="CA5309" s="20"/>
    </row>
    <row r="5310" spans="78:79" x14ac:dyDescent="0.35">
      <c r="BZ5310" s="105"/>
      <c r="CA5310" s="20"/>
    </row>
    <row r="5311" spans="78:79" x14ac:dyDescent="0.35">
      <c r="BZ5311" s="105"/>
      <c r="CA5311" s="20"/>
    </row>
    <row r="5312" spans="78:79" x14ac:dyDescent="0.35">
      <c r="BZ5312" s="105"/>
      <c r="CA5312" s="20"/>
    </row>
    <row r="5313" spans="78:79" x14ac:dyDescent="0.35">
      <c r="BZ5313" s="105"/>
      <c r="CA5313" s="20"/>
    </row>
    <row r="5314" spans="78:79" x14ac:dyDescent="0.35">
      <c r="BZ5314" s="105"/>
      <c r="CA5314" s="20"/>
    </row>
    <row r="5315" spans="78:79" x14ac:dyDescent="0.35">
      <c r="BZ5315" s="105"/>
      <c r="CA5315" s="20"/>
    </row>
    <row r="5316" spans="78:79" x14ac:dyDescent="0.35">
      <c r="BZ5316" s="105"/>
      <c r="CA5316" s="20"/>
    </row>
    <row r="5317" spans="78:79" x14ac:dyDescent="0.35">
      <c r="BZ5317" s="105"/>
      <c r="CA5317" s="20"/>
    </row>
    <row r="5318" spans="78:79" x14ac:dyDescent="0.35">
      <c r="BZ5318" s="105"/>
      <c r="CA5318" s="20"/>
    </row>
    <row r="5319" spans="78:79" x14ac:dyDescent="0.35">
      <c r="BZ5319" s="105"/>
      <c r="CA5319" s="20"/>
    </row>
    <row r="5320" spans="78:79" x14ac:dyDescent="0.35">
      <c r="BZ5320" s="105"/>
      <c r="CA5320" s="20"/>
    </row>
    <row r="5321" spans="78:79" x14ac:dyDescent="0.35">
      <c r="BZ5321" s="105"/>
      <c r="CA5321" s="20"/>
    </row>
    <row r="5322" spans="78:79" x14ac:dyDescent="0.35">
      <c r="BZ5322" s="105"/>
      <c r="CA5322" s="20"/>
    </row>
    <row r="5323" spans="78:79" x14ac:dyDescent="0.35">
      <c r="BZ5323" s="105"/>
      <c r="CA5323" s="20"/>
    </row>
    <row r="5324" spans="78:79" x14ac:dyDescent="0.35">
      <c r="BZ5324" s="105"/>
      <c r="CA5324" s="20"/>
    </row>
    <row r="5325" spans="78:79" x14ac:dyDescent="0.35">
      <c r="BZ5325" s="105"/>
      <c r="CA5325" s="20"/>
    </row>
    <row r="5326" spans="78:79" x14ac:dyDescent="0.35">
      <c r="BZ5326" s="105"/>
      <c r="CA5326" s="20"/>
    </row>
    <row r="5327" spans="78:79" x14ac:dyDescent="0.35">
      <c r="BZ5327" s="105"/>
      <c r="CA5327" s="20"/>
    </row>
    <row r="5328" spans="78:79" x14ac:dyDescent="0.35">
      <c r="BZ5328" s="105"/>
      <c r="CA5328" s="20"/>
    </row>
    <row r="5329" spans="78:79" x14ac:dyDescent="0.35">
      <c r="BZ5329" s="105"/>
      <c r="CA5329" s="20"/>
    </row>
    <row r="5330" spans="78:79" x14ac:dyDescent="0.35">
      <c r="BZ5330" s="105"/>
      <c r="CA5330" s="20"/>
    </row>
    <row r="5331" spans="78:79" x14ac:dyDescent="0.35">
      <c r="BZ5331" s="105"/>
      <c r="CA5331" s="20"/>
    </row>
    <row r="5332" spans="78:79" x14ac:dyDescent="0.35">
      <c r="BZ5332" s="105"/>
      <c r="CA5332" s="20"/>
    </row>
    <row r="5333" spans="78:79" x14ac:dyDescent="0.35">
      <c r="BZ5333" s="105"/>
      <c r="CA5333" s="20"/>
    </row>
    <row r="5334" spans="78:79" x14ac:dyDescent="0.35">
      <c r="BZ5334" s="105"/>
      <c r="CA5334" s="20"/>
    </row>
    <row r="5335" spans="78:79" x14ac:dyDescent="0.35">
      <c r="BZ5335" s="105"/>
      <c r="CA5335" s="20"/>
    </row>
    <row r="5336" spans="78:79" x14ac:dyDescent="0.35">
      <c r="BZ5336" s="105"/>
      <c r="CA5336" s="20"/>
    </row>
    <row r="5337" spans="78:79" x14ac:dyDescent="0.35">
      <c r="BZ5337" s="105"/>
      <c r="CA5337" s="20"/>
    </row>
    <row r="5338" spans="78:79" x14ac:dyDescent="0.35">
      <c r="BZ5338" s="105"/>
      <c r="CA5338" s="20"/>
    </row>
    <row r="5339" spans="78:79" x14ac:dyDescent="0.35">
      <c r="BZ5339" s="105"/>
      <c r="CA5339" s="20"/>
    </row>
    <row r="5340" spans="78:79" x14ac:dyDescent="0.35">
      <c r="BZ5340" s="105"/>
      <c r="CA5340" s="20"/>
    </row>
    <row r="5341" spans="78:79" x14ac:dyDescent="0.35">
      <c r="BZ5341" s="105"/>
      <c r="CA5341" s="20"/>
    </row>
    <row r="5342" spans="78:79" x14ac:dyDescent="0.35">
      <c r="BZ5342" s="105"/>
      <c r="CA5342" s="20"/>
    </row>
    <row r="5343" spans="78:79" x14ac:dyDescent="0.35">
      <c r="BZ5343" s="105"/>
      <c r="CA5343" s="20"/>
    </row>
    <row r="5344" spans="78:79" x14ac:dyDescent="0.35">
      <c r="BZ5344" s="105"/>
      <c r="CA5344" s="20"/>
    </row>
    <row r="5345" spans="78:79" x14ac:dyDescent="0.35">
      <c r="BZ5345" s="105"/>
      <c r="CA5345" s="20"/>
    </row>
    <row r="5346" spans="78:79" x14ac:dyDescent="0.35">
      <c r="BZ5346" s="105"/>
      <c r="CA5346" s="20"/>
    </row>
    <row r="5347" spans="78:79" x14ac:dyDescent="0.35">
      <c r="BZ5347" s="105"/>
      <c r="CA5347" s="20"/>
    </row>
    <row r="5348" spans="78:79" x14ac:dyDescent="0.35">
      <c r="BZ5348" s="105"/>
      <c r="CA5348" s="20"/>
    </row>
    <row r="5349" spans="78:79" x14ac:dyDescent="0.35">
      <c r="BZ5349" s="105"/>
      <c r="CA5349" s="20"/>
    </row>
    <row r="5350" spans="78:79" x14ac:dyDescent="0.35">
      <c r="BZ5350" s="105"/>
      <c r="CA5350" s="20"/>
    </row>
    <row r="5351" spans="78:79" x14ac:dyDescent="0.35">
      <c r="BZ5351" s="105"/>
      <c r="CA5351" s="20"/>
    </row>
    <row r="5352" spans="78:79" x14ac:dyDescent="0.35">
      <c r="BZ5352" s="105"/>
      <c r="CA5352" s="20"/>
    </row>
    <row r="5353" spans="78:79" x14ac:dyDescent="0.35">
      <c r="BZ5353" s="105"/>
      <c r="CA5353" s="20"/>
    </row>
    <row r="5354" spans="78:79" x14ac:dyDescent="0.35">
      <c r="BZ5354" s="105"/>
      <c r="CA5354" s="20"/>
    </row>
    <row r="5355" spans="78:79" x14ac:dyDescent="0.35">
      <c r="BZ5355" s="105"/>
      <c r="CA5355" s="20"/>
    </row>
    <row r="5356" spans="78:79" x14ac:dyDescent="0.35">
      <c r="BZ5356" s="105"/>
      <c r="CA5356" s="20"/>
    </row>
    <row r="5357" spans="78:79" x14ac:dyDescent="0.35">
      <c r="BZ5357" s="105"/>
      <c r="CA5357" s="20"/>
    </row>
    <row r="5358" spans="78:79" x14ac:dyDescent="0.35">
      <c r="BZ5358" s="105"/>
      <c r="CA5358" s="20"/>
    </row>
    <row r="5359" spans="78:79" x14ac:dyDescent="0.35">
      <c r="BZ5359" s="105"/>
      <c r="CA5359" s="20"/>
    </row>
    <row r="5360" spans="78:79" x14ac:dyDescent="0.35">
      <c r="BZ5360" s="105"/>
      <c r="CA5360" s="20"/>
    </row>
    <row r="5361" spans="78:79" x14ac:dyDescent="0.35">
      <c r="BZ5361" s="105"/>
      <c r="CA5361" s="20"/>
    </row>
    <row r="5362" spans="78:79" x14ac:dyDescent="0.35">
      <c r="BZ5362" s="105"/>
      <c r="CA5362" s="20"/>
    </row>
    <row r="5363" spans="78:79" x14ac:dyDescent="0.35">
      <c r="BZ5363" s="105"/>
      <c r="CA5363" s="20"/>
    </row>
    <row r="5364" spans="78:79" x14ac:dyDescent="0.35">
      <c r="BZ5364" s="105"/>
      <c r="CA5364" s="20"/>
    </row>
    <row r="5365" spans="78:79" x14ac:dyDescent="0.35">
      <c r="BZ5365" s="105"/>
      <c r="CA5365" s="20"/>
    </row>
    <row r="5366" spans="78:79" x14ac:dyDescent="0.35">
      <c r="BZ5366" s="105"/>
      <c r="CA5366" s="20"/>
    </row>
    <row r="5367" spans="78:79" x14ac:dyDescent="0.35">
      <c r="BZ5367" s="105"/>
      <c r="CA5367" s="20"/>
    </row>
    <row r="5368" spans="78:79" x14ac:dyDescent="0.35">
      <c r="BZ5368" s="105"/>
      <c r="CA5368" s="20"/>
    </row>
    <row r="5369" spans="78:79" x14ac:dyDescent="0.35">
      <c r="BZ5369" s="105"/>
      <c r="CA5369" s="20"/>
    </row>
    <row r="5370" spans="78:79" x14ac:dyDescent="0.35">
      <c r="BZ5370" s="105"/>
      <c r="CA5370" s="20"/>
    </row>
    <row r="5371" spans="78:79" x14ac:dyDescent="0.35">
      <c r="BZ5371" s="105"/>
      <c r="CA5371" s="20"/>
    </row>
    <row r="5372" spans="78:79" x14ac:dyDescent="0.35">
      <c r="BZ5372" s="105"/>
      <c r="CA5372" s="20"/>
    </row>
    <row r="5373" spans="78:79" x14ac:dyDescent="0.35">
      <c r="BZ5373" s="105"/>
      <c r="CA5373" s="20"/>
    </row>
    <row r="5374" spans="78:79" x14ac:dyDescent="0.35">
      <c r="BZ5374" s="105"/>
      <c r="CA5374" s="20"/>
    </row>
    <row r="5375" spans="78:79" x14ac:dyDescent="0.35">
      <c r="BZ5375" s="105"/>
      <c r="CA5375" s="20"/>
    </row>
    <row r="5376" spans="78:79" x14ac:dyDescent="0.35">
      <c r="BZ5376" s="105"/>
      <c r="CA5376" s="20"/>
    </row>
    <row r="5377" spans="78:79" x14ac:dyDescent="0.35">
      <c r="BZ5377" s="105"/>
      <c r="CA5377" s="20"/>
    </row>
    <row r="5378" spans="78:79" x14ac:dyDescent="0.35">
      <c r="BZ5378" s="105"/>
      <c r="CA5378" s="20"/>
    </row>
    <row r="5379" spans="78:79" x14ac:dyDescent="0.35">
      <c r="BZ5379" s="105"/>
      <c r="CA5379" s="20"/>
    </row>
    <row r="5380" spans="78:79" x14ac:dyDescent="0.35">
      <c r="BZ5380" s="105"/>
      <c r="CA5380" s="20"/>
    </row>
    <row r="5381" spans="78:79" x14ac:dyDescent="0.35">
      <c r="BZ5381" s="105"/>
      <c r="CA5381" s="20"/>
    </row>
    <row r="5382" spans="78:79" x14ac:dyDescent="0.35">
      <c r="BZ5382" s="105"/>
      <c r="CA5382" s="20"/>
    </row>
    <row r="5383" spans="78:79" x14ac:dyDescent="0.35">
      <c r="BZ5383" s="105"/>
      <c r="CA5383" s="20"/>
    </row>
    <row r="5384" spans="78:79" x14ac:dyDescent="0.35">
      <c r="BZ5384" s="105"/>
      <c r="CA5384" s="20"/>
    </row>
    <row r="5385" spans="78:79" x14ac:dyDescent="0.35">
      <c r="BZ5385" s="105"/>
      <c r="CA5385" s="20"/>
    </row>
    <row r="5386" spans="78:79" x14ac:dyDescent="0.35">
      <c r="BZ5386" s="105"/>
      <c r="CA5386" s="20"/>
    </row>
    <row r="5387" spans="78:79" x14ac:dyDescent="0.35">
      <c r="BZ5387" s="105"/>
      <c r="CA5387" s="20"/>
    </row>
    <row r="5388" spans="78:79" x14ac:dyDescent="0.35">
      <c r="BZ5388" s="105"/>
      <c r="CA5388" s="20"/>
    </row>
    <row r="5389" spans="78:79" x14ac:dyDescent="0.35">
      <c r="BZ5389" s="105"/>
      <c r="CA5389" s="20"/>
    </row>
    <row r="5390" spans="78:79" x14ac:dyDescent="0.35">
      <c r="BZ5390" s="105"/>
      <c r="CA5390" s="20"/>
    </row>
    <row r="5391" spans="78:79" x14ac:dyDescent="0.35">
      <c r="BZ5391" s="105"/>
      <c r="CA5391" s="20"/>
    </row>
    <row r="5392" spans="78:79" x14ac:dyDescent="0.35">
      <c r="BZ5392" s="105"/>
      <c r="CA5392" s="20"/>
    </row>
    <row r="5393" spans="78:79" x14ac:dyDescent="0.35">
      <c r="BZ5393" s="105"/>
      <c r="CA5393" s="20"/>
    </row>
    <row r="5394" spans="78:79" x14ac:dyDescent="0.35">
      <c r="BZ5394" s="105"/>
      <c r="CA5394" s="20"/>
    </row>
    <row r="5395" spans="78:79" x14ac:dyDescent="0.35">
      <c r="BZ5395" s="105"/>
      <c r="CA5395" s="20"/>
    </row>
    <row r="5396" spans="78:79" x14ac:dyDescent="0.35">
      <c r="BZ5396" s="105"/>
      <c r="CA5396" s="20"/>
    </row>
    <row r="5397" spans="78:79" x14ac:dyDescent="0.35">
      <c r="BZ5397" s="105"/>
      <c r="CA5397" s="20"/>
    </row>
    <row r="5398" spans="78:79" x14ac:dyDescent="0.35">
      <c r="BZ5398" s="105"/>
      <c r="CA5398" s="20"/>
    </row>
    <row r="5399" spans="78:79" x14ac:dyDescent="0.35">
      <c r="BZ5399" s="105"/>
      <c r="CA5399" s="20"/>
    </row>
    <row r="5400" spans="78:79" x14ac:dyDescent="0.35">
      <c r="BZ5400" s="105"/>
      <c r="CA5400" s="20"/>
    </row>
    <row r="5401" spans="78:79" x14ac:dyDescent="0.35">
      <c r="BZ5401" s="105"/>
      <c r="CA5401" s="20"/>
    </row>
    <row r="5402" spans="78:79" x14ac:dyDescent="0.35">
      <c r="BZ5402" s="105"/>
      <c r="CA5402" s="20"/>
    </row>
    <row r="5403" spans="78:79" x14ac:dyDescent="0.35">
      <c r="BZ5403" s="105"/>
      <c r="CA5403" s="20"/>
    </row>
    <row r="5404" spans="78:79" x14ac:dyDescent="0.35">
      <c r="BZ5404" s="105"/>
      <c r="CA5404" s="20"/>
    </row>
    <row r="5405" spans="78:79" x14ac:dyDescent="0.35">
      <c r="BZ5405" s="105"/>
      <c r="CA5405" s="20"/>
    </row>
    <row r="5406" spans="78:79" x14ac:dyDescent="0.35">
      <c r="BZ5406" s="105"/>
      <c r="CA5406" s="20"/>
    </row>
    <row r="5407" spans="78:79" x14ac:dyDescent="0.35">
      <c r="BZ5407" s="105"/>
      <c r="CA5407" s="20"/>
    </row>
    <row r="5408" spans="78:79" x14ac:dyDescent="0.35">
      <c r="BZ5408" s="105"/>
      <c r="CA5408" s="20"/>
    </row>
    <row r="5409" spans="78:79" x14ac:dyDescent="0.35">
      <c r="BZ5409" s="105"/>
      <c r="CA5409" s="20"/>
    </row>
    <row r="5410" spans="78:79" x14ac:dyDescent="0.35">
      <c r="BZ5410" s="105"/>
      <c r="CA5410" s="20"/>
    </row>
    <row r="5411" spans="78:79" x14ac:dyDescent="0.35">
      <c r="BZ5411" s="105"/>
      <c r="CA5411" s="20"/>
    </row>
    <row r="5412" spans="78:79" x14ac:dyDescent="0.35">
      <c r="BZ5412" s="105"/>
      <c r="CA5412" s="20"/>
    </row>
    <row r="5413" spans="78:79" x14ac:dyDescent="0.35">
      <c r="BZ5413" s="105"/>
      <c r="CA5413" s="20"/>
    </row>
    <row r="5414" spans="78:79" x14ac:dyDescent="0.35">
      <c r="BZ5414" s="105"/>
      <c r="CA5414" s="20"/>
    </row>
    <row r="5415" spans="78:79" x14ac:dyDescent="0.35">
      <c r="BZ5415" s="105"/>
      <c r="CA5415" s="20"/>
    </row>
    <row r="5416" spans="78:79" x14ac:dyDescent="0.35">
      <c r="BZ5416" s="105"/>
      <c r="CA5416" s="20"/>
    </row>
    <row r="5417" spans="78:79" x14ac:dyDescent="0.35">
      <c r="BZ5417" s="105"/>
      <c r="CA5417" s="20"/>
    </row>
    <row r="5418" spans="78:79" x14ac:dyDescent="0.35">
      <c r="BZ5418" s="105"/>
      <c r="CA5418" s="20"/>
    </row>
    <row r="5419" spans="78:79" x14ac:dyDescent="0.35">
      <c r="BZ5419" s="105"/>
      <c r="CA5419" s="20"/>
    </row>
    <row r="5420" spans="78:79" x14ac:dyDescent="0.35">
      <c r="BZ5420" s="105"/>
      <c r="CA5420" s="20"/>
    </row>
    <row r="5421" spans="78:79" x14ac:dyDescent="0.35">
      <c r="BZ5421" s="105"/>
      <c r="CA5421" s="20"/>
    </row>
    <row r="5422" spans="78:79" x14ac:dyDescent="0.35">
      <c r="BZ5422" s="105"/>
      <c r="CA5422" s="20"/>
    </row>
    <row r="5423" spans="78:79" x14ac:dyDescent="0.35">
      <c r="BZ5423" s="105"/>
      <c r="CA5423" s="20"/>
    </row>
    <row r="5424" spans="78:79" x14ac:dyDescent="0.35">
      <c r="BZ5424" s="105"/>
      <c r="CA5424" s="20"/>
    </row>
    <row r="5425" spans="78:79" x14ac:dyDescent="0.35">
      <c r="BZ5425" s="105"/>
      <c r="CA5425" s="20"/>
    </row>
    <row r="5426" spans="78:79" x14ac:dyDescent="0.35">
      <c r="BZ5426" s="105"/>
      <c r="CA5426" s="20"/>
    </row>
    <row r="5427" spans="78:79" x14ac:dyDescent="0.35">
      <c r="BZ5427" s="105"/>
      <c r="CA5427" s="20"/>
    </row>
    <row r="5428" spans="78:79" x14ac:dyDescent="0.35">
      <c r="BZ5428" s="105"/>
      <c r="CA5428" s="20"/>
    </row>
    <row r="5429" spans="78:79" x14ac:dyDescent="0.35">
      <c r="BZ5429" s="105"/>
      <c r="CA5429" s="20"/>
    </row>
    <row r="5430" spans="78:79" x14ac:dyDescent="0.35">
      <c r="BZ5430" s="105"/>
      <c r="CA5430" s="20"/>
    </row>
    <row r="5431" spans="78:79" x14ac:dyDescent="0.35">
      <c r="BZ5431" s="105"/>
      <c r="CA5431" s="20"/>
    </row>
    <row r="5432" spans="78:79" x14ac:dyDescent="0.35">
      <c r="BZ5432" s="105"/>
      <c r="CA5432" s="20"/>
    </row>
    <row r="5433" spans="78:79" x14ac:dyDescent="0.35">
      <c r="BZ5433" s="105"/>
      <c r="CA5433" s="20"/>
    </row>
    <row r="5434" spans="78:79" x14ac:dyDescent="0.35">
      <c r="BZ5434" s="105"/>
      <c r="CA5434" s="20"/>
    </row>
    <row r="5435" spans="78:79" x14ac:dyDescent="0.35">
      <c r="BZ5435" s="105"/>
      <c r="CA5435" s="20"/>
    </row>
    <row r="5436" spans="78:79" x14ac:dyDescent="0.35">
      <c r="BZ5436" s="105"/>
      <c r="CA5436" s="20"/>
    </row>
    <row r="5437" spans="78:79" x14ac:dyDescent="0.35">
      <c r="BZ5437" s="105"/>
      <c r="CA5437" s="20"/>
    </row>
    <row r="5438" spans="78:79" x14ac:dyDescent="0.35">
      <c r="BZ5438" s="105"/>
      <c r="CA5438" s="20"/>
    </row>
    <row r="5439" spans="78:79" x14ac:dyDescent="0.35">
      <c r="BZ5439" s="105"/>
      <c r="CA5439" s="20"/>
    </row>
    <row r="5440" spans="78:79" x14ac:dyDescent="0.35">
      <c r="BZ5440" s="105"/>
      <c r="CA5440" s="20"/>
    </row>
    <row r="5441" spans="78:79" x14ac:dyDescent="0.35">
      <c r="BZ5441" s="105"/>
      <c r="CA5441" s="20"/>
    </row>
    <row r="5442" spans="78:79" x14ac:dyDescent="0.35">
      <c r="BZ5442" s="105"/>
      <c r="CA5442" s="20"/>
    </row>
    <row r="5443" spans="78:79" x14ac:dyDescent="0.35">
      <c r="BZ5443" s="105"/>
      <c r="CA5443" s="20"/>
    </row>
    <row r="5444" spans="78:79" x14ac:dyDescent="0.35">
      <c r="BZ5444" s="105"/>
      <c r="CA5444" s="20"/>
    </row>
    <row r="5445" spans="78:79" x14ac:dyDescent="0.35">
      <c r="BZ5445" s="105"/>
      <c r="CA5445" s="20"/>
    </row>
    <row r="5446" spans="78:79" x14ac:dyDescent="0.35">
      <c r="BZ5446" s="105"/>
      <c r="CA5446" s="20"/>
    </row>
    <row r="5447" spans="78:79" x14ac:dyDescent="0.35">
      <c r="BZ5447" s="105"/>
      <c r="CA5447" s="20"/>
    </row>
    <row r="5448" spans="78:79" x14ac:dyDescent="0.35">
      <c r="BZ5448" s="105"/>
      <c r="CA5448" s="20"/>
    </row>
    <row r="5449" spans="78:79" x14ac:dyDescent="0.35">
      <c r="BZ5449" s="105"/>
      <c r="CA5449" s="20"/>
    </row>
    <row r="5450" spans="78:79" x14ac:dyDescent="0.35">
      <c r="BZ5450" s="105"/>
      <c r="CA5450" s="20"/>
    </row>
    <row r="5451" spans="78:79" x14ac:dyDescent="0.35">
      <c r="BZ5451" s="105"/>
      <c r="CA5451" s="20"/>
    </row>
    <row r="5452" spans="78:79" x14ac:dyDescent="0.35">
      <c r="BZ5452" s="105"/>
      <c r="CA5452" s="20"/>
    </row>
    <row r="5453" spans="78:79" x14ac:dyDescent="0.35">
      <c r="BZ5453" s="105"/>
      <c r="CA5453" s="20"/>
    </row>
    <row r="5454" spans="78:79" x14ac:dyDescent="0.35">
      <c r="BZ5454" s="105"/>
      <c r="CA5454" s="20"/>
    </row>
    <row r="5455" spans="78:79" x14ac:dyDescent="0.35">
      <c r="BZ5455" s="105"/>
      <c r="CA5455" s="20"/>
    </row>
    <row r="5456" spans="78:79" x14ac:dyDescent="0.35">
      <c r="BZ5456" s="105"/>
      <c r="CA5456" s="20"/>
    </row>
    <row r="5457" spans="78:79" x14ac:dyDescent="0.35">
      <c r="BZ5457" s="105"/>
      <c r="CA5457" s="20"/>
    </row>
    <row r="5458" spans="78:79" x14ac:dyDescent="0.35">
      <c r="BZ5458" s="105"/>
      <c r="CA5458" s="20"/>
    </row>
    <row r="5459" spans="78:79" x14ac:dyDescent="0.35">
      <c r="BZ5459" s="105"/>
      <c r="CA5459" s="20"/>
    </row>
    <row r="5460" spans="78:79" x14ac:dyDescent="0.35">
      <c r="BZ5460" s="105"/>
      <c r="CA5460" s="20"/>
    </row>
    <row r="5461" spans="78:79" x14ac:dyDescent="0.35">
      <c r="BZ5461" s="105"/>
      <c r="CA5461" s="20"/>
    </row>
    <row r="5462" spans="78:79" x14ac:dyDescent="0.35">
      <c r="BZ5462" s="105"/>
      <c r="CA5462" s="20"/>
    </row>
    <row r="5463" spans="78:79" x14ac:dyDescent="0.35">
      <c r="BZ5463" s="105"/>
      <c r="CA5463" s="20"/>
    </row>
    <row r="5464" spans="78:79" x14ac:dyDescent="0.35">
      <c r="BZ5464" s="105"/>
      <c r="CA5464" s="20"/>
    </row>
    <row r="5465" spans="78:79" x14ac:dyDescent="0.35">
      <c r="BZ5465" s="105"/>
      <c r="CA5465" s="20"/>
    </row>
    <row r="5466" spans="78:79" x14ac:dyDescent="0.35">
      <c r="BZ5466" s="105"/>
      <c r="CA5466" s="20"/>
    </row>
    <row r="5467" spans="78:79" x14ac:dyDescent="0.35">
      <c r="BZ5467" s="105"/>
      <c r="CA5467" s="20"/>
    </row>
    <row r="5468" spans="78:79" x14ac:dyDescent="0.35">
      <c r="BZ5468" s="105"/>
      <c r="CA5468" s="20"/>
    </row>
    <row r="5469" spans="78:79" x14ac:dyDescent="0.35">
      <c r="BZ5469" s="105"/>
      <c r="CA5469" s="20"/>
    </row>
    <row r="5470" spans="78:79" x14ac:dyDescent="0.35">
      <c r="BZ5470" s="105"/>
      <c r="CA5470" s="20"/>
    </row>
    <row r="5471" spans="78:79" x14ac:dyDescent="0.35">
      <c r="BZ5471" s="105"/>
      <c r="CA5471" s="20"/>
    </row>
    <row r="5472" spans="78:79" x14ac:dyDescent="0.35">
      <c r="BZ5472" s="105"/>
      <c r="CA5472" s="20"/>
    </row>
    <row r="5473" spans="78:79" x14ac:dyDescent="0.35">
      <c r="BZ5473" s="105"/>
      <c r="CA5473" s="20"/>
    </row>
    <row r="5474" spans="78:79" x14ac:dyDescent="0.35">
      <c r="BZ5474" s="105"/>
      <c r="CA5474" s="20"/>
    </row>
    <row r="5475" spans="78:79" x14ac:dyDescent="0.35">
      <c r="BZ5475" s="105"/>
      <c r="CA5475" s="20"/>
    </row>
    <row r="5476" spans="78:79" x14ac:dyDescent="0.35">
      <c r="BZ5476" s="105"/>
      <c r="CA5476" s="20"/>
    </row>
    <row r="5477" spans="78:79" x14ac:dyDescent="0.35">
      <c r="BZ5477" s="105"/>
      <c r="CA5477" s="20"/>
    </row>
    <row r="5478" spans="78:79" x14ac:dyDescent="0.35">
      <c r="BZ5478" s="105"/>
      <c r="CA5478" s="20"/>
    </row>
    <row r="5479" spans="78:79" x14ac:dyDescent="0.35">
      <c r="BZ5479" s="105"/>
      <c r="CA5479" s="20"/>
    </row>
    <row r="5480" spans="78:79" x14ac:dyDescent="0.35">
      <c r="BZ5480" s="105"/>
      <c r="CA5480" s="20"/>
    </row>
    <row r="5481" spans="78:79" x14ac:dyDescent="0.35">
      <c r="BZ5481" s="105"/>
      <c r="CA5481" s="20"/>
    </row>
    <row r="5482" spans="78:79" x14ac:dyDescent="0.35">
      <c r="BZ5482" s="105"/>
      <c r="CA5482" s="20"/>
    </row>
    <row r="5483" spans="78:79" x14ac:dyDescent="0.35">
      <c r="BZ5483" s="105"/>
      <c r="CA5483" s="20"/>
    </row>
    <row r="5484" spans="78:79" x14ac:dyDescent="0.35">
      <c r="BZ5484" s="105"/>
      <c r="CA5484" s="20"/>
    </row>
    <row r="5485" spans="78:79" x14ac:dyDescent="0.35">
      <c r="BZ5485" s="105"/>
      <c r="CA5485" s="20"/>
    </row>
    <row r="5486" spans="78:79" x14ac:dyDescent="0.35">
      <c r="BZ5486" s="105"/>
      <c r="CA5486" s="20"/>
    </row>
    <row r="5487" spans="78:79" x14ac:dyDescent="0.35">
      <c r="BZ5487" s="105"/>
      <c r="CA5487" s="20"/>
    </row>
    <row r="5488" spans="78:79" x14ac:dyDescent="0.35">
      <c r="BZ5488" s="105"/>
      <c r="CA5488" s="20"/>
    </row>
    <row r="5489" spans="78:79" x14ac:dyDescent="0.35">
      <c r="BZ5489" s="105"/>
      <c r="CA5489" s="20"/>
    </row>
    <row r="5490" spans="78:79" x14ac:dyDescent="0.35">
      <c r="BZ5490" s="105"/>
      <c r="CA5490" s="20"/>
    </row>
    <row r="5491" spans="78:79" x14ac:dyDescent="0.35">
      <c r="BZ5491" s="105"/>
      <c r="CA5491" s="20"/>
    </row>
    <row r="5492" spans="78:79" x14ac:dyDescent="0.35">
      <c r="BZ5492" s="105"/>
      <c r="CA5492" s="20"/>
    </row>
    <row r="5493" spans="78:79" x14ac:dyDescent="0.35">
      <c r="BZ5493" s="105"/>
      <c r="CA5493" s="20"/>
    </row>
    <row r="5494" spans="78:79" x14ac:dyDescent="0.35">
      <c r="BZ5494" s="105"/>
      <c r="CA5494" s="20"/>
    </row>
    <row r="5495" spans="78:79" x14ac:dyDescent="0.35">
      <c r="BZ5495" s="105"/>
      <c r="CA5495" s="20"/>
    </row>
    <row r="5496" spans="78:79" x14ac:dyDescent="0.35">
      <c r="BZ5496" s="105"/>
      <c r="CA5496" s="20"/>
    </row>
    <row r="5497" spans="78:79" x14ac:dyDescent="0.35">
      <c r="BZ5497" s="105"/>
      <c r="CA5497" s="20"/>
    </row>
    <row r="5498" spans="78:79" x14ac:dyDescent="0.35">
      <c r="BZ5498" s="105"/>
      <c r="CA5498" s="20"/>
    </row>
    <row r="5499" spans="78:79" x14ac:dyDescent="0.35">
      <c r="BZ5499" s="105"/>
      <c r="CA5499" s="20"/>
    </row>
    <row r="5500" spans="78:79" x14ac:dyDescent="0.35">
      <c r="BZ5500" s="105"/>
      <c r="CA5500" s="20"/>
    </row>
    <row r="5501" spans="78:79" x14ac:dyDescent="0.35">
      <c r="BZ5501" s="105"/>
      <c r="CA5501" s="20"/>
    </row>
    <row r="5502" spans="78:79" x14ac:dyDescent="0.35">
      <c r="BZ5502" s="105"/>
      <c r="CA5502" s="20"/>
    </row>
    <row r="5503" spans="78:79" x14ac:dyDescent="0.35">
      <c r="BZ5503" s="105"/>
      <c r="CA5503" s="20"/>
    </row>
    <row r="5504" spans="78:79" x14ac:dyDescent="0.35">
      <c r="BZ5504" s="105"/>
      <c r="CA5504" s="20"/>
    </row>
    <row r="5505" spans="78:79" x14ac:dyDescent="0.35">
      <c r="BZ5505" s="105"/>
      <c r="CA5505" s="20"/>
    </row>
    <row r="5506" spans="78:79" x14ac:dyDescent="0.35">
      <c r="BZ5506" s="105"/>
      <c r="CA5506" s="20"/>
    </row>
    <row r="5507" spans="78:79" x14ac:dyDescent="0.35">
      <c r="BZ5507" s="105"/>
      <c r="CA5507" s="20"/>
    </row>
    <row r="5508" spans="78:79" x14ac:dyDescent="0.35">
      <c r="BZ5508" s="105"/>
      <c r="CA5508" s="20"/>
    </row>
    <row r="5509" spans="78:79" x14ac:dyDescent="0.35">
      <c r="BZ5509" s="105"/>
      <c r="CA5509" s="20"/>
    </row>
    <row r="5510" spans="78:79" x14ac:dyDescent="0.35">
      <c r="BZ5510" s="105"/>
      <c r="CA5510" s="20"/>
    </row>
    <row r="5511" spans="78:79" x14ac:dyDescent="0.35">
      <c r="BZ5511" s="105"/>
      <c r="CA5511" s="20"/>
    </row>
    <row r="5512" spans="78:79" x14ac:dyDescent="0.35">
      <c r="BZ5512" s="105"/>
      <c r="CA5512" s="20"/>
    </row>
    <row r="5513" spans="78:79" x14ac:dyDescent="0.35">
      <c r="BZ5513" s="105"/>
      <c r="CA5513" s="20"/>
    </row>
    <row r="5514" spans="78:79" x14ac:dyDescent="0.35">
      <c r="BZ5514" s="105"/>
      <c r="CA5514" s="20"/>
    </row>
    <row r="5515" spans="78:79" x14ac:dyDescent="0.35">
      <c r="BZ5515" s="105"/>
      <c r="CA5515" s="20"/>
    </row>
    <row r="5516" spans="78:79" x14ac:dyDescent="0.35">
      <c r="BZ5516" s="105"/>
      <c r="CA5516" s="20"/>
    </row>
    <row r="5517" spans="78:79" x14ac:dyDescent="0.35">
      <c r="BZ5517" s="105"/>
      <c r="CA5517" s="20"/>
    </row>
    <row r="5518" spans="78:79" x14ac:dyDescent="0.35">
      <c r="BZ5518" s="105"/>
      <c r="CA5518" s="20"/>
    </row>
    <row r="5519" spans="78:79" x14ac:dyDescent="0.35">
      <c r="BZ5519" s="105"/>
      <c r="CA5519" s="20"/>
    </row>
    <row r="5520" spans="78:79" x14ac:dyDescent="0.35">
      <c r="BZ5520" s="105"/>
      <c r="CA5520" s="20"/>
    </row>
    <row r="5521" spans="78:79" x14ac:dyDescent="0.35">
      <c r="BZ5521" s="105"/>
      <c r="CA5521" s="20"/>
    </row>
    <row r="5522" spans="78:79" x14ac:dyDescent="0.35">
      <c r="BZ5522" s="105"/>
      <c r="CA5522" s="20"/>
    </row>
    <row r="5523" spans="78:79" x14ac:dyDescent="0.35">
      <c r="BZ5523" s="105"/>
      <c r="CA5523" s="20"/>
    </row>
    <row r="5524" spans="78:79" x14ac:dyDescent="0.35">
      <c r="BZ5524" s="105"/>
      <c r="CA5524" s="20"/>
    </row>
    <row r="5525" spans="78:79" x14ac:dyDescent="0.35">
      <c r="BZ5525" s="105"/>
      <c r="CA5525" s="20"/>
    </row>
    <row r="5526" spans="78:79" x14ac:dyDescent="0.35">
      <c r="BZ5526" s="105"/>
      <c r="CA5526" s="20"/>
    </row>
    <row r="5527" spans="78:79" x14ac:dyDescent="0.35">
      <c r="BZ5527" s="105"/>
      <c r="CA5527" s="20"/>
    </row>
    <row r="5528" spans="78:79" x14ac:dyDescent="0.35">
      <c r="BZ5528" s="105"/>
      <c r="CA5528" s="20"/>
    </row>
    <row r="5529" spans="78:79" x14ac:dyDescent="0.35">
      <c r="BZ5529" s="105"/>
      <c r="CA5529" s="20"/>
    </row>
    <row r="5530" spans="78:79" x14ac:dyDescent="0.35">
      <c r="BZ5530" s="105"/>
      <c r="CA5530" s="20"/>
    </row>
    <row r="5531" spans="78:79" x14ac:dyDescent="0.35">
      <c r="BZ5531" s="105"/>
      <c r="CA5531" s="20"/>
    </row>
    <row r="5532" spans="78:79" x14ac:dyDescent="0.35">
      <c r="BZ5532" s="105"/>
      <c r="CA5532" s="20"/>
    </row>
    <row r="5533" spans="78:79" x14ac:dyDescent="0.35">
      <c r="BZ5533" s="105"/>
      <c r="CA5533" s="20"/>
    </row>
    <row r="5534" spans="78:79" x14ac:dyDescent="0.35">
      <c r="BZ5534" s="105"/>
      <c r="CA5534" s="20"/>
    </row>
    <row r="5535" spans="78:79" x14ac:dyDescent="0.35">
      <c r="BZ5535" s="105"/>
      <c r="CA5535" s="20"/>
    </row>
    <row r="5536" spans="78:79" x14ac:dyDescent="0.35">
      <c r="BZ5536" s="105"/>
      <c r="CA5536" s="20"/>
    </row>
    <row r="5537" spans="78:79" x14ac:dyDescent="0.35">
      <c r="BZ5537" s="105"/>
      <c r="CA5537" s="20"/>
    </row>
    <row r="5538" spans="78:79" x14ac:dyDescent="0.35">
      <c r="BZ5538" s="105"/>
      <c r="CA5538" s="20"/>
    </row>
    <row r="5539" spans="78:79" x14ac:dyDescent="0.35">
      <c r="BZ5539" s="105"/>
      <c r="CA5539" s="20"/>
    </row>
    <row r="5540" spans="78:79" x14ac:dyDescent="0.35">
      <c r="BZ5540" s="105"/>
      <c r="CA5540" s="20"/>
    </row>
    <row r="5541" spans="78:79" x14ac:dyDescent="0.35">
      <c r="BZ5541" s="105"/>
      <c r="CA5541" s="20"/>
    </row>
    <row r="5542" spans="78:79" x14ac:dyDescent="0.35">
      <c r="BZ5542" s="105"/>
      <c r="CA5542" s="20"/>
    </row>
    <row r="5543" spans="78:79" x14ac:dyDescent="0.35">
      <c r="BZ5543" s="105"/>
      <c r="CA5543" s="20"/>
    </row>
    <row r="5544" spans="78:79" x14ac:dyDescent="0.35">
      <c r="BZ5544" s="105"/>
      <c r="CA5544" s="20"/>
    </row>
    <row r="5545" spans="78:79" x14ac:dyDescent="0.35">
      <c r="BZ5545" s="105"/>
      <c r="CA5545" s="20"/>
    </row>
    <row r="5546" spans="78:79" x14ac:dyDescent="0.35">
      <c r="BZ5546" s="105"/>
      <c r="CA5546" s="20"/>
    </row>
    <row r="5547" spans="78:79" x14ac:dyDescent="0.35">
      <c r="BZ5547" s="105"/>
      <c r="CA5547" s="20"/>
    </row>
    <row r="5548" spans="78:79" x14ac:dyDescent="0.35">
      <c r="BZ5548" s="105"/>
      <c r="CA5548" s="20"/>
    </row>
    <row r="5549" spans="78:79" x14ac:dyDescent="0.35">
      <c r="BZ5549" s="105"/>
      <c r="CA5549" s="20"/>
    </row>
    <row r="5550" spans="78:79" x14ac:dyDescent="0.35">
      <c r="BZ5550" s="105"/>
      <c r="CA5550" s="20"/>
    </row>
    <row r="5551" spans="78:79" x14ac:dyDescent="0.35">
      <c r="BZ5551" s="105"/>
      <c r="CA5551" s="20"/>
    </row>
    <row r="5552" spans="78:79" x14ac:dyDescent="0.35">
      <c r="BZ5552" s="105"/>
      <c r="CA5552" s="20"/>
    </row>
    <row r="5553" spans="78:79" x14ac:dyDescent="0.35">
      <c r="BZ5553" s="105"/>
      <c r="CA5553" s="20"/>
    </row>
    <row r="5554" spans="78:79" x14ac:dyDescent="0.35">
      <c r="BZ5554" s="105"/>
      <c r="CA5554" s="20"/>
    </row>
    <row r="5555" spans="78:79" x14ac:dyDescent="0.35">
      <c r="BZ5555" s="105"/>
      <c r="CA5555" s="20"/>
    </row>
    <row r="5556" spans="78:79" x14ac:dyDescent="0.35">
      <c r="BZ5556" s="105"/>
      <c r="CA5556" s="20"/>
    </row>
    <row r="5557" spans="78:79" x14ac:dyDescent="0.35">
      <c r="BZ5557" s="105"/>
      <c r="CA5557" s="20"/>
    </row>
    <row r="5558" spans="78:79" x14ac:dyDescent="0.35">
      <c r="BZ5558" s="105"/>
      <c r="CA5558" s="20"/>
    </row>
    <row r="5559" spans="78:79" x14ac:dyDescent="0.35">
      <c r="BZ5559" s="105"/>
      <c r="CA5559" s="20"/>
    </row>
    <row r="5560" spans="78:79" x14ac:dyDescent="0.35">
      <c r="BZ5560" s="105"/>
      <c r="CA5560" s="20"/>
    </row>
    <row r="5561" spans="78:79" x14ac:dyDescent="0.35">
      <c r="BZ5561" s="105"/>
      <c r="CA5561" s="20"/>
    </row>
    <row r="5562" spans="78:79" x14ac:dyDescent="0.35">
      <c r="BZ5562" s="105"/>
      <c r="CA5562" s="20"/>
    </row>
    <row r="5563" spans="78:79" x14ac:dyDescent="0.35">
      <c r="BZ5563" s="105"/>
      <c r="CA5563" s="20"/>
    </row>
    <row r="5564" spans="78:79" x14ac:dyDescent="0.35">
      <c r="BZ5564" s="105"/>
      <c r="CA5564" s="20"/>
    </row>
    <row r="5565" spans="78:79" x14ac:dyDescent="0.35">
      <c r="BZ5565" s="105"/>
      <c r="CA5565" s="20"/>
    </row>
    <row r="5566" spans="78:79" x14ac:dyDescent="0.35">
      <c r="BZ5566" s="105"/>
      <c r="CA5566" s="20"/>
    </row>
    <row r="5567" spans="78:79" x14ac:dyDescent="0.35">
      <c r="BZ5567" s="105"/>
      <c r="CA5567" s="20"/>
    </row>
    <row r="5568" spans="78:79" x14ac:dyDescent="0.35">
      <c r="BZ5568" s="105"/>
      <c r="CA5568" s="20"/>
    </row>
    <row r="5569" spans="78:79" x14ac:dyDescent="0.35">
      <c r="BZ5569" s="105"/>
      <c r="CA5569" s="20"/>
    </row>
    <row r="5570" spans="78:79" x14ac:dyDescent="0.35">
      <c r="BZ5570" s="105"/>
      <c r="CA5570" s="20"/>
    </row>
    <row r="5571" spans="78:79" x14ac:dyDescent="0.35">
      <c r="BZ5571" s="105"/>
      <c r="CA5571" s="20"/>
    </row>
    <row r="5572" spans="78:79" x14ac:dyDescent="0.35">
      <c r="BZ5572" s="105"/>
      <c r="CA5572" s="20"/>
    </row>
    <row r="5573" spans="78:79" x14ac:dyDescent="0.35">
      <c r="BZ5573" s="105"/>
      <c r="CA5573" s="20"/>
    </row>
    <row r="5574" spans="78:79" x14ac:dyDescent="0.35">
      <c r="BZ5574" s="105"/>
      <c r="CA5574" s="20"/>
    </row>
    <row r="5575" spans="78:79" x14ac:dyDescent="0.35">
      <c r="BZ5575" s="105"/>
      <c r="CA5575" s="20"/>
    </row>
    <row r="5576" spans="78:79" x14ac:dyDescent="0.35">
      <c r="BZ5576" s="105"/>
      <c r="CA5576" s="20"/>
    </row>
    <row r="5577" spans="78:79" x14ac:dyDescent="0.35">
      <c r="BZ5577" s="105"/>
      <c r="CA5577" s="20"/>
    </row>
    <row r="5578" spans="78:79" x14ac:dyDescent="0.35">
      <c r="BZ5578" s="105"/>
      <c r="CA5578" s="20"/>
    </row>
    <row r="5579" spans="78:79" x14ac:dyDescent="0.35">
      <c r="BZ5579" s="105"/>
      <c r="CA5579" s="20"/>
    </row>
    <row r="5580" spans="78:79" x14ac:dyDescent="0.35">
      <c r="BZ5580" s="105"/>
      <c r="CA5580" s="20"/>
    </row>
    <row r="5581" spans="78:79" x14ac:dyDescent="0.35">
      <c r="BZ5581" s="105"/>
      <c r="CA5581" s="20"/>
    </row>
    <row r="5582" spans="78:79" x14ac:dyDescent="0.35">
      <c r="BZ5582" s="105"/>
      <c r="CA5582" s="20"/>
    </row>
    <row r="5583" spans="78:79" x14ac:dyDescent="0.35">
      <c r="BZ5583" s="105"/>
      <c r="CA5583" s="20"/>
    </row>
    <row r="5584" spans="78:79" x14ac:dyDescent="0.35">
      <c r="BZ5584" s="105"/>
      <c r="CA5584" s="20"/>
    </row>
    <row r="5585" spans="78:79" x14ac:dyDescent="0.35">
      <c r="BZ5585" s="105"/>
      <c r="CA5585" s="20"/>
    </row>
    <row r="5586" spans="78:79" x14ac:dyDescent="0.35">
      <c r="BZ5586" s="105"/>
      <c r="CA5586" s="20"/>
    </row>
    <row r="5587" spans="78:79" x14ac:dyDescent="0.35">
      <c r="BZ5587" s="105"/>
      <c r="CA5587" s="20"/>
    </row>
    <row r="5588" spans="78:79" x14ac:dyDescent="0.35">
      <c r="BZ5588" s="105"/>
      <c r="CA5588" s="20"/>
    </row>
    <row r="5589" spans="78:79" x14ac:dyDescent="0.35">
      <c r="BZ5589" s="105"/>
      <c r="CA5589" s="20"/>
    </row>
    <row r="5590" spans="78:79" x14ac:dyDescent="0.35">
      <c r="BZ5590" s="105"/>
      <c r="CA5590" s="20"/>
    </row>
    <row r="5591" spans="78:79" x14ac:dyDescent="0.35">
      <c r="BZ5591" s="105"/>
      <c r="CA5591" s="20"/>
    </row>
    <row r="5592" spans="78:79" x14ac:dyDescent="0.35">
      <c r="BZ5592" s="105"/>
      <c r="CA5592" s="20"/>
    </row>
    <row r="5593" spans="78:79" x14ac:dyDescent="0.35">
      <c r="BZ5593" s="105"/>
      <c r="CA5593" s="20"/>
    </row>
    <row r="5594" spans="78:79" x14ac:dyDescent="0.35">
      <c r="BZ5594" s="105"/>
      <c r="CA5594" s="20"/>
    </row>
    <row r="5595" spans="78:79" x14ac:dyDescent="0.35">
      <c r="BZ5595" s="105"/>
      <c r="CA5595" s="20"/>
    </row>
    <row r="5596" spans="78:79" x14ac:dyDescent="0.35">
      <c r="BZ5596" s="105"/>
      <c r="CA5596" s="20"/>
    </row>
    <row r="5597" spans="78:79" x14ac:dyDescent="0.35">
      <c r="BZ5597" s="105"/>
      <c r="CA5597" s="20"/>
    </row>
    <row r="5598" spans="78:79" x14ac:dyDescent="0.35">
      <c r="BZ5598" s="105"/>
      <c r="CA5598" s="20"/>
    </row>
    <row r="5599" spans="78:79" x14ac:dyDescent="0.35">
      <c r="BZ5599" s="105"/>
      <c r="CA5599" s="20"/>
    </row>
    <row r="5600" spans="78:79" x14ac:dyDescent="0.35">
      <c r="BZ5600" s="105"/>
      <c r="CA5600" s="20"/>
    </row>
    <row r="5601" spans="78:79" x14ac:dyDescent="0.35">
      <c r="BZ5601" s="105"/>
      <c r="CA5601" s="20"/>
    </row>
    <row r="5602" spans="78:79" x14ac:dyDescent="0.35">
      <c r="BZ5602" s="105"/>
      <c r="CA5602" s="20"/>
    </row>
    <row r="5603" spans="78:79" x14ac:dyDescent="0.35">
      <c r="BZ5603" s="105"/>
      <c r="CA5603" s="20"/>
    </row>
    <row r="5604" spans="78:79" x14ac:dyDescent="0.35">
      <c r="BZ5604" s="105"/>
      <c r="CA5604" s="20"/>
    </row>
    <row r="5605" spans="78:79" x14ac:dyDescent="0.35">
      <c r="BZ5605" s="105"/>
      <c r="CA5605" s="20"/>
    </row>
    <row r="5606" spans="78:79" x14ac:dyDescent="0.35">
      <c r="BZ5606" s="105"/>
      <c r="CA5606" s="20"/>
    </row>
    <row r="5607" spans="78:79" x14ac:dyDescent="0.35">
      <c r="BZ5607" s="105"/>
      <c r="CA5607" s="20"/>
    </row>
    <row r="5608" spans="78:79" x14ac:dyDescent="0.35">
      <c r="BZ5608" s="105"/>
      <c r="CA5608" s="20"/>
    </row>
    <row r="5609" spans="78:79" x14ac:dyDescent="0.35">
      <c r="BZ5609" s="105"/>
      <c r="CA5609" s="20"/>
    </row>
    <row r="5610" spans="78:79" x14ac:dyDescent="0.35">
      <c r="BZ5610" s="105"/>
      <c r="CA5610" s="20"/>
    </row>
    <row r="5611" spans="78:79" x14ac:dyDescent="0.35">
      <c r="BZ5611" s="105"/>
      <c r="CA5611" s="20"/>
    </row>
    <row r="5612" spans="78:79" x14ac:dyDescent="0.35">
      <c r="BZ5612" s="105"/>
      <c r="CA5612" s="20"/>
    </row>
    <row r="5613" spans="78:79" x14ac:dyDescent="0.35">
      <c r="BZ5613" s="105"/>
      <c r="CA5613" s="20"/>
    </row>
    <row r="5614" spans="78:79" x14ac:dyDescent="0.35">
      <c r="BZ5614" s="105"/>
      <c r="CA5614" s="20"/>
    </row>
    <row r="5615" spans="78:79" x14ac:dyDescent="0.35">
      <c r="BZ5615" s="105"/>
      <c r="CA5615" s="20"/>
    </row>
    <row r="5616" spans="78:79" x14ac:dyDescent="0.35">
      <c r="BZ5616" s="105"/>
      <c r="CA5616" s="20"/>
    </row>
    <row r="5617" spans="78:79" x14ac:dyDescent="0.35">
      <c r="BZ5617" s="105"/>
      <c r="CA5617" s="20"/>
    </row>
    <row r="5618" spans="78:79" x14ac:dyDescent="0.35">
      <c r="BZ5618" s="105"/>
      <c r="CA5618" s="20"/>
    </row>
    <row r="5619" spans="78:79" x14ac:dyDescent="0.35">
      <c r="BZ5619" s="105"/>
      <c r="CA5619" s="20"/>
    </row>
    <row r="5620" spans="78:79" x14ac:dyDescent="0.35">
      <c r="BZ5620" s="105"/>
      <c r="CA5620" s="20"/>
    </row>
    <row r="5621" spans="78:79" x14ac:dyDescent="0.35">
      <c r="BZ5621" s="105"/>
      <c r="CA5621" s="20"/>
    </row>
    <row r="5622" spans="78:79" x14ac:dyDescent="0.35">
      <c r="BZ5622" s="105"/>
      <c r="CA5622" s="20"/>
    </row>
    <row r="5623" spans="78:79" x14ac:dyDescent="0.35">
      <c r="BZ5623" s="105"/>
      <c r="CA5623" s="20"/>
    </row>
    <row r="5624" spans="78:79" x14ac:dyDescent="0.35">
      <c r="BZ5624" s="105"/>
      <c r="CA5624" s="20"/>
    </row>
    <row r="5625" spans="78:79" x14ac:dyDescent="0.35">
      <c r="BZ5625" s="105"/>
      <c r="CA5625" s="20"/>
    </row>
    <row r="5626" spans="78:79" x14ac:dyDescent="0.35">
      <c r="BZ5626" s="105"/>
      <c r="CA5626" s="20"/>
    </row>
    <row r="5627" spans="78:79" x14ac:dyDescent="0.35">
      <c r="BZ5627" s="105"/>
      <c r="CA5627" s="20"/>
    </row>
    <row r="5628" spans="78:79" x14ac:dyDescent="0.35">
      <c r="BZ5628" s="105"/>
      <c r="CA5628" s="20"/>
    </row>
    <row r="5629" spans="78:79" x14ac:dyDescent="0.35">
      <c r="BZ5629" s="105"/>
      <c r="CA5629" s="20"/>
    </row>
    <row r="5630" spans="78:79" x14ac:dyDescent="0.35">
      <c r="BZ5630" s="105"/>
      <c r="CA5630" s="20"/>
    </row>
    <row r="5631" spans="78:79" x14ac:dyDescent="0.35">
      <c r="BZ5631" s="105"/>
      <c r="CA5631" s="20"/>
    </row>
    <row r="5632" spans="78:79" x14ac:dyDescent="0.35">
      <c r="BZ5632" s="105"/>
      <c r="CA5632" s="20"/>
    </row>
    <row r="5633" spans="78:79" x14ac:dyDescent="0.35">
      <c r="BZ5633" s="105"/>
      <c r="CA5633" s="20"/>
    </row>
    <row r="5634" spans="78:79" x14ac:dyDescent="0.35">
      <c r="BZ5634" s="105"/>
      <c r="CA5634" s="20"/>
    </row>
    <row r="5635" spans="78:79" x14ac:dyDescent="0.35">
      <c r="BZ5635" s="105"/>
      <c r="CA5635" s="20"/>
    </row>
    <row r="5636" spans="78:79" x14ac:dyDescent="0.35">
      <c r="BZ5636" s="105"/>
      <c r="CA5636" s="20"/>
    </row>
    <row r="5637" spans="78:79" x14ac:dyDescent="0.35">
      <c r="BZ5637" s="105"/>
      <c r="CA5637" s="20"/>
    </row>
    <row r="5638" spans="78:79" x14ac:dyDescent="0.35">
      <c r="BZ5638" s="105"/>
      <c r="CA5638" s="20"/>
    </row>
    <row r="5639" spans="78:79" x14ac:dyDescent="0.35">
      <c r="BZ5639" s="105"/>
      <c r="CA5639" s="20"/>
    </row>
    <row r="5640" spans="78:79" x14ac:dyDescent="0.35">
      <c r="BZ5640" s="105"/>
      <c r="CA5640" s="20"/>
    </row>
    <row r="5641" spans="78:79" x14ac:dyDescent="0.35">
      <c r="BZ5641" s="105"/>
      <c r="CA5641" s="20"/>
    </row>
    <row r="5642" spans="78:79" x14ac:dyDescent="0.35">
      <c r="BZ5642" s="105"/>
      <c r="CA5642" s="20"/>
    </row>
    <row r="5643" spans="78:79" x14ac:dyDescent="0.35">
      <c r="BZ5643" s="105"/>
      <c r="CA5643" s="20"/>
    </row>
    <row r="5644" spans="78:79" x14ac:dyDescent="0.35">
      <c r="BZ5644" s="105"/>
      <c r="CA5644" s="20"/>
    </row>
    <row r="5645" spans="78:79" x14ac:dyDescent="0.35">
      <c r="BZ5645" s="105"/>
      <c r="CA5645" s="20"/>
    </row>
    <row r="5646" spans="78:79" x14ac:dyDescent="0.35">
      <c r="BZ5646" s="105"/>
      <c r="CA5646" s="20"/>
    </row>
    <row r="5647" spans="78:79" x14ac:dyDescent="0.35">
      <c r="BZ5647" s="105"/>
      <c r="CA5647" s="20"/>
    </row>
    <row r="5648" spans="78:79" x14ac:dyDescent="0.35">
      <c r="BZ5648" s="105"/>
      <c r="CA5648" s="20"/>
    </row>
    <row r="5649" spans="78:79" x14ac:dyDescent="0.35">
      <c r="BZ5649" s="105"/>
      <c r="CA5649" s="20"/>
    </row>
    <row r="5650" spans="78:79" x14ac:dyDescent="0.35">
      <c r="BZ5650" s="105"/>
      <c r="CA5650" s="20"/>
    </row>
    <row r="5651" spans="78:79" x14ac:dyDescent="0.35">
      <c r="BZ5651" s="105"/>
      <c r="CA5651" s="20"/>
    </row>
    <row r="5652" spans="78:79" x14ac:dyDescent="0.35">
      <c r="BZ5652" s="105"/>
      <c r="CA5652" s="20"/>
    </row>
    <row r="5653" spans="78:79" x14ac:dyDescent="0.35">
      <c r="BZ5653" s="105"/>
      <c r="CA5653" s="20"/>
    </row>
    <row r="5654" spans="78:79" x14ac:dyDescent="0.35">
      <c r="BZ5654" s="105"/>
      <c r="CA5654" s="20"/>
    </row>
    <row r="5655" spans="78:79" x14ac:dyDescent="0.35">
      <c r="BZ5655" s="105"/>
      <c r="CA5655" s="20"/>
    </row>
    <row r="5656" spans="78:79" x14ac:dyDescent="0.35">
      <c r="BZ5656" s="105"/>
      <c r="CA5656" s="20"/>
    </row>
    <row r="5657" spans="78:79" x14ac:dyDescent="0.35">
      <c r="BZ5657" s="105"/>
      <c r="CA5657" s="20"/>
    </row>
    <row r="5658" spans="78:79" x14ac:dyDescent="0.35">
      <c r="BZ5658" s="105"/>
      <c r="CA5658" s="20"/>
    </row>
    <row r="5659" spans="78:79" x14ac:dyDescent="0.35">
      <c r="BZ5659" s="105"/>
      <c r="CA5659" s="20"/>
    </row>
    <row r="5660" spans="78:79" x14ac:dyDescent="0.35">
      <c r="BZ5660" s="105"/>
      <c r="CA5660" s="20"/>
    </row>
    <row r="5661" spans="78:79" x14ac:dyDescent="0.35">
      <c r="BZ5661" s="105"/>
      <c r="CA5661" s="20"/>
    </row>
    <row r="5662" spans="78:79" x14ac:dyDescent="0.35">
      <c r="BZ5662" s="105"/>
      <c r="CA5662" s="20"/>
    </row>
    <row r="5663" spans="78:79" x14ac:dyDescent="0.35">
      <c r="BZ5663" s="105"/>
      <c r="CA5663" s="20"/>
    </row>
    <row r="5664" spans="78:79" x14ac:dyDescent="0.35">
      <c r="BZ5664" s="105"/>
      <c r="CA5664" s="20"/>
    </row>
    <row r="5665" spans="78:79" x14ac:dyDescent="0.35">
      <c r="BZ5665" s="105"/>
      <c r="CA5665" s="20"/>
    </row>
    <row r="5666" spans="78:79" x14ac:dyDescent="0.35">
      <c r="BZ5666" s="105"/>
      <c r="CA5666" s="20"/>
    </row>
    <row r="5667" spans="78:79" x14ac:dyDescent="0.35">
      <c r="BZ5667" s="105"/>
      <c r="CA5667" s="20"/>
    </row>
    <row r="5668" spans="78:79" x14ac:dyDescent="0.35">
      <c r="BZ5668" s="105"/>
      <c r="CA5668" s="20"/>
    </row>
    <row r="5669" spans="78:79" x14ac:dyDescent="0.35">
      <c r="BZ5669" s="105"/>
      <c r="CA5669" s="20"/>
    </row>
    <row r="5670" spans="78:79" x14ac:dyDescent="0.35">
      <c r="BZ5670" s="105"/>
      <c r="CA5670" s="20"/>
    </row>
    <row r="5671" spans="78:79" x14ac:dyDescent="0.35">
      <c r="BZ5671" s="105"/>
      <c r="CA5671" s="20"/>
    </row>
    <row r="5672" spans="78:79" x14ac:dyDescent="0.35">
      <c r="BZ5672" s="105"/>
      <c r="CA5672" s="20"/>
    </row>
    <row r="5673" spans="78:79" x14ac:dyDescent="0.35">
      <c r="BZ5673" s="105"/>
      <c r="CA5673" s="20"/>
    </row>
    <row r="5674" spans="78:79" x14ac:dyDescent="0.35">
      <c r="BZ5674" s="105"/>
      <c r="CA5674" s="20"/>
    </row>
    <row r="5675" spans="78:79" x14ac:dyDescent="0.35">
      <c r="BZ5675" s="105"/>
      <c r="CA5675" s="20"/>
    </row>
    <row r="5676" spans="78:79" x14ac:dyDescent="0.35">
      <c r="BZ5676" s="105"/>
      <c r="CA5676" s="20"/>
    </row>
    <row r="5677" spans="78:79" x14ac:dyDescent="0.35">
      <c r="BZ5677" s="105"/>
      <c r="CA5677" s="20"/>
    </row>
    <row r="5678" spans="78:79" x14ac:dyDescent="0.35">
      <c r="BZ5678" s="105"/>
      <c r="CA5678" s="20"/>
    </row>
    <row r="5679" spans="78:79" x14ac:dyDescent="0.35">
      <c r="BZ5679" s="105"/>
      <c r="CA5679" s="20"/>
    </row>
    <row r="5680" spans="78:79" x14ac:dyDescent="0.35">
      <c r="BZ5680" s="105"/>
      <c r="CA5680" s="20"/>
    </row>
    <row r="5681" spans="78:79" x14ac:dyDescent="0.35">
      <c r="BZ5681" s="105"/>
      <c r="CA5681" s="20"/>
    </row>
    <row r="5682" spans="78:79" x14ac:dyDescent="0.35">
      <c r="BZ5682" s="105"/>
      <c r="CA5682" s="20"/>
    </row>
    <row r="5683" spans="78:79" x14ac:dyDescent="0.35">
      <c r="BZ5683" s="105"/>
      <c r="CA5683" s="20"/>
    </row>
    <row r="5684" spans="78:79" x14ac:dyDescent="0.35">
      <c r="BZ5684" s="105"/>
      <c r="CA5684" s="20"/>
    </row>
    <row r="5685" spans="78:79" x14ac:dyDescent="0.35">
      <c r="BZ5685" s="105"/>
      <c r="CA5685" s="20"/>
    </row>
    <row r="5686" spans="78:79" x14ac:dyDescent="0.35">
      <c r="BZ5686" s="105"/>
      <c r="CA5686" s="20"/>
    </row>
    <row r="5687" spans="78:79" x14ac:dyDescent="0.35">
      <c r="BZ5687" s="105"/>
      <c r="CA5687" s="20"/>
    </row>
    <row r="5688" spans="78:79" x14ac:dyDescent="0.35">
      <c r="BZ5688" s="105"/>
      <c r="CA5688" s="20"/>
    </row>
    <row r="5689" spans="78:79" x14ac:dyDescent="0.35">
      <c r="BZ5689" s="105"/>
      <c r="CA5689" s="20"/>
    </row>
    <row r="5690" spans="78:79" x14ac:dyDescent="0.35">
      <c r="BZ5690" s="105"/>
      <c r="CA5690" s="20"/>
    </row>
    <row r="5691" spans="78:79" x14ac:dyDescent="0.35">
      <c r="BZ5691" s="105"/>
      <c r="CA5691" s="20"/>
    </row>
    <row r="5692" spans="78:79" x14ac:dyDescent="0.35">
      <c r="BZ5692" s="105"/>
      <c r="CA5692" s="20"/>
    </row>
    <row r="5693" spans="78:79" x14ac:dyDescent="0.35">
      <c r="BZ5693" s="105"/>
      <c r="CA5693" s="20"/>
    </row>
    <row r="5694" spans="78:79" x14ac:dyDescent="0.35">
      <c r="BZ5694" s="105"/>
      <c r="CA5694" s="20"/>
    </row>
    <row r="5695" spans="78:79" x14ac:dyDescent="0.35">
      <c r="BZ5695" s="105"/>
      <c r="CA5695" s="20"/>
    </row>
    <row r="5696" spans="78:79" x14ac:dyDescent="0.35">
      <c r="BZ5696" s="105"/>
      <c r="CA5696" s="20"/>
    </row>
    <row r="5697" spans="78:79" x14ac:dyDescent="0.35">
      <c r="BZ5697" s="105"/>
      <c r="CA5697" s="20"/>
    </row>
    <row r="5698" spans="78:79" x14ac:dyDescent="0.35">
      <c r="BZ5698" s="105"/>
      <c r="CA5698" s="20"/>
    </row>
    <row r="5699" spans="78:79" x14ac:dyDescent="0.35">
      <c r="BZ5699" s="105"/>
      <c r="CA5699" s="20"/>
    </row>
    <row r="5700" spans="78:79" x14ac:dyDescent="0.35">
      <c r="BZ5700" s="105"/>
      <c r="CA5700" s="20"/>
    </row>
    <row r="5701" spans="78:79" x14ac:dyDescent="0.35">
      <c r="BZ5701" s="105"/>
      <c r="CA5701" s="20"/>
    </row>
    <row r="5702" spans="78:79" x14ac:dyDescent="0.35">
      <c r="BZ5702" s="105"/>
      <c r="CA5702" s="20"/>
    </row>
    <row r="5703" spans="78:79" x14ac:dyDescent="0.35">
      <c r="BZ5703" s="105"/>
      <c r="CA5703" s="20"/>
    </row>
    <row r="5704" spans="78:79" x14ac:dyDescent="0.35">
      <c r="BZ5704" s="105"/>
      <c r="CA5704" s="20"/>
    </row>
    <row r="5705" spans="78:79" x14ac:dyDescent="0.35">
      <c r="BZ5705" s="105"/>
      <c r="CA5705" s="20"/>
    </row>
    <row r="5706" spans="78:79" x14ac:dyDescent="0.35">
      <c r="BZ5706" s="105"/>
      <c r="CA5706" s="20"/>
    </row>
    <row r="5707" spans="78:79" x14ac:dyDescent="0.35">
      <c r="BZ5707" s="105"/>
      <c r="CA5707" s="20"/>
    </row>
    <row r="5708" spans="78:79" x14ac:dyDescent="0.35">
      <c r="BZ5708" s="105"/>
      <c r="CA5708" s="20"/>
    </row>
    <row r="5709" spans="78:79" x14ac:dyDescent="0.35">
      <c r="BZ5709" s="105"/>
      <c r="CA5709" s="20"/>
    </row>
    <row r="5710" spans="78:79" x14ac:dyDescent="0.35">
      <c r="BZ5710" s="105"/>
      <c r="CA5710" s="20"/>
    </row>
    <row r="5711" spans="78:79" x14ac:dyDescent="0.35">
      <c r="BZ5711" s="105"/>
      <c r="CA5711" s="20"/>
    </row>
    <row r="5712" spans="78:79" x14ac:dyDescent="0.35">
      <c r="BZ5712" s="105"/>
      <c r="CA5712" s="20"/>
    </row>
    <row r="5713" spans="78:79" x14ac:dyDescent="0.35">
      <c r="BZ5713" s="105"/>
      <c r="CA5713" s="20"/>
    </row>
    <row r="5714" spans="78:79" x14ac:dyDescent="0.35">
      <c r="BZ5714" s="105"/>
      <c r="CA5714" s="20"/>
    </row>
    <row r="5715" spans="78:79" x14ac:dyDescent="0.35">
      <c r="BZ5715" s="105"/>
      <c r="CA5715" s="20"/>
    </row>
    <row r="5716" spans="78:79" x14ac:dyDescent="0.35">
      <c r="BZ5716" s="105"/>
      <c r="CA5716" s="20"/>
    </row>
    <row r="5717" spans="78:79" x14ac:dyDescent="0.35">
      <c r="BZ5717" s="105"/>
      <c r="CA5717" s="20"/>
    </row>
    <row r="5718" spans="78:79" x14ac:dyDescent="0.35">
      <c r="BZ5718" s="105"/>
      <c r="CA5718" s="20"/>
    </row>
    <row r="5719" spans="78:79" x14ac:dyDescent="0.35">
      <c r="BZ5719" s="105"/>
      <c r="CA5719" s="20"/>
    </row>
    <row r="5720" spans="78:79" x14ac:dyDescent="0.35">
      <c r="BZ5720" s="105"/>
      <c r="CA5720" s="20"/>
    </row>
    <row r="5721" spans="78:79" x14ac:dyDescent="0.35">
      <c r="BZ5721" s="105"/>
      <c r="CA5721" s="20"/>
    </row>
    <row r="5722" spans="78:79" x14ac:dyDescent="0.35">
      <c r="BZ5722" s="105"/>
      <c r="CA5722" s="20"/>
    </row>
    <row r="5723" spans="78:79" x14ac:dyDescent="0.35">
      <c r="BZ5723" s="105"/>
      <c r="CA5723" s="20"/>
    </row>
    <row r="5724" spans="78:79" x14ac:dyDescent="0.35">
      <c r="BZ5724" s="105"/>
      <c r="CA5724" s="20"/>
    </row>
    <row r="5725" spans="78:79" x14ac:dyDescent="0.35">
      <c r="BZ5725" s="105"/>
      <c r="CA5725" s="20"/>
    </row>
    <row r="5726" spans="78:79" x14ac:dyDescent="0.35">
      <c r="BZ5726" s="105"/>
      <c r="CA5726" s="20"/>
    </row>
    <row r="5727" spans="78:79" x14ac:dyDescent="0.35">
      <c r="BZ5727" s="105"/>
      <c r="CA5727" s="20"/>
    </row>
    <row r="5728" spans="78:79" x14ac:dyDescent="0.35">
      <c r="BZ5728" s="105"/>
      <c r="CA5728" s="20"/>
    </row>
    <row r="5729" spans="78:79" x14ac:dyDescent="0.35">
      <c r="BZ5729" s="105"/>
      <c r="CA5729" s="20"/>
    </row>
    <row r="5730" spans="78:79" x14ac:dyDescent="0.35">
      <c r="BZ5730" s="105"/>
      <c r="CA5730" s="20"/>
    </row>
    <row r="5731" spans="78:79" x14ac:dyDescent="0.35">
      <c r="BZ5731" s="105"/>
      <c r="CA5731" s="20"/>
    </row>
    <row r="5732" spans="78:79" x14ac:dyDescent="0.35">
      <c r="BZ5732" s="105"/>
      <c r="CA5732" s="20"/>
    </row>
    <row r="5733" spans="78:79" x14ac:dyDescent="0.35">
      <c r="BZ5733" s="105"/>
      <c r="CA5733" s="20"/>
    </row>
    <row r="5734" spans="78:79" x14ac:dyDescent="0.35">
      <c r="BZ5734" s="105"/>
      <c r="CA5734" s="20"/>
    </row>
    <row r="5735" spans="78:79" x14ac:dyDescent="0.35">
      <c r="BZ5735" s="105"/>
      <c r="CA5735" s="20"/>
    </row>
    <row r="5736" spans="78:79" x14ac:dyDescent="0.35">
      <c r="BZ5736" s="105"/>
      <c r="CA5736" s="20"/>
    </row>
    <row r="5737" spans="78:79" x14ac:dyDescent="0.35">
      <c r="BZ5737" s="105"/>
      <c r="CA5737" s="20"/>
    </row>
    <row r="5738" spans="78:79" x14ac:dyDescent="0.35">
      <c r="BZ5738" s="105"/>
      <c r="CA5738" s="20"/>
    </row>
    <row r="5739" spans="78:79" x14ac:dyDescent="0.35">
      <c r="BZ5739" s="105"/>
      <c r="CA5739" s="20"/>
    </row>
    <row r="5740" spans="78:79" x14ac:dyDescent="0.35">
      <c r="BZ5740" s="105"/>
      <c r="CA5740" s="20"/>
    </row>
    <row r="5741" spans="78:79" x14ac:dyDescent="0.35">
      <c r="BZ5741" s="105"/>
      <c r="CA5741" s="20"/>
    </row>
    <row r="5742" spans="78:79" x14ac:dyDescent="0.35">
      <c r="BZ5742" s="105"/>
      <c r="CA5742" s="20"/>
    </row>
    <row r="5743" spans="78:79" x14ac:dyDescent="0.35">
      <c r="BZ5743" s="105"/>
      <c r="CA5743" s="20"/>
    </row>
    <row r="5744" spans="78:79" x14ac:dyDescent="0.35">
      <c r="BZ5744" s="105"/>
      <c r="CA5744" s="20"/>
    </row>
    <row r="5745" spans="78:79" x14ac:dyDescent="0.35">
      <c r="BZ5745" s="105"/>
      <c r="CA5745" s="20"/>
    </row>
    <row r="5746" spans="78:79" x14ac:dyDescent="0.35">
      <c r="BZ5746" s="105"/>
      <c r="CA5746" s="20"/>
    </row>
    <row r="5747" spans="78:79" x14ac:dyDescent="0.35">
      <c r="BZ5747" s="105"/>
      <c r="CA5747" s="20"/>
    </row>
    <row r="5748" spans="78:79" x14ac:dyDescent="0.35">
      <c r="BZ5748" s="105"/>
      <c r="CA5748" s="20"/>
    </row>
    <row r="5749" spans="78:79" x14ac:dyDescent="0.35">
      <c r="BZ5749" s="105"/>
      <c r="CA5749" s="20"/>
    </row>
    <row r="5750" spans="78:79" x14ac:dyDescent="0.35">
      <c r="BZ5750" s="105"/>
      <c r="CA5750" s="20"/>
    </row>
    <row r="5751" spans="78:79" x14ac:dyDescent="0.35">
      <c r="BZ5751" s="105"/>
      <c r="CA5751" s="20"/>
    </row>
    <row r="5752" spans="78:79" x14ac:dyDescent="0.35">
      <c r="BZ5752" s="105"/>
      <c r="CA5752" s="20"/>
    </row>
    <row r="5753" spans="78:79" x14ac:dyDescent="0.35">
      <c r="BZ5753" s="105"/>
      <c r="CA5753" s="20"/>
    </row>
    <row r="5754" spans="78:79" x14ac:dyDescent="0.35">
      <c r="BZ5754" s="105"/>
      <c r="CA5754" s="20"/>
    </row>
    <row r="5755" spans="78:79" x14ac:dyDescent="0.35">
      <c r="BZ5755" s="105"/>
      <c r="CA5755" s="20"/>
    </row>
    <row r="5756" spans="78:79" x14ac:dyDescent="0.35">
      <c r="BZ5756" s="105"/>
      <c r="CA5756" s="20"/>
    </row>
    <row r="5757" spans="78:79" x14ac:dyDescent="0.35">
      <c r="BZ5757" s="105"/>
      <c r="CA5757" s="20"/>
    </row>
    <row r="5758" spans="78:79" x14ac:dyDescent="0.35">
      <c r="BZ5758" s="105"/>
      <c r="CA5758" s="20"/>
    </row>
    <row r="5759" spans="78:79" x14ac:dyDescent="0.35">
      <c r="BZ5759" s="105"/>
      <c r="CA5759" s="20"/>
    </row>
    <row r="5760" spans="78:79" x14ac:dyDescent="0.35">
      <c r="BZ5760" s="105"/>
      <c r="CA5760" s="20"/>
    </row>
    <row r="5761" spans="78:79" x14ac:dyDescent="0.35">
      <c r="BZ5761" s="105"/>
      <c r="CA5761" s="20"/>
    </row>
    <row r="5762" spans="78:79" x14ac:dyDescent="0.35">
      <c r="BZ5762" s="105"/>
      <c r="CA5762" s="20"/>
    </row>
    <row r="5763" spans="78:79" x14ac:dyDescent="0.35">
      <c r="BZ5763" s="105"/>
      <c r="CA5763" s="20"/>
    </row>
    <row r="5764" spans="78:79" x14ac:dyDescent="0.35">
      <c r="BZ5764" s="105"/>
      <c r="CA5764" s="20"/>
    </row>
    <row r="5765" spans="78:79" x14ac:dyDescent="0.35">
      <c r="BZ5765" s="105"/>
      <c r="CA5765" s="20"/>
    </row>
    <row r="5766" spans="78:79" x14ac:dyDescent="0.35">
      <c r="BZ5766" s="105"/>
      <c r="CA5766" s="20"/>
    </row>
    <row r="5767" spans="78:79" x14ac:dyDescent="0.35">
      <c r="BZ5767" s="105"/>
      <c r="CA5767" s="20"/>
    </row>
    <row r="5768" spans="78:79" x14ac:dyDescent="0.35">
      <c r="BZ5768" s="105"/>
      <c r="CA5768" s="20"/>
    </row>
    <row r="5769" spans="78:79" x14ac:dyDescent="0.35">
      <c r="BZ5769" s="105"/>
      <c r="CA5769" s="20"/>
    </row>
    <row r="5770" spans="78:79" x14ac:dyDescent="0.35">
      <c r="BZ5770" s="105"/>
      <c r="CA5770" s="20"/>
    </row>
    <row r="5771" spans="78:79" x14ac:dyDescent="0.35">
      <c r="BZ5771" s="105"/>
      <c r="CA5771" s="20"/>
    </row>
    <row r="5772" spans="78:79" x14ac:dyDescent="0.35">
      <c r="BZ5772" s="105"/>
      <c r="CA5772" s="20"/>
    </row>
    <row r="5773" spans="78:79" x14ac:dyDescent="0.35">
      <c r="BZ5773" s="105"/>
      <c r="CA5773" s="20"/>
    </row>
    <row r="5774" spans="78:79" x14ac:dyDescent="0.35">
      <c r="BZ5774" s="105"/>
      <c r="CA5774" s="20"/>
    </row>
    <row r="5775" spans="78:79" x14ac:dyDescent="0.35">
      <c r="BZ5775" s="105"/>
      <c r="CA5775" s="20"/>
    </row>
    <row r="5776" spans="78:79" x14ac:dyDescent="0.35">
      <c r="BZ5776" s="105"/>
      <c r="CA5776" s="20"/>
    </row>
    <row r="5777" spans="78:79" x14ac:dyDescent="0.35">
      <c r="BZ5777" s="105"/>
      <c r="CA5777" s="20"/>
    </row>
    <row r="5778" spans="78:79" x14ac:dyDescent="0.35">
      <c r="BZ5778" s="105"/>
      <c r="CA5778" s="20"/>
    </row>
    <row r="5779" spans="78:79" x14ac:dyDescent="0.35">
      <c r="BZ5779" s="105"/>
      <c r="CA5779" s="20"/>
    </row>
    <row r="5780" spans="78:79" x14ac:dyDescent="0.35">
      <c r="BZ5780" s="105"/>
      <c r="CA5780" s="20"/>
    </row>
    <row r="5781" spans="78:79" x14ac:dyDescent="0.35">
      <c r="BZ5781" s="105"/>
      <c r="CA5781" s="20"/>
    </row>
    <row r="5782" spans="78:79" x14ac:dyDescent="0.35">
      <c r="BZ5782" s="105"/>
      <c r="CA5782" s="20"/>
    </row>
    <row r="5783" spans="78:79" x14ac:dyDescent="0.35">
      <c r="BZ5783" s="105"/>
      <c r="CA5783" s="20"/>
    </row>
    <row r="5784" spans="78:79" x14ac:dyDescent="0.35">
      <c r="BZ5784" s="105"/>
      <c r="CA5784" s="20"/>
    </row>
    <row r="5785" spans="78:79" x14ac:dyDescent="0.35">
      <c r="BZ5785" s="105"/>
      <c r="CA5785" s="20"/>
    </row>
    <row r="5786" spans="78:79" x14ac:dyDescent="0.35">
      <c r="BZ5786" s="105"/>
      <c r="CA5786" s="20"/>
    </row>
    <row r="5787" spans="78:79" x14ac:dyDescent="0.35">
      <c r="BZ5787" s="105"/>
      <c r="CA5787" s="20"/>
    </row>
    <row r="5788" spans="78:79" x14ac:dyDescent="0.35">
      <c r="BZ5788" s="105"/>
      <c r="CA5788" s="20"/>
    </row>
    <row r="5789" spans="78:79" x14ac:dyDescent="0.35">
      <c r="BZ5789" s="105"/>
      <c r="CA5789" s="20"/>
    </row>
    <row r="5790" spans="78:79" x14ac:dyDescent="0.35">
      <c r="BZ5790" s="105"/>
      <c r="CA5790" s="20"/>
    </row>
    <row r="5791" spans="78:79" x14ac:dyDescent="0.35">
      <c r="BZ5791" s="105"/>
      <c r="CA5791" s="20"/>
    </row>
    <row r="5792" spans="78:79" x14ac:dyDescent="0.35">
      <c r="BZ5792" s="105"/>
      <c r="CA5792" s="20"/>
    </row>
    <row r="5793" spans="78:79" x14ac:dyDescent="0.35">
      <c r="BZ5793" s="105"/>
      <c r="CA5793" s="20"/>
    </row>
    <row r="5794" spans="78:79" x14ac:dyDescent="0.35">
      <c r="BZ5794" s="105"/>
      <c r="CA5794" s="20"/>
    </row>
    <row r="5795" spans="78:79" x14ac:dyDescent="0.35">
      <c r="BZ5795" s="105"/>
      <c r="CA5795" s="20"/>
    </row>
    <row r="5796" spans="78:79" x14ac:dyDescent="0.35">
      <c r="BZ5796" s="105"/>
      <c r="CA5796" s="20"/>
    </row>
    <row r="5797" spans="78:79" x14ac:dyDescent="0.35">
      <c r="BZ5797" s="105"/>
      <c r="CA5797" s="20"/>
    </row>
    <row r="5798" spans="78:79" x14ac:dyDescent="0.35">
      <c r="BZ5798" s="105"/>
      <c r="CA5798" s="20"/>
    </row>
    <row r="5799" spans="78:79" x14ac:dyDescent="0.35">
      <c r="BZ5799" s="105"/>
      <c r="CA5799" s="20"/>
    </row>
    <row r="5800" spans="78:79" x14ac:dyDescent="0.35">
      <c r="BZ5800" s="105"/>
      <c r="CA5800" s="20"/>
    </row>
    <row r="5801" spans="78:79" x14ac:dyDescent="0.35">
      <c r="BZ5801" s="105"/>
      <c r="CA5801" s="20"/>
    </row>
    <row r="5802" spans="78:79" x14ac:dyDescent="0.35">
      <c r="BZ5802" s="105"/>
      <c r="CA5802" s="20"/>
    </row>
    <row r="5803" spans="78:79" x14ac:dyDescent="0.35">
      <c r="BZ5803" s="105"/>
      <c r="CA5803" s="20"/>
    </row>
    <row r="5804" spans="78:79" x14ac:dyDescent="0.35">
      <c r="BZ5804" s="105"/>
      <c r="CA5804" s="20"/>
    </row>
    <row r="5805" spans="78:79" x14ac:dyDescent="0.35">
      <c r="BZ5805" s="105"/>
      <c r="CA5805" s="20"/>
    </row>
    <row r="5806" spans="78:79" x14ac:dyDescent="0.35">
      <c r="BZ5806" s="105"/>
      <c r="CA5806" s="20"/>
    </row>
    <row r="5807" spans="78:79" x14ac:dyDescent="0.35">
      <c r="BZ5807" s="105"/>
      <c r="CA5807" s="20"/>
    </row>
    <row r="5808" spans="78:79" x14ac:dyDescent="0.35">
      <c r="BZ5808" s="105"/>
      <c r="CA5808" s="20"/>
    </row>
    <row r="5809" spans="78:79" x14ac:dyDescent="0.35">
      <c r="BZ5809" s="105"/>
      <c r="CA5809" s="20"/>
    </row>
    <row r="5810" spans="78:79" x14ac:dyDescent="0.35">
      <c r="BZ5810" s="105"/>
      <c r="CA5810" s="20"/>
    </row>
    <row r="5811" spans="78:79" x14ac:dyDescent="0.35">
      <c r="BZ5811" s="105"/>
      <c r="CA5811" s="20"/>
    </row>
    <row r="5812" spans="78:79" x14ac:dyDescent="0.35">
      <c r="BZ5812" s="105"/>
      <c r="CA5812" s="20"/>
    </row>
    <row r="5813" spans="78:79" x14ac:dyDescent="0.35">
      <c r="BZ5813" s="105"/>
      <c r="CA5813" s="20"/>
    </row>
    <row r="5814" spans="78:79" x14ac:dyDescent="0.35">
      <c r="BZ5814" s="105"/>
      <c r="CA5814" s="20"/>
    </row>
    <row r="5815" spans="78:79" x14ac:dyDescent="0.35">
      <c r="BZ5815" s="105"/>
      <c r="CA5815" s="20"/>
    </row>
    <row r="5816" spans="78:79" x14ac:dyDescent="0.35">
      <c r="BZ5816" s="105"/>
      <c r="CA5816" s="20"/>
    </row>
    <row r="5817" spans="78:79" x14ac:dyDescent="0.35">
      <c r="BZ5817" s="105"/>
      <c r="CA5817" s="20"/>
    </row>
    <row r="5818" spans="78:79" x14ac:dyDescent="0.35">
      <c r="BZ5818" s="105"/>
      <c r="CA5818" s="20"/>
    </row>
    <row r="5819" spans="78:79" x14ac:dyDescent="0.35">
      <c r="BZ5819" s="105"/>
      <c r="CA5819" s="20"/>
    </row>
    <row r="5820" spans="78:79" x14ac:dyDescent="0.35">
      <c r="BZ5820" s="105"/>
      <c r="CA5820" s="20"/>
    </row>
    <row r="5821" spans="78:79" x14ac:dyDescent="0.35">
      <c r="BZ5821" s="105"/>
      <c r="CA5821" s="20"/>
    </row>
    <row r="5822" spans="78:79" x14ac:dyDescent="0.35">
      <c r="BZ5822" s="105"/>
      <c r="CA5822" s="20"/>
    </row>
    <row r="5823" spans="78:79" x14ac:dyDescent="0.35">
      <c r="BZ5823" s="105"/>
      <c r="CA5823" s="20"/>
    </row>
    <row r="5824" spans="78:79" x14ac:dyDescent="0.35">
      <c r="BZ5824" s="105"/>
      <c r="CA5824" s="20"/>
    </row>
    <row r="5825" spans="78:79" x14ac:dyDescent="0.35">
      <c r="BZ5825" s="105"/>
      <c r="CA5825" s="20"/>
    </row>
    <row r="5826" spans="78:79" x14ac:dyDescent="0.35">
      <c r="BZ5826" s="105"/>
      <c r="CA5826" s="20"/>
    </row>
    <row r="5827" spans="78:79" x14ac:dyDescent="0.35">
      <c r="BZ5827" s="105"/>
      <c r="CA5827" s="20"/>
    </row>
    <row r="5828" spans="78:79" x14ac:dyDescent="0.35">
      <c r="BZ5828" s="105"/>
      <c r="CA5828" s="20"/>
    </row>
    <row r="5829" spans="78:79" x14ac:dyDescent="0.35">
      <c r="BZ5829" s="105"/>
      <c r="CA5829" s="20"/>
    </row>
    <row r="5830" spans="78:79" x14ac:dyDescent="0.35">
      <c r="BZ5830" s="105"/>
      <c r="CA5830" s="20"/>
    </row>
    <row r="5831" spans="78:79" x14ac:dyDescent="0.35">
      <c r="BZ5831" s="105"/>
      <c r="CA5831" s="20"/>
    </row>
    <row r="5832" spans="78:79" x14ac:dyDescent="0.35">
      <c r="BZ5832" s="105"/>
      <c r="CA5832" s="20"/>
    </row>
    <row r="5833" spans="78:79" x14ac:dyDescent="0.35">
      <c r="BZ5833" s="105"/>
      <c r="CA5833" s="20"/>
    </row>
    <row r="5834" spans="78:79" x14ac:dyDescent="0.35">
      <c r="BZ5834" s="105"/>
      <c r="CA5834" s="20"/>
    </row>
    <row r="5835" spans="78:79" x14ac:dyDescent="0.35">
      <c r="BZ5835" s="105"/>
      <c r="CA5835" s="20"/>
    </row>
    <row r="5836" spans="78:79" x14ac:dyDescent="0.35">
      <c r="BZ5836" s="105"/>
      <c r="CA5836" s="20"/>
    </row>
    <row r="5837" spans="78:79" x14ac:dyDescent="0.35">
      <c r="BZ5837" s="105"/>
      <c r="CA5837" s="20"/>
    </row>
    <row r="5838" spans="78:79" x14ac:dyDescent="0.35">
      <c r="BZ5838" s="105"/>
      <c r="CA5838" s="20"/>
    </row>
    <row r="5839" spans="78:79" x14ac:dyDescent="0.35">
      <c r="BZ5839" s="105"/>
      <c r="CA5839" s="20"/>
    </row>
    <row r="5840" spans="78:79" x14ac:dyDescent="0.35">
      <c r="BZ5840" s="105"/>
      <c r="CA5840" s="20"/>
    </row>
    <row r="5841" spans="78:79" x14ac:dyDescent="0.35">
      <c r="BZ5841" s="105"/>
      <c r="CA5841" s="20"/>
    </row>
    <row r="5842" spans="78:79" x14ac:dyDescent="0.35">
      <c r="BZ5842" s="105"/>
      <c r="CA5842" s="20"/>
    </row>
    <row r="5843" spans="78:79" x14ac:dyDescent="0.35">
      <c r="BZ5843" s="105"/>
      <c r="CA5843" s="20"/>
    </row>
    <row r="5844" spans="78:79" x14ac:dyDescent="0.35">
      <c r="BZ5844" s="105"/>
      <c r="CA5844" s="20"/>
    </row>
    <row r="5845" spans="78:79" x14ac:dyDescent="0.35">
      <c r="BZ5845" s="105"/>
      <c r="CA5845" s="20"/>
    </row>
    <row r="5846" spans="78:79" x14ac:dyDescent="0.35">
      <c r="BZ5846" s="105"/>
      <c r="CA5846" s="20"/>
    </row>
    <row r="5847" spans="78:79" x14ac:dyDescent="0.35">
      <c r="BZ5847" s="105"/>
      <c r="CA5847" s="20"/>
    </row>
    <row r="5848" spans="78:79" x14ac:dyDescent="0.35">
      <c r="BZ5848" s="105"/>
      <c r="CA5848" s="20"/>
    </row>
    <row r="5849" spans="78:79" x14ac:dyDescent="0.35">
      <c r="BZ5849" s="105"/>
      <c r="CA5849" s="20"/>
    </row>
    <row r="5850" spans="78:79" x14ac:dyDescent="0.35">
      <c r="BZ5850" s="105"/>
      <c r="CA5850" s="20"/>
    </row>
    <row r="5851" spans="78:79" x14ac:dyDescent="0.35">
      <c r="BZ5851" s="105"/>
      <c r="CA5851" s="20"/>
    </row>
    <row r="5852" spans="78:79" x14ac:dyDescent="0.35">
      <c r="BZ5852" s="105"/>
      <c r="CA5852" s="20"/>
    </row>
    <row r="5853" spans="78:79" x14ac:dyDescent="0.35">
      <c r="BZ5853" s="105"/>
      <c r="CA5853" s="20"/>
    </row>
    <row r="5854" spans="78:79" x14ac:dyDescent="0.35">
      <c r="BZ5854" s="105"/>
      <c r="CA5854" s="20"/>
    </row>
    <row r="5855" spans="78:79" x14ac:dyDescent="0.35">
      <c r="BZ5855" s="105"/>
      <c r="CA5855" s="20"/>
    </row>
    <row r="5856" spans="78:79" x14ac:dyDescent="0.35">
      <c r="BZ5856" s="105"/>
      <c r="CA5856" s="20"/>
    </row>
    <row r="5857" spans="78:79" x14ac:dyDescent="0.35">
      <c r="BZ5857" s="105"/>
      <c r="CA5857" s="20"/>
    </row>
    <row r="5858" spans="78:79" x14ac:dyDescent="0.35">
      <c r="BZ5858" s="105"/>
      <c r="CA5858" s="20"/>
    </row>
    <row r="5859" spans="78:79" x14ac:dyDescent="0.35">
      <c r="BZ5859" s="105"/>
      <c r="CA5859" s="20"/>
    </row>
    <row r="5860" spans="78:79" x14ac:dyDescent="0.35">
      <c r="BZ5860" s="105"/>
      <c r="CA5860" s="20"/>
    </row>
    <row r="5861" spans="78:79" x14ac:dyDescent="0.35">
      <c r="BZ5861" s="105"/>
      <c r="CA5861" s="20"/>
    </row>
    <row r="5862" spans="78:79" x14ac:dyDescent="0.35">
      <c r="BZ5862" s="105"/>
      <c r="CA5862" s="20"/>
    </row>
    <row r="5863" spans="78:79" x14ac:dyDescent="0.35">
      <c r="BZ5863" s="105"/>
      <c r="CA5863" s="20"/>
    </row>
    <row r="5864" spans="78:79" x14ac:dyDescent="0.35">
      <c r="BZ5864" s="105"/>
      <c r="CA5864" s="20"/>
    </row>
    <row r="5865" spans="78:79" x14ac:dyDescent="0.35">
      <c r="BZ5865" s="105"/>
      <c r="CA5865" s="20"/>
    </row>
    <row r="5866" spans="78:79" x14ac:dyDescent="0.35">
      <c r="BZ5866" s="105"/>
      <c r="CA5866" s="20"/>
    </row>
    <row r="5867" spans="78:79" x14ac:dyDescent="0.35">
      <c r="BZ5867" s="105"/>
      <c r="CA5867" s="20"/>
    </row>
    <row r="5868" spans="78:79" x14ac:dyDescent="0.35">
      <c r="BZ5868" s="105"/>
      <c r="CA5868" s="20"/>
    </row>
    <row r="5869" spans="78:79" x14ac:dyDescent="0.35">
      <c r="BZ5869" s="105"/>
      <c r="CA5869" s="20"/>
    </row>
    <row r="5870" spans="78:79" x14ac:dyDescent="0.35">
      <c r="BZ5870" s="105"/>
      <c r="CA5870" s="20"/>
    </row>
    <row r="5871" spans="78:79" x14ac:dyDescent="0.35">
      <c r="BZ5871" s="105"/>
      <c r="CA5871" s="20"/>
    </row>
    <row r="5872" spans="78:79" x14ac:dyDescent="0.35">
      <c r="BZ5872" s="105"/>
      <c r="CA5872" s="20"/>
    </row>
    <row r="5873" spans="78:79" x14ac:dyDescent="0.35">
      <c r="BZ5873" s="105"/>
      <c r="CA5873" s="20"/>
    </row>
    <row r="5874" spans="78:79" x14ac:dyDescent="0.35">
      <c r="BZ5874" s="105"/>
      <c r="CA5874" s="20"/>
    </row>
    <row r="5875" spans="78:79" x14ac:dyDescent="0.35">
      <c r="BZ5875" s="105"/>
      <c r="CA5875" s="20"/>
    </row>
    <row r="5876" spans="78:79" x14ac:dyDescent="0.35">
      <c r="BZ5876" s="105"/>
      <c r="CA5876" s="20"/>
    </row>
    <row r="5877" spans="78:79" x14ac:dyDescent="0.35">
      <c r="BZ5877" s="105"/>
      <c r="CA5877" s="20"/>
    </row>
    <row r="5878" spans="78:79" x14ac:dyDescent="0.35">
      <c r="BZ5878" s="105"/>
      <c r="CA5878" s="20"/>
    </row>
    <row r="5879" spans="78:79" x14ac:dyDescent="0.35">
      <c r="BZ5879" s="105"/>
      <c r="CA5879" s="20"/>
    </row>
    <row r="5880" spans="78:79" x14ac:dyDescent="0.35">
      <c r="BZ5880" s="105"/>
      <c r="CA5880" s="20"/>
    </row>
    <row r="5881" spans="78:79" x14ac:dyDescent="0.35">
      <c r="BZ5881" s="105"/>
      <c r="CA5881" s="20"/>
    </row>
    <row r="5882" spans="78:79" x14ac:dyDescent="0.35">
      <c r="BZ5882" s="105"/>
      <c r="CA5882" s="20"/>
    </row>
    <row r="5883" spans="78:79" x14ac:dyDescent="0.35">
      <c r="BZ5883" s="105"/>
      <c r="CA5883" s="20"/>
    </row>
    <row r="5884" spans="78:79" x14ac:dyDescent="0.35">
      <c r="BZ5884" s="105"/>
      <c r="CA5884" s="20"/>
    </row>
    <row r="5885" spans="78:79" x14ac:dyDescent="0.35">
      <c r="BZ5885" s="105"/>
      <c r="CA5885" s="20"/>
    </row>
    <row r="5886" spans="78:79" x14ac:dyDescent="0.35">
      <c r="BZ5886" s="105"/>
      <c r="CA5886" s="20"/>
    </row>
    <row r="5887" spans="78:79" x14ac:dyDescent="0.35">
      <c r="BZ5887" s="105"/>
      <c r="CA5887" s="20"/>
    </row>
    <row r="5888" spans="78:79" x14ac:dyDescent="0.35">
      <c r="BZ5888" s="105"/>
      <c r="CA5888" s="20"/>
    </row>
    <row r="5889" spans="78:79" x14ac:dyDescent="0.35">
      <c r="BZ5889" s="105"/>
      <c r="CA5889" s="20"/>
    </row>
    <row r="5890" spans="78:79" x14ac:dyDescent="0.35">
      <c r="BZ5890" s="105"/>
      <c r="CA5890" s="20"/>
    </row>
    <row r="5891" spans="78:79" x14ac:dyDescent="0.35">
      <c r="BZ5891" s="105"/>
      <c r="CA5891" s="20"/>
    </row>
    <row r="5892" spans="78:79" x14ac:dyDescent="0.35">
      <c r="BZ5892" s="105"/>
      <c r="CA5892" s="20"/>
    </row>
    <row r="5893" spans="78:79" x14ac:dyDescent="0.35">
      <c r="BZ5893" s="105"/>
      <c r="CA5893" s="20"/>
    </row>
    <row r="5894" spans="78:79" x14ac:dyDescent="0.35">
      <c r="BZ5894" s="105"/>
      <c r="CA5894" s="20"/>
    </row>
    <row r="5895" spans="78:79" x14ac:dyDescent="0.35">
      <c r="BZ5895" s="105"/>
      <c r="CA5895" s="20"/>
    </row>
    <row r="5896" spans="78:79" x14ac:dyDescent="0.35">
      <c r="BZ5896" s="105"/>
      <c r="CA5896" s="20"/>
    </row>
    <row r="5897" spans="78:79" x14ac:dyDescent="0.35">
      <c r="BZ5897" s="105"/>
      <c r="CA5897" s="20"/>
    </row>
    <row r="5898" spans="78:79" x14ac:dyDescent="0.35">
      <c r="BZ5898" s="105"/>
      <c r="CA5898" s="20"/>
    </row>
    <row r="5899" spans="78:79" x14ac:dyDescent="0.35">
      <c r="BZ5899" s="105"/>
      <c r="CA5899" s="20"/>
    </row>
    <row r="5900" spans="78:79" x14ac:dyDescent="0.35">
      <c r="BZ5900" s="105"/>
      <c r="CA5900" s="20"/>
    </row>
    <row r="5901" spans="78:79" x14ac:dyDescent="0.35">
      <c r="BZ5901" s="105"/>
      <c r="CA5901" s="20"/>
    </row>
    <row r="5902" spans="78:79" x14ac:dyDescent="0.35">
      <c r="BZ5902" s="105"/>
      <c r="CA5902" s="20"/>
    </row>
    <row r="5903" spans="78:79" x14ac:dyDescent="0.35">
      <c r="BZ5903" s="105"/>
      <c r="CA5903" s="20"/>
    </row>
    <row r="5904" spans="78:79" x14ac:dyDescent="0.35">
      <c r="BZ5904" s="105"/>
      <c r="CA5904" s="20"/>
    </row>
    <row r="5905" spans="78:79" x14ac:dyDescent="0.35">
      <c r="BZ5905" s="105"/>
      <c r="CA5905" s="20"/>
    </row>
    <row r="5906" spans="78:79" x14ac:dyDescent="0.35">
      <c r="BZ5906" s="105"/>
      <c r="CA5906" s="20"/>
    </row>
    <row r="5907" spans="78:79" x14ac:dyDescent="0.35">
      <c r="BZ5907" s="105"/>
      <c r="CA5907" s="20"/>
    </row>
    <row r="5908" spans="78:79" x14ac:dyDescent="0.35">
      <c r="BZ5908" s="105"/>
      <c r="CA5908" s="20"/>
    </row>
    <row r="5909" spans="78:79" x14ac:dyDescent="0.35">
      <c r="BZ5909" s="105"/>
      <c r="CA5909" s="20"/>
    </row>
    <row r="5910" spans="78:79" x14ac:dyDescent="0.35">
      <c r="BZ5910" s="105"/>
      <c r="CA5910" s="20"/>
    </row>
    <row r="5911" spans="78:79" x14ac:dyDescent="0.35">
      <c r="BZ5911" s="105"/>
      <c r="CA5911" s="20"/>
    </row>
    <row r="5912" spans="78:79" x14ac:dyDescent="0.35">
      <c r="BZ5912" s="105"/>
      <c r="CA5912" s="20"/>
    </row>
    <row r="5913" spans="78:79" x14ac:dyDescent="0.35">
      <c r="BZ5913" s="105"/>
      <c r="CA5913" s="20"/>
    </row>
    <row r="5914" spans="78:79" x14ac:dyDescent="0.35">
      <c r="BZ5914" s="105"/>
      <c r="CA5914" s="20"/>
    </row>
    <row r="5915" spans="78:79" x14ac:dyDescent="0.35">
      <c r="BZ5915" s="105"/>
      <c r="CA5915" s="20"/>
    </row>
    <row r="5916" spans="78:79" x14ac:dyDescent="0.35">
      <c r="BZ5916" s="105"/>
      <c r="CA5916" s="20"/>
    </row>
    <row r="5917" spans="78:79" x14ac:dyDescent="0.35">
      <c r="BZ5917" s="105"/>
      <c r="CA5917" s="20"/>
    </row>
    <row r="5918" spans="78:79" x14ac:dyDescent="0.35">
      <c r="BZ5918" s="105"/>
      <c r="CA5918" s="20"/>
    </row>
    <row r="5919" spans="78:79" x14ac:dyDescent="0.35">
      <c r="BZ5919" s="105"/>
      <c r="CA5919" s="20"/>
    </row>
    <row r="5920" spans="78:79" x14ac:dyDescent="0.35">
      <c r="BZ5920" s="105"/>
      <c r="CA5920" s="20"/>
    </row>
    <row r="5921" spans="78:79" x14ac:dyDescent="0.35">
      <c r="BZ5921" s="105"/>
      <c r="CA5921" s="20"/>
    </row>
    <row r="5922" spans="78:79" x14ac:dyDescent="0.35">
      <c r="BZ5922" s="105"/>
      <c r="CA5922" s="20"/>
    </row>
    <row r="5923" spans="78:79" x14ac:dyDescent="0.35">
      <c r="BZ5923" s="105"/>
      <c r="CA5923" s="20"/>
    </row>
    <row r="5924" spans="78:79" x14ac:dyDescent="0.35">
      <c r="BZ5924" s="105"/>
      <c r="CA5924" s="20"/>
    </row>
    <row r="5925" spans="78:79" x14ac:dyDescent="0.35">
      <c r="BZ5925" s="105"/>
      <c r="CA5925" s="20"/>
    </row>
    <row r="5926" spans="78:79" x14ac:dyDescent="0.35">
      <c r="BZ5926" s="105"/>
      <c r="CA5926" s="20"/>
    </row>
    <row r="5927" spans="78:79" x14ac:dyDescent="0.35">
      <c r="BZ5927" s="105"/>
      <c r="CA5927" s="20"/>
    </row>
    <row r="5928" spans="78:79" x14ac:dyDescent="0.35">
      <c r="BZ5928" s="105"/>
      <c r="CA5928" s="20"/>
    </row>
    <row r="5929" spans="78:79" x14ac:dyDescent="0.35">
      <c r="BZ5929" s="105"/>
      <c r="CA5929" s="20"/>
    </row>
    <row r="5930" spans="78:79" x14ac:dyDescent="0.35">
      <c r="BZ5930" s="105"/>
      <c r="CA5930" s="20"/>
    </row>
    <row r="5931" spans="78:79" x14ac:dyDescent="0.35">
      <c r="BZ5931" s="105"/>
      <c r="CA5931" s="20"/>
    </row>
    <row r="5932" spans="78:79" x14ac:dyDescent="0.35">
      <c r="BZ5932" s="105"/>
      <c r="CA5932" s="20"/>
    </row>
    <row r="5933" spans="78:79" x14ac:dyDescent="0.35">
      <c r="BZ5933" s="105"/>
      <c r="CA5933" s="20"/>
    </row>
    <row r="5934" spans="78:79" x14ac:dyDescent="0.35">
      <c r="BZ5934" s="105"/>
      <c r="CA5934" s="20"/>
    </row>
    <row r="5935" spans="78:79" x14ac:dyDescent="0.35">
      <c r="BZ5935" s="105"/>
      <c r="CA5935" s="20"/>
    </row>
    <row r="5936" spans="78:79" x14ac:dyDescent="0.35">
      <c r="BZ5936" s="105"/>
      <c r="CA5936" s="20"/>
    </row>
    <row r="5937" spans="78:79" x14ac:dyDescent="0.35">
      <c r="BZ5937" s="105"/>
      <c r="CA5937" s="20"/>
    </row>
    <row r="5938" spans="78:79" x14ac:dyDescent="0.35">
      <c r="BZ5938" s="105"/>
      <c r="CA5938" s="20"/>
    </row>
    <row r="5939" spans="78:79" x14ac:dyDescent="0.35">
      <c r="BZ5939" s="105"/>
      <c r="CA5939" s="20"/>
    </row>
    <row r="5940" spans="78:79" x14ac:dyDescent="0.35">
      <c r="BZ5940" s="105"/>
      <c r="CA5940" s="20"/>
    </row>
    <row r="5941" spans="78:79" x14ac:dyDescent="0.35">
      <c r="BZ5941" s="105"/>
      <c r="CA5941" s="20"/>
    </row>
    <row r="5942" spans="78:79" x14ac:dyDescent="0.35">
      <c r="BZ5942" s="105"/>
      <c r="CA5942" s="20"/>
    </row>
    <row r="5943" spans="78:79" x14ac:dyDescent="0.35">
      <c r="BZ5943" s="105"/>
      <c r="CA5943" s="20"/>
    </row>
    <row r="5944" spans="78:79" x14ac:dyDescent="0.35">
      <c r="BZ5944" s="105"/>
      <c r="CA5944" s="20"/>
    </row>
    <row r="5945" spans="78:79" x14ac:dyDescent="0.35">
      <c r="BZ5945" s="105"/>
      <c r="CA5945" s="20"/>
    </row>
    <row r="5946" spans="78:79" x14ac:dyDescent="0.35">
      <c r="BZ5946" s="105"/>
      <c r="CA5946" s="20"/>
    </row>
    <row r="5947" spans="78:79" x14ac:dyDescent="0.35">
      <c r="BZ5947" s="105"/>
      <c r="CA5947" s="20"/>
    </row>
    <row r="5948" spans="78:79" x14ac:dyDescent="0.35">
      <c r="BZ5948" s="105"/>
      <c r="CA5948" s="20"/>
    </row>
    <row r="5949" spans="78:79" x14ac:dyDescent="0.35">
      <c r="BZ5949" s="105"/>
      <c r="CA5949" s="20"/>
    </row>
    <row r="5950" spans="78:79" x14ac:dyDescent="0.35">
      <c r="BZ5950" s="105"/>
      <c r="CA5950" s="20"/>
    </row>
    <row r="5951" spans="78:79" x14ac:dyDescent="0.35">
      <c r="BZ5951" s="105"/>
      <c r="CA5951" s="20"/>
    </row>
    <row r="5952" spans="78:79" x14ac:dyDescent="0.35">
      <c r="BZ5952" s="105"/>
      <c r="CA5952" s="20"/>
    </row>
    <row r="5953" spans="78:79" x14ac:dyDescent="0.35">
      <c r="BZ5953" s="105"/>
      <c r="CA5953" s="20"/>
    </row>
    <row r="5954" spans="78:79" x14ac:dyDescent="0.35">
      <c r="BZ5954" s="105"/>
      <c r="CA5954" s="20"/>
    </row>
    <row r="5955" spans="78:79" x14ac:dyDescent="0.35">
      <c r="BZ5955" s="105"/>
      <c r="CA5955" s="20"/>
    </row>
    <row r="5956" spans="78:79" x14ac:dyDescent="0.35">
      <c r="BZ5956" s="105"/>
      <c r="CA5956" s="20"/>
    </row>
    <row r="5957" spans="78:79" x14ac:dyDescent="0.35">
      <c r="BZ5957" s="105"/>
      <c r="CA5957" s="20"/>
    </row>
    <row r="5958" spans="78:79" x14ac:dyDescent="0.35">
      <c r="BZ5958" s="105"/>
      <c r="CA5958" s="20"/>
    </row>
    <row r="5959" spans="78:79" x14ac:dyDescent="0.35">
      <c r="BZ5959" s="105"/>
      <c r="CA5959" s="20"/>
    </row>
    <row r="5960" spans="78:79" x14ac:dyDescent="0.35">
      <c r="BZ5960" s="105"/>
      <c r="CA5960" s="20"/>
    </row>
    <row r="5961" spans="78:79" x14ac:dyDescent="0.35">
      <c r="BZ5961" s="105"/>
      <c r="CA5961" s="20"/>
    </row>
    <row r="5962" spans="78:79" x14ac:dyDescent="0.35">
      <c r="BZ5962" s="105"/>
      <c r="CA5962" s="20"/>
    </row>
    <row r="5963" spans="78:79" x14ac:dyDescent="0.35">
      <c r="BZ5963" s="105"/>
      <c r="CA5963" s="20"/>
    </row>
    <row r="5964" spans="78:79" x14ac:dyDescent="0.35">
      <c r="BZ5964" s="105"/>
      <c r="CA5964" s="20"/>
    </row>
    <row r="5965" spans="78:79" x14ac:dyDescent="0.35">
      <c r="BZ5965" s="105"/>
      <c r="CA5965" s="20"/>
    </row>
    <row r="5966" spans="78:79" x14ac:dyDescent="0.35">
      <c r="BZ5966" s="105"/>
      <c r="CA5966" s="20"/>
    </row>
    <row r="5967" spans="78:79" x14ac:dyDescent="0.35">
      <c r="BZ5967" s="105"/>
      <c r="CA5967" s="20"/>
    </row>
    <row r="5968" spans="78:79" x14ac:dyDescent="0.35">
      <c r="BZ5968" s="105"/>
      <c r="CA5968" s="20"/>
    </row>
    <row r="5969" spans="78:79" x14ac:dyDescent="0.35">
      <c r="BZ5969" s="105"/>
      <c r="CA5969" s="20"/>
    </row>
    <row r="5970" spans="78:79" x14ac:dyDescent="0.35">
      <c r="BZ5970" s="105"/>
      <c r="CA5970" s="20"/>
    </row>
    <row r="5971" spans="78:79" x14ac:dyDescent="0.35">
      <c r="BZ5971" s="105"/>
      <c r="CA5971" s="20"/>
    </row>
    <row r="5972" spans="78:79" x14ac:dyDescent="0.35">
      <c r="BZ5972" s="105"/>
      <c r="CA5972" s="20"/>
    </row>
    <row r="5973" spans="78:79" x14ac:dyDescent="0.35">
      <c r="BZ5973" s="105"/>
      <c r="CA5973" s="20"/>
    </row>
    <row r="5974" spans="78:79" x14ac:dyDescent="0.35">
      <c r="BZ5974" s="105"/>
      <c r="CA5974" s="20"/>
    </row>
    <row r="5975" spans="78:79" x14ac:dyDescent="0.35">
      <c r="BZ5975" s="105"/>
      <c r="CA5975" s="20"/>
    </row>
    <row r="5976" spans="78:79" x14ac:dyDescent="0.35">
      <c r="BZ5976" s="105"/>
      <c r="CA5976" s="20"/>
    </row>
    <row r="5977" spans="78:79" x14ac:dyDescent="0.35">
      <c r="BZ5977" s="105"/>
      <c r="CA5977" s="20"/>
    </row>
    <row r="5978" spans="78:79" x14ac:dyDescent="0.35">
      <c r="BZ5978" s="105"/>
      <c r="CA5978" s="20"/>
    </row>
    <row r="5979" spans="78:79" x14ac:dyDescent="0.35">
      <c r="BZ5979" s="105"/>
      <c r="CA5979" s="20"/>
    </row>
    <row r="5980" spans="78:79" x14ac:dyDescent="0.35">
      <c r="BZ5980" s="105"/>
      <c r="CA5980" s="20"/>
    </row>
    <row r="5981" spans="78:79" x14ac:dyDescent="0.35">
      <c r="BZ5981" s="105"/>
      <c r="CA5981" s="20"/>
    </row>
    <row r="5982" spans="78:79" x14ac:dyDescent="0.35">
      <c r="BZ5982" s="105"/>
      <c r="CA5982" s="20"/>
    </row>
    <row r="5983" spans="78:79" x14ac:dyDescent="0.35">
      <c r="BZ5983" s="105"/>
      <c r="CA5983" s="20"/>
    </row>
    <row r="5984" spans="78:79" x14ac:dyDescent="0.35">
      <c r="BZ5984" s="105"/>
      <c r="CA5984" s="20"/>
    </row>
    <row r="5985" spans="78:79" x14ac:dyDescent="0.35">
      <c r="BZ5985" s="105"/>
      <c r="CA5985" s="20"/>
    </row>
    <row r="5986" spans="78:79" x14ac:dyDescent="0.35">
      <c r="BZ5986" s="105"/>
      <c r="CA5986" s="20"/>
    </row>
    <row r="5987" spans="78:79" x14ac:dyDescent="0.35">
      <c r="BZ5987" s="105"/>
      <c r="CA5987" s="20"/>
    </row>
    <row r="5988" spans="78:79" x14ac:dyDescent="0.35">
      <c r="BZ5988" s="105"/>
      <c r="CA5988" s="20"/>
    </row>
    <row r="5989" spans="78:79" x14ac:dyDescent="0.35">
      <c r="BZ5989" s="105"/>
      <c r="CA5989" s="20"/>
    </row>
    <row r="5990" spans="78:79" x14ac:dyDescent="0.35">
      <c r="BZ5990" s="105"/>
      <c r="CA5990" s="20"/>
    </row>
    <row r="5991" spans="78:79" x14ac:dyDescent="0.35">
      <c r="BZ5991" s="105"/>
      <c r="CA5991" s="20"/>
    </row>
    <row r="5992" spans="78:79" x14ac:dyDescent="0.35">
      <c r="BZ5992" s="105"/>
      <c r="CA5992" s="20"/>
    </row>
    <row r="5993" spans="78:79" x14ac:dyDescent="0.35">
      <c r="BZ5993" s="105"/>
      <c r="CA5993" s="20"/>
    </row>
    <row r="5994" spans="78:79" x14ac:dyDescent="0.35">
      <c r="BZ5994" s="105"/>
      <c r="CA5994" s="20"/>
    </row>
    <row r="5995" spans="78:79" x14ac:dyDescent="0.35">
      <c r="BZ5995" s="105"/>
      <c r="CA5995" s="20"/>
    </row>
    <row r="5996" spans="78:79" x14ac:dyDescent="0.35">
      <c r="BZ5996" s="105"/>
      <c r="CA5996" s="20"/>
    </row>
    <row r="5997" spans="78:79" x14ac:dyDescent="0.35">
      <c r="BZ5997" s="105"/>
      <c r="CA5997" s="20"/>
    </row>
    <row r="5998" spans="78:79" x14ac:dyDescent="0.35">
      <c r="BZ5998" s="105"/>
      <c r="CA5998" s="20"/>
    </row>
    <row r="5999" spans="78:79" x14ac:dyDescent="0.35">
      <c r="BZ5999" s="105"/>
      <c r="CA5999" s="20"/>
    </row>
    <row r="6000" spans="78:79" x14ac:dyDescent="0.35">
      <c r="BZ6000" s="105"/>
      <c r="CA6000" s="20"/>
    </row>
    <row r="6001" spans="78:79" x14ac:dyDescent="0.35">
      <c r="BZ6001" s="105"/>
      <c r="CA6001" s="20"/>
    </row>
    <row r="6002" spans="78:79" x14ac:dyDescent="0.35">
      <c r="BZ6002" s="105"/>
      <c r="CA6002" s="20"/>
    </row>
    <row r="6003" spans="78:79" x14ac:dyDescent="0.35">
      <c r="BZ6003" s="105"/>
      <c r="CA6003" s="20"/>
    </row>
    <row r="6004" spans="78:79" x14ac:dyDescent="0.35">
      <c r="BZ6004" s="105"/>
      <c r="CA6004" s="20"/>
    </row>
    <row r="6005" spans="78:79" x14ac:dyDescent="0.35">
      <c r="BZ6005" s="105"/>
      <c r="CA6005" s="20"/>
    </row>
    <row r="6006" spans="78:79" x14ac:dyDescent="0.35">
      <c r="BZ6006" s="105"/>
      <c r="CA6006" s="20"/>
    </row>
    <row r="6007" spans="78:79" x14ac:dyDescent="0.35">
      <c r="BZ6007" s="105"/>
      <c r="CA6007" s="20"/>
    </row>
    <row r="6008" spans="78:79" x14ac:dyDescent="0.35">
      <c r="BZ6008" s="105"/>
      <c r="CA6008" s="20"/>
    </row>
    <row r="6009" spans="78:79" x14ac:dyDescent="0.35">
      <c r="BZ6009" s="105"/>
      <c r="CA6009" s="20"/>
    </row>
    <row r="6010" spans="78:79" x14ac:dyDescent="0.35">
      <c r="BZ6010" s="105"/>
      <c r="CA6010" s="20"/>
    </row>
    <row r="6011" spans="78:79" x14ac:dyDescent="0.35">
      <c r="BZ6011" s="105"/>
      <c r="CA6011" s="20"/>
    </row>
    <row r="6012" spans="78:79" x14ac:dyDescent="0.35">
      <c r="BZ6012" s="105"/>
      <c r="CA6012" s="20"/>
    </row>
    <row r="6013" spans="78:79" x14ac:dyDescent="0.35">
      <c r="BZ6013" s="105"/>
      <c r="CA6013" s="20"/>
    </row>
    <row r="6014" spans="78:79" x14ac:dyDescent="0.35">
      <c r="BZ6014" s="105"/>
      <c r="CA6014" s="20"/>
    </row>
    <row r="6015" spans="78:79" x14ac:dyDescent="0.35">
      <c r="BZ6015" s="105"/>
      <c r="CA6015" s="20"/>
    </row>
    <row r="6016" spans="78:79" x14ac:dyDescent="0.35">
      <c r="BZ6016" s="105"/>
      <c r="CA6016" s="20"/>
    </row>
    <row r="6017" spans="78:79" x14ac:dyDescent="0.35">
      <c r="BZ6017" s="105"/>
      <c r="CA6017" s="20"/>
    </row>
    <row r="6018" spans="78:79" x14ac:dyDescent="0.35">
      <c r="BZ6018" s="105"/>
      <c r="CA6018" s="20"/>
    </row>
    <row r="6019" spans="78:79" x14ac:dyDescent="0.35">
      <c r="BZ6019" s="105"/>
      <c r="CA6019" s="20"/>
    </row>
    <row r="6020" spans="78:79" x14ac:dyDescent="0.35">
      <c r="BZ6020" s="105"/>
      <c r="CA6020" s="20"/>
    </row>
    <row r="6021" spans="78:79" x14ac:dyDescent="0.35">
      <c r="BZ6021" s="105"/>
      <c r="CA6021" s="20"/>
    </row>
    <row r="6022" spans="78:79" x14ac:dyDescent="0.35">
      <c r="BZ6022" s="105"/>
      <c r="CA6022" s="20"/>
    </row>
    <row r="6023" spans="78:79" x14ac:dyDescent="0.35">
      <c r="BZ6023" s="105"/>
      <c r="CA6023" s="20"/>
    </row>
    <row r="6024" spans="78:79" x14ac:dyDescent="0.35">
      <c r="BZ6024" s="105"/>
      <c r="CA6024" s="20"/>
    </row>
    <row r="6025" spans="78:79" x14ac:dyDescent="0.35">
      <c r="BZ6025" s="105"/>
      <c r="CA6025" s="20"/>
    </row>
    <row r="6026" spans="78:79" x14ac:dyDescent="0.35">
      <c r="BZ6026" s="105"/>
      <c r="CA6026" s="20"/>
    </row>
    <row r="6027" spans="78:79" x14ac:dyDescent="0.35">
      <c r="BZ6027" s="105"/>
      <c r="CA6027" s="20"/>
    </row>
    <row r="6028" spans="78:79" x14ac:dyDescent="0.35">
      <c r="BZ6028" s="105"/>
      <c r="CA6028" s="20"/>
    </row>
    <row r="6029" spans="78:79" x14ac:dyDescent="0.35">
      <c r="BZ6029" s="105"/>
      <c r="CA6029" s="20"/>
    </row>
    <row r="6030" spans="78:79" x14ac:dyDescent="0.35">
      <c r="BZ6030" s="105"/>
      <c r="CA6030" s="20"/>
    </row>
    <row r="6031" spans="78:79" x14ac:dyDescent="0.35">
      <c r="BZ6031" s="105"/>
      <c r="CA6031" s="20"/>
    </row>
    <row r="6032" spans="78:79" x14ac:dyDescent="0.35">
      <c r="BZ6032" s="105"/>
      <c r="CA6032" s="20"/>
    </row>
    <row r="6033" spans="78:79" x14ac:dyDescent="0.35">
      <c r="BZ6033" s="105"/>
      <c r="CA6033" s="20"/>
    </row>
    <row r="6034" spans="78:79" x14ac:dyDescent="0.35">
      <c r="BZ6034" s="105"/>
      <c r="CA6034" s="20"/>
    </row>
    <row r="6035" spans="78:79" x14ac:dyDescent="0.35">
      <c r="BZ6035" s="105"/>
      <c r="CA6035" s="20"/>
    </row>
    <row r="6036" spans="78:79" x14ac:dyDescent="0.35">
      <c r="BZ6036" s="105"/>
      <c r="CA6036" s="20"/>
    </row>
    <row r="6037" spans="78:79" x14ac:dyDescent="0.35">
      <c r="BZ6037" s="105"/>
      <c r="CA6037" s="20"/>
    </row>
    <row r="6038" spans="78:79" x14ac:dyDescent="0.35">
      <c r="BZ6038" s="105"/>
      <c r="CA6038" s="20"/>
    </row>
    <row r="6039" spans="78:79" x14ac:dyDescent="0.35">
      <c r="BZ6039" s="105"/>
      <c r="CA6039" s="20"/>
    </row>
    <row r="6040" spans="78:79" x14ac:dyDescent="0.35">
      <c r="BZ6040" s="105"/>
      <c r="CA6040" s="20"/>
    </row>
    <row r="6041" spans="78:79" x14ac:dyDescent="0.35">
      <c r="BZ6041" s="105"/>
      <c r="CA6041" s="20"/>
    </row>
    <row r="6042" spans="78:79" x14ac:dyDescent="0.35">
      <c r="BZ6042" s="105"/>
      <c r="CA6042" s="20"/>
    </row>
    <row r="6043" spans="78:79" x14ac:dyDescent="0.35">
      <c r="BZ6043" s="105"/>
      <c r="CA6043" s="20"/>
    </row>
    <row r="6044" spans="78:79" x14ac:dyDescent="0.35">
      <c r="BZ6044" s="105"/>
      <c r="CA6044" s="20"/>
    </row>
    <row r="6045" spans="78:79" x14ac:dyDescent="0.35">
      <c r="BZ6045" s="105"/>
      <c r="CA6045" s="20"/>
    </row>
    <row r="6046" spans="78:79" x14ac:dyDescent="0.35">
      <c r="BZ6046" s="105"/>
      <c r="CA6046" s="20"/>
    </row>
    <row r="6047" spans="78:79" x14ac:dyDescent="0.35">
      <c r="BZ6047" s="105"/>
      <c r="CA6047" s="20"/>
    </row>
    <row r="6048" spans="78:79" x14ac:dyDescent="0.35">
      <c r="BZ6048" s="105"/>
      <c r="CA6048" s="20"/>
    </row>
    <row r="6049" spans="78:79" x14ac:dyDescent="0.35">
      <c r="BZ6049" s="105"/>
      <c r="CA6049" s="20"/>
    </row>
    <row r="6050" spans="78:79" x14ac:dyDescent="0.35">
      <c r="BZ6050" s="105"/>
      <c r="CA6050" s="20"/>
    </row>
    <row r="6051" spans="78:79" x14ac:dyDescent="0.35">
      <c r="BZ6051" s="105"/>
      <c r="CA6051" s="20"/>
    </row>
    <row r="6052" spans="78:79" x14ac:dyDescent="0.35">
      <c r="BZ6052" s="105"/>
      <c r="CA6052" s="20"/>
    </row>
    <row r="6053" spans="78:79" x14ac:dyDescent="0.35">
      <c r="BZ6053" s="105"/>
      <c r="CA6053" s="20"/>
    </row>
    <row r="6054" spans="78:79" x14ac:dyDescent="0.35">
      <c r="BZ6054" s="105"/>
      <c r="CA6054" s="20"/>
    </row>
    <row r="6055" spans="78:79" x14ac:dyDescent="0.35">
      <c r="BZ6055" s="105"/>
      <c r="CA6055" s="20"/>
    </row>
    <row r="6056" spans="78:79" x14ac:dyDescent="0.35">
      <c r="BZ6056" s="105"/>
      <c r="CA6056" s="20"/>
    </row>
    <row r="6057" spans="78:79" x14ac:dyDescent="0.35">
      <c r="BZ6057" s="105"/>
      <c r="CA6057" s="20"/>
    </row>
    <row r="6058" spans="78:79" x14ac:dyDescent="0.35">
      <c r="BZ6058" s="105"/>
      <c r="CA6058" s="20"/>
    </row>
    <row r="6059" spans="78:79" x14ac:dyDescent="0.35">
      <c r="BZ6059" s="105"/>
      <c r="CA6059" s="20"/>
    </row>
    <row r="6060" spans="78:79" x14ac:dyDescent="0.35">
      <c r="BZ6060" s="105"/>
      <c r="CA6060" s="20"/>
    </row>
    <row r="6061" spans="78:79" x14ac:dyDescent="0.35">
      <c r="BZ6061" s="105"/>
      <c r="CA6061" s="20"/>
    </row>
    <row r="6062" spans="78:79" x14ac:dyDescent="0.35">
      <c r="BZ6062" s="105"/>
      <c r="CA6062" s="20"/>
    </row>
    <row r="6063" spans="78:79" x14ac:dyDescent="0.35">
      <c r="BZ6063" s="105"/>
      <c r="CA6063" s="20"/>
    </row>
    <row r="6064" spans="78:79" x14ac:dyDescent="0.35">
      <c r="BZ6064" s="105"/>
      <c r="CA6064" s="20"/>
    </row>
    <row r="6065" spans="78:79" x14ac:dyDescent="0.35">
      <c r="BZ6065" s="105"/>
      <c r="CA6065" s="20"/>
    </row>
    <row r="6066" spans="78:79" x14ac:dyDescent="0.35">
      <c r="BZ6066" s="105"/>
      <c r="CA6066" s="20"/>
    </row>
    <row r="6067" spans="78:79" x14ac:dyDescent="0.35">
      <c r="BZ6067" s="105"/>
      <c r="CA6067" s="20"/>
    </row>
    <row r="6068" spans="78:79" x14ac:dyDescent="0.35">
      <c r="BZ6068" s="105"/>
      <c r="CA6068" s="20"/>
    </row>
    <row r="6069" spans="78:79" x14ac:dyDescent="0.35">
      <c r="BZ6069" s="105"/>
      <c r="CA6069" s="20"/>
    </row>
    <row r="6070" spans="78:79" x14ac:dyDescent="0.35">
      <c r="BZ6070" s="105"/>
      <c r="CA6070" s="20"/>
    </row>
    <row r="6071" spans="78:79" x14ac:dyDescent="0.35">
      <c r="BZ6071" s="105"/>
      <c r="CA6071" s="20"/>
    </row>
    <row r="6072" spans="78:79" x14ac:dyDescent="0.35">
      <c r="BZ6072" s="105"/>
      <c r="CA6072" s="20"/>
    </row>
    <row r="6073" spans="78:79" x14ac:dyDescent="0.35">
      <c r="BZ6073" s="105"/>
      <c r="CA6073" s="20"/>
    </row>
    <row r="6074" spans="78:79" x14ac:dyDescent="0.35">
      <c r="BZ6074" s="105"/>
      <c r="CA6074" s="20"/>
    </row>
    <row r="6075" spans="78:79" x14ac:dyDescent="0.35">
      <c r="BZ6075" s="105"/>
      <c r="CA6075" s="20"/>
    </row>
    <row r="6076" spans="78:79" x14ac:dyDescent="0.35">
      <c r="BZ6076" s="105"/>
      <c r="CA6076" s="20"/>
    </row>
    <row r="6077" spans="78:79" x14ac:dyDescent="0.35">
      <c r="BZ6077" s="105"/>
      <c r="CA6077" s="20"/>
    </row>
    <row r="6078" spans="78:79" x14ac:dyDescent="0.35">
      <c r="BZ6078" s="105"/>
      <c r="CA6078" s="20"/>
    </row>
    <row r="6079" spans="78:79" x14ac:dyDescent="0.35">
      <c r="BZ6079" s="105"/>
      <c r="CA6079" s="20"/>
    </row>
    <row r="6080" spans="78:79" x14ac:dyDescent="0.35">
      <c r="BZ6080" s="105"/>
      <c r="CA6080" s="20"/>
    </row>
    <row r="6081" spans="78:79" x14ac:dyDescent="0.35">
      <c r="BZ6081" s="105"/>
      <c r="CA6081" s="20"/>
    </row>
    <row r="6082" spans="78:79" x14ac:dyDescent="0.35">
      <c r="BZ6082" s="105"/>
      <c r="CA6082" s="20"/>
    </row>
    <row r="6083" spans="78:79" x14ac:dyDescent="0.35">
      <c r="BZ6083" s="105"/>
      <c r="CA6083" s="20"/>
    </row>
    <row r="6084" spans="78:79" x14ac:dyDescent="0.35">
      <c r="BZ6084" s="105"/>
      <c r="CA6084" s="20"/>
    </row>
    <row r="6085" spans="78:79" x14ac:dyDescent="0.35">
      <c r="BZ6085" s="105"/>
      <c r="CA6085" s="20"/>
    </row>
    <row r="6086" spans="78:79" x14ac:dyDescent="0.35">
      <c r="BZ6086" s="105"/>
      <c r="CA6086" s="20"/>
    </row>
    <row r="6087" spans="78:79" x14ac:dyDescent="0.35">
      <c r="BZ6087" s="105"/>
      <c r="CA6087" s="20"/>
    </row>
    <row r="6088" spans="78:79" x14ac:dyDescent="0.35">
      <c r="BZ6088" s="105"/>
      <c r="CA6088" s="20"/>
    </row>
    <row r="6089" spans="78:79" x14ac:dyDescent="0.35">
      <c r="BZ6089" s="105"/>
      <c r="CA6089" s="20"/>
    </row>
    <row r="6090" spans="78:79" x14ac:dyDescent="0.35">
      <c r="BZ6090" s="105"/>
      <c r="CA6090" s="20"/>
    </row>
    <row r="6091" spans="78:79" x14ac:dyDescent="0.35">
      <c r="BZ6091" s="105"/>
      <c r="CA6091" s="20"/>
    </row>
    <row r="6092" spans="78:79" x14ac:dyDescent="0.35">
      <c r="BZ6092" s="105"/>
      <c r="CA6092" s="20"/>
    </row>
    <row r="6093" spans="78:79" x14ac:dyDescent="0.35">
      <c r="BZ6093" s="105"/>
      <c r="CA6093" s="20"/>
    </row>
    <row r="6094" spans="78:79" x14ac:dyDescent="0.35">
      <c r="BZ6094" s="105"/>
      <c r="CA6094" s="20"/>
    </row>
    <row r="6095" spans="78:79" x14ac:dyDescent="0.35">
      <c r="BZ6095" s="105"/>
      <c r="CA6095" s="20"/>
    </row>
    <row r="6096" spans="78:79" x14ac:dyDescent="0.35">
      <c r="BZ6096" s="105"/>
      <c r="CA6096" s="20"/>
    </row>
    <row r="6097" spans="78:79" x14ac:dyDescent="0.35">
      <c r="BZ6097" s="105"/>
      <c r="CA6097" s="20"/>
    </row>
    <row r="6098" spans="78:79" x14ac:dyDescent="0.35">
      <c r="BZ6098" s="105"/>
      <c r="CA6098" s="20"/>
    </row>
    <row r="6099" spans="78:79" x14ac:dyDescent="0.35">
      <c r="BZ6099" s="105"/>
      <c r="CA6099" s="20"/>
    </row>
    <row r="6100" spans="78:79" x14ac:dyDescent="0.35">
      <c r="BZ6100" s="105"/>
      <c r="CA6100" s="20"/>
    </row>
    <row r="6101" spans="78:79" x14ac:dyDescent="0.35">
      <c r="BZ6101" s="105"/>
      <c r="CA6101" s="20"/>
    </row>
    <row r="6102" spans="78:79" x14ac:dyDescent="0.35">
      <c r="BZ6102" s="105"/>
      <c r="CA6102" s="20"/>
    </row>
    <row r="6103" spans="78:79" x14ac:dyDescent="0.35">
      <c r="BZ6103" s="105"/>
      <c r="CA6103" s="20"/>
    </row>
    <row r="6104" spans="78:79" x14ac:dyDescent="0.35">
      <c r="BZ6104" s="105"/>
      <c r="CA6104" s="20"/>
    </row>
    <row r="6105" spans="78:79" x14ac:dyDescent="0.35">
      <c r="BZ6105" s="105"/>
      <c r="CA6105" s="20"/>
    </row>
    <row r="6106" spans="78:79" x14ac:dyDescent="0.35">
      <c r="BZ6106" s="105"/>
      <c r="CA6106" s="20"/>
    </row>
    <row r="6107" spans="78:79" x14ac:dyDescent="0.35">
      <c r="BZ6107" s="105"/>
      <c r="CA6107" s="20"/>
    </row>
    <row r="6108" spans="78:79" x14ac:dyDescent="0.35">
      <c r="BZ6108" s="105"/>
      <c r="CA6108" s="20"/>
    </row>
    <row r="6109" spans="78:79" x14ac:dyDescent="0.35">
      <c r="BZ6109" s="105"/>
      <c r="CA6109" s="20"/>
    </row>
    <row r="6110" spans="78:79" x14ac:dyDescent="0.35">
      <c r="BZ6110" s="105"/>
      <c r="CA6110" s="20"/>
    </row>
    <row r="6111" spans="78:79" x14ac:dyDescent="0.35">
      <c r="BZ6111" s="105"/>
      <c r="CA6111" s="20"/>
    </row>
    <row r="6112" spans="78:79" x14ac:dyDescent="0.35">
      <c r="BZ6112" s="105"/>
      <c r="CA6112" s="20"/>
    </row>
    <row r="6113" spans="78:79" x14ac:dyDescent="0.35">
      <c r="BZ6113" s="105"/>
      <c r="CA6113" s="20"/>
    </row>
    <row r="6114" spans="78:79" x14ac:dyDescent="0.35">
      <c r="BZ6114" s="105"/>
      <c r="CA6114" s="20"/>
    </row>
    <row r="6115" spans="78:79" x14ac:dyDescent="0.35">
      <c r="BZ6115" s="105"/>
      <c r="CA6115" s="20"/>
    </row>
    <row r="6116" spans="78:79" x14ac:dyDescent="0.35">
      <c r="BZ6116" s="105"/>
      <c r="CA6116" s="20"/>
    </row>
    <row r="6117" spans="78:79" x14ac:dyDescent="0.35">
      <c r="BZ6117" s="105"/>
      <c r="CA6117" s="20"/>
    </row>
    <row r="6118" spans="78:79" x14ac:dyDescent="0.35">
      <c r="BZ6118" s="105"/>
      <c r="CA6118" s="20"/>
    </row>
    <row r="6119" spans="78:79" x14ac:dyDescent="0.35">
      <c r="BZ6119" s="105"/>
      <c r="CA6119" s="20"/>
    </row>
    <row r="6120" spans="78:79" x14ac:dyDescent="0.35">
      <c r="BZ6120" s="105"/>
      <c r="CA6120" s="20"/>
    </row>
    <row r="6121" spans="78:79" x14ac:dyDescent="0.35">
      <c r="BZ6121" s="105"/>
      <c r="CA6121" s="20"/>
    </row>
    <row r="6122" spans="78:79" x14ac:dyDescent="0.35">
      <c r="BZ6122" s="105"/>
      <c r="CA6122" s="20"/>
    </row>
    <row r="6123" spans="78:79" x14ac:dyDescent="0.35">
      <c r="BZ6123" s="105"/>
      <c r="CA6123" s="20"/>
    </row>
    <row r="6124" spans="78:79" x14ac:dyDescent="0.35">
      <c r="BZ6124" s="105"/>
      <c r="CA6124" s="20"/>
    </row>
    <row r="6125" spans="78:79" x14ac:dyDescent="0.35">
      <c r="BZ6125" s="105"/>
      <c r="CA6125" s="20"/>
    </row>
    <row r="6126" spans="78:79" x14ac:dyDescent="0.35">
      <c r="BZ6126" s="105"/>
      <c r="CA6126" s="20"/>
    </row>
    <row r="6127" spans="78:79" x14ac:dyDescent="0.35">
      <c r="BZ6127" s="105"/>
      <c r="CA6127" s="20"/>
    </row>
    <row r="6128" spans="78:79" x14ac:dyDescent="0.35">
      <c r="BZ6128" s="105"/>
      <c r="CA6128" s="20"/>
    </row>
    <row r="6129" spans="78:79" x14ac:dyDescent="0.35">
      <c r="BZ6129" s="105"/>
      <c r="CA6129" s="20"/>
    </row>
    <row r="6130" spans="78:79" x14ac:dyDescent="0.35">
      <c r="BZ6130" s="105"/>
      <c r="CA6130" s="20"/>
    </row>
    <row r="6131" spans="78:79" x14ac:dyDescent="0.35">
      <c r="BZ6131" s="105"/>
      <c r="CA6131" s="20"/>
    </row>
    <row r="6132" spans="78:79" x14ac:dyDescent="0.35">
      <c r="BZ6132" s="105"/>
      <c r="CA6132" s="20"/>
    </row>
    <row r="6133" spans="78:79" x14ac:dyDescent="0.35">
      <c r="BZ6133" s="105"/>
      <c r="CA6133" s="20"/>
    </row>
    <row r="6134" spans="78:79" x14ac:dyDescent="0.35">
      <c r="BZ6134" s="105"/>
      <c r="CA6134" s="20"/>
    </row>
    <row r="6135" spans="78:79" x14ac:dyDescent="0.35">
      <c r="BZ6135" s="105"/>
      <c r="CA6135" s="20"/>
    </row>
    <row r="6136" spans="78:79" x14ac:dyDescent="0.35">
      <c r="BZ6136" s="105"/>
      <c r="CA6136" s="20"/>
    </row>
    <row r="6137" spans="78:79" x14ac:dyDescent="0.35">
      <c r="BZ6137" s="105"/>
      <c r="CA6137" s="20"/>
    </row>
    <row r="6138" spans="78:79" x14ac:dyDescent="0.35">
      <c r="BZ6138" s="105"/>
      <c r="CA6138" s="20"/>
    </row>
    <row r="6139" spans="78:79" x14ac:dyDescent="0.35">
      <c r="BZ6139" s="105"/>
      <c r="CA6139" s="20"/>
    </row>
    <row r="6140" spans="78:79" x14ac:dyDescent="0.35">
      <c r="BZ6140" s="105"/>
      <c r="CA6140" s="20"/>
    </row>
    <row r="6141" spans="78:79" x14ac:dyDescent="0.35">
      <c r="BZ6141" s="105"/>
      <c r="CA6141" s="20"/>
    </row>
    <row r="6142" spans="78:79" x14ac:dyDescent="0.35">
      <c r="BZ6142" s="105"/>
      <c r="CA6142" s="20"/>
    </row>
    <row r="6143" spans="78:79" x14ac:dyDescent="0.35">
      <c r="BZ6143" s="105"/>
      <c r="CA6143" s="20"/>
    </row>
    <row r="6144" spans="78:79" x14ac:dyDescent="0.35">
      <c r="BZ6144" s="105"/>
      <c r="CA6144" s="20"/>
    </row>
    <row r="6145" spans="78:79" x14ac:dyDescent="0.35">
      <c r="BZ6145" s="105"/>
      <c r="CA6145" s="20"/>
    </row>
    <row r="6146" spans="78:79" x14ac:dyDescent="0.35">
      <c r="BZ6146" s="105"/>
      <c r="CA6146" s="20"/>
    </row>
    <row r="6147" spans="78:79" x14ac:dyDescent="0.35">
      <c r="BZ6147" s="105"/>
      <c r="CA6147" s="20"/>
    </row>
    <row r="6148" spans="78:79" x14ac:dyDescent="0.35">
      <c r="BZ6148" s="105"/>
      <c r="CA6148" s="20"/>
    </row>
    <row r="6149" spans="78:79" x14ac:dyDescent="0.35">
      <c r="BZ6149" s="105"/>
      <c r="CA6149" s="20"/>
    </row>
    <row r="6150" spans="78:79" x14ac:dyDescent="0.35">
      <c r="BZ6150" s="105"/>
      <c r="CA6150" s="20"/>
    </row>
    <row r="6151" spans="78:79" x14ac:dyDescent="0.35">
      <c r="BZ6151" s="105"/>
      <c r="CA6151" s="20"/>
    </row>
    <row r="6152" spans="78:79" x14ac:dyDescent="0.35">
      <c r="BZ6152" s="105"/>
      <c r="CA6152" s="20"/>
    </row>
    <row r="6153" spans="78:79" x14ac:dyDescent="0.35">
      <c r="BZ6153" s="105"/>
      <c r="CA6153" s="20"/>
    </row>
    <row r="6154" spans="78:79" x14ac:dyDescent="0.35">
      <c r="BZ6154" s="105"/>
      <c r="CA6154" s="20"/>
    </row>
    <row r="6155" spans="78:79" x14ac:dyDescent="0.35">
      <c r="BZ6155" s="105"/>
      <c r="CA6155" s="20"/>
    </row>
    <row r="6156" spans="78:79" x14ac:dyDescent="0.35">
      <c r="BZ6156" s="105"/>
      <c r="CA6156" s="20"/>
    </row>
    <row r="6157" spans="78:79" x14ac:dyDescent="0.35">
      <c r="BZ6157" s="105"/>
      <c r="CA6157" s="20"/>
    </row>
    <row r="6158" spans="78:79" x14ac:dyDescent="0.35">
      <c r="BZ6158" s="105"/>
      <c r="CA6158" s="20"/>
    </row>
    <row r="6159" spans="78:79" x14ac:dyDescent="0.35">
      <c r="BZ6159" s="105"/>
      <c r="CA6159" s="20"/>
    </row>
    <row r="6160" spans="78:79" x14ac:dyDescent="0.35">
      <c r="BZ6160" s="105"/>
      <c r="CA6160" s="20"/>
    </row>
    <row r="6161" spans="78:79" x14ac:dyDescent="0.35">
      <c r="BZ6161" s="105"/>
      <c r="CA6161" s="20"/>
    </row>
    <row r="6162" spans="78:79" x14ac:dyDescent="0.35">
      <c r="BZ6162" s="105"/>
      <c r="CA6162" s="20"/>
    </row>
    <row r="6163" spans="78:79" x14ac:dyDescent="0.35">
      <c r="BZ6163" s="105"/>
      <c r="CA6163" s="20"/>
    </row>
    <row r="6164" spans="78:79" x14ac:dyDescent="0.35">
      <c r="BZ6164" s="105"/>
      <c r="CA6164" s="20"/>
    </row>
    <row r="6165" spans="78:79" x14ac:dyDescent="0.35">
      <c r="BZ6165" s="105"/>
      <c r="CA6165" s="20"/>
    </row>
    <row r="6166" spans="78:79" x14ac:dyDescent="0.35">
      <c r="BZ6166" s="105"/>
      <c r="CA6166" s="20"/>
    </row>
    <row r="6167" spans="78:79" x14ac:dyDescent="0.35">
      <c r="BZ6167" s="105"/>
      <c r="CA6167" s="20"/>
    </row>
    <row r="6168" spans="78:79" x14ac:dyDescent="0.35">
      <c r="BZ6168" s="105"/>
      <c r="CA6168" s="20"/>
    </row>
    <row r="6169" spans="78:79" x14ac:dyDescent="0.35">
      <c r="BZ6169" s="105"/>
      <c r="CA6169" s="20"/>
    </row>
    <row r="6170" spans="78:79" x14ac:dyDescent="0.35">
      <c r="BZ6170" s="105"/>
      <c r="CA6170" s="20"/>
    </row>
    <row r="6171" spans="78:79" x14ac:dyDescent="0.35">
      <c r="BZ6171" s="105"/>
      <c r="CA6171" s="20"/>
    </row>
    <row r="6172" spans="78:79" x14ac:dyDescent="0.35">
      <c r="BZ6172" s="105"/>
      <c r="CA6172" s="20"/>
    </row>
    <row r="6173" spans="78:79" x14ac:dyDescent="0.35">
      <c r="BZ6173" s="105"/>
      <c r="CA6173" s="20"/>
    </row>
    <row r="6174" spans="78:79" x14ac:dyDescent="0.35">
      <c r="BZ6174" s="105"/>
      <c r="CA6174" s="20"/>
    </row>
    <row r="6175" spans="78:79" x14ac:dyDescent="0.35">
      <c r="BZ6175" s="105"/>
      <c r="CA6175" s="20"/>
    </row>
    <row r="6176" spans="78:79" x14ac:dyDescent="0.35">
      <c r="BZ6176" s="105"/>
      <c r="CA6176" s="20"/>
    </row>
    <row r="6177" spans="78:79" x14ac:dyDescent="0.35">
      <c r="BZ6177" s="105"/>
      <c r="CA6177" s="20"/>
    </row>
    <row r="6178" spans="78:79" x14ac:dyDescent="0.35">
      <c r="BZ6178" s="105"/>
      <c r="CA6178" s="20"/>
    </row>
    <row r="6179" spans="78:79" x14ac:dyDescent="0.35">
      <c r="BZ6179" s="105"/>
      <c r="CA6179" s="20"/>
    </row>
    <row r="6180" spans="78:79" x14ac:dyDescent="0.35">
      <c r="BZ6180" s="105"/>
      <c r="CA6180" s="20"/>
    </row>
    <row r="6181" spans="78:79" x14ac:dyDescent="0.35">
      <c r="BZ6181" s="105"/>
      <c r="CA6181" s="20"/>
    </row>
    <row r="6182" spans="78:79" x14ac:dyDescent="0.35">
      <c r="BZ6182" s="105"/>
      <c r="CA6182" s="20"/>
    </row>
    <row r="6183" spans="78:79" x14ac:dyDescent="0.35">
      <c r="BZ6183" s="105"/>
      <c r="CA6183" s="20"/>
    </row>
    <row r="6184" spans="78:79" x14ac:dyDescent="0.35">
      <c r="BZ6184" s="105"/>
      <c r="CA6184" s="20"/>
    </row>
    <row r="6185" spans="78:79" x14ac:dyDescent="0.35">
      <c r="BZ6185" s="105"/>
      <c r="CA6185" s="20"/>
    </row>
    <row r="6186" spans="78:79" x14ac:dyDescent="0.35">
      <c r="BZ6186" s="105"/>
      <c r="CA6186" s="20"/>
    </row>
    <row r="6187" spans="78:79" x14ac:dyDescent="0.35">
      <c r="BZ6187" s="105"/>
      <c r="CA6187" s="20"/>
    </row>
    <row r="6188" spans="78:79" x14ac:dyDescent="0.35">
      <c r="BZ6188" s="105"/>
      <c r="CA6188" s="20"/>
    </row>
    <row r="6189" spans="78:79" x14ac:dyDescent="0.35">
      <c r="BZ6189" s="105"/>
      <c r="CA6189" s="20"/>
    </row>
    <row r="6190" spans="78:79" x14ac:dyDescent="0.35">
      <c r="BZ6190" s="105"/>
      <c r="CA6190" s="20"/>
    </row>
    <row r="6191" spans="78:79" x14ac:dyDescent="0.35">
      <c r="BZ6191" s="105"/>
      <c r="CA6191" s="20"/>
    </row>
    <row r="6192" spans="78:79" x14ac:dyDescent="0.35">
      <c r="BZ6192" s="105"/>
      <c r="CA6192" s="20"/>
    </row>
    <row r="6193" spans="78:79" x14ac:dyDescent="0.35">
      <c r="BZ6193" s="105"/>
      <c r="CA6193" s="20"/>
    </row>
    <row r="6194" spans="78:79" x14ac:dyDescent="0.35">
      <c r="BZ6194" s="105"/>
      <c r="CA6194" s="20"/>
    </row>
    <row r="6195" spans="78:79" x14ac:dyDescent="0.35">
      <c r="BZ6195" s="105"/>
      <c r="CA6195" s="20"/>
    </row>
    <row r="6196" spans="78:79" x14ac:dyDescent="0.35">
      <c r="BZ6196" s="105"/>
      <c r="CA6196" s="20"/>
    </row>
    <row r="6197" spans="78:79" x14ac:dyDescent="0.35">
      <c r="BZ6197" s="105"/>
      <c r="CA6197" s="20"/>
    </row>
    <row r="6198" spans="78:79" x14ac:dyDescent="0.35">
      <c r="BZ6198" s="105"/>
      <c r="CA6198" s="20"/>
    </row>
    <row r="6199" spans="78:79" x14ac:dyDescent="0.35">
      <c r="BZ6199" s="105"/>
      <c r="CA6199" s="20"/>
    </row>
    <row r="6200" spans="78:79" x14ac:dyDescent="0.35">
      <c r="BZ6200" s="105"/>
      <c r="CA6200" s="20"/>
    </row>
    <row r="6201" spans="78:79" x14ac:dyDescent="0.35">
      <c r="BZ6201" s="105"/>
      <c r="CA6201" s="20"/>
    </row>
    <row r="6202" spans="78:79" x14ac:dyDescent="0.35">
      <c r="BZ6202" s="105"/>
      <c r="CA6202" s="20"/>
    </row>
    <row r="6203" spans="78:79" x14ac:dyDescent="0.35">
      <c r="BZ6203" s="105"/>
      <c r="CA6203" s="20"/>
    </row>
    <row r="6204" spans="78:79" x14ac:dyDescent="0.35">
      <c r="BZ6204" s="105"/>
      <c r="CA6204" s="20"/>
    </row>
    <row r="6205" spans="78:79" x14ac:dyDescent="0.35">
      <c r="BZ6205" s="105"/>
      <c r="CA6205" s="20"/>
    </row>
    <row r="6206" spans="78:79" x14ac:dyDescent="0.35">
      <c r="BZ6206" s="105"/>
      <c r="CA6206" s="20"/>
    </row>
    <row r="6207" spans="78:79" x14ac:dyDescent="0.35">
      <c r="BZ6207" s="105"/>
      <c r="CA6207" s="20"/>
    </row>
    <row r="6208" spans="78:79" x14ac:dyDescent="0.35">
      <c r="BZ6208" s="105"/>
      <c r="CA6208" s="20"/>
    </row>
    <row r="6209" spans="78:79" x14ac:dyDescent="0.35">
      <c r="BZ6209" s="105"/>
      <c r="CA6209" s="20"/>
    </row>
    <row r="6210" spans="78:79" x14ac:dyDescent="0.35">
      <c r="BZ6210" s="105"/>
      <c r="CA6210" s="20"/>
    </row>
    <row r="6211" spans="78:79" x14ac:dyDescent="0.35">
      <c r="BZ6211" s="105"/>
      <c r="CA6211" s="20"/>
    </row>
    <row r="6212" spans="78:79" x14ac:dyDescent="0.35">
      <c r="BZ6212" s="105"/>
      <c r="CA6212" s="20"/>
    </row>
    <row r="6213" spans="78:79" x14ac:dyDescent="0.35">
      <c r="BZ6213" s="105"/>
      <c r="CA6213" s="20"/>
    </row>
    <row r="6214" spans="78:79" x14ac:dyDescent="0.35">
      <c r="BZ6214" s="105"/>
      <c r="CA6214" s="20"/>
    </row>
    <row r="6215" spans="78:79" x14ac:dyDescent="0.35">
      <c r="BZ6215" s="105"/>
      <c r="CA6215" s="20"/>
    </row>
    <row r="6216" spans="78:79" x14ac:dyDescent="0.35">
      <c r="BZ6216" s="105"/>
      <c r="CA6216" s="20"/>
    </row>
    <row r="6217" spans="78:79" x14ac:dyDescent="0.35">
      <c r="BZ6217" s="105"/>
      <c r="CA6217" s="20"/>
    </row>
    <row r="6218" spans="78:79" x14ac:dyDescent="0.35">
      <c r="BZ6218" s="105"/>
      <c r="CA6218" s="20"/>
    </row>
    <row r="6219" spans="78:79" x14ac:dyDescent="0.35">
      <c r="BZ6219" s="105"/>
      <c r="CA6219" s="20"/>
    </row>
    <row r="6220" spans="78:79" x14ac:dyDescent="0.35">
      <c r="BZ6220" s="105"/>
      <c r="CA6220" s="20"/>
    </row>
    <row r="6221" spans="78:79" x14ac:dyDescent="0.35">
      <c r="BZ6221" s="105"/>
      <c r="CA6221" s="20"/>
    </row>
    <row r="6222" spans="78:79" x14ac:dyDescent="0.35">
      <c r="BZ6222" s="105"/>
      <c r="CA6222" s="20"/>
    </row>
    <row r="6223" spans="78:79" x14ac:dyDescent="0.35">
      <c r="BZ6223" s="105"/>
      <c r="CA6223" s="20"/>
    </row>
    <row r="6224" spans="78:79" x14ac:dyDescent="0.35">
      <c r="BZ6224" s="105"/>
      <c r="CA6224" s="20"/>
    </row>
    <row r="6225" spans="78:79" x14ac:dyDescent="0.35">
      <c r="BZ6225" s="105"/>
      <c r="CA6225" s="20"/>
    </row>
    <row r="6226" spans="78:79" x14ac:dyDescent="0.35">
      <c r="BZ6226" s="105"/>
      <c r="CA6226" s="20"/>
    </row>
    <row r="6227" spans="78:79" x14ac:dyDescent="0.35">
      <c r="BZ6227" s="105"/>
      <c r="CA6227" s="20"/>
    </row>
    <row r="6228" spans="78:79" x14ac:dyDescent="0.35">
      <c r="BZ6228" s="105"/>
      <c r="CA6228" s="20"/>
    </row>
    <row r="6229" spans="78:79" x14ac:dyDescent="0.35">
      <c r="BZ6229" s="105"/>
      <c r="CA6229" s="20"/>
    </row>
    <row r="6230" spans="78:79" x14ac:dyDescent="0.35">
      <c r="BZ6230" s="105"/>
      <c r="CA6230" s="20"/>
    </row>
    <row r="6231" spans="78:79" x14ac:dyDescent="0.35">
      <c r="BZ6231" s="105"/>
      <c r="CA6231" s="20"/>
    </row>
    <row r="6232" spans="78:79" x14ac:dyDescent="0.35">
      <c r="BZ6232" s="105"/>
      <c r="CA6232" s="20"/>
    </row>
    <row r="6233" spans="78:79" x14ac:dyDescent="0.35">
      <c r="BZ6233" s="105"/>
      <c r="CA6233" s="20"/>
    </row>
    <row r="6234" spans="78:79" x14ac:dyDescent="0.35">
      <c r="BZ6234" s="105"/>
      <c r="CA6234" s="20"/>
    </row>
    <row r="6235" spans="78:79" x14ac:dyDescent="0.35">
      <c r="BZ6235" s="105"/>
      <c r="CA6235" s="20"/>
    </row>
    <row r="6236" spans="78:79" x14ac:dyDescent="0.35">
      <c r="BZ6236" s="105"/>
      <c r="CA6236" s="20"/>
    </row>
    <row r="6237" spans="78:79" x14ac:dyDescent="0.35">
      <c r="BZ6237" s="105"/>
      <c r="CA6237" s="20"/>
    </row>
    <row r="6238" spans="78:79" x14ac:dyDescent="0.35">
      <c r="BZ6238" s="105"/>
      <c r="CA6238" s="20"/>
    </row>
    <row r="6239" spans="78:79" x14ac:dyDescent="0.35">
      <c r="BZ6239" s="105"/>
      <c r="CA6239" s="20"/>
    </row>
    <row r="6240" spans="78:79" x14ac:dyDescent="0.35">
      <c r="BZ6240" s="105"/>
      <c r="CA6240" s="20"/>
    </row>
    <row r="6241" spans="78:79" x14ac:dyDescent="0.35">
      <c r="BZ6241" s="105"/>
      <c r="CA6241" s="20"/>
    </row>
    <row r="6242" spans="78:79" x14ac:dyDescent="0.35">
      <c r="BZ6242" s="105"/>
      <c r="CA6242" s="20"/>
    </row>
    <row r="6243" spans="78:79" x14ac:dyDescent="0.35">
      <c r="BZ6243" s="105"/>
      <c r="CA6243" s="20"/>
    </row>
    <row r="6244" spans="78:79" x14ac:dyDescent="0.35">
      <c r="BZ6244" s="105"/>
      <c r="CA6244" s="20"/>
    </row>
    <row r="6245" spans="78:79" x14ac:dyDescent="0.35">
      <c r="BZ6245" s="105"/>
      <c r="CA6245" s="20"/>
    </row>
    <row r="6246" spans="78:79" x14ac:dyDescent="0.35">
      <c r="BZ6246" s="105"/>
      <c r="CA6246" s="20"/>
    </row>
    <row r="6247" spans="78:79" x14ac:dyDescent="0.35">
      <c r="BZ6247" s="105"/>
      <c r="CA6247" s="20"/>
    </row>
    <row r="6248" spans="78:79" x14ac:dyDescent="0.35">
      <c r="BZ6248" s="105"/>
      <c r="CA6248" s="20"/>
    </row>
    <row r="6249" spans="78:79" x14ac:dyDescent="0.35">
      <c r="BZ6249" s="105"/>
      <c r="CA6249" s="20"/>
    </row>
    <row r="6250" spans="78:79" x14ac:dyDescent="0.35">
      <c r="BZ6250" s="105"/>
      <c r="CA6250" s="20"/>
    </row>
    <row r="6251" spans="78:79" x14ac:dyDescent="0.35">
      <c r="BZ6251" s="105"/>
      <c r="CA6251" s="20"/>
    </row>
    <row r="6252" spans="78:79" x14ac:dyDescent="0.35">
      <c r="BZ6252" s="105"/>
      <c r="CA6252" s="20"/>
    </row>
    <row r="6253" spans="78:79" x14ac:dyDescent="0.35">
      <c r="BZ6253" s="105"/>
      <c r="CA6253" s="20"/>
    </row>
    <row r="6254" spans="78:79" x14ac:dyDescent="0.35">
      <c r="BZ6254" s="105"/>
      <c r="CA6254" s="20"/>
    </row>
    <row r="6255" spans="78:79" x14ac:dyDescent="0.35">
      <c r="BZ6255" s="105"/>
      <c r="CA6255" s="20"/>
    </row>
    <row r="6256" spans="78:79" x14ac:dyDescent="0.35">
      <c r="BZ6256" s="105"/>
      <c r="CA6256" s="20"/>
    </row>
    <row r="6257" spans="78:79" x14ac:dyDescent="0.35">
      <c r="BZ6257" s="105"/>
      <c r="CA6257" s="20"/>
    </row>
    <row r="6258" spans="78:79" x14ac:dyDescent="0.35">
      <c r="BZ6258" s="105"/>
      <c r="CA6258" s="20"/>
    </row>
    <row r="6259" spans="78:79" x14ac:dyDescent="0.35">
      <c r="BZ6259" s="105"/>
      <c r="CA6259" s="20"/>
    </row>
    <row r="6260" spans="78:79" x14ac:dyDescent="0.35">
      <c r="BZ6260" s="105"/>
      <c r="CA6260" s="20"/>
    </row>
    <row r="6261" spans="78:79" x14ac:dyDescent="0.35">
      <c r="BZ6261" s="105"/>
      <c r="CA6261" s="20"/>
    </row>
    <row r="6262" spans="78:79" x14ac:dyDescent="0.35">
      <c r="BZ6262" s="105"/>
      <c r="CA6262" s="20"/>
    </row>
    <row r="6263" spans="78:79" x14ac:dyDescent="0.35">
      <c r="BZ6263" s="105"/>
      <c r="CA6263" s="20"/>
    </row>
    <row r="6264" spans="78:79" x14ac:dyDescent="0.35">
      <c r="BZ6264" s="105"/>
      <c r="CA6264" s="20"/>
    </row>
    <row r="6265" spans="78:79" x14ac:dyDescent="0.35">
      <c r="BZ6265" s="105"/>
      <c r="CA6265" s="20"/>
    </row>
    <row r="6266" spans="78:79" x14ac:dyDescent="0.35">
      <c r="BZ6266" s="105"/>
      <c r="CA6266" s="20"/>
    </row>
    <row r="6267" spans="78:79" x14ac:dyDescent="0.35">
      <c r="BZ6267" s="105"/>
      <c r="CA6267" s="20"/>
    </row>
    <row r="6268" spans="78:79" x14ac:dyDescent="0.35">
      <c r="BZ6268" s="105"/>
      <c r="CA6268" s="20"/>
    </row>
    <row r="6269" spans="78:79" x14ac:dyDescent="0.35">
      <c r="BZ6269" s="105"/>
      <c r="CA6269" s="20"/>
    </row>
    <row r="6270" spans="78:79" x14ac:dyDescent="0.35">
      <c r="BZ6270" s="105"/>
      <c r="CA6270" s="20"/>
    </row>
    <row r="6271" spans="78:79" x14ac:dyDescent="0.35">
      <c r="BZ6271" s="105"/>
      <c r="CA6271" s="20"/>
    </row>
    <row r="6272" spans="78:79" x14ac:dyDescent="0.35">
      <c r="BZ6272" s="105"/>
      <c r="CA6272" s="20"/>
    </row>
    <row r="6273" spans="78:79" x14ac:dyDescent="0.35">
      <c r="BZ6273" s="105"/>
      <c r="CA6273" s="20"/>
    </row>
    <row r="6274" spans="78:79" x14ac:dyDescent="0.35">
      <c r="BZ6274" s="105"/>
      <c r="CA6274" s="20"/>
    </row>
    <row r="6275" spans="78:79" x14ac:dyDescent="0.35">
      <c r="BZ6275" s="105"/>
      <c r="CA6275" s="20"/>
    </row>
    <row r="6276" spans="78:79" x14ac:dyDescent="0.35">
      <c r="BZ6276" s="105"/>
      <c r="CA6276" s="20"/>
    </row>
    <row r="6277" spans="78:79" x14ac:dyDescent="0.35">
      <c r="BZ6277" s="105"/>
      <c r="CA6277" s="20"/>
    </row>
    <row r="6278" spans="78:79" x14ac:dyDescent="0.35">
      <c r="BZ6278" s="105"/>
      <c r="CA6278" s="20"/>
    </row>
    <row r="6279" spans="78:79" x14ac:dyDescent="0.35">
      <c r="BZ6279" s="105"/>
      <c r="CA6279" s="20"/>
    </row>
    <row r="6280" spans="78:79" x14ac:dyDescent="0.35">
      <c r="BZ6280" s="105"/>
      <c r="CA6280" s="20"/>
    </row>
    <row r="6281" spans="78:79" x14ac:dyDescent="0.35">
      <c r="BZ6281" s="105"/>
      <c r="CA6281" s="20"/>
    </row>
    <row r="6282" spans="78:79" x14ac:dyDescent="0.35">
      <c r="BZ6282" s="105"/>
      <c r="CA6282" s="20"/>
    </row>
    <row r="6283" spans="78:79" x14ac:dyDescent="0.35">
      <c r="BZ6283" s="105"/>
      <c r="CA6283" s="20"/>
    </row>
    <row r="6284" spans="78:79" x14ac:dyDescent="0.35">
      <c r="BZ6284" s="105"/>
      <c r="CA6284" s="20"/>
    </row>
    <row r="6285" spans="78:79" x14ac:dyDescent="0.35">
      <c r="BZ6285" s="105"/>
      <c r="CA6285" s="20"/>
    </row>
    <row r="6286" spans="78:79" x14ac:dyDescent="0.35">
      <c r="BZ6286" s="105"/>
      <c r="CA6286" s="20"/>
    </row>
    <row r="6287" spans="78:79" x14ac:dyDescent="0.35">
      <c r="BZ6287" s="105"/>
      <c r="CA6287" s="20"/>
    </row>
    <row r="6288" spans="78:79" x14ac:dyDescent="0.35">
      <c r="BZ6288" s="105"/>
      <c r="CA6288" s="20"/>
    </row>
    <row r="6289" spans="78:79" x14ac:dyDescent="0.35">
      <c r="BZ6289" s="105"/>
      <c r="CA6289" s="20"/>
    </row>
    <row r="6290" spans="78:79" x14ac:dyDescent="0.35">
      <c r="BZ6290" s="105"/>
      <c r="CA6290" s="20"/>
    </row>
    <row r="6291" spans="78:79" x14ac:dyDescent="0.35">
      <c r="BZ6291" s="105"/>
      <c r="CA6291" s="20"/>
    </row>
    <row r="6292" spans="78:79" x14ac:dyDescent="0.35">
      <c r="BZ6292" s="105"/>
      <c r="CA6292" s="20"/>
    </row>
    <row r="6293" spans="78:79" x14ac:dyDescent="0.35">
      <c r="BZ6293" s="105"/>
      <c r="CA6293" s="20"/>
    </row>
    <row r="6294" spans="78:79" x14ac:dyDescent="0.35">
      <c r="BZ6294" s="105"/>
      <c r="CA6294" s="20"/>
    </row>
    <row r="6295" spans="78:79" x14ac:dyDescent="0.35">
      <c r="BZ6295" s="105"/>
      <c r="CA6295" s="20"/>
    </row>
    <row r="6296" spans="78:79" x14ac:dyDescent="0.35">
      <c r="BZ6296" s="105"/>
      <c r="CA6296" s="20"/>
    </row>
    <row r="6297" spans="78:79" x14ac:dyDescent="0.35">
      <c r="BZ6297" s="105"/>
      <c r="CA6297" s="20"/>
    </row>
    <row r="6298" spans="78:79" x14ac:dyDescent="0.35">
      <c r="BZ6298" s="105"/>
      <c r="CA6298" s="20"/>
    </row>
    <row r="6299" spans="78:79" x14ac:dyDescent="0.35">
      <c r="BZ6299" s="105"/>
      <c r="CA6299" s="20"/>
    </row>
    <row r="6300" spans="78:79" x14ac:dyDescent="0.35">
      <c r="BZ6300" s="105"/>
      <c r="CA6300" s="20"/>
    </row>
    <row r="6301" spans="78:79" x14ac:dyDescent="0.35">
      <c r="BZ6301" s="105"/>
      <c r="CA6301" s="20"/>
    </row>
    <row r="6302" spans="78:79" x14ac:dyDescent="0.35">
      <c r="BZ6302" s="105"/>
      <c r="CA6302" s="20"/>
    </row>
    <row r="6303" spans="78:79" x14ac:dyDescent="0.35">
      <c r="BZ6303" s="105"/>
      <c r="CA6303" s="20"/>
    </row>
    <row r="6304" spans="78:79" x14ac:dyDescent="0.35">
      <c r="BZ6304" s="105"/>
      <c r="CA6304" s="20"/>
    </row>
    <row r="6305" spans="78:79" x14ac:dyDescent="0.35">
      <c r="BZ6305" s="105"/>
      <c r="CA6305" s="20"/>
    </row>
    <row r="6306" spans="78:79" x14ac:dyDescent="0.35">
      <c r="BZ6306" s="105"/>
      <c r="CA6306" s="20"/>
    </row>
    <row r="6307" spans="78:79" x14ac:dyDescent="0.35">
      <c r="BZ6307" s="105"/>
      <c r="CA6307" s="20"/>
    </row>
    <row r="6308" spans="78:79" x14ac:dyDescent="0.35">
      <c r="BZ6308" s="105"/>
      <c r="CA6308" s="20"/>
    </row>
    <row r="6309" spans="78:79" x14ac:dyDescent="0.35">
      <c r="BZ6309" s="105"/>
      <c r="CA6309" s="20"/>
    </row>
    <row r="6310" spans="78:79" x14ac:dyDescent="0.35">
      <c r="BZ6310" s="105"/>
      <c r="CA6310" s="20"/>
    </row>
    <row r="6311" spans="78:79" x14ac:dyDescent="0.35">
      <c r="BZ6311" s="105"/>
      <c r="CA6311" s="20"/>
    </row>
    <row r="6312" spans="78:79" x14ac:dyDescent="0.35">
      <c r="BZ6312" s="105"/>
      <c r="CA6312" s="20"/>
    </row>
    <row r="6313" spans="78:79" x14ac:dyDescent="0.35">
      <c r="BZ6313" s="105"/>
      <c r="CA6313" s="20"/>
    </row>
    <row r="6314" spans="78:79" x14ac:dyDescent="0.35">
      <c r="BZ6314" s="105"/>
      <c r="CA6314" s="20"/>
    </row>
    <row r="6315" spans="78:79" x14ac:dyDescent="0.35">
      <c r="BZ6315" s="105"/>
      <c r="CA6315" s="20"/>
    </row>
    <row r="6316" spans="78:79" x14ac:dyDescent="0.35">
      <c r="BZ6316" s="105"/>
      <c r="CA6316" s="20"/>
    </row>
    <row r="6317" spans="78:79" x14ac:dyDescent="0.35">
      <c r="BZ6317" s="105"/>
      <c r="CA6317" s="20"/>
    </row>
    <row r="6318" spans="78:79" x14ac:dyDescent="0.35">
      <c r="BZ6318" s="105"/>
      <c r="CA6318" s="20"/>
    </row>
    <row r="6319" spans="78:79" x14ac:dyDescent="0.35">
      <c r="BZ6319" s="105"/>
      <c r="CA6319" s="20"/>
    </row>
    <row r="6320" spans="78:79" x14ac:dyDescent="0.35">
      <c r="BZ6320" s="105"/>
      <c r="CA6320" s="20"/>
    </row>
    <row r="6321" spans="78:79" x14ac:dyDescent="0.35">
      <c r="BZ6321" s="105"/>
      <c r="CA6321" s="20"/>
    </row>
    <row r="6322" spans="78:79" x14ac:dyDescent="0.35">
      <c r="BZ6322" s="105"/>
      <c r="CA6322" s="20"/>
    </row>
    <row r="6323" spans="78:79" x14ac:dyDescent="0.35">
      <c r="BZ6323" s="105"/>
      <c r="CA6323" s="20"/>
    </row>
    <row r="6324" spans="78:79" x14ac:dyDescent="0.35">
      <c r="BZ6324" s="105"/>
      <c r="CA6324" s="20"/>
    </row>
    <row r="6325" spans="78:79" x14ac:dyDescent="0.35">
      <c r="BZ6325" s="105"/>
      <c r="CA6325" s="20"/>
    </row>
    <row r="6326" spans="78:79" x14ac:dyDescent="0.35">
      <c r="BZ6326" s="105"/>
      <c r="CA6326" s="20"/>
    </row>
    <row r="6327" spans="78:79" x14ac:dyDescent="0.35">
      <c r="BZ6327" s="105"/>
      <c r="CA6327" s="20"/>
    </row>
    <row r="6328" spans="78:79" x14ac:dyDescent="0.35">
      <c r="BZ6328" s="105"/>
      <c r="CA6328" s="20"/>
    </row>
    <row r="6329" spans="78:79" x14ac:dyDescent="0.35">
      <c r="BZ6329" s="105"/>
      <c r="CA6329" s="20"/>
    </row>
    <row r="6330" spans="78:79" x14ac:dyDescent="0.35">
      <c r="BZ6330" s="105"/>
      <c r="CA6330" s="20"/>
    </row>
    <row r="6331" spans="78:79" x14ac:dyDescent="0.35">
      <c r="BZ6331" s="105"/>
      <c r="CA6331" s="20"/>
    </row>
    <row r="6332" spans="78:79" x14ac:dyDescent="0.35">
      <c r="BZ6332" s="105"/>
      <c r="CA6332" s="20"/>
    </row>
    <row r="6333" spans="78:79" x14ac:dyDescent="0.35">
      <c r="BZ6333" s="105"/>
      <c r="CA6333" s="20"/>
    </row>
    <row r="6334" spans="78:79" x14ac:dyDescent="0.35">
      <c r="BZ6334" s="105"/>
      <c r="CA6334" s="20"/>
    </row>
    <row r="6335" spans="78:79" x14ac:dyDescent="0.35">
      <c r="BZ6335" s="105"/>
      <c r="CA6335" s="20"/>
    </row>
    <row r="6336" spans="78:79" x14ac:dyDescent="0.35">
      <c r="BZ6336" s="105"/>
      <c r="CA6336" s="20"/>
    </row>
    <row r="6337" spans="78:79" x14ac:dyDescent="0.35">
      <c r="BZ6337" s="105"/>
      <c r="CA6337" s="20"/>
    </row>
    <row r="6338" spans="78:79" x14ac:dyDescent="0.35">
      <c r="BZ6338" s="105"/>
      <c r="CA6338" s="20"/>
    </row>
    <row r="6339" spans="78:79" x14ac:dyDescent="0.35">
      <c r="BZ6339" s="105"/>
      <c r="CA6339" s="20"/>
    </row>
    <row r="6340" spans="78:79" x14ac:dyDescent="0.35">
      <c r="BZ6340" s="105"/>
      <c r="CA6340" s="20"/>
    </row>
    <row r="6341" spans="78:79" x14ac:dyDescent="0.35">
      <c r="BZ6341" s="105"/>
      <c r="CA6341" s="20"/>
    </row>
    <row r="6342" spans="78:79" x14ac:dyDescent="0.35">
      <c r="BZ6342" s="105"/>
      <c r="CA6342" s="20"/>
    </row>
    <row r="6343" spans="78:79" x14ac:dyDescent="0.35">
      <c r="BZ6343" s="105"/>
      <c r="CA6343" s="20"/>
    </row>
    <row r="6344" spans="78:79" x14ac:dyDescent="0.35">
      <c r="BZ6344" s="105"/>
      <c r="CA6344" s="20"/>
    </row>
    <row r="6345" spans="78:79" x14ac:dyDescent="0.35">
      <c r="BZ6345" s="105"/>
      <c r="CA6345" s="20"/>
    </row>
    <row r="6346" spans="78:79" x14ac:dyDescent="0.35">
      <c r="BZ6346" s="105"/>
      <c r="CA6346" s="20"/>
    </row>
    <row r="6347" spans="78:79" x14ac:dyDescent="0.35">
      <c r="BZ6347" s="105"/>
      <c r="CA6347" s="20"/>
    </row>
    <row r="6348" spans="78:79" x14ac:dyDescent="0.35">
      <c r="BZ6348" s="105"/>
      <c r="CA6348" s="20"/>
    </row>
    <row r="6349" spans="78:79" x14ac:dyDescent="0.35">
      <c r="BZ6349" s="105"/>
      <c r="CA6349" s="20"/>
    </row>
    <row r="6350" spans="78:79" x14ac:dyDescent="0.35">
      <c r="BZ6350" s="105"/>
      <c r="CA6350" s="20"/>
    </row>
    <row r="6351" spans="78:79" x14ac:dyDescent="0.35">
      <c r="BZ6351" s="105"/>
      <c r="CA6351" s="20"/>
    </row>
    <row r="6352" spans="78:79" x14ac:dyDescent="0.35">
      <c r="BZ6352" s="105"/>
      <c r="CA6352" s="20"/>
    </row>
    <row r="6353" spans="78:79" x14ac:dyDescent="0.35">
      <c r="BZ6353" s="105"/>
      <c r="CA6353" s="20"/>
    </row>
    <row r="6354" spans="78:79" x14ac:dyDescent="0.35">
      <c r="BZ6354" s="105"/>
      <c r="CA6354" s="20"/>
    </row>
    <row r="6355" spans="78:79" x14ac:dyDescent="0.35">
      <c r="BZ6355" s="105"/>
      <c r="CA6355" s="20"/>
    </row>
    <row r="6356" spans="78:79" x14ac:dyDescent="0.35">
      <c r="BZ6356" s="105"/>
      <c r="CA6356" s="20"/>
    </row>
    <row r="6357" spans="78:79" x14ac:dyDescent="0.35">
      <c r="BZ6357" s="105"/>
      <c r="CA6357" s="20"/>
    </row>
    <row r="6358" spans="78:79" x14ac:dyDescent="0.35">
      <c r="BZ6358" s="105"/>
      <c r="CA6358" s="20"/>
    </row>
    <row r="6359" spans="78:79" x14ac:dyDescent="0.35">
      <c r="BZ6359" s="105"/>
      <c r="CA6359" s="20"/>
    </row>
    <row r="6360" spans="78:79" x14ac:dyDescent="0.35">
      <c r="BZ6360" s="105"/>
      <c r="CA6360" s="20"/>
    </row>
    <row r="6361" spans="78:79" x14ac:dyDescent="0.35">
      <c r="BZ6361" s="105"/>
      <c r="CA6361" s="20"/>
    </row>
    <row r="6362" spans="78:79" x14ac:dyDescent="0.35">
      <c r="BZ6362" s="105"/>
      <c r="CA6362" s="20"/>
    </row>
    <row r="6363" spans="78:79" x14ac:dyDescent="0.35">
      <c r="BZ6363" s="105"/>
      <c r="CA6363" s="20"/>
    </row>
    <row r="6364" spans="78:79" x14ac:dyDescent="0.35">
      <c r="BZ6364" s="105"/>
      <c r="CA6364" s="20"/>
    </row>
    <row r="6365" spans="78:79" x14ac:dyDescent="0.35">
      <c r="BZ6365" s="105"/>
      <c r="CA6365" s="20"/>
    </row>
    <row r="6366" spans="78:79" x14ac:dyDescent="0.35">
      <c r="BZ6366" s="105"/>
      <c r="CA6366" s="20"/>
    </row>
    <row r="6367" spans="78:79" x14ac:dyDescent="0.35">
      <c r="BZ6367" s="105"/>
      <c r="CA6367" s="20"/>
    </row>
    <row r="6368" spans="78:79" x14ac:dyDescent="0.35">
      <c r="BZ6368" s="105"/>
      <c r="CA6368" s="20"/>
    </row>
    <row r="6369" spans="78:79" x14ac:dyDescent="0.35">
      <c r="BZ6369" s="105"/>
      <c r="CA6369" s="20"/>
    </row>
    <row r="6370" spans="78:79" x14ac:dyDescent="0.35">
      <c r="BZ6370" s="105"/>
      <c r="CA6370" s="20"/>
    </row>
    <row r="6371" spans="78:79" x14ac:dyDescent="0.35">
      <c r="BZ6371" s="105"/>
      <c r="CA6371" s="20"/>
    </row>
    <row r="6372" spans="78:79" x14ac:dyDescent="0.35">
      <c r="BZ6372" s="105"/>
      <c r="CA6372" s="20"/>
    </row>
    <row r="6373" spans="78:79" x14ac:dyDescent="0.35">
      <c r="BZ6373" s="105"/>
      <c r="CA6373" s="20"/>
    </row>
    <row r="6374" spans="78:79" x14ac:dyDescent="0.35">
      <c r="BZ6374" s="105"/>
      <c r="CA6374" s="20"/>
    </row>
    <row r="6375" spans="78:79" x14ac:dyDescent="0.35">
      <c r="BZ6375" s="105"/>
      <c r="CA6375" s="20"/>
    </row>
    <row r="6376" spans="78:79" x14ac:dyDescent="0.35">
      <c r="BZ6376" s="105"/>
      <c r="CA6376" s="20"/>
    </row>
    <row r="6377" spans="78:79" x14ac:dyDescent="0.35">
      <c r="BZ6377" s="105"/>
      <c r="CA6377" s="20"/>
    </row>
    <row r="6378" spans="78:79" x14ac:dyDescent="0.35">
      <c r="BZ6378" s="105"/>
      <c r="CA6378" s="20"/>
    </row>
    <row r="6379" spans="78:79" x14ac:dyDescent="0.35">
      <c r="BZ6379" s="105"/>
      <c r="CA6379" s="20"/>
    </row>
    <row r="6380" spans="78:79" x14ac:dyDescent="0.35">
      <c r="BZ6380" s="105"/>
      <c r="CA6380" s="20"/>
    </row>
    <row r="6381" spans="78:79" x14ac:dyDescent="0.35">
      <c r="BZ6381" s="105"/>
      <c r="CA6381" s="20"/>
    </row>
    <row r="6382" spans="78:79" x14ac:dyDescent="0.35">
      <c r="BZ6382" s="105"/>
      <c r="CA6382" s="20"/>
    </row>
    <row r="6383" spans="78:79" x14ac:dyDescent="0.35">
      <c r="BZ6383" s="105"/>
      <c r="CA6383" s="20"/>
    </row>
    <row r="6384" spans="78:79" x14ac:dyDescent="0.35">
      <c r="BZ6384" s="105"/>
      <c r="CA6384" s="20"/>
    </row>
    <row r="6385" spans="78:79" x14ac:dyDescent="0.35">
      <c r="BZ6385" s="105"/>
      <c r="CA6385" s="20"/>
    </row>
    <row r="6386" spans="78:79" x14ac:dyDescent="0.35">
      <c r="BZ6386" s="105"/>
      <c r="CA6386" s="20"/>
    </row>
    <row r="6387" spans="78:79" x14ac:dyDescent="0.35">
      <c r="BZ6387" s="105"/>
      <c r="CA6387" s="20"/>
    </row>
    <row r="6388" spans="78:79" x14ac:dyDescent="0.35">
      <c r="BZ6388" s="105"/>
      <c r="CA6388" s="20"/>
    </row>
    <row r="6389" spans="78:79" x14ac:dyDescent="0.35">
      <c r="BZ6389" s="105"/>
      <c r="CA6389" s="20"/>
    </row>
    <row r="6390" spans="78:79" x14ac:dyDescent="0.35">
      <c r="BZ6390" s="105"/>
      <c r="CA6390" s="20"/>
    </row>
    <row r="6391" spans="78:79" x14ac:dyDescent="0.35">
      <c r="BZ6391" s="105"/>
      <c r="CA6391" s="20"/>
    </row>
    <row r="6392" spans="78:79" x14ac:dyDescent="0.35">
      <c r="BZ6392" s="105"/>
      <c r="CA6392" s="20"/>
    </row>
    <row r="6393" spans="78:79" x14ac:dyDescent="0.35">
      <c r="BZ6393" s="105"/>
      <c r="CA6393" s="20"/>
    </row>
    <row r="6394" spans="78:79" x14ac:dyDescent="0.35">
      <c r="BZ6394" s="105"/>
      <c r="CA6394" s="20"/>
    </row>
    <row r="6395" spans="78:79" x14ac:dyDescent="0.35">
      <c r="BZ6395" s="105"/>
      <c r="CA6395" s="20"/>
    </row>
    <row r="6396" spans="78:79" x14ac:dyDescent="0.35">
      <c r="BZ6396" s="105"/>
      <c r="CA6396" s="20"/>
    </row>
    <row r="6397" spans="78:79" x14ac:dyDescent="0.35">
      <c r="BZ6397" s="105"/>
      <c r="CA6397" s="20"/>
    </row>
    <row r="6398" spans="78:79" x14ac:dyDescent="0.35">
      <c r="BZ6398" s="105"/>
      <c r="CA6398" s="20"/>
    </row>
    <row r="6399" spans="78:79" x14ac:dyDescent="0.35">
      <c r="BZ6399" s="105"/>
      <c r="CA6399" s="20"/>
    </row>
    <row r="6400" spans="78:79" x14ac:dyDescent="0.35">
      <c r="BZ6400" s="105"/>
      <c r="CA6400" s="20"/>
    </row>
    <row r="6401" spans="78:79" x14ac:dyDescent="0.35">
      <c r="BZ6401" s="105"/>
      <c r="CA6401" s="20"/>
    </row>
    <row r="6402" spans="78:79" x14ac:dyDescent="0.35">
      <c r="BZ6402" s="105"/>
      <c r="CA6402" s="20"/>
    </row>
    <row r="6403" spans="78:79" x14ac:dyDescent="0.35">
      <c r="BZ6403" s="105"/>
      <c r="CA6403" s="20"/>
    </row>
    <row r="6404" spans="78:79" x14ac:dyDescent="0.35">
      <c r="BZ6404" s="105"/>
      <c r="CA6404" s="20"/>
    </row>
    <row r="6405" spans="78:79" x14ac:dyDescent="0.35">
      <c r="BZ6405" s="105"/>
      <c r="CA6405" s="20"/>
    </row>
    <row r="6406" spans="78:79" x14ac:dyDescent="0.35">
      <c r="BZ6406" s="105"/>
      <c r="CA6406" s="20"/>
    </row>
    <row r="6407" spans="78:79" x14ac:dyDescent="0.35">
      <c r="BZ6407" s="105"/>
      <c r="CA6407" s="20"/>
    </row>
    <row r="6408" spans="78:79" x14ac:dyDescent="0.35">
      <c r="BZ6408" s="105"/>
      <c r="CA6408" s="20"/>
    </row>
    <row r="6409" spans="78:79" x14ac:dyDescent="0.35">
      <c r="BZ6409" s="105"/>
      <c r="CA6409" s="20"/>
    </row>
    <row r="6410" spans="78:79" x14ac:dyDescent="0.35">
      <c r="BZ6410" s="105"/>
      <c r="CA6410" s="20"/>
    </row>
    <row r="6411" spans="78:79" x14ac:dyDescent="0.35">
      <c r="BZ6411" s="105"/>
      <c r="CA6411" s="20"/>
    </row>
    <row r="6412" spans="78:79" x14ac:dyDescent="0.35">
      <c r="BZ6412" s="105"/>
      <c r="CA6412" s="20"/>
    </row>
    <row r="6413" spans="78:79" x14ac:dyDescent="0.35">
      <c r="BZ6413" s="105"/>
      <c r="CA6413" s="20"/>
    </row>
    <row r="6414" spans="78:79" x14ac:dyDescent="0.35">
      <c r="BZ6414" s="105"/>
      <c r="CA6414" s="20"/>
    </row>
    <row r="6415" spans="78:79" x14ac:dyDescent="0.35">
      <c r="BZ6415" s="105"/>
      <c r="CA6415" s="20"/>
    </row>
    <row r="6416" spans="78:79" x14ac:dyDescent="0.35">
      <c r="BZ6416" s="105"/>
      <c r="CA6416" s="20"/>
    </row>
    <row r="6417" spans="78:79" x14ac:dyDescent="0.35">
      <c r="BZ6417" s="105"/>
      <c r="CA6417" s="20"/>
    </row>
    <row r="6418" spans="78:79" x14ac:dyDescent="0.35">
      <c r="BZ6418" s="105"/>
      <c r="CA6418" s="20"/>
    </row>
    <row r="6419" spans="78:79" x14ac:dyDescent="0.35">
      <c r="BZ6419" s="105"/>
      <c r="CA6419" s="20"/>
    </row>
    <row r="6420" spans="78:79" x14ac:dyDescent="0.35">
      <c r="BZ6420" s="105"/>
      <c r="CA6420" s="20"/>
    </row>
    <row r="6421" spans="78:79" x14ac:dyDescent="0.35">
      <c r="BZ6421" s="105"/>
      <c r="CA6421" s="20"/>
    </row>
    <row r="6422" spans="78:79" x14ac:dyDescent="0.35">
      <c r="BZ6422" s="105"/>
      <c r="CA6422" s="20"/>
    </row>
    <row r="6423" spans="78:79" x14ac:dyDescent="0.35">
      <c r="BZ6423" s="105"/>
      <c r="CA6423" s="20"/>
    </row>
    <row r="6424" spans="78:79" x14ac:dyDescent="0.35">
      <c r="BZ6424" s="105"/>
      <c r="CA6424" s="20"/>
    </row>
    <row r="6425" spans="78:79" x14ac:dyDescent="0.35">
      <c r="BZ6425" s="105"/>
      <c r="CA6425" s="20"/>
    </row>
    <row r="6426" spans="78:79" x14ac:dyDescent="0.35">
      <c r="BZ6426" s="105"/>
      <c r="CA6426" s="20"/>
    </row>
    <row r="6427" spans="78:79" x14ac:dyDescent="0.35">
      <c r="BZ6427" s="105"/>
      <c r="CA6427" s="20"/>
    </row>
    <row r="6428" spans="78:79" x14ac:dyDescent="0.35">
      <c r="BZ6428" s="105"/>
      <c r="CA6428" s="20"/>
    </row>
    <row r="6429" spans="78:79" x14ac:dyDescent="0.35">
      <c r="BZ6429" s="105"/>
      <c r="CA6429" s="20"/>
    </row>
    <row r="6430" spans="78:79" x14ac:dyDescent="0.35">
      <c r="BZ6430" s="105"/>
      <c r="CA6430" s="20"/>
    </row>
    <row r="6431" spans="78:79" x14ac:dyDescent="0.35">
      <c r="BZ6431" s="105"/>
      <c r="CA6431" s="20"/>
    </row>
    <row r="6432" spans="78:79" x14ac:dyDescent="0.35">
      <c r="BZ6432" s="105"/>
      <c r="CA6432" s="20"/>
    </row>
    <row r="6433" spans="78:79" x14ac:dyDescent="0.35">
      <c r="BZ6433" s="105"/>
      <c r="CA6433" s="20"/>
    </row>
    <row r="6434" spans="78:79" x14ac:dyDescent="0.35">
      <c r="BZ6434" s="105"/>
      <c r="CA6434" s="20"/>
    </row>
    <row r="6435" spans="78:79" x14ac:dyDescent="0.35">
      <c r="BZ6435" s="105"/>
      <c r="CA6435" s="20"/>
    </row>
    <row r="6436" spans="78:79" x14ac:dyDescent="0.35">
      <c r="BZ6436" s="105"/>
      <c r="CA6436" s="20"/>
    </row>
    <row r="6437" spans="78:79" x14ac:dyDescent="0.35">
      <c r="BZ6437" s="105"/>
      <c r="CA6437" s="20"/>
    </row>
    <row r="6438" spans="78:79" x14ac:dyDescent="0.35">
      <c r="BZ6438" s="105"/>
      <c r="CA6438" s="20"/>
    </row>
    <row r="6439" spans="78:79" x14ac:dyDescent="0.35">
      <c r="BZ6439" s="105"/>
      <c r="CA6439" s="20"/>
    </row>
    <row r="6440" spans="78:79" x14ac:dyDescent="0.35">
      <c r="BZ6440" s="105"/>
      <c r="CA6440" s="20"/>
    </row>
    <row r="6441" spans="78:79" x14ac:dyDescent="0.35">
      <c r="BZ6441" s="105"/>
      <c r="CA6441" s="20"/>
    </row>
    <row r="6442" spans="78:79" x14ac:dyDescent="0.35">
      <c r="BZ6442" s="105"/>
      <c r="CA6442" s="20"/>
    </row>
    <row r="6443" spans="78:79" x14ac:dyDescent="0.35">
      <c r="BZ6443" s="105"/>
      <c r="CA6443" s="20"/>
    </row>
    <row r="6444" spans="78:79" x14ac:dyDescent="0.35">
      <c r="BZ6444" s="105"/>
      <c r="CA6444" s="20"/>
    </row>
    <row r="6445" spans="78:79" x14ac:dyDescent="0.35">
      <c r="BZ6445" s="105"/>
      <c r="CA6445" s="20"/>
    </row>
    <row r="6446" spans="78:79" x14ac:dyDescent="0.35">
      <c r="BZ6446" s="105"/>
      <c r="CA6446" s="20"/>
    </row>
    <row r="6447" spans="78:79" x14ac:dyDescent="0.35">
      <c r="BZ6447" s="105"/>
      <c r="CA6447" s="20"/>
    </row>
    <row r="6448" spans="78:79" x14ac:dyDescent="0.35">
      <c r="BZ6448" s="105"/>
      <c r="CA6448" s="20"/>
    </row>
    <row r="6449" spans="78:79" x14ac:dyDescent="0.35">
      <c r="BZ6449" s="105"/>
      <c r="CA6449" s="20"/>
    </row>
    <row r="6450" spans="78:79" x14ac:dyDescent="0.35">
      <c r="BZ6450" s="105"/>
      <c r="CA6450" s="20"/>
    </row>
    <row r="6451" spans="78:79" x14ac:dyDescent="0.35">
      <c r="BZ6451" s="105"/>
      <c r="CA6451" s="20"/>
    </row>
    <row r="6452" spans="78:79" x14ac:dyDescent="0.35">
      <c r="BZ6452" s="105"/>
      <c r="CA6452" s="20"/>
    </row>
    <row r="6453" spans="78:79" x14ac:dyDescent="0.35">
      <c r="BZ6453" s="105"/>
      <c r="CA6453" s="20"/>
    </row>
    <row r="6454" spans="78:79" x14ac:dyDescent="0.35">
      <c r="BZ6454" s="105"/>
      <c r="CA6454" s="20"/>
    </row>
    <row r="6455" spans="78:79" x14ac:dyDescent="0.35">
      <c r="BZ6455" s="105"/>
      <c r="CA6455" s="20"/>
    </row>
    <row r="6456" spans="78:79" x14ac:dyDescent="0.35">
      <c r="BZ6456" s="105"/>
      <c r="CA6456" s="20"/>
    </row>
    <row r="6457" spans="78:79" x14ac:dyDescent="0.35">
      <c r="BZ6457" s="105"/>
      <c r="CA6457" s="20"/>
    </row>
    <row r="6458" spans="78:79" x14ac:dyDescent="0.35">
      <c r="BZ6458" s="105"/>
      <c r="CA6458" s="20"/>
    </row>
    <row r="6459" spans="78:79" x14ac:dyDescent="0.35">
      <c r="BZ6459" s="105"/>
      <c r="CA6459" s="20"/>
    </row>
    <row r="6460" spans="78:79" x14ac:dyDescent="0.35">
      <c r="BZ6460" s="105"/>
      <c r="CA6460" s="20"/>
    </row>
    <row r="6461" spans="78:79" x14ac:dyDescent="0.35">
      <c r="BZ6461" s="105"/>
      <c r="CA6461" s="20"/>
    </row>
    <row r="6462" spans="78:79" x14ac:dyDescent="0.35">
      <c r="BZ6462" s="105"/>
      <c r="CA6462" s="20"/>
    </row>
    <row r="6463" spans="78:79" x14ac:dyDescent="0.35">
      <c r="BZ6463" s="105"/>
      <c r="CA6463" s="20"/>
    </row>
    <row r="6464" spans="78:79" x14ac:dyDescent="0.35">
      <c r="BZ6464" s="105"/>
      <c r="CA6464" s="20"/>
    </row>
    <row r="6465" spans="78:79" x14ac:dyDescent="0.35">
      <c r="BZ6465" s="105"/>
      <c r="CA6465" s="20"/>
    </row>
    <row r="6466" spans="78:79" x14ac:dyDescent="0.35">
      <c r="BZ6466" s="105"/>
      <c r="CA6466" s="20"/>
    </row>
    <row r="6467" spans="78:79" x14ac:dyDescent="0.35">
      <c r="BZ6467" s="105"/>
      <c r="CA6467" s="20"/>
    </row>
    <row r="6468" spans="78:79" x14ac:dyDescent="0.35">
      <c r="BZ6468" s="105"/>
      <c r="CA6468" s="20"/>
    </row>
    <row r="6469" spans="78:79" x14ac:dyDescent="0.35">
      <c r="BZ6469" s="105"/>
      <c r="CA6469" s="20"/>
    </row>
    <row r="6470" spans="78:79" x14ac:dyDescent="0.35">
      <c r="BZ6470" s="105"/>
      <c r="CA6470" s="20"/>
    </row>
    <row r="6471" spans="78:79" x14ac:dyDescent="0.35">
      <c r="BZ6471" s="105"/>
      <c r="CA6471" s="20"/>
    </row>
    <row r="6472" spans="78:79" x14ac:dyDescent="0.35">
      <c r="BZ6472" s="105"/>
      <c r="CA6472" s="20"/>
    </row>
    <row r="6473" spans="78:79" x14ac:dyDescent="0.35">
      <c r="BZ6473" s="105"/>
      <c r="CA6473" s="20"/>
    </row>
    <row r="6474" spans="78:79" x14ac:dyDescent="0.35">
      <c r="BZ6474" s="105"/>
      <c r="CA6474" s="20"/>
    </row>
    <row r="6475" spans="78:79" x14ac:dyDescent="0.35">
      <c r="BZ6475" s="105"/>
      <c r="CA6475" s="20"/>
    </row>
    <row r="6476" spans="78:79" x14ac:dyDescent="0.35">
      <c r="BZ6476" s="105"/>
      <c r="CA6476" s="20"/>
    </row>
    <row r="6477" spans="78:79" x14ac:dyDescent="0.35">
      <c r="BZ6477" s="105"/>
      <c r="CA6477" s="20"/>
    </row>
    <row r="6478" spans="78:79" x14ac:dyDescent="0.35">
      <c r="BZ6478" s="105"/>
      <c r="CA6478" s="20"/>
    </row>
    <row r="6479" spans="78:79" x14ac:dyDescent="0.35">
      <c r="BZ6479" s="105"/>
      <c r="CA6479" s="20"/>
    </row>
    <row r="6480" spans="78:79" x14ac:dyDescent="0.35">
      <c r="BZ6480" s="105"/>
      <c r="CA6480" s="20"/>
    </row>
    <row r="6481" spans="78:79" x14ac:dyDescent="0.35">
      <c r="BZ6481" s="105"/>
      <c r="CA6481" s="20"/>
    </row>
    <row r="6482" spans="78:79" x14ac:dyDescent="0.35">
      <c r="BZ6482" s="105"/>
      <c r="CA6482" s="20"/>
    </row>
    <row r="6483" spans="78:79" x14ac:dyDescent="0.35">
      <c r="BZ6483" s="105"/>
      <c r="CA6483" s="20"/>
    </row>
    <row r="6484" spans="78:79" x14ac:dyDescent="0.35">
      <c r="BZ6484" s="105"/>
      <c r="CA6484" s="20"/>
    </row>
    <row r="6485" spans="78:79" x14ac:dyDescent="0.35">
      <c r="BZ6485" s="105"/>
      <c r="CA6485" s="20"/>
    </row>
    <row r="6486" spans="78:79" x14ac:dyDescent="0.35">
      <c r="BZ6486" s="105"/>
      <c r="CA6486" s="20"/>
    </row>
    <row r="6487" spans="78:79" x14ac:dyDescent="0.35">
      <c r="BZ6487" s="105"/>
      <c r="CA6487" s="20"/>
    </row>
    <row r="6488" spans="78:79" x14ac:dyDescent="0.35">
      <c r="BZ6488" s="105"/>
      <c r="CA6488" s="20"/>
    </row>
    <row r="6489" spans="78:79" x14ac:dyDescent="0.35">
      <c r="BZ6489" s="105"/>
      <c r="CA6489" s="20"/>
    </row>
    <row r="6490" spans="78:79" x14ac:dyDescent="0.35">
      <c r="BZ6490" s="105"/>
      <c r="CA6490" s="20"/>
    </row>
    <row r="6491" spans="78:79" x14ac:dyDescent="0.35">
      <c r="BZ6491" s="105"/>
      <c r="CA6491" s="20"/>
    </row>
    <row r="6492" spans="78:79" x14ac:dyDescent="0.35">
      <c r="BZ6492" s="105"/>
      <c r="CA6492" s="20"/>
    </row>
    <row r="6493" spans="78:79" x14ac:dyDescent="0.35">
      <c r="BZ6493" s="105"/>
      <c r="CA6493" s="20"/>
    </row>
    <row r="6494" spans="78:79" x14ac:dyDescent="0.35">
      <c r="BZ6494" s="105"/>
      <c r="CA6494" s="20"/>
    </row>
    <row r="6495" spans="78:79" x14ac:dyDescent="0.35">
      <c r="BZ6495" s="105"/>
      <c r="CA6495" s="20"/>
    </row>
    <row r="6496" spans="78:79" x14ac:dyDescent="0.35">
      <c r="BZ6496" s="105"/>
      <c r="CA6496" s="20"/>
    </row>
    <row r="6497" spans="78:79" x14ac:dyDescent="0.35">
      <c r="BZ6497" s="105"/>
      <c r="CA6497" s="20"/>
    </row>
    <row r="6498" spans="78:79" x14ac:dyDescent="0.35">
      <c r="BZ6498" s="105"/>
      <c r="CA6498" s="20"/>
    </row>
    <row r="6499" spans="78:79" x14ac:dyDescent="0.35">
      <c r="BZ6499" s="105"/>
      <c r="CA6499" s="20"/>
    </row>
    <row r="6500" spans="78:79" x14ac:dyDescent="0.35">
      <c r="BZ6500" s="105"/>
      <c r="CA6500" s="20"/>
    </row>
    <row r="6501" spans="78:79" x14ac:dyDescent="0.35">
      <c r="BZ6501" s="105"/>
      <c r="CA6501" s="20"/>
    </row>
    <row r="6502" spans="78:79" x14ac:dyDescent="0.35">
      <c r="BZ6502" s="105"/>
      <c r="CA6502" s="20"/>
    </row>
    <row r="6503" spans="78:79" x14ac:dyDescent="0.35">
      <c r="BZ6503" s="105"/>
      <c r="CA6503" s="20"/>
    </row>
    <row r="6504" spans="78:79" x14ac:dyDescent="0.35">
      <c r="BZ6504" s="105"/>
      <c r="CA6504" s="20"/>
    </row>
    <row r="6505" spans="78:79" x14ac:dyDescent="0.35">
      <c r="BZ6505" s="105"/>
      <c r="CA6505" s="20"/>
    </row>
    <row r="6506" spans="78:79" x14ac:dyDescent="0.35">
      <c r="BZ6506" s="105"/>
      <c r="CA6506" s="20"/>
    </row>
    <row r="6507" spans="78:79" x14ac:dyDescent="0.35">
      <c r="BZ6507" s="105"/>
      <c r="CA6507" s="20"/>
    </row>
    <row r="6508" spans="78:79" x14ac:dyDescent="0.35">
      <c r="BZ6508" s="105"/>
      <c r="CA6508" s="20"/>
    </row>
    <row r="6509" spans="78:79" x14ac:dyDescent="0.35">
      <c r="BZ6509" s="105"/>
      <c r="CA6509" s="20"/>
    </row>
    <row r="6510" spans="78:79" x14ac:dyDescent="0.35">
      <c r="BZ6510" s="105"/>
      <c r="CA6510" s="20"/>
    </row>
    <row r="6511" spans="78:79" x14ac:dyDescent="0.35">
      <c r="BZ6511" s="105"/>
      <c r="CA6511" s="20"/>
    </row>
    <row r="6512" spans="78:79" x14ac:dyDescent="0.35">
      <c r="BZ6512" s="105"/>
      <c r="CA6512" s="20"/>
    </row>
    <row r="6513" spans="78:79" x14ac:dyDescent="0.35">
      <c r="BZ6513" s="105"/>
      <c r="CA6513" s="20"/>
    </row>
    <row r="6514" spans="78:79" x14ac:dyDescent="0.35">
      <c r="BZ6514" s="105"/>
      <c r="CA6514" s="20"/>
    </row>
    <row r="6515" spans="78:79" x14ac:dyDescent="0.35">
      <c r="BZ6515" s="105"/>
      <c r="CA6515" s="20"/>
    </row>
    <row r="6516" spans="78:79" x14ac:dyDescent="0.35">
      <c r="BZ6516" s="105"/>
      <c r="CA6516" s="20"/>
    </row>
    <row r="6517" spans="78:79" x14ac:dyDescent="0.35">
      <c r="BZ6517" s="105"/>
      <c r="CA6517" s="20"/>
    </row>
    <row r="6518" spans="78:79" x14ac:dyDescent="0.35">
      <c r="BZ6518" s="105"/>
      <c r="CA6518" s="20"/>
    </row>
    <row r="6519" spans="78:79" x14ac:dyDescent="0.35">
      <c r="BZ6519" s="105"/>
      <c r="CA6519" s="20"/>
    </row>
    <row r="6520" spans="78:79" x14ac:dyDescent="0.35">
      <c r="BZ6520" s="105"/>
      <c r="CA6520" s="20"/>
    </row>
    <row r="6521" spans="78:79" x14ac:dyDescent="0.35">
      <c r="BZ6521" s="105"/>
      <c r="CA6521" s="20"/>
    </row>
    <row r="6522" spans="78:79" x14ac:dyDescent="0.35">
      <c r="BZ6522" s="105"/>
      <c r="CA6522" s="20"/>
    </row>
    <row r="6523" spans="78:79" x14ac:dyDescent="0.35">
      <c r="BZ6523" s="105"/>
      <c r="CA6523" s="20"/>
    </row>
    <row r="6524" spans="78:79" x14ac:dyDescent="0.35">
      <c r="BZ6524" s="105"/>
      <c r="CA6524" s="20"/>
    </row>
    <row r="6525" spans="78:79" x14ac:dyDescent="0.35">
      <c r="BZ6525" s="105"/>
      <c r="CA6525" s="20"/>
    </row>
    <row r="6526" spans="78:79" x14ac:dyDescent="0.35">
      <c r="BZ6526" s="105"/>
      <c r="CA6526" s="20"/>
    </row>
    <row r="6527" spans="78:79" x14ac:dyDescent="0.35">
      <c r="BZ6527" s="105"/>
      <c r="CA6527" s="20"/>
    </row>
    <row r="6528" spans="78:79" x14ac:dyDescent="0.35">
      <c r="BZ6528" s="105"/>
      <c r="CA6528" s="20"/>
    </row>
    <row r="6529" spans="78:79" x14ac:dyDescent="0.35">
      <c r="BZ6529" s="105"/>
      <c r="CA6529" s="20"/>
    </row>
    <row r="6530" spans="78:79" x14ac:dyDescent="0.35">
      <c r="BZ6530" s="105"/>
      <c r="CA6530" s="20"/>
    </row>
    <row r="6531" spans="78:79" x14ac:dyDescent="0.35">
      <c r="BZ6531" s="105"/>
      <c r="CA6531" s="20"/>
    </row>
    <row r="6532" spans="78:79" x14ac:dyDescent="0.35">
      <c r="BZ6532" s="105"/>
      <c r="CA6532" s="20"/>
    </row>
    <row r="6533" spans="78:79" x14ac:dyDescent="0.35">
      <c r="BZ6533" s="105"/>
      <c r="CA6533" s="20"/>
    </row>
    <row r="6534" spans="78:79" x14ac:dyDescent="0.35">
      <c r="BZ6534" s="105"/>
      <c r="CA6534" s="20"/>
    </row>
    <row r="6535" spans="78:79" x14ac:dyDescent="0.35">
      <c r="BZ6535" s="105"/>
      <c r="CA6535" s="20"/>
    </row>
    <row r="6536" spans="78:79" x14ac:dyDescent="0.35">
      <c r="BZ6536" s="105"/>
      <c r="CA6536" s="20"/>
    </row>
    <row r="6537" spans="78:79" x14ac:dyDescent="0.35">
      <c r="BZ6537" s="105"/>
      <c r="CA6537" s="20"/>
    </row>
    <row r="6538" spans="78:79" x14ac:dyDescent="0.35">
      <c r="BZ6538" s="105"/>
      <c r="CA6538" s="20"/>
    </row>
    <row r="6539" spans="78:79" x14ac:dyDescent="0.35">
      <c r="BZ6539" s="105"/>
      <c r="CA6539" s="20"/>
    </row>
    <row r="6540" spans="78:79" x14ac:dyDescent="0.35">
      <c r="BZ6540" s="105"/>
      <c r="CA6540" s="20"/>
    </row>
    <row r="6541" spans="78:79" x14ac:dyDescent="0.35">
      <c r="BZ6541" s="105"/>
      <c r="CA6541" s="20"/>
    </row>
    <row r="6542" spans="78:79" x14ac:dyDescent="0.35">
      <c r="BZ6542" s="105"/>
      <c r="CA6542" s="20"/>
    </row>
    <row r="6543" spans="78:79" x14ac:dyDescent="0.35">
      <c r="BZ6543" s="105"/>
      <c r="CA6543" s="20"/>
    </row>
    <row r="6544" spans="78:79" x14ac:dyDescent="0.35">
      <c r="BZ6544" s="105"/>
      <c r="CA6544" s="20"/>
    </row>
    <row r="6545" spans="78:79" x14ac:dyDescent="0.35">
      <c r="BZ6545" s="105"/>
      <c r="CA6545" s="20"/>
    </row>
    <row r="6546" spans="78:79" x14ac:dyDescent="0.35">
      <c r="BZ6546" s="105"/>
      <c r="CA6546" s="20"/>
    </row>
    <row r="6547" spans="78:79" x14ac:dyDescent="0.35">
      <c r="BZ6547" s="105"/>
      <c r="CA6547" s="20"/>
    </row>
    <row r="6548" spans="78:79" x14ac:dyDescent="0.35">
      <c r="BZ6548" s="105"/>
      <c r="CA6548" s="20"/>
    </row>
    <row r="6549" spans="78:79" x14ac:dyDescent="0.35">
      <c r="BZ6549" s="105"/>
      <c r="CA6549" s="20"/>
    </row>
    <row r="6550" spans="78:79" x14ac:dyDescent="0.35">
      <c r="BZ6550" s="105"/>
      <c r="CA6550" s="20"/>
    </row>
    <row r="6551" spans="78:79" x14ac:dyDescent="0.35">
      <c r="BZ6551" s="105"/>
      <c r="CA6551" s="20"/>
    </row>
    <row r="6552" spans="78:79" x14ac:dyDescent="0.35">
      <c r="BZ6552" s="105"/>
      <c r="CA6552" s="20"/>
    </row>
    <row r="6553" spans="78:79" x14ac:dyDescent="0.35">
      <c r="BZ6553" s="105"/>
      <c r="CA6553" s="20"/>
    </row>
    <row r="6554" spans="78:79" x14ac:dyDescent="0.35">
      <c r="BZ6554" s="105"/>
      <c r="CA6554" s="20"/>
    </row>
    <row r="6555" spans="78:79" x14ac:dyDescent="0.35">
      <c r="BZ6555" s="105"/>
      <c r="CA6555" s="20"/>
    </row>
    <row r="6556" spans="78:79" x14ac:dyDescent="0.35">
      <c r="BZ6556" s="105"/>
      <c r="CA6556" s="20"/>
    </row>
    <row r="6557" spans="78:79" x14ac:dyDescent="0.35">
      <c r="BZ6557" s="105"/>
      <c r="CA6557" s="20"/>
    </row>
    <row r="6558" spans="78:79" x14ac:dyDescent="0.35">
      <c r="BZ6558" s="105"/>
      <c r="CA6558" s="20"/>
    </row>
    <row r="6559" spans="78:79" x14ac:dyDescent="0.35">
      <c r="BZ6559" s="105"/>
      <c r="CA6559" s="20"/>
    </row>
    <row r="6560" spans="78:79" x14ac:dyDescent="0.35">
      <c r="BZ6560" s="105"/>
      <c r="CA6560" s="20"/>
    </row>
    <row r="6561" spans="78:79" x14ac:dyDescent="0.35">
      <c r="BZ6561" s="105"/>
      <c r="CA6561" s="20"/>
    </row>
    <row r="6562" spans="78:79" x14ac:dyDescent="0.35">
      <c r="BZ6562" s="105"/>
      <c r="CA6562" s="20"/>
    </row>
    <row r="6563" spans="78:79" x14ac:dyDescent="0.35">
      <c r="BZ6563" s="105"/>
      <c r="CA6563" s="20"/>
    </row>
    <row r="6564" spans="78:79" x14ac:dyDescent="0.35">
      <c r="BZ6564" s="105"/>
      <c r="CA6564" s="20"/>
    </row>
    <row r="6565" spans="78:79" x14ac:dyDescent="0.35">
      <c r="BZ6565" s="105"/>
      <c r="CA6565" s="20"/>
    </row>
    <row r="6566" spans="78:79" x14ac:dyDescent="0.35">
      <c r="BZ6566" s="105"/>
      <c r="CA6566" s="20"/>
    </row>
    <row r="6567" spans="78:79" x14ac:dyDescent="0.35">
      <c r="BZ6567" s="105"/>
      <c r="CA6567" s="20"/>
    </row>
    <row r="6568" spans="78:79" x14ac:dyDescent="0.35">
      <c r="BZ6568" s="105"/>
      <c r="CA6568" s="20"/>
    </row>
    <row r="6569" spans="78:79" x14ac:dyDescent="0.35">
      <c r="BZ6569" s="105"/>
      <c r="CA6569" s="20"/>
    </row>
    <row r="6570" spans="78:79" x14ac:dyDescent="0.35">
      <c r="BZ6570" s="105"/>
      <c r="CA6570" s="20"/>
    </row>
    <row r="6571" spans="78:79" x14ac:dyDescent="0.35">
      <c r="BZ6571" s="105"/>
      <c r="CA6571" s="20"/>
    </row>
    <row r="6572" spans="78:79" x14ac:dyDescent="0.35">
      <c r="BZ6572" s="105"/>
      <c r="CA6572" s="20"/>
    </row>
    <row r="6573" spans="78:79" x14ac:dyDescent="0.35">
      <c r="BZ6573" s="105"/>
      <c r="CA6573" s="20"/>
    </row>
    <row r="6574" spans="78:79" x14ac:dyDescent="0.35">
      <c r="BZ6574" s="105"/>
      <c r="CA6574" s="20"/>
    </row>
    <row r="6575" spans="78:79" x14ac:dyDescent="0.35">
      <c r="BZ6575" s="105"/>
      <c r="CA6575" s="20"/>
    </row>
    <row r="6576" spans="78:79" x14ac:dyDescent="0.35">
      <c r="BZ6576" s="105"/>
      <c r="CA6576" s="20"/>
    </row>
    <row r="6577" spans="78:79" x14ac:dyDescent="0.35">
      <c r="BZ6577" s="105"/>
      <c r="CA6577" s="20"/>
    </row>
    <row r="6578" spans="78:79" x14ac:dyDescent="0.35">
      <c r="BZ6578" s="105"/>
      <c r="CA6578" s="20"/>
    </row>
    <row r="6579" spans="78:79" x14ac:dyDescent="0.35">
      <c r="BZ6579" s="105"/>
      <c r="CA6579" s="20"/>
    </row>
    <row r="6580" spans="78:79" x14ac:dyDescent="0.35">
      <c r="BZ6580" s="105"/>
      <c r="CA6580" s="20"/>
    </row>
    <row r="6581" spans="78:79" x14ac:dyDescent="0.35">
      <c r="BZ6581" s="105"/>
      <c r="CA6581" s="20"/>
    </row>
    <row r="6582" spans="78:79" x14ac:dyDescent="0.35">
      <c r="BZ6582" s="105"/>
      <c r="CA6582" s="20"/>
    </row>
    <row r="6583" spans="78:79" x14ac:dyDescent="0.35">
      <c r="BZ6583" s="105"/>
      <c r="CA6583" s="20"/>
    </row>
    <row r="6584" spans="78:79" x14ac:dyDescent="0.35">
      <c r="BZ6584" s="105"/>
      <c r="CA6584" s="20"/>
    </row>
    <row r="6585" spans="78:79" x14ac:dyDescent="0.35">
      <c r="BZ6585" s="105"/>
      <c r="CA6585" s="20"/>
    </row>
    <row r="6586" spans="78:79" x14ac:dyDescent="0.35">
      <c r="BZ6586" s="105"/>
      <c r="CA6586" s="20"/>
    </row>
    <row r="6587" spans="78:79" x14ac:dyDescent="0.35">
      <c r="BZ6587" s="105"/>
      <c r="CA6587" s="20"/>
    </row>
    <row r="6588" spans="78:79" x14ac:dyDescent="0.35">
      <c r="BZ6588" s="105"/>
      <c r="CA6588" s="20"/>
    </row>
    <row r="6589" spans="78:79" x14ac:dyDescent="0.35">
      <c r="BZ6589" s="105"/>
      <c r="CA6589" s="20"/>
    </row>
    <row r="6590" spans="78:79" x14ac:dyDescent="0.35">
      <c r="BZ6590" s="105"/>
      <c r="CA6590" s="20"/>
    </row>
    <row r="6591" spans="78:79" x14ac:dyDescent="0.35">
      <c r="BZ6591" s="105"/>
      <c r="CA6591" s="20"/>
    </row>
    <row r="6592" spans="78:79" x14ac:dyDescent="0.35">
      <c r="BZ6592" s="105"/>
      <c r="CA6592" s="20"/>
    </row>
    <row r="6593" spans="78:79" x14ac:dyDescent="0.35">
      <c r="BZ6593" s="105"/>
      <c r="CA6593" s="20"/>
    </row>
    <row r="6594" spans="78:79" x14ac:dyDescent="0.35">
      <c r="BZ6594" s="105"/>
      <c r="CA6594" s="20"/>
    </row>
    <row r="6595" spans="78:79" x14ac:dyDescent="0.35">
      <c r="BZ6595" s="105"/>
      <c r="CA6595" s="20"/>
    </row>
    <row r="6596" spans="78:79" x14ac:dyDescent="0.35">
      <c r="BZ6596" s="105"/>
      <c r="CA6596" s="20"/>
    </row>
    <row r="6597" spans="78:79" x14ac:dyDescent="0.35">
      <c r="BZ6597" s="105"/>
      <c r="CA6597" s="20"/>
    </row>
    <row r="6598" spans="78:79" x14ac:dyDescent="0.35">
      <c r="BZ6598" s="105"/>
      <c r="CA6598" s="20"/>
    </row>
    <row r="6599" spans="78:79" x14ac:dyDescent="0.35">
      <c r="BZ6599" s="105"/>
      <c r="CA6599" s="20"/>
    </row>
    <row r="6600" spans="78:79" x14ac:dyDescent="0.35">
      <c r="BZ6600" s="105"/>
      <c r="CA6600" s="20"/>
    </row>
    <row r="6601" spans="78:79" x14ac:dyDescent="0.35">
      <c r="BZ6601" s="105"/>
      <c r="CA6601" s="20"/>
    </row>
    <row r="6602" spans="78:79" x14ac:dyDescent="0.35">
      <c r="BZ6602" s="105"/>
      <c r="CA6602" s="20"/>
    </row>
    <row r="6603" spans="78:79" x14ac:dyDescent="0.35">
      <c r="BZ6603" s="105"/>
      <c r="CA6603" s="20"/>
    </row>
    <row r="6604" spans="78:79" x14ac:dyDescent="0.35">
      <c r="BZ6604" s="105"/>
      <c r="CA6604" s="20"/>
    </row>
    <row r="6605" spans="78:79" x14ac:dyDescent="0.35">
      <c r="BZ6605" s="105"/>
      <c r="CA6605" s="20"/>
    </row>
    <row r="6606" spans="78:79" x14ac:dyDescent="0.35">
      <c r="BZ6606" s="105"/>
      <c r="CA6606" s="20"/>
    </row>
    <row r="6607" spans="78:79" x14ac:dyDescent="0.35">
      <c r="BZ6607" s="105"/>
      <c r="CA6607" s="20"/>
    </row>
    <row r="6608" spans="78:79" x14ac:dyDescent="0.35">
      <c r="BZ6608" s="105"/>
      <c r="CA6608" s="20"/>
    </row>
    <row r="6609" spans="78:79" x14ac:dyDescent="0.35">
      <c r="BZ6609" s="105"/>
      <c r="CA6609" s="20"/>
    </row>
    <row r="6610" spans="78:79" x14ac:dyDescent="0.35">
      <c r="BZ6610" s="105"/>
      <c r="CA6610" s="20"/>
    </row>
    <row r="6611" spans="78:79" x14ac:dyDescent="0.35">
      <c r="BZ6611" s="105"/>
      <c r="CA6611" s="20"/>
    </row>
    <row r="6612" spans="78:79" x14ac:dyDescent="0.35">
      <c r="BZ6612" s="105"/>
      <c r="CA6612" s="20"/>
    </row>
    <row r="6613" spans="78:79" x14ac:dyDescent="0.35">
      <c r="BZ6613" s="105"/>
      <c r="CA6613" s="20"/>
    </row>
    <row r="6614" spans="78:79" x14ac:dyDescent="0.35">
      <c r="BZ6614" s="105"/>
      <c r="CA6614" s="20"/>
    </row>
    <row r="6615" spans="78:79" x14ac:dyDescent="0.35">
      <c r="BZ6615" s="105"/>
      <c r="CA6615" s="20"/>
    </row>
    <row r="6616" spans="78:79" x14ac:dyDescent="0.35">
      <c r="BZ6616" s="105"/>
      <c r="CA6616" s="20"/>
    </row>
    <row r="6617" spans="78:79" x14ac:dyDescent="0.35">
      <c r="BZ6617" s="105"/>
      <c r="CA6617" s="20"/>
    </row>
    <row r="6618" spans="78:79" x14ac:dyDescent="0.35">
      <c r="BZ6618" s="105"/>
      <c r="CA6618" s="20"/>
    </row>
    <row r="6619" spans="78:79" x14ac:dyDescent="0.35">
      <c r="BZ6619" s="105"/>
      <c r="CA6619" s="20"/>
    </row>
    <row r="6620" spans="78:79" x14ac:dyDescent="0.35">
      <c r="BZ6620" s="105"/>
      <c r="CA6620" s="20"/>
    </row>
    <row r="6621" spans="78:79" x14ac:dyDescent="0.35">
      <c r="BZ6621" s="105"/>
      <c r="CA6621" s="20"/>
    </row>
    <row r="6622" spans="78:79" x14ac:dyDescent="0.35">
      <c r="BZ6622" s="105"/>
      <c r="CA6622" s="20"/>
    </row>
    <row r="6623" spans="78:79" x14ac:dyDescent="0.35">
      <c r="BZ6623" s="105"/>
      <c r="CA6623" s="20"/>
    </row>
    <row r="6624" spans="78:79" x14ac:dyDescent="0.35">
      <c r="BZ6624" s="105"/>
      <c r="CA6624" s="20"/>
    </row>
    <row r="6625" spans="78:79" x14ac:dyDescent="0.35">
      <c r="BZ6625" s="105"/>
      <c r="CA6625" s="20"/>
    </row>
    <row r="6626" spans="78:79" x14ac:dyDescent="0.35">
      <c r="BZ6626" s="105"/>
      <c r="CA6626" s="20"/>
    </row>
    <row r="6627" spans="78:79" x14ac:dyDescent="0.35">
      <c r="BZ6627" s="105"/>
      <c r="CA6627" s="20"/>
    </row>
    <row r="6628" spans="78:79" x14ac:dyDescent="0.35">
      <c r="BZ6628" s="105"/>
      <c r="CA6628" s="20"/>
    </row>
    <row r="6629" spans="78:79" x14ac:dyDescent="0.35">
      <c r="BZ6629" s="105"/>
      <c r="CA6629" s="20"/>
    </row>
    <row r="6630" spans="78:79" x14ac:dyDescent="0.35">
      <c r="BZ6630" s="105"/>
      <c r="CA6630" s="20"/>
    </row>
    <row r="6631" spans="78:79" x14ac:dyDescent="0.35">
      <c r="BZ6631" s="105"/>
      <c r="CA6631" s="20"/>
    </row>
    <row r="6632" spans="78:79" x14ac:dyDescent="0.35">
      <c r="BZ6632" s="105"/>
      <c r="CA6632" s="20"/>
    </row>
    <row r="6633" spans="78:79" x14ac:dyDescent="0.35">
      <c r="BZ6633" s="105"/>
      <c r="CA6633" s="20"/>
    </row>
    <row r="6634" spans="78:79" x14ac:dyDescent="0.35">
      <c r="BZ6634" s="105"/>
      <c r="CA6634" s="20"/>
    </row>
    <row r="6635" spans="78:79" x14ac:dyDescent="0.35">
      <c r="BZ6635" s="105"/>
      <c r="CA6635" s="20"/>
    </row>
    <row r="6636" spans="78:79" x14ac:dyDescent="0.35">
      <c r="BZ6636" s="105"/>
      <c r="CA6636" s="20"/>
    </row>
    <row r="6637" spans="78:79" x14ac:dyDescent="0.35">
      <c r="BZ6637" s="105"/>
      <c r="CA6637" s="20"/>
    </row>
    <row r="6638" spans="78:79" x14ac:dyDescent="0.35">
      <c r="BZ6638" s="105"/>
      <c r="CA6638" s="20"/>
    </row>
    <row r="6639" spans="78:79" x14ac:dyDescent="0.35">
      <c r="BZ6639" s="105"/>
      <c r="CA6639" s="20"/>
    </row>
    <row r="6640" spans="78:79" x14ac:dyDescent="0.35">
      <c r="BZ6640" s="105"/>
      <c r="CA6640" s="20"/>
    </row>
    <row r="6641" spans="78:79" x14ac:dyDescent="0.35">
      <c r="BZ6641" s="105"/>
      <c r="CA6641" s="20"/>
    </row>
    <row r="6642" spans="78:79" x14ac:dyDescent="0.35">
      <c r="BZ6642" s="105"/>
      <c r="CA6642" s="20"/>
    </row>
    <row r="6643" spans="78:79" x14ac:dyDescent="0.35">
      <c r="BZ6643" s="105"/>
      <c r="CA6643" s="20"/>
    </row>
    <row r="6644" spans="78:79" x14ac:dyDescent="0.35">
      <c r="BZ6644" s="105"/>
      <c r="CA6644" s="20"/>
    </row>
    <row r="6645" spans="78:79" x14ac:dyDescent="0.35">
      <c r="BZ6645" s="105"/>
      <c r="CA6645" s="20"/>
    </row>
    <row r="6646" spans="78:79" x14ac:dyDescent="0.35">
      <c r="BZ6646" s="105"/>
      <c r="CA6646" s="20"/>
    </row>
    <row r="6647" spans="78:79" x14ac:dyDescent="0.35">
      <c r="BZ6647" s="105"/>
      <c r="CA6647" s="20"/>
    </row>
    <row r="6648" spans="78:79" x14ac:dyDescent="0.35">
      <c r="BZ6648" s="105"/>
      <c r="CA6648" s="20"/>
    </row>
    <row r="6649" spans="78:79" x14ac:dyDescent="0.35">
      <c r="BZ6649" s="105"/>
      <c r="CA6649" s="20"/>
    </row>
    <row r="6650" spans="78:79" x14ac:dyDescent="0.35">
      <c r="BZ6650" s="105"/>
      <c r="CA6650" s="20"/>
    </row>
    <row r="6651" spans="78:79" x14ac:dyDescent="0.35">
      <c r="BZ6651" s="105"/>
      <c r="CA6651" s="20"/>
    </row>
    <row r="6652" spans="78:79" x14ac:dyDescent="0.35">
      <c r="BZ6652" s="105"/>
      <c r="CA6652" s="20"/>
    </row>
    <row r="6653" spans="78:79" x14ac:dyDescent="0.35">
      <c r="BZ6653" s="105"/>
      <c r="CA6653" s="20"/>
    </row>
    <row r="6654" spans="78:79" x14ac:dyDescent="0.35">
      <c r="BZ6654" s="105"/>
      <c r="CA6654" s="20"/>
    </row>
    <row r="6655" spans="78:79" x14ac:dyDescent="0.35">
      <c r="BZ6655" s="105"/>
      <c r="CA6655" s="20"/>
    </row>
    <row r="6656" spans="78:79" x14ac:dyDescent="0.35">
      <c r="BZ6656" s="105"/>
      <c r="CA6656" s="20"/>
    </row>
    <row r="6657" spans="78:79" x14ac:dyDescent="0.35">
      <c r="BZ6657" s="105"/>
      <c r="CA6657" s="20"/>
    </row>
    <row r="6658" spans="78:79" x14ac:dyDescent="0.35">
      <c r="BZ6658" s="105"/>
      <c r="CA6658" s="20"/>
    </row>
    <row r="6659" spans="78:79" x14ac:dyDescent="0.35">
      <c r="BZ6659" s="105"/>
      <c r="CA6659" s="20"/>
    </row>
    <row r="6660" spans="78:79" x14ac:dyDescent="0.35">
      <c r="BZ6660" s="105"/>
      <c r="CA6660" s="20"/>
    </row>
    <row r="6661" spans="78:79" x14ac:dyDescent="0.35">
      <c r="BZ6661" s="105"/>
      <c r="CA6661" s="20"/>
    </row>
    <row r="6662" spans="78:79" x14ac:dyDescent="0.35">
      <c r="BZ6662" s="105"/>
      <c r="CA6662" s="20"/>
    </row>
    <row r="6663" spans="78:79" x14ac:dyDescent="0.35">
      <c r="BZ6663" s="105"/>
      <c r="CA6663" s="20"/>
    </row>
    <row r="6664" spans="78:79" x14ac:dyDescent="0.35">
      <c r="BZ6664" s="105"/>
      <c r="CA6664" s="20"/>
    </row>
    <row r="6665" spans="78:79" x14ac:dyDescent="0.35">
      <c r="BZ6665" s="105"/>
      <c r="CA6665" s="20"/>
    </row>
    <row r="6666" spans="78:79" x14ac:dyDescent="0.35">
      <c r="BZ6666" s="105"/>
      <c r="CA6666" s="20"/>
    </row>
    <row r="6667" spans="78:79" x14ac:dyDescent="0.35">
      <c r="BZ6667" s="105"/>
      <c r="CA6667" s="20"/>
    </row>
    <row r="6668" spans="78:79" x14ac:dyDescent="0.35">
      <c r="BZ6668" s="105"/>
      <c r="CA6668" s="20"/>
    </row>
    <row r="6669" spans="78:79" x14ac:dyDescent="0.35">
      <c r="BZ6669" s="105"/>
      <c r="CA6669" s="20"/>
    </row>
    <row r="6670" spans="78:79" x14ac:dyDescent="0.35">
      <c r="BZ6670" s="105"/>
      <c r="CA6670" s="20"/>
    </row>
    <row r="6671" spans="78:79" x14ac:dyDescent="0.35">
      <c r="BZ6671" s="105"/>
      <c r="CA6671" s="20"/>
    </row>
    <row r="6672" spans="78:79" x14ac:dyDescent="0.35">
      <c r="BZ6672" s="105"/>
      <c r="CA6672" s="20"/>
    </row>
    <row r="6673" spans="78:79" x14ac:dyDescent="0.35">
      <c r="BZ6673" s="105"/>
      <c r="CA6673" s="20"/>
    </row>
    <row r="6674" spans="78:79" x14ac:dyDescent="0.35">
      <c r="BZ6674" s="105"/>
      <c r="CA6674" s="20"/>
    </row>
    <row r="6675" spans="78:79" x14ac:dyDescent="0.35">
      <c r="BZ6675" s="105"/>
      <c r="CA6675" s="20"/>
    </row>
    <row r="6676" spans="78:79" x14ac:dyDescent="0.35">
      <c r="BZ6676" s="105"/>
      <c r="CA6676" s="20"/>
    </row>
    <row r="6677" spans="78:79" x14ac:dyDescent="0.35">
      <c r="BZ6677" s="105"/>
      <c r="CA6677" s="20"/>
    </row>
    <row r="6678" spans="78:79" x14ac:dyDescent="0.35">
      <c r="BZ6678" s="105"/>
      <c r="CA6678" s="20"/>
    </row>
    <row r="6679" spans="78:79" x14ac:dyDescent="0.35">
      <c r="BZ6679" s="105"/>
      <c r="CA6679" s="20"/>
    </row>
    <row r="6680" spans="78:79" x14ac:dyDescent="0.35">
      <c r="BZ6680" s="105"/>
      <c r="CA6680" s="20"/>
    </row>
    <row r="6681" spans="78:79" x14ac:dyDescent="0.35">
      <c r="BZ6681" s="105"/>
      <c r="CA6681" s="20"/>
    </row>
    <row r="6682" spans="78:79" x14ac:dyDescent="0.35">
      <c r="BZ6682" s="105"/>
      <c r="CA6682" s="20"/>
    </row>
    <row r="6683" spans="78:79" x14ac:dyDescent="0.35">
      <c r="BZ6683" s="105"/>
      <c r="CA6683" s="20"/>
    </row>
    <row r="6684" spans="78:79" x14ac:dyDescent="0.35">
      <c r="BZ6684" s="105"/>
      <c r="CA6684" s="20"/>
    </row>
    <row r="6685" spans="78:79" x14ac:dyDescent="0.35">
      <c r="BZ6685" s="105"/>
      <c r="CA6685" s="20"/>
    </row>
    <row r="6686" spans="78:79" x14ac:dyDescent="0.35">
      <c r="BZ6686" s="105"/>
      <c r="CA6686" s="20"/>
    </row>
    <row r="6687" spans="78:79" x14ac:dyDescent="0.35">
      <c r="BZ6687" s="105"/>
      <c r="CA6687" s="20"/>
    </row>
    <row r="6688" spans="78:79" x14ac:dyDescent="0.35">
      <c r="BZ6688" s="105"/>
      <c r="CA6688" s="20"/>
    </row>
    <row r="6689" spans="78:79" x14ac:dyDescent="0.35">
      <c r="BZ6689" s="105"/>
      <c r="CA6689" s="20"/>
    </row>
    <row r="6690" spans="78:79" x14ac:dyDescent="0.35">
      <c r="BZ6690" s="105"/>
      <c r="CA6690" s="20"/>
    </row>
    <row r="6691" spans="78:79" x14ac:dyDescent="0.35">
      <c r="BZ6691" s="105"/>
      <c r="CA6691" s="20"/>
    </row>
    <row r="6692" spans="78:79" x14ac:dyDescent="0.35">
      <c r="BZ6692" s="105"/>
      <c r="CA6692" s="20"/>
    </row>
    <row r="6693" spans="78:79" x14ac:dyDescent="0.35">
      <c r="BZ6693" s="105"/>
      <c r="CA6693" s="20"/>
    </row>
    <row r="6694" spans="78:79" x14ac:dyDescent="0.35">
      <c r="BZ6694" s="105"/>
      <c r="CA6694" s="20"/>
    </row>
    <row r="6695" spans="78:79" x14ac:dyDescent="0.35">
      <c r="BZ6695" s="105"/>
      <c r="CA6695" s="20"/>
    </row>
    <row r="6696" spans="78:79" x14ac:dyDescent="0.35">
      <c r="BZ6696" s="105"/>
      <c r="CA6696" s="20"/>
    </row>
    <row r="6697" spans="78:79" x14ac:dyDescent="0.35">
      <c r="BZ6697" s="105"/>
      <c r="CA6697" s="20"/>
    </row>
    <row r="6698" spans="78:79" x14ac:dyDescent="0.35">
      <c r="BZ6698" s="105"/>
      <c r="CA6698" s="20"/>
    </row>
    <row r="6699" spans="78:79" x14ac:dyDescent="0.35">
      <c r="BZ6699" s="105"/>
      <c r="CA6699" s="20"/>
    </row>
    <row r="6700" spans="78:79" x14ac:dyDescent="0.35">
      <c r="BZ6700" s="105"/>
      <c r="CA6700" s="20"/>
    </row>
    <row r="6701" spans="78:79" x14ac:dyDescent="0.35">
      <c r="BZ6701" s="105"/>
      <c r="CA6701" s="20"/>
    </row>
    <row r="6702" spans="78:79" x14ac:dyDescent="0.35">
      <c r="BZ6702" s="105"/>
      <c r="CA6702" s="20"/>
    </row>
    <row r="6703" spans="78:79" x14ac:dyDescent="0.35">
      <c r="BZ6703" s="105"/>
      <c r="CA6703" s="20"/>
    </row>
    <row r="6704" spans="78:79" x14ac:dyDescent="0.35">
      <c r="BZ6704" s="105"/>
      <c r="CA6704" s="20"/>
    </row>
    <row r="6705" spans="78:79" x14ac:dyDescent="0.35">
      <c r="BZ6705" s="105"/>
      <c r="CA6705" s="20"/>
    </row>
    <row r="6706" spans="78:79" x14ac:dyDescent="0.35">
      <c r="BZ6706" s="105"/>
      <c r="CA6706" s="20"/>
    </row>
    <row r="6707" spans="78:79" x14ac:dyDescent="0.35">
      <c r="BZ6707" s="105"/>
      <c r="CA6707" s="20"/>
    </row>
    <row r="6708" spans="78:79" x14ac:dyDescent="0.35">
      <c r="BZ6708" s="105"/>
      <c r="CA6708" s="20"/>
    </row>
    <row r="6709" spans="78:79" x14ac:dyDescent="0.35">
      <c r="BZ6709" s="105"/>
      <c r="CA6709" s="20"/>
    </row>
    <row r="6710" spans="78:79" x14ac:dyDescent="0.35">
      <c r="BZ6710" s="105"/>
      <c r="CA6710" s="20"/>
    </row>
    <row r="6711" spans="78:79" x14ac:dyDescent="0.35">
      <c r="BZ6711" s="105"/>
      <c r="CA6711" s="20"/>
    </row>
    <row r="6712" spans="78:79" x14ac:dyDescent="0.35">
      <c r="BZ6712" s="105"/>
      <c r="CA6712" s="20"/>
    </row>
    <row r="6713" spans="78:79" x14ac:dyDescent="0.35">
      <c r="BZ6713" s="105"/>
      <c r="CA6713" s="20"/>
    </row>
    <row r="6714" spans="78:79" x14ac:dyDescent="0.35">
      <c r="BZ6714" s="105"/>
      <c r="CA6714" s="20"/>
    </row>
    <row r="6715" spans="78:79" x14ac:dyDescent="0.35">
      <c r="BZ6715" s="105"/>
      <c r="CA6715" s="20"/>
    </row>
    <row r="6716" spans="78:79" x14ac:dyDescent="0.35">
      <c r="BZ6716" s="105"/>
      <c r="CA6716" s="20"/>
    </row>
    <row r="6717" spans="78:79" x14ac:dyDescent="0.35">
      <c r="BZ6717" s="105"/>
      <c r="CA6717" s="20"/>
    </row>
    <row r="6718" spans="78:79" x14ac:dyDescent="0.35">
      <c r="BZ6718" s="105"/>
      <c r="CA6718" s="20"/>
    </row>
    <row r="6719" spans="78:79" x14ac:dyDescent="0.35">
      <c r="BZ6719" s="105"/>
      <c r="CA6719" s="20"/>
    </row>
    <row r="6720" spans="78:79" x14ac:dyDescent="0.35">
      <c r="BZ6720" s="105"/>
      <c r="CA6720" s="20"/>
    </row>
    <row r="6721" spans="78:79" x14ac:dyDescent="0.35">
      <c r="BZ6721" s="105"/>
      <c r="CA6721" s="20"/>
    </row>
    <row r="6722" spans="78:79" x14ac:dyDescent="0.35">
      <c r="BZ6722" s="105"/>
      <c r="CA6722" s="20"/>
    </row>
    <row r="6723" spans="78:79" x14ac:dyDescent="0.35">
      <c r="BZ6723" s="105"/>
      <c r="CA6723" s="20"/>
    </row>
    <row r="6724" spans="78:79" x14ac:dyDescent="0.35">
      <c r="BZ6724" s="105"/>
      <c r="CA6724" s="20"/>
    </row>
    <row r="6725" spans="78:79" x14ac:dyDescent="0.35">
      <c r="BZ6725" s="105"/>
      <c r="CA6725" s="20"/>
    </row>
    <row r="6726" spans="78:79" x14ac:dyDescent="0.35">
      <c r="BZ6726" s="105"/>
      <c r="CA6726" s="20"/>
    </row>
    <row r="6727" spans="78:79" x14ac:dyDescent="0.35">
      <c r="BZ6727" s="105"/>
      <c r="CA6727" s="20"/>
    </row>
    <row r="6728" spans="78:79" x14ac:dyDescent="0.35">
      <c r="BZ6728" s="105"/>
      <c r="CA6728" s="20"/>
    </row>
    <row r="6729" spans="78:79" x14ac:dyDescent="0.35">
      <c r="BZ6729" s="105"/>
      <c r="CA6729" s="20"/>
    </row>
    <row r="6730" spans="78:79" x14ac:dyDescent="0.35">
      <c r="BZ6730" s="105"/>
      <c r="CA6730" s="20"/>
    </row>
    <row r="6731" spans="78:79" x14ac:dyDescent="0.35">
      <c r="BZ6731" s="105"/>
      <c r="CA6731" s="20"/>
    </row>
    <row r="6732" spans="78:79" x14ac:dyDescent="0.35">
      <c r="BZ6732" s="105"/>
      <c r="CA6732" s="20"/>
    </row>
    <row r="6733" spans="78:79" x14ac:dyDescent="0.35">
      <c r="BZ6733" s="105"/>
      <c r="CA6733" s="20"/>
    </row>
    <row r="6734" spans="78:79" x14ac:dyDescent="0.35">
      <c r="BZ6734" s="105"/>
      <c r="CA6734" s="20"/>
    </row>
    <row r="6735" spans="78:79" x14ac:dyDescent="0.35">
      <c r="BZ6735" s="105"/>
      <c r="CA6735" s="20"/>
    </row>
    <row r="6736" spans="78:79" x14ac:dyDescent="0.35">
      <c r="BZ6736" s="105"/>
      <c r="CA6736" s="20"/>
    </row>
    <row r="6737" spans="78:79" x14ac:dyDescent="0.35">
      <c r="BZ6737" s="105"/>
      <c r="CA6737" s="20"/>
    </row>
    <row r="6738" spans="78:79" x14ac:dyDescent="0.35">
      <c r="BZ6738" s="105"/>
      <c r="CA6738" s="20"/>
    </row>
    <row r="6739" spans="78:79" x14ac:dyDescent="0.35">
      <c r="BZ6739" s="105"/>
      <c r="CA6739" s="20"/>
    </row>
    <row r="6740" spans="78:79" x14ac:dyDescent="0.35">
      <c r="BZ6740" s="105"/>
      <c r="CA6740" s="20"/>
    </row>
    <row r="6741" spans="78:79" x14ac:dyDescent="0.35">
      <c r="BZ6741" s="105"/>
      <c r="CA6741" s="20"/>
    </row>
    <row r="6742" spans="78:79" x14ac:dyDescent="0.35">
      <c r="BZ6742" s="105"/>
      <c r="CA6742" s="20"/>
    </row>
    <row r="6743" spans="78:79" x14ac:dyDescent="0.35">
      <c r="BZ6743" s="105"/>
      <c r="CA6743" s="20"/>
    </row>
    <row r="6744" spans="78:79" x14ac:dyDescent="0.35">
      <c r="BZ6744" s="105"/>
      <c r="CA6744" s="20"/>
    </row>
    <row r="6745" spans="78:79" x14ac:dyDescent="0.35">
      <c r="BZ6745" s="105"/>
      <c r="CA6745" s="20"/>
    </row>
    <row r="6746" spans="78:79" x14ac:dyDescent="0.35">
      <c r="BZ6746" s="105"/>
      <c r="CA6746" s="20"/>
    </row>
    <row r="6747" spans="78:79" x14ac:dyDescent="0.35">
      <c r="BZ6747" s="105"/>
      <c r="CA6747" s="20"/>
    </row>
    <row r="6748" spans="78:79" x14ac:dyDescent="0.35">
      <c r="BZ6748" s="105"/>
      <c r="CA6748" s="20"/>
    </row>
    <row r="6749" spans="78:79" x14ac:dyDescent="0.35">
      <c r="BZ6749" s="105"/>
      <c r="CA6749" s="20"/>
    </row>
    <row r="6750" spans="78:79" x14ac:dyDescent="0.35">
      <c r="BZ6750" s="105"/>
      <c r="CA6750" s="20"/>
    </row>
    <row r="6751" spans="78:79" x14ac:dyDescent="0.35">
      <c r="BZ6751" s="105"/>
      <c r="CA6751" s="20"/>
    </row>
    <row r="6752" spans="78:79" x14ac:dyDescent="0.35">
      <c r="BZ6752" s="105"/>
      <c r="CA6752" s="20"/>
    </row>
    <row r="6753" spans="78:79" x14ac:dyDescent="0.35">
      <c r="BZ6753" s="105"/>
      <c r="CA6753" s="20"/>
    </row>
    <row r="6754" spans="78:79" x14ac:dyDescent="0.35">
      <c r="BZ6754" s="105"/>
      <c r="CA6754" s="20"/>
    </row>
    <row r="6755" spans="78:79" x14ac:dyDescent="0.35">
      <c r="BZ6755" s="105"/>
      <c r="CA6755" s="20"/>
    </row>
    <row r="6756" spans="78:79" x14ac:dyDescent="0.35">
      <c r="BZ6756" s="105"/>
      <c r="CA6756" s="20"/>
    </row>
    <row r="6757" spans="78:79" x14ac:dyDescent="0.35">
      <c r="BZ6757" s="105"/>
      <c r="CA6757" s="20"/>
    </row>
    <row r="6758" spans="78:79" x14ac:dyDescent="0.35">
      <c r="BZ6758" s="105"/>
      <c r="CA6758" s="20"/>
    </row>
    <row r="6759" spans="78:79" x14ac:dyDescent="0.35">
      <c r="BZ6759" s="105"/>
      <c r="CA6759" s="20"/>
    </row>
    <row r="6760" spans="78:79" x14ac:dyDescent="0.35">
      <c r="BZ6760" s="105"/>
      <c r="CA6760" s="20"/>
    </row>
    <row r="6761" spans="78:79" x14ac:dyDescent="0.35">
      <c r="BZ6761" s="105"/>
      <c r="CA6761" s="20"/>
    </row>
    <row r="6762" spans="78:79" x14ac:dyDescent="0.35">
      <c r="BZ6762" s="105"/>
      <c r="CA6762" s="20"/>
    </row>
    <row r="6763" spans="78:79" x14ac:dyDescent="0.35">
      <c r="BZ6763" s="105"/>
      <c r="CA6763" s="20"/>
    </row>
    <row r="6764" spans="78:79" x14ac:dyDescent="0.35">
      <c r="BZ6764" s="105"/>
      <c r="CA6764" s="20"/>
    </row>
    <row r="6765" spans="78:79" x14ac:dyDescent="0.35">
      <c r="BZ6765" s="105"/>
      <c r="CA6765" s="20"/>
    </row>
    <row r="6766" spans="78:79" x14ac:dyDescent="0.35">
      <c r="BZ6766" s="105"/>
      <c r="CA6766" s="20"/>
    </row>
    <row r="6767" spans="78:79" x14ac:dyDescent="0.35">
      <c r="BZ6767" s="105"/>
      <c r="CA6767" s="20"/>
    </row>
    <row r="6768" spans="78:79" x14ac:dyDescent="0.35">
      <c r="BZ6768" s="105"/>
      <c r="CA6768" s="20"/>
    </row>
    <row r="6769" spans="78:79" x14ac:dyDescent="0.35">
      <c r="BZ6769" s="105"/>
      <c r="CA6769" s="20"/>
    </row>
    <row r="6770" spans="78:79" x14ac:dyDescent="0.35">
      <c r="BZ6770" s="105"/>
      <c r="CA6770" s="20"/>
    </row>
    <row r="6771" spans="78:79" x14ac:dyDescent="0.35">
      <c r="BZ6771" s="105"/>
      <c r="CA6771" s="20"/>
    </row>
    <row r="6772" spans="78:79" x14ac:dyDescent="0.35">
      <c r="BZ6772" s="105"/>
      <c r="CA6772" s="20"/>
    </row>
    <row r="6773" spans="78:79" x14ac:dyDescent="0.35">
      <c r="BZ6773" s="105"/>
      <c r="CA6773" s="20"/>
    </row>
    <row r="6774" spans="78:79" x14ac:dyDescent="0.35">
      <c r="BZ6774" s="105"/>
      <c r="CA6774" s="20"/>
    </row>
    <row r="6775" spans="78:79" x14ac:dyDescent="0.35">
      <c r="BZ6775" s="105"/>
      <c r="CA6775" s="20"/>
    </row>
    <row r="6776" spans="78:79" x14ac:dyDescent="0.35">
      <c r="BZ6776" s="105"/>
      <c r="CA6776" s="20"/>
    </row>
    <row r="6777" spans="78:79" x14ac:dyDescent="0.35">
      <c r="BZ6777" s="105"/>
      <c r="CA6777" s="20"/>
    </row>
    <row r="6778" spans="78:79" x14ac:dyDescent="0.35">
      <c r="BZ6778" s="105"/>
      <c r="CA6778" s="20"/>
    </row>
    <row r="6779" spans="78:79" x14ac:dyDescent="0.35">
      <c r="BZ6779" s="105"/>
      <c r="CA6779" s="20"/>
    </row>
    <row r="6780" spans="78:79" x14ac:dyDescent="0.35">
      <c r="BZ6780" s="105"/>
      <c r="CA6780" s="20"/>
    </row>
    <row r="6781" spans="78:79" x14ac:dyDescent="0.35">
      <c r="BZ6781" s="105"/>
      <c r="CA6781" s="20"/>
    </row>
    <row r="6782" spans="78:79" x14ac:dyDescent="0.35">
      <c r="BZ6782" s="105"/>
      <c r="CA6782" s="20"/>
    </row>
    <row r="6783" spans="78:79" x14ac:dyDescent="0.35">
      <c r="BZ6783" s="105"/>
      <c r="CA6783" s="20"/>
    </row>
    <row r="6784" spans="78:79" x14ac:dyDescent="0.35">
      <c r="BZ6784" s="105"/>
      <c r="CA6784" s="20"/>
    </row>
    <row r="6785" spans="78:79" x14ac:dyDescent="0.35">
      <c r="BZ6785" s="105"/>
      <c r="CA6785" s="20"/>
    </row>
    <row r="6786" spans="78:79" x14ac:dyDescent="0.35">
      <c r="BZ6786" s="105"/>
      <c r="CA6786" s="20"/>
    </row>
    <row r="6787" spans="78:79" x14ac:dyDescent="0.35">
      <c r="BZ6787" s="105"/>
      <c r="CA6787" s="20"/>
    </row>
    <row r="6788" spans="78:79" x14ac:dyDescent="0.35">
      <c r="BZ6788" s="105"/>
      <c r="CA6788" s="20"/>
    </row>
    <row r="6789" spans="78:79" x14ac:dyDescent="0.35">
      <c r="BZ6789" s="105"/>
      <c r="CA6789" s="20"/>
    </row>
    <row r="6790" spans="78:79" x14ac:dyDescent="0.35">
      <c r="BZ6790" s="105"/>
      <c r="CA6790" s="20"/>
    </row>
    <row r="6791" spans="78:79" x14ac:dyDescent="0.35">
      <c r="BZ6791" s="105"/>
      <c r="CA6791" s="20"/>
    </row>
    <row r="6792" spans="78:79" x14ac:dyDescent="0.35">
      <c r="BZ6792" s="105"/>
      <c r="CA6792" s="20"/>
    </row>
    <row r="6793" spans="78:79" x14ac:dyDescent="0.35">
      <c r="BZ6793" s="105"/>
      <c r="CA6793" s="20"/>
    </row>
    <row r="6794" spans="78:79" x14ac:dyDescent="0.35">
      <c r="BZ6794" s="105"/>
      <c r="CA6794" s="20"/>
    </row>
    <row r="6795" spans="78:79" x14ac:dyDescent="0.35">
      <c r="BZ6795" s="105"/>
      <c r="CA6795" s="20"/>
    </row>
    <row r="6796" spans="78:79" x14ac:dyDescent="0.35">
      <c r="BZ6796" s="105"/>
      <c r="CA6796" s="20"/>
    </row>
    <row r="6797" spans="78:79" x14ac:dyDescent="0.35">
      <c r="BZ6797" s="105"/>
      <c r="CA6797" s="20"/>
    </row>
    <row r="6798" spans="78:79" x14ac:dyDescent="0.35">
      <c r="BZ6798" s="105"/>
      <c r="CA6798" s="20"/>
    </row>
    <row r="6799" spans="78:79" x14ac:dyDescent="0.35">
      <c r="BZ6799" s="105"/>
      <c r="CA6799" s="20"/>
    </row>
    <row r="6800" spans="78:79" x14ac:dyDescent="0.35">
      <c r="BZ6800" s="105"/>
      <c r="CA6800" s="20"/>
    </row>
    <row r="6801" spans="78:79" x14ac:dyDescent="0.35">
      <c r="BZ6801" s="105"/>
      <c r="CA6801" s="20"/>
    </row>
    <row r="6802" spans="78:79" x14ac:dyDescent="0.35">
      <c r="BZ6802" s="105"/>
      <c r="CA6802" s="20"/>
    </row>
    <row r="6803" spans="78:79" x14ac:dyDescent="0.35">
      <c r="BZ6803" s="105"/>
      <c r="CA6803" s="20"/>
    </row>
    <row r="6804" spans="78:79" x14ac:dyDescent="0.35">
      <c r="BZ6804" s="105"/>
      <c r="CA6804" s="20"/>
    </row>
    <row r="6805" spans="78:79" x14ac:dyDescent="0.35">
      <c r="BZ6805" s="105"/>
      <c r="CA6805" s="20"/>
    </row>
    <row r="6806" spans="78:79" x14ac:dyDescent="0.35">
      <c r="BZ6806" s="105"/>
      <c r="CA6806" s="20"/>
    </row>
    <row r="6807" spans="78:79" x14ac:dyDescent="0.35">
      <c r="BZ6807" s="105"/>
      <c r="CA6807" s="20"/>
    </row>
    <row r="6808" spans="78:79" x14ac:dyDescent="0.35">
      <c r="BZ6808" s="105"/>
      <c r="CA6808" s="20"/>
    </row>
    <row r="6809" spans="78:79" x14ac:dyDescent="0.35">
      <c r="BZ6809" s="105"/>
      <c r="CA6809" s="20"/>
    </row>
    <row r="6810" spans="78:79" x14ac:dyDescent="0.35">
      <c r="BZ6810" s="105"/>
      <c r="CA6810" s="20"/>
    </row>
    <row r="6811" spans="78:79" x14ac:dyDescent="0.35">
      <c r="BZ6811" s="105"/>
      <c r="CA6811" s="20"/>
    </row>
    <row r="6812" spans="78:79" x14ac:dyDescent="0.35">
      <c r="BZ6812" s="105"/>
      <c r="CA6812" s="20"/>
    </row>
    <row r="6813" spans="78:79" x14ac:dyDescent="0.35">
      <c r="BZ6813" s="105"/>
      <c r="CA6813" s="20"/>
    </row>
    <row r="6814" spans="78:79" x14ac:dyDescent="0.35">
      <c r="BZ6814" s="105"/>
      <c r="CA6814" s="20"/>
    </row>
    <row r="6815" spans="78:79" x14ac:dyDescent="0.35">
      <c r="BZ6815" s="105"/>
      <c r="CA6815" s="20"/>
    </row>
    <row r="6816" spans="78:79" x14ac:dyDescent="0.35">
      <c r="BZ6816" s="105"/>
      <c r="CA6816" s="20"/>
    </row>
    <row r="6817" spans="78:79" x14ac:dyDescent="0.35">
      <c r="BZ6817" s="105"/>
      <c r="CA6817" s="20"/>
    </row>
    <row r="6818" spans="78:79" x14ac:dyDescent="0.35">
      <c r="BZ6818" s="105"/>
      <c r="CA6818" s="20"/>
    </row>
    <row r="6819" spans="78:79" x14ac:dyDescent="0.35">
      <c r="BZ6819" s="105"/>
      <c r="CA6819" s="20"/>
    </row>
    <row r="6820" spans="78:79" x14ac:dyDescent="0.35">
      <c r="BZ6820" s="105"/>
      <c r="CA6820" s="20"/>
    </row>
    <row r="6821" spans="78:79" x14ac:dyDescent="0.35">
      <c r="BZ6821" s="105"/>
      <c r="CA6821" s="20"/>
    </row>
    <row r="6822" spans="78:79" x14ac:dyDescent="0.35">
      <c r="BZ6822" s="105"/>
      <c r="CA6822" s="20"/>
    </row>
    <row r="6823" spans="78:79" x14ac:dyDescent="0.35">
      <c r="BZ6823" s="105"/>
      <c r="CA6823" s="20"/>
    </row>
    <row r="6824" spans="78:79" x14ac:dyDescent="0.35">
      <c r="BZ6824" s="105"/>
      <c r="CA6824" s="20"/>
    </row>
    <row r="6825" spans="78:79" x14ac:dyDescent="0.35">
      <c r="BZ6825" s="105"/>
      <c r="CA6825" s="20"/>
    </row>
    <row r="6826" spans="78:79" x14ac:dyDescent="0.35">
      <c r="BZ6826" s="105"/>
      <c r="CA6826" s="20"/>
    </row>
    <row r="6827" spans="78:79" x14ac:dyDescent="0.35">
      <c r="BZ6827" s="105"/>
      <c r="CA6827" s="20"/>
    </row>
    <row r="6828" spans="78:79" x14ac:dyDescent="0.35">
      <c r="BZ6828" s="105"/>
      <c r="CA6828" s="20"/>
    </row>
    <row r="6829" spans="78:79" x14ac:dyDescent="0.35">
      <c r="BZ6829" s="105"/>
      <c r="CA6829" s="20"/>
    </row>
    <row r="6830" spans="78:79" x14ac:dyDescent="0.35">
      <c r="BZ6830" s="105"/>
      <c r="CA6830" s="20"/>
    </row>
    <row r="6831" spans="78:79" x14ac:dyDescent="0.35">
      <c r="BZ6831" s="105"/>
      <c r="CA6831" s="20"/>
    </row>
    <row r="6832" spans="78:79" x14ac:dyDescent="0.35">
      <c r="BZ6832" s="105"/>
      <c r="CA6832" s="20"/>
    </row>
    <row r="6833" spans="78:79" x14ac:dyDescent="0.35">
      <c r="BZ6833" s="105"/>
      <c r="CA6833" s="20"/>
    </row>
    <row r="6834" spans="78:79" x14ac:dyDescent="0.35">
      <c r="BZ6834" s="105"/>
      <c r="CA6834" s="20"/>
    </row>
    <row r="6835" spans="78:79" x14ac:dyDescent="0.35">
      <c r="BZ6835" s="105"/>
      <c r="CA6835" s="20"/>
    </row>
    <row r="6836" spans="78:79" x14ac:dyDescent="0.35">
      <c r="BZ6836" s="105"/>
      <c r="CA6836" s="20"/>
    </row>
    <row r="6837" spans="78:79" x14ac:dyDescent="0.35">
      <c r="BZ6837" s="105"/>
      <c r="CA6837" s="20"/>
    </row>
    <row r="6838" spans="78:79" x14ac:dyDescent="0.35">
      <c r="BZ6838" s="105"/>
      <c r="CA6838" s="20"/>
    </row>
    <row r="6839" spans="78:79" x14ac:dyDescent="0.35">
      <c r="BZ6839" s="105"/>
      <c r="CA6839" s="20"/>
    </row>
    <row r="6840" spans="78:79" x14ac:dyDescent="0.35">
      <c r="BZ6840" s="105"/>
      <c r="CA6840" s="20"/>
    </row>
    <row r="6841" spans="78:79" x14ac:dyDescent="0.35">
      <c r="BZ6841" s="105"/>
      <c r="CA6841" s="20"/>
    </row>
    <row r="6842" spans="78:79" x14ac:dyDescent="0.35">
      <c r="BZ6842" s="105"/>
      <c r="CA6842" s="20"/>
    </row>
    <row r="6843" spans="78:79" x14ac:dyDescent="0.35">
      <c r="BZ6843" s="105"/>
      <c r="CA6843" s="20"/>
    </row>
    <row r="6844" spans="78:79" x14ac:dyDescent="0.35">
      <c r="BZ6844" s="105"/>
      <c r="CA6844" s="20"/>
    </row>
    <row r="6845" spans="78:79" x14ac:dyDescent="0.35">
      <c r="BZ6845" s="105"/>
      <c r="CA6845" s="20"/>
    </row>
    <row r="6846" spans="78:79" x14ac:dyDescent="0.35">
      <c r="BZ6846" s="105"/>
      <c r="CA6846" s="20"/>
    </row>
    <row r="6847" spans="78:79" x14ac:dyDescent="0.35">
      <c r="BZ6847" s="105"/>
      <c r="CA6847" s="20"/>
    </row>
    <row r="6848" spans="78:79" x14ac:dyDescent="0.35">
      <c r="BZ6848" s="105"/>
      <c r="CA6848" s="20"/>
    </row>
    <row r="6849" spans="78:79" x14ac:dyDescent="0.35">
      <c r="BZ6849" s="105"/>
      <c r="CA6849" s="20"/>
    </row>
    <row r="6850" spans="78:79" x14ac:dyDescent="0.35">
      <c r="BZ6850" s="105"/>
      <c r="CA6850" s="20"/>
    </row>
    <row r="6851" spans="78:79" x14ac:dyDescent="0.35">
      <c r="BZ6851" s="105"/>
      <c r="CA6851" s="20"/>
    </row>
    <row r="6852" spans="78:79" x14ac:dyDescent="0.35">
      <c r="BZ6852" s="105"/>
      <c r="CA6852" s="20"/>
    </row>
    <row r="6853" spans="78:79" x14ac:dyDescent="0.35">
      <c r="BZ6853" s="105"/>
      <c r="CA6853" s="20"/>
    </row>
    <row r="6854" spans="78:79" x14ac:dyDescent="0.35">
      <c r="BZ6854" s="105"/>
      <c r="CA6854" s="20"/>
    </row>
    <row r="6855" spans="78:79" x14ac:dyDescent="0.35">
      <c r="BZ6855" s="105"/>
      <c r="CA6855" s="20"/>
    </row>
    <row r="6856" spans="78:79" x14ac:dyDescent="0.35">
      <c r="BZ6856" s="105"/>
      <c r="CA6856" s="20"/>
    </row>
    <row r="6857" spans="78:79" x14ac:dyDescent="0.35">
      <c r="BZ6857" s="105"/>
      <c r="CA6857" s="20"/>
    </row>
    <row r="6858" spans="78:79" x14ac:dyDescent="0.35">
      <c r="BZ6858" s="105"/>
      <c r="CA6858" s="20"/>
    </row>
    <row r="6859" spans="78:79" x14ac:dyDescent="0.35">
      <c r="BZ6859" s="105"/>
      <c r="CA6859" s="20"/>
    </row>
    <row r="6860" spans="78:79" x14ac:dyDescent="0.35">
      <c r="BZ6860" s="105"/>
      <c r="CA6860" s="20"/>
    </row>
    <row r="6861" spans="78:79" x14ac:dyDescent="0.35">
      <c r="BZ6861" s="105"/>
      <c r="CA6861" s="20"/>
    </row>
    <row r="6862" spans="78:79" x14ac:dyDescent="0.35">
      <c r="BZ6862" s="105"/>
      <c r="CA6862" s="20"/>
    </row>
    <row r="6863" spans="78:79" x14ac:dyDescent="0.35">
      <c r="BZ6863" s="105"/>
      <c r="CA6863" s="20"/>
    </row>
    <row r="6864" spans="78:79" x14ac:dyDescent="0.35">
      <c r="BZ6864" s="105"/>
      <c r="CA6864" s="20"/>
    </row>
    <row r="6865" spans="78:79" x14ac:dyDescent="0.35">
      <c r="BZ6865" s="105"/>
      <c r="CA6865" s="20"/>
    </row>
    <row r="6866" spans="78:79" x14ac:dyDescent="0.35">
      <c r="BZ6866" s="105"/>
      <c r="CA6866" s="20"/>
    </row>
    <row r="6867" spans="78:79" x14ac:dyDescent="0.35">
      <c r="BZ6867" s="105"/>
      <c r="CA6867" s="20"/>
    </row>
    <row r="6868" spans="78:79" x14ac:dyDescent="0.35">
      <c r="BZ6868" s="105"/>
      <c r="CA6868" s="20"/>
    </row>
    <row r="6869" spans="78:79" x14ac:dyDescent="0.35">
      <c r="BZ6869" s="105"/>
      <c r="CA6869" s="20"/>
    </row>
    <row r="6870" spans="78:79" x14ac:dyDescent="0.35">
      <c r="BZ6870" s="105"/>
      <c r="CA6870" s="20"/>
    </row>
    <row r="6871" spans="78:79" x14ac:dyDescent="0.35">
      <c r="BZ6871" s="105"/>
      <c r="CA6871" s="20"/>
    </row>
    <row r="6872" spans="78:79" x14ac:dyDescent="0.35">
      <c r="BZ6872" s="105"/>
      <c r="CA6872" s="20"/>
    </row>
    <row r="6873" spans="78:79" x14ac:dyDescent="0.35">
      <c r="BZ6873" s="105"/>
      <c r="CA6873" s="20"/>
    </row>
    <row r="6874" spans="78:79" x14ac:dyDescent="0.35">
      <c r="BZ6874" s="105"/>
      <c r="CA6874" s="20"/>
    </row>
    <row r="6875" spans="78:79" x14ac:dyDescent="0.35">
      <c r="BZ6875" s="105"/>
      <c r="CA6875" s="20"/>
    </row>
    <row r="6876" spans="78:79" x14ac:dyDescent="0.35">
      <c r="BZ6876" s="105"/>
      <c r="CA6876" s="20"/>
    </row>
    <row r="6877" spans="78:79" x14ac:dyDescent="0.35">
      <c r="BZ6877" s="105"/>
      <c r="CA6877" s="20"/>
    </row>
    <row r="6878" spans="78:79" x14ac:dyDescent="0.35">
      <c r="BZ6878" s="105"/>
      <c r="CA6878" s="20"/>
    </row>
    <row r="6879" spans="78:79" x14ac:dyDescent="0.35">
      <c r="BZ6879" s="105"/>
      <c r="CA6879" s="20"/>
    </row>
    <row r="6880" spans="78:79" x14ac:dyDescent="0.35">
      <c r="BZ6880" s="105"/>
      <c r="CA6880" s="20"/>
    </row>
    <row r="6881" spans="78:79" x14ac:dyDescent="0.35">
      <c r="BZ6881" s="105"/>
      <c r="CA6881" s="20"/>
    </row>
    <row r="6882" spans="78:79" x14ac:dyDescent="0.35">
      <c r="BZ6882" s="105"/>
      <c r="CA6882" s="20"/>
    </row>
    <row r="6883" spans="78:79" x14ac:dyDescent="0.35">
      <c r="BZ6883" s="105"/>
      <c r="CA6883" s="20"/>
    </row>
    <row r="6884" spans="78:79" x14ac:dyDescent="0.35">
      <c r="BZ6884" s="105"/>
      <c r="CA6884" s="20"/>
    </row>
    <row r="6885" spans="78:79" x14ac:dyDescent="0.35">
      <c r="BZ6885" s="105"/>
      <c r="CA6885" s="20"/>
    </row>
    <row r="6886" spans="78:79" x14ac:dyDescent="0.35">
      <c r="BZ6886" s="105"/>
      <c r="CA6886" s="20"/>
    </row>
    <row r="6887" spans="78:79" x14ac:dyDescent="0.35">
      <c r="BZ6887" s="105"/>
      <c r="CA6887" s="20"/>
    </row>
    <row r="6888" spans="78:79" x14ac:dyDescent="0.35">
      <c r="BZ6888" s="105"/>
      <c r="CA6888" s="20"/>
    </row>
    <row r="6889" spans="78:79" x14ac:dyDescent="0.35">
      <c r="BZ6889" s="105"/>
      <c r="CA6889" s="20"/>
    </row>
    <row r="6890" spans="78:79" x14ac:dyDescent="0.35">
      <c r="BZ6890" s="105"/>
      <c r="CA6890" s="20"/>
    </row>
    <row r="6891" spans="78:79" x14ac:dyDescent="0.35">
      <c r="BZ6891" s="105"/>
      <c r="CA6891" s="20"/>
    </row>
    <row r="6892" spans="78:79" x14ac:dyDescent="0.35">
      <c r="BZ6892" s="105"/>
      <c r="CA6892" s="20"/>
    </row>
    <row r="6893" spans="78:79" x14ac:dyDescent="0.35">
      <c r="BZ6893" s="105"/>
      <c r="CA6893" s="20"/>
    </row>
    <row r="6894" spans="78:79" x14ac:dyDescent="0.35">
      <c r="BZ6894" s="105"/>
      <c r="CA6894" s="20"/>
    </row>
    <row r="6895" spans="78:79" x14ac:dyDescent="0.35">
      <c r="BZ6895" s="105"/>
      <c r="CA6895" s="20"/>
    </row>
    <row r="6896" spans="78:79" x14ac:dyDescent="0.35">
      <c r="BZ6896" s="105"/>
      <c r="CA6896" s="20"/>
    </row>
    <row r="6897" spans="78:79" x14ac:dyDescent="0.35">
      <c r="BZ6897" s="105"/>
      <c r="CA6897" s="20"/>
    </row>
    <row r="6898" spans="78:79" x14ac:dyDescent="0.35">
      <c r="BZ6898" s="105"/>
      <c r="CA6898" s="20"/>
    </row>
    <row r="6899" spans="78:79" x14ac:dyDescent="0.35">
      <c r="BZ6899" s="105"/>
      <c r="CA6899" s="20"/>
    </row>
    <row r="6900" spans="78:79" x14ac:dyDescent="0.35">
      <c r="BZ6900" s="105"/>
      <c r="CA6900" s="20"/>
    </row>
    <row r="6901" spans="78:79" x14ac:dyDescent="0.35">
      <c r="BZ6901" s="105"/>
      <c r="CA6901" s="20"/>
    </row>
    <row r="6902" spans="78:79" x14ac:dyDescent="0.35">
      <c r="BZ6902" s="105"/>
      <c r="CA6902" s="20"/>
    </row>
    <row r="6903" spans="78:79" x14ac:dyDescent="0.35">
      <c r="BZ6903" s="105"/>
      <c r="CA6903" s="20"/>
    </row>
    <row r="6904" spans="78:79" x14ac:dyDescent="0.35">
      <c r="BZ6904" s="105"/>
      <c r="CA6904" s="20"/>
    </row>
    <row r="6905" spans="78:79" x14ac:dyDescent="0.35">
      <c r="BZ6905" s="105"/>
      <c r="CA6905" s="20"/>
    </row>
    <row r="6906" spans="78:79" x14ac:dyDescent="0.35">
      <c r="BZ6906" s="105"/>
      <c r="CA6906" s="20"/>
    </row>
    <row r="6907" spans="78:79" x14ac:dyDescent="0.35">
      <c r="BZ6907" s="105"/>
      <c r="CA6907" s="20"/>
    </row>
    <row r="6908" spans="78:79" x14ac:dyDescent="0.35">
      <c r="BZ6908" s="105"/>
      <c r="CA6908" s="20"/>
    </row>
    <row r="6909" spans="78:79" x14ac:dyDescent="0.35">
      <c r="BZ6909" s="105"/>
      <c r="CA6909" s="20"/>
    </row>
    <row r="6910" spans="78:79" x14ac:dyDescent="0.35">
      <c r="BZ6910" s="105"/>
      <c r="CA6910" s="20"/>
    </row>
    <row r="6911" spans="78:79" x14ac:dyDescent="0.35">
      <c r="BZ6911" s="105"/>
      <c r="CA6911" s="20"/>
    </row>
    <row r="6912" spans="78:79" x14ac:dyDescent="0.35">
      <c r="BZ6912" s="105"/>
      <c r="CA6912" s="20"/>
    </row>
    <row r="6913" spans="78:79" x14ac:dyDescent="0.35">
      <c r="BZ6913" s="105"/>
      <c r="CA6913" s="20"/>
    </row>
    <row r="6914" spans="78:79" x14ac:dyDescent="0.35">
      <c r="BZ6914" s="105"/>
      <c r="CA6914" s="20"/>
    </row>
    <row r="6915" spans="78:79" x14ac:dyDescent="0.35">
      <c r="BZ6915" s="105"/>
      <c r="CA6915" s="20"/>
    </row>
    <row r="6916" spans="78:79" x14ac:dyDescent="0.35">
      <c r="BZ6916" s="105"/>
      <c r="CA6916" s="20"/>
    </row>
    <row r="6917" spans="78:79" x14ac:dyDescent="0.35">
      <c r="BZ6917" s="105"/>
      <c r="CA6917" s="20"/>
    </row>
    <row r="6918" spans="78:79" x14ac:dyDescent="0.35">
      <c r="BZ6918" s="105"/>
      <c r="CA6918" s="20"/>
    </row>
    <row r="6919" spans="78:79" x14ac:dyDescent="0.35">
      <c r="BZ6919" s="105"/>
      <c r="CA6919" s="20"/>
    </row>
    <row r="6920" spans="78:79" x14ac:dyDescent="0.35">
      <c r="BZ6920" s="105"/>
      <c r="CA6920" s="20"/>
    </row>
    <row r="6921" spans="78:79" x14ac:dyDescent="0.35">
      <c r="BZ6921" s="105"/>
      <c r="CA6921" s="20"/>
    </row>
    <row r="6922" spans="78:79" x14ac:dyDescent="0.35">
      <c r="BZ6922" s="105"/>
      <c r="CA6922" s="20"/>
    </row>
    <row r="6923" spans="78:79" x14ac:dyDescent="0.35">
      <c r="BZ6923" s="105"/>
      <c r="CA6923" s="20"/>
    </row>
    <row r="6924" spans="78:79" x14ac:dyDescent="0.35">
      <c r="BZ6924" s="105"/>
      <c r="CA6924" s="20"/>
    </row>
    <row r="6925" spans="78:79" x14ac:dyDescent="0.35">
      <c r="BZ6925" s="105"/>
      <c r="CA6925" s="20"/>
    </row>
    <row r="6926" spans="78:79" x14ac:dyDescent="0.35">
      <c r="BZ6926" s="105"/>
      <c r="CA6926" s="20"/>
    </row>
    <row r="6927" spans="78:79" x14ac:dyDescent="0.35">
      <c r="BZ6927" s="105"/>
      <c r="CA6927" s="20"/>
    </row>
    <row r="6928" spans="78:79" x14ac:dyDescent="0.35">
      <c r="BZ6928" s="105"/>
      <c r="CA6928" s="20"/>
    </row>
    <row r="6929" spans="78:79" x14ac:dyDescent="0.35">
      <c r="BZ6929" s="105"/>
      <c r="CA6929" s="20"/>
    </row>
    <row r="6930" spans="78:79" x14ac:dyDescent="0.35">
      <c r="BZ6930" s="105"/>
      <c r="CA6930" s="20"/>
    </row>
    <row r="6931" spans="78:79" x14ac:dyDescent="0.35">
      <c r="BZ6931" s="105"/>
      <c r="CA6931" s="20"/>
    </row>
    <row r="6932" spans="78:79" x14ac:dyDescent="0.35">
      <c r="BZ6932" s="105"/>
      <c r="CA6932" s="20"/>
    </row>
    <row r="6933" spans="78:79" x14ac:dyDescent="0.35">
      <c r="BZ6933" s="105"/>
      <c r="CA6933" s="20"/>
    </row>
    <row r="6934" spans="78:79" x14ac:dyDescent="0.35">
      <c r="BZ6934" s="105"/>
      <c r="CA6934" s="20"/>
    </row>
    <row r="6935" spans="78:79" x14ac:dyDescent="0.35">
      <c r="BZ6935" s="105"/>
      <c r="CA6935" s="20"/>
    </row>
    <row r="6936" spans="78:79" x14ac:dyDescent="0.35">
      <c r="BZ6936" s="105"/>
      <c r="CA6936" s="20"/>
    </row>
    <row r="6937" spans="78:79" x14ac:dyDescent="0.35">
      <c r="BZ6937" s="105"/>
      <c r="CA6937" s="20"/>
    </row>
    <row r="6938" spans="78:79" x14ac:dyDescent="0.35">
      <c r="BZ6938" s="105"/>
      <c r="CA6938" s="20"/>
    </row>
    <row r="6939" spans="78:79" x14ac:dyDescent="0.35">
      <c r="BZ6939" s="105"/>
      <c r="CA6939" s="20"/>
    </row>
    <row r="6940" spans="78:79" x14ac:dyDescent="0.35">
      <c r="BZ6940" s="105"/>
      <c r="CA6940" s="20"/>
    </row>
    <row r="6941" spans="78:79" x14ac:dyDescent="0.35">
      <c r="BZ6941" s="105"/>
      <c r="CA6941" s="20"/>
    </row>
    <row r="6942" spans="78:79" x14ac:dyDescent="0.35">
      <c r="BZ6942" s="105"/>
      <c r="CA6942" s="20"/>
    </row>
    <row r="6943" spans="78:79" x14ac:dyDescent="0.35">
      <c r="BZ6943" s="105"/>
      <c r="CA6943" s="20"/>
    </row>
    <row r="6944" spans="78:79" x14ac:dyDescent="0.35">
      <c r="BZ6944" s="105"/>
      <c r="CA6944" s="20"/>
    </row>
    <row r="6945" spans="78:79" x14ac:dyDescent="0.35">
      <c r="BZ6945" s="105"/>
      <c r="CA6945" s="20"/>
    </row>
    <row r="6946" spans="78:79" x14ac:dyDescent="0.35">
      <c r="BZ6946" s="105"/>
      <c r="CA6946" s="20"/>
    </row>
    <row r="6947" spans="78:79" x14ac:dyDescent="0.35">
      <c r="BZ6947" s="105"/>
      <c r="CA6947" s="20"/>
    </row>
    <row r="6948" spans="78:79" x14ac:dyDescent="0.35">
      <c r="BZ6948" s="105"/>
      <c r="CA6948" s="20"/>
    </row>
    <row r="6949" spans="78:79" x14ac:dyDescent="0.35">
      <c r="BZ6949" s="105"/>
      <c r="CA6949" s="20"/>
    </row>
    <row r="6950" spans="78:79" x14ac:dyDescent="0.35">
      <c r="BZ6950" s="105"/>
      <c r="CA6950" s="20"/>
    </row>
    <row r="6951" spans="78:79" x14ac:dyDescent="0.35">
      <c r="BZ6951" s="105"/>
      <c r="CA6951" s="20"/>
    </row>
    <row r="6952" spans="78:79" x14ac:dyDescent="0.35">
      <c r="BZ6952" s="105"/>
      <c r="CA6952" s="20"/>
    </row>
    <row r="6953" spans="78:79" x14ac:dyDescent="0.35">
      <c r="BZ6953" s="105"/>
      <c r="CA6953" s="20"/>
    </row>
    <row r="6954" spans="78:79" x14ac:dyDescent="0.35">
      <c r="BZ6954" s="105"/>
      <c r="CA6954" s="20"/>
    </row>
    <row r="6955" spans="78:79" x14ac:dyDescent="0.35">
      <c r="BZ6955" s="105"/>
      <c r="CA6955" s="20"/>
    </row>
    <row r="6956" spans="78:79" x14ac:dyDescent="0.35">
      <c r="BZ6956" s="105"/>
      <c r="CA6956" s="20"/>
    </row>
    <row r="6957" spans="78:79" x14ac:dyDescent="0.35">
      <c r="BZ6957" s="105"/>
      <c r="CA6957" s="20"/>
    </row>
    <row r="6958" spans="78:79" x14ac:dyDescent="0.35">
      <c r="BZ6958" s="105"/>
      <c r="CA6958" s="20"/>
    </row>
    <row r="6959" spans="78:79" x14ac:dyDescent="0.35">
      <c r="BZ6959" s="105"/>
      <c r="CA6959" s="20"/>
    </row>
    <row r="6960" spans="78:79" x14ac:dyDescent="0.35">
      <c r="BZ6960" s="105"/>
      <c r="CA6960" s="20"/>
    </row>
    <row r="6961" spans="78:79" x14ac:dyDescent="0.35">
      <c r="BZ6961" s="105"/>
      <c r="CA6961" s="20"/>
    </row>
    <row r="6962" spans="78:79" x14ac:dyDescent="0.35">
      <c r="BZ6962" s="105"/>
      <c r="CA6962" s="20"/>
    </row>
    <row r="6963" spans="78:79" x14ac:dyDescent="0.35">
      <c r="BZ6963" s="105"/>
      <c r="CA6963" s="20"/>
    </row>
    <row r="6964" spans="78:79" x14ac:dyDescent="0.35">
      <c r="BZ6964" s="105"/>
      <c r="CA6964" s="20"/>
    </row>
    <row r="6965" spans="78:79" x14ac:dyDescent="0.35">
      <c r="BZ6965" s="105"/>
      <c r="CA6965" s="20"/>
    </row>
    <row r="6966" spans="78:79" x14ac:dyDescent="0.35">
      <c r="BZ6966" s="105"/>
      <c r="CA6966" s="20"/>
    </row>
    <row r="6967" spans="78:79" x14ac:dyDescent="0.35">
      <c r="BZ6967" s="105"/>
      <c r="CA6967" s="20"/>
    </row>
    <row r="6968" spans="78:79" x14ac:dyDescent="0.35">
      <c r="BZ6968" s="105"/>
      <c r="CA6968" s="20"/>
    </row>
    <row r="6969" spans="78:79" x14ac:dyDescent="0.35">
      <c r="BZ6969" s="105"/>
      <c r="CA6969" s="20"/>
    </row>
    <row r="6970" spans="78:79" x14ac:dyDescent="0.35">
      <c r="BZ6970" s="105"/>
      <c r="CA6970" s="20"/>
    </row>
    <row r="6971" spans="78:79" x14ac:dyDescent="0.35">
      <c r="BZ6971" s="105"/>
      <c r="CA6971" s="20"/>
    </row>
    <row r="6972" spans="78:79" x14ac:dyDescent="0.35">
      <c r="BZ6972" s="105"/>
      <c r="CA6972" s="20"/>
    </row>
    <row r="6973" spans="78:79" x14ac:dyDescent="0.35">
      <c r="BZ6973" s="105"/>
      <c r="CA6973" s="20"/>
    </row>
    <row r="6974" spans="78:79" x14ac:dyDescent="0.35">
      <c r="BZ6974" s="105"/>
      <c r="CA6974" s="20"/>
    </row>
    <row r="6975" spans="78:79" x14ac:dyDescent="0.35">
      <c r="BZ6975" s="105"/>
      <c r="CA6975" s="20"/>
    </row>
    <row r="6976" spans="78:79" x14ac:dyDescent="0.35">
      <c r="BZ6976" s="105"/>
      <c r="CA6976" s="20"/>
    </row>
    <row r="6977" spans="78:79" x14ac:dyDescent="0.35">
      <c r="BZ6977" s="105"/>
      <c r="CA6977" s="20"/>
    </row>
    <row r="6978" spans="78:79" x14ac:dyDescent="0.35">
      <c r="BZ6978" s="105"/>
      <c r="CA6978" s="20"/>
    </row>
    <row r="6979" spans="78:79" x14ac:dyDescent="0.35">
      <c r="BZ6979" s="105"/>
      <c r="CA6979" s="20"/>
    </row>
    <row r="6980" spans="78:79" x14ac:dyDescent="0.35">
      <c r="BZ6980" s="105"/>
      <c r="CA6980" s="20"/>
    </row>
    <row r="6981" spans="78:79" x14ac:dyDescent="0.35">
      <c r="BZ6981" s="105"/>
      <c r="CA6981" s="20"/>
    </row>
    <row r="6982" spans="78:79" x14ac:dyDescent="0.35">
      <c r="BZ6982" s="105"/>
      <c r="CA6982" s="20"/>
    </row>
    <row r="6983" spans="78:79" x14ac:dyDescent="0.35">
      <c r="BZ6983" s="105"/>
      <c r="CA6983" s="20"/>
    </row>
    <row r="6984" spans="78:79" x14ac:dyDescent="0.35">
      <c r="BZ6984" s="105"/>
      <c r="CA6984" s="20"/>
    </row>
    <row r="6985" spans="78:79" x14ac:dyDescent="0.35">
      <c r="BZ6985" s="105"/>
      <c r="CA6985" s="20"/>
    </row>
    <row r="6986" spans="78:79" x14ac:dyDescent="0.35">
      <c r="BZ6986" s="105"/>
      <c r="CA6986" s="20"/>
    </row>
    <row r="6987" spans="78:79" x14ac:dyDescent="0.35">
      <c r="BZ6987" s="105"/>
      <c r="CA6987" s="20"/>
    </row>
    <row r="6988" spans="78:79" x14ac:dyDescent="0.35">
      <c r="BZ6988" s="105"/>
      <c r="CA6988" s="20"/>
    </row>
    <row r="6989" spans="78:79" x14ac:dyDescent="0.35">
      <c r="BZ6989" s="105"/>
      <c r="CA6989" s="20"/>
    </row>
    <row r="6990" spans="78:79" x14ac:dyDescent="0.35">
      <c r="BZ6990" s="105"/>
      <c r="CA6990" s="20"/>
    </row>
    <row r="6991" spans="78:79" x14ac:dyDescent="0.35">
      <c r="BZ6991" s="105"/>
      <c r="CA6991" s="20"/>
    </row>
    <row r="6992" spans="78:79" x14ac:dyDescent="0.35">
      <c r="BZ6992" s="105"/>
      <c r="CA6992" s="20"/>
    </row>
    <row r="6993" spans="78:79" x14ac:dyDescent="0.35">
      <c r="BZ6993" s="105"/>
      <c r="CA6993" s="20"/>
    </row>
    <row r="6994" spans="78:79" x14ac:dyDescent="0.35">
      <c r="BZ6994" s="105"/>
      <c r="CA6994" s="20"/>
    </row>
    <row r="6995" spans="78:79" x14ac:dyDescent="0.35">
      <c r="BZ6995" s="105"/>
      <c r="CA6995" s="20"/>
    </row>
    <row r="6996" spans="78:79" x14ac:dyDescent="0.35">
      <c r="BZ6996" s="105"/>
      <c r="CA6996" s="20"/>
    </row>
    <row r="6997" spans="78:79" x14ac:dyDescent="0.35">
      <c r="BZ6997" s="105"/>
      <c r="CA6997" s="20"/>
    </row>
    <row r="6998" spans="78:79" x14ac:dyDescent="0.35">
      <c r="BZ6998" s="105"/>
      <c r="CA6998" s="20"/>
    </row>
    <row r="6999" spans="78:79" x14ac:dyDescent="0.35">
      <c r="BZ6999" s="105"/>
      <c r="CA6999" s="20"/>
    </row>
    <row r="7000" spans="78:79" x14ac:dyDescent="0.35">
      <c r="BZ7000" s="105"/>
      <c r="CA7000" s="20"/>
    </row>
    <row r="7001" spans="78:79" x14ac:dyDescent="0.35">
      <c r="BZ7001" s="105"/>
      <c r="CA7001" s="20"/>
    </row>
    <row r="7002" spans="78:79" x14ac:dyDescent="0.35">
      <c r="BZ7002" s="105"/>
      <c r="CA7002" s="20"/>
    </row>
    <row r="7003" spans="78:79" x14ac:dyDescent="0.35">
      <c r="BZ7003" s="105"/>
      <c r="CA7003" s="20"/>
    </row>
    <row r="7004" spans="78:79" x14ac:dyDescent="0.35">
      <c r="BZ7004" s="105"/>
      <c r="CA7004" s="20"/>
    </row>
    <row r="7005" spans="78:79" x14ac:dyDescent="0.35">
      <c r="BZ7005" s="105"/>
      <c r="CA7005" s="20"/>
    </row>
    <row r="7006" spans="78:79" x14ac:dyDescent="0.35">
      <c r="BZ7006" s="105"/>
      <c r="CA7006" s="20"/>
    </row>
    <row r="7007" spans="78:79" x14ac:dyDescent="0.35">
      <c r="BZ7007" s="105"/>
      <c r="CA7007" s="20"/>
    </row>
    <row r="7008" spans="78:79" x14ac:dyDescent="0.35">
      <c r="BZ7008" s="105"/>
      <c r="CA7008" s="20"/>
    </row>
    <row r="7009" spans="78:79" x14ac:dyDescent="0.35">
      <c r="BZ7009" s="105"/>
      <c r="CA7009" s="20"/>
    </row>
    <row r="7010" spans="78:79" x14ac:dyDescent="0.35">
      <c r="BZ7010" s="105"/>
      <c r="CA7010" s="20"/>
    </row>
    <row r="7011" spans="78:79" x14ac:dyDescent="0.35">
      <c r="BZ7011" s="105"/>
      <c r="CA7011" s="20"/>
    </row>
    <row r="7012" spans="78:79" x14ac:dyDescent="0.35">
      <c r="BZ7012" s="105"/>
      <c r="CA7012" s="20"/>
    </row>
    <row r="7013" spans="78:79" x14ac:dyDescent="0.35">
      <c r="BZ7013" s="105"/>
      <c r="CA7013" s="20"/>
    </row>
    <row r="7014" spans="78:79" x14ac:dyDescent="0.35">
      <c r="BZ7014" s="105"/>
      <c r="CA7014" s="20"/>
    </row>
    <row r="7015" spans="78:79" x14ac:dyDescent="0.35">
      <c r="BZ7015" s="105"/>
      <c r="CA7015" s="20"/>
    </row>
    <row r="7016" spans="78:79" x14ac:dyDescent="0.35">
      <c r="BZ7016" s="105"/>
      <c r="CA7016" s="20"/>
    </row>
    <row r="7017" spans="78:79" x14ac:dyDescent="0.35">
      <c r="BZ7017" s="105"/>
      <c r="CA7017" s="20"/>
    </row>
    <row r="7018" spans="78:79" x14ac:dyDescent="0.35">
      <c r="BZ7018" s="105"/>
      <c r="CA7018" s="20"/>
    </row>
    <row r="7019" spans="78:79" x14ac:dyDescent="0.35">
      <c r="BZ7019" s="105"/>
      <c r="CA7019" s="20"/>
    </row>
    <row r="7020" spans="78:79" x14ac:dyDescent="0.35">
      <c r="BZ7020" s="105"/>
      <c r="CA7020" s="20"/>
    </row>
    <row r="7021" spans="78:79" x14ac:dyDescent="0.35">
      <c r="BZ7021" s="105"/>
      <c r="CA7021" s="20"/>
    </row>
    <row r="7022" spans="78:79" x14ac:dyDescent="0.35">
      <c r="BZ7022" s="105"/>
      <c r="CA7022" s="20"/>
    </row>
    <row r="7023" spans="78:79" x14ac:dyDescent="0.35">
      <c r="BZ7023" s="105"/>
      <c r="CA7023" s="20"/>
    </row>
    <row r="7024" spans="78:79" x14ac:dyDescent="0.35">
      <c r="BZ7024" s="105"/>
      <c r="CA7024" s="20"/>
    </row>
    <row r="7025" spans="78:79" x14ac:dyDescent="0.35">
      <c r="BZ7025" s="105"/>
      <c r="CA7025" s="20"/>
    </row>
    <row r="7026" spans="78:79" x14ac:dyDescent="0.35">
      <c r="BZ7026" s="105"/>
      <c r="CA7026" s="20"/>
    </row>
    <row r="7027" spans="78:79" x14ac:dyDescent="0.35">
      <c r="BZ7027" s="105"/>
      <c r="CA7027" s="20"/>
    </row>
    <row r="7028" spans="78:79" x14ac:dyDescent="0.35">
      <c r="BZ7028" s="105"/>
      <c r="CA7028" s="20"/>
    </row>
    <row r="7029" spans="78:79" x14ac:dyDescent="0.35">
      <c r="BZ7029" s="105"/>
      <c r="CA7029" s="20"/>
    </row>
    <row r="7030" spans="78:79" x14ac:dyDescent="0.35">
      <c r="BZ7030" s="105"/>
      <c r="CA7030" s="20"/>
    </row>
    <row r="7031" spans="78:79" x14ac:dyDescent="0.35">
      <c r="BZ7031" s="105"/>
      <c r="CA7031" s="20"/>
    </row>
    <row r="7032" spans="78:79" x14ac:dyDescent="0.35">
      <c r="BZ7032" s="105"/>
      <c r="CA7032" s="20"/>
    </row>
    <row r="7033" spans="78:79" x14ac:dyDescent="0.35">
      <c r="BZ7033" s="105"/>
      <c r="CA7033" s="20"/>
    </row>
    <row r="7034" spans="78:79" x14ac:dyDescent="0.35">
      <c r="BZ7034" s="105"/>
      <c r="CA7034" s="20"/>
    </row>
    <row r="7035" spans="78:79" x14ac:dyDescent="0.35">
      <c r="BZ7035" s="105"/>
      <c r="CA7035" s="20"/>
    </row>
    <row r="7036" spans="78:79" x14ac:dyDescent="0.35">
      <c r="BZ7036" s="105"/>
      <c r="CA7036" s="20"/>
    </row>
    <row r="7037" spans="78:79" x14ac:dyDescent="0.35">
      <c r="BZ7037" s="105"/>
      <c r="CA7037" s="20"/>
    </row>
    <row r="7038" spans="78:79" x14ac:dyDescent="0.35">
      <c r="BZ7038" s="105"/>
      <c r="CA7038" s="20"/>
    </row>
    <row r="7039" spans="78:79" x14ac:dyDescent="0.35">
      <c r="BZ7039" s="105"/>
      <c r="CA7039" s="20"/>
    </row>
    <row r="7040" spans="78:79" x14ac:dyDescent="0.35">
      <c r="BZ7040" s="105"/>
      <c r="CA7040" s="20"/>
    </row>
    <row r="7041" spans="78:79" x14ac:dyDescent="0.35">
      <c r="BZ7041" s="105"/>
      <c r="CA7041" s="20"/>
    </row>
    <row r="7042" spans="78:79" x14ac:dyDescent="0.35">
      <c r="BZ7042" s="105"/>
      <c r="CA7042" s="20"/>
    </row>
    <row r="7043" spans="78:79" x14ac:dyDescent="0.35">
      <c r="BZ7043" s="105"/>
      <c r="CA7043" s="20"/>
    </row>
    <row r="7044" spans="78:79" x14ac:dyDescent="0.35">
      <c r="BZ7044" s="105"/>
      <c r="CA7044" s="20"/>
    </row>
    <row r="7045" spans="78:79" x14ac:dyDescent="0.35">
      <c r="BZ7045" s="105"/>
      <c r="CA7045" s="20"/>
    </row>
    <row r="7046" spans="78:79" x14ac:dyDescent="0.35">
      <c r="BZ7046" s="105"/>
      <c r="CA7046" s="20"/>
    </row>
    <row r="7047" spans="78:79" x14ac:dyDescent="0.35">
      <c r="BZ7047" s="105"/>
      <c r="CA7047" s="20"/>
    </row>
    <row r="7048" spans="78:79" x14ac:dyDescent="0.35">
      <c r="BZ7048" s="105"/>
      <c r="CA7048" s="20"/>
    </row>
    <row r="7049" spans="78:79" x14ac:dyDescent="0.35">
      <c r="BZ7049" s="105"/>
      <c r="CA7049" s="20"/>
    </row>
    <row r="7050" spans="78:79" x14ac:dyDescent="0.35">
      <c r="BZ7050" s="105"/>
      <c r="CA7050" s="20"/>
    </row>
    <row r="7051" spans="78:79" x14ac:dyDescent="0.35">
      <c r="BZ7051" s="105"/>
      <c r="CA7051" s="20"/>
    </row>
    <row r="7052" spans="78:79" x14ac:dyDescent="0.35">
      <c r="BZ7052" s="105"/>
      <c r="CA7052" s="20"/>
    </row>
    <row r="7053" spans="78:79" x14ac:dyDescent="0.35">
      <c r="BZ7053" s="105"/>
      <c r="CA7053" s="20"/>
    </row>
    <row r="7054" spans="78:79" x14ac:dyDescent="0.35">
      <c r="BZ7054" s="105"/>
      <c r="CA7054" s="20"/>
    </row>
    <row r="7055" spans="78:79" x14ac:dyDescent="0.35">
      <c r="BZ7055" s="105"/>
      <c r="CA7055" s="20"/>
    </row>
    <row r="7056" spans="78:79" x14ac:dyDescent="0.35">
      <c r="BZ7056" s="105"/>
      <c r="CA7056" s="20"/>
    </row>
    <row r="7057" spans="78:79" x14ac:dyDescent="0.35">
      <c r="BZ7057" s="105"/>
      <c r="CA7057" s="20"/>
    </row>
    <row r="7058" spans="78:79" x14ac:dyDescent="0.35">
      <c r="BZ7058" s="105"/>
      <c r="CA7058" s="20"/>
    </row>
    <row r="7059" spans="78:79" x14ac:dyDescent="0.35">
      <c r="BZ7059" s="105"/>
      <c r="CA7059" s="20"/>
    </row>
    <row r="7060" spans="78:79" x14ac:dyDescent="0.35">
      <c r="BZ7060" s="105"/>
      <c r="CA7060" s="20"/>
    </row>
    <row r="7061" spans="78:79" x14ac:dyDescent="0.35">
      <c r="BZ7061" s="105"/>
      <c r="CA7061" s="20"/>
    </row>
    <row r="7062" spans="78:79" x14ac:dyDescent="0.35">
      <c r="BZ7062" s="105"/>
      <c r="CA7062" s="20"/>
    </row>
    <row r="7063" spans="78:79" x14ac:dyDescent="0.35">
      <c r="BZ7063" s="105"/>
      <c r="CA7063" s="20"/>
    </row>
    <row r="7064" spans="78:79" x14ac:dyDescent="0.35">
      <c r="BZ7064" s="105"/>
      <c r="CA7064" s="20"/>
    </row>
    <row r="7065" spans="78:79" x14ac:dyDescent="0.35">
      <c r="BZ7065" s="105"/>
      <c r="CA7065" s="20"/>
    </row>
    <row r="7066" spans="78:79" x14ac:dyDescent="0.35">
      <c r="BZ7066" s="105"/>
      <c r="CA7066" s="20"/>
    </row>
    <row r="7067" spans="78:79" x14ac:dyDescent="0.35">
      <c r="BZ7067" s="105"/>
      <c r="CA7067" s="20"/>
    </row>
    <row r="7068" spans="78:79" x14ac:dyDescent="0.35">
      <c r="BZ7068" s="105"/>
      <c r="CA7068" s="20"/>
    </row>
    <row r="7069" spans="78:79" x14ac:dyDescent="0.35">
      <c r="BZ7069" s="105"/>
      <c r="CA7069" s="20"/>
    </row>
    <row r="7070" spans="78:79" x14ac:dyDescent="0.35">
      <c r="BZ7070" s="105"/>
      <c r="CA7070" s="20"/>
    </row>
    <row r="7071" spans="78:79" x14ac:dyDescent="0.35">
      <c r="BZ7071" s="105"/>
      <c r="CA7071" s="20"/>
    </row>
    <row r="7072" spans="78:79" x14ac:dyDescent="0.35">
      <c r="BZ7072" s="105"/>
      <c r="CA7072" s="20"/>
    </row>
    <row r="7073" spans="78:79" x14ac:dyDescent="0.35">
      <c r="BZ7073" s="105"/>
      <c r="CA7073" s="20"/>
    </row>
    <row r="7074" spans="78:79" x14ac:dyDescent="0.35">
      <c r="BZ7074" s="105"/>
      <c r="CA7074" s="20"/>
    </row>
    <row r="7075" spans="78:79" x14ac:dyDescent="0.35">
      <c r="BZ7075" s="105"/>
      <c r="CA7075" s="20"/>
    </row>
    <row r="7076" spans="78:79" x14ac:dyDescent="0.35">
      <c r="BZ7076" s="105"/>
      <c r="CA7076" s="20"/>
    </row>
    <row r="7077" spans="78:79" x14ac:dyDescent="0.35">
      <c r="BZ7077" s="105"/>
      <c r="CA7077" s="20"/>
    </row>
    <row r="7078" spans="78:79" x14ac:dyDescent="0.35">
      <c r="BZ7078" s="105"/>
      <c r="CA7078" s="20"/>
    </row>
    <row r="7079" spans="78:79" x14ac:dyDescent="0.35">
      <c r="BZ7079" s="105"/>
      <c r="CA7079" s="20"/>
    </row>
    <row r="7080" spans="78:79" x14ac:dyDescent="0.35">
      <c r="BZ7080" s="105"/>
      <c r="CA7080" s="20"/>
    </row>
    <row r="7081" spans="78:79" x14ac:dyDescent="0.35">
      <c r="BZ7081" s="105"/>
      <c r="CA7081" s="20"/>
    </row>
    <row r="7082" spans="78:79" x14ac:dyDescent="0.35">
      <c r="BZ7082" s="105"/>
      <c r="CA7082" s="20"/>
    </row>
    <row r="7083" spans="78:79" x14ac:dyDescent="0.35">
      <c r="BZ7083" s="105"/>
      <c r="CA7083" s="20"/>
    </row>
    <row r="7084" spans="78:79" x14ac:dyDescent="0.35">
      <c r="BZ7084" s="105"/>
      <c r="CA7084" s="20"/>
    </row>
    <row r="7085" spans="78:79" x14ac:dyDescent="0.35">
      <c r="BZ7085" s="105"/>
      <c r="CA7085" s="20"/>
    </row>
    <row r="7086" spans="78:79" x14ac:dyDescent="0.35">
      <c r="BZ7086" s="105"/>
      <c r="CA7086" s="20"/>
    </row>
    <row r="7087" spans="78:79" x14ac:dyDescent="0.35">
      <c r="BZ7087" s="105"/>
      <c r="CA7087" s="20"/>
    </row>
    <row r="7088" spans="78:79" x14ac:dyDescent="0.35">
      <c r="BZ7088" s="105"/>
      <c r="CA7088" s="20"/>
    </row>
    <row r="7089" spans="78:79" x14ac:dyDescent="0.35">
      <c r="BZ7089" s="105"/>
      <c r="CA7089" s="20"/>
    </row>
    <row r="7090" spans="78:79" x14ac:dyDescent="0.35">
      <c r="BZ7090" s="105"/>
      <c r="CA7090" s="20"/>
    </row>
    <row r="7091" spans="78:79" x14ac:dyDescent="0.35">
      <c r="BZ7091" s="105"/>
      <c r="CA7091" s="20"/>
    </row>
    <row r="7092" spans="78:79" x14ac:dyDescent="0.35">
      <c r="BZ7092" s="105"/>
      <c r="CA7092" s="20"/>
    </row>
    <row r="7093" spans="78:79" x14ac:dyDescent="0.35">
      <c r="BZ7093" s="105"/>
      <c r="CA7093" s="20"/>
    </row>
    <row r="7094" spans="78:79" x14ac:dyDescent="0.35">
      <c r="BZ7094" s="105"/>
      <c r="CA7094" s="20"/>
    </row>
    <row r="7095" spans="78:79" x14ac:dyDescent="0.35">
      <c r="BZ7095" s="105"/>
      <c r="CA7095" s="20"/>
    </row>
    <row r="7096" spans="78:79" x14ac:dyDescent="0.35">
      <c r="BZ7096" s="105"/>
      <c r="CA7096" s="20"/>
    </row>
    <row r="7097" spans="78:79" x14ac:dyDescent="0.35">
      <c r="BZ7097" s="105"/>
      <c r="CA7097" s="20"/>
    </row>
    <row r="7098" spans="78:79" x14ac:dyDescent="0.35">
      <c r="BZ7098" s="105"/>
      <c r="CA7098" s="20"/>
    </row>
    <row r="7099" spans="78:79" x14ac:dyDescent="0.35">
      <c r="BZ7099" s="105"/>
      <c r="CA7099" s="20"/>
    </row>
    <row r="7100" spans="78:79" x14ac:dyDescent="0.35">
      <c r="BZ7100" s="105"/>
      <c r="CA7100" s="20"/>
    </row>
    <row r="7101" spans="78:79" x14ac:dyDescent="0.35">
      <c r="BZ7101" s="105"/>
      <c r="CA7101" s="20"/>
    </row>
    <row r="7102" spans="78:79" x14ac:dyDescent="0.35">
      <c r="BZ7102" s="105"/>
      <c r="CA7102" s="20"/>
    </row>
    <row r="7103" spans="78:79" x14ac:dyDescent="0.35">
      <c r="BZ7103" s="105"/>
      <c r="CA7103" s="20"/>
    </row>
    <row r="7104" spans="78:79" x14ac:dyDescent="0.35">
      <c r="BZ7104" s="105"/>
      <c r="CA7104" s="20"/>
    </row>
    <row r="7105" spans="78:79" x14ac:dyDescent="0.35">
      <c r="BZ7105" s="105"/>
      <c r="CA7105" s="20"/>
    </row>
    <row r="7106" spans="78:79" x14ac:dyDescent="0.35">
      <c r="BZ7106" s="105"/>
      <c r="CA7106" s="20"/>
    </row>
    <row r="7107" spans="78:79" x14ac:dyDescent="0.35">
      <c r="BZ7107" s="105"/>
      <c r="CA7107" s="20"/>
    </row>
    <row r="7108" spans="78:79" x14ac:dyDescent="0.35">
      <c r="BZ7108" s="105"/>
      <c r="CA7108" s="20"/>
    </row>
    <row r="7109" spans="78:79" x14ac:dyDescent="0.35">
      <c r="BZ7109" s="105"/>
      <c r="CA7109" s="20"/>
    </row>
    <row r="7110" spans="78:79" x14ac:dyDescent="0.35">
      <c r="BZ7110" s="105"/>
      <c r="CA7110" s="20"/>
    </row>
    <row r="7111" spans="78:79" x14ac:dyDescent="0.35">
      <c r="BZ7111" s="105"/>
      <c r="CA7111" s="20"/>
    </row>
    <row r="7112" spans="78:79" x14ac:dyDescent="0.35">
      <c r="BZ7112" s="105"/>
      <c r="CA7112" s="20"/>
    </row>
    <row r="7113" spans="78:79" x14ac:dyDescent="0.35">
      <c r="BZ7113" s="105"/>
      <c r="CA7113" s="20"/>
    </row>
    <row r="7114" spans="78:79" x14ac:dyDescent="0.35">
      <c r="BZ7114" s="105"/>
      <c r="CA7114" s="20"/>
    </row>
    <row r="7115" spans="78:79" x14ac:dyDescent="0.35">
      <c r="BZ7115" s="105"/>
      <c r="CA7115" s="20"/>
    </row>
    <row r="7116" spans="78:79" x14ac:dyDescent="0.35">
      <c r="BZ7116" s="105"/>
      <c r="CA7116" s="20"/>
    </row>
    <row r="7117" spans="78:79" x14ac:dyDescent="0.35">
      <c r="BZ7117" s="105"/>
      <c r="CA7117" s="20"/>
    </row>
    <row r="7118" spans="78:79" x14ac:dyDescent="0.35">
      <c r="BZ7118" s="105"/>
      <c r="CA7118" s="20"/>
    </row>
    <row r="7119" spans="78:79" x14ac:dyDescent="0.35">
      <c r="BZ7119" s="105"/>
      <c r="CA7119" s="20"/>
    </row>
    <row r="7120" spans="78:79" x14ac:dyDescent="0.35">
      <c r="BZ7120" s="105"/>
      <c r="CA7120" s="20"/>
    </row>
    <row r="7121" spans="78:79" x14ac:dyDescent="0.35">
      <c r="BZ7121" s="105"/>
      <c r="CA7121" s="20"/>
    </row>
    <row r="7122" spans="78:79" x14ac:dyDescent="0.35">
      <c r="BZ7122" s="105"/>
      <c r="CA7122" s="20"/>
    </row>
    <row r="7123" spans="78:79" x14ac:dyDescent="0.35">
      <c r="BZ7123" s="105"/>
      <c r="CA7123" s="20"/>
    </row>
    <row r="7124" spans="78:79" x14ac:dyDescent="0.35">
      <c r="BZ7124" s="105"/>
      <c r="CA7124" s="20"/>
    </row>
    <row r="7125" spans="78:79" x14ac:dyDescent="0.35">
      <c r="BZ7125" s="105"/>
      <c r="CA7125" s="20"/>
    </row>
    <row r="7126" spans="78:79" x14ac:dyDescent="0.35">
      <c r="BZ7126" s="105"/>
      <c r="CA7126" s="20"/>
    </row>
    <row r="7127" spans="78:79" x14ac:dyDescent="0.35">
      <c r="BZ7127" s="105"/>
      <c r="CA7127" s="20"/>
    </row>
    <row r="7128" spans="78:79" x14ac:dyDescent="0.35">
      <c r="BZ7128" s="105"/>
      <c r="CA7128" s="20"/>
    </row>
    <row r="7129" spans="78:79" x14ac:dyDescent="0.35">
      <c r="BZ7129" s="105"/>
      <c r="CA7129" s="20"/>
    </row>
    <row r="7130" spans="78:79" x14ac:dyDescent="0.35">
      <c r="BZ7130" s="105"/>
      <c r="CA7130" s="20"/>
    </row>
    <row r="7131" spans="78:79" x14ac:dyDescent="0.35">
      <c r="BZ7131" s="105"/>
      <c r="CA7131" s="20"/>
    </row>
    <row r="7132" spans="78:79" x14ac:dyDescent="0.35">
      <c r="BZ7132" s="105"/>
      <c r="CA7132" s="20"/>
    </row>
    <row r="7133" spans="78:79" x14ac:dyDescent="0.35">
      <c r="BZ7133" s="105"/>
      <c r="CA7133" s="20"/>
    </row>
    <row r="7134" spans="78:79" x14ac:dyDescent="0.35">
      <c r="BZ7134" s="105"/>
      <c r="CA7134" s="20"/>
    </row>
    <row r="7135" spans="78:79" x14ac:dyDescent="0.35">
      <c r="BZ7135" s="105"/>
      <c r="CA7135" s="20"/>
    </row>
    <row r="7136" spans="78:79" x14ac:dyDescent="0.35">
      <c r="BZ7136" s="105"/>
      <c r="CA7136" s="20"/>
    </row>
    <row r="7137" spans="78:79" x14ac:dyDescent="0.35">
      <c r="BZ7137" s="105"/>
      <c r="CA7137" s="20"/>
    </row>
    <row r="7138" spans="78:79" x14ac:dyDescent="0.35">
      <c r="BZ7138" s="105"/>
      <c r="CA7138" s="20"/>
    </row>
    <row r="7139" spans="78:79" x14ac:dyDescent="0.35">
      <c r="BZ7139" s="105"/>
      <c r="CA7139" s="20"/>
    </row>
    <row r="7140" spans="78:79" x14ac:dyDescent="0.35">
      <c r="BZ7140" s="105"/>
      <c r="CA7140" s="20"/>
    </row>
    <row r="7141" spans="78:79" x14ac:dyDescent="0.35">
      <c r="BZ7141" s="105"/>
      <c r="CA7141" s="20"/>
    </row>
    <row r="7142" spans="78:79" x14ac:dyDescent="0.35">
      <c r="BZ7142" s="105"/>
      <c r="CA7142" s="20"/>
    </row>
    <row r="7143" spans="78:79" x14ac:dyDescent="0.35">
      <c r="BZ7143" s="105"/>
      <c r="CA7143" s="20"/>
    </row>
    <row r="7144" spans="78:79" x14ac:dyDescent="0.35">
      <c r="BZ7144" s="105"/>
      <c r="CA7144" s="20"/>
    </row>
    <row r="7145" spans="78:79" x14ac:dyDescent="0.35">
      <c r="BZ7145" s="105"/>
      <c r="CA7145" s="20"/>
    </row>
    <row r="7146" spans="78:79" x14ac:dyDescent="0.35">
      <c r="BZ7146" s="105"/>
      <c r="CA7146" s="20"/>
    </row>
    <row r="7147" spans="78:79" x14ac:dyDescent="0.35">
      <c r="BZ7147" s="105"/>
      <c r="CA7147" s="20"/>
    </row>
    <row r="7148" spans="78:79" x14ac:dyDescent="0.35">
      <c r="BZ7148" s="105"/>
      <c r="CA7148" s="20"/>
    </row>
    <row r="7149" spans="78:79" x14ac:dyDescent="0.35">
      <c r="BZ7149" s="105"/>
      <c r="CA7149" s="20"/>
    </row>
    <row r="7150" spans="78:79" x14ac:dyDescent="0.35">
      <c r="BZ7150" s="105"/>
      <c r="CA7150" s="20"/>
    </row>
    <row r="7151" spans="78:79" x14ac:dyDescent="0.35">
      <c r="BZ7151" s="105"/>
      <c r="CA7151" s="20"/>
    </row>
    <row r="7152" spans="78:79" x14ac:dyDescent="0.35">
      <c r="BZ7152" s="105"/>
      <c r="CA7152" s="20"/>
    </row>
    <row r="7153" spans="78:79" x14ac:dyDescent="0.35">
      <c r="BZ7153" s="105"/>
      <c r="CA7153" s="20"/>
    </row>
    <row r="7154" spans="78:79" x14ac:dyDescent="0.35">
      <c r="BZ7154" s="105"/>
      <c r="CA7154" s="20"/>
    </row>
    <row r="7155" spans="78:79" x14ac:dyDescent="0.35">
      <c r="BZ7155" s="105"/>
      <c r="CA7155" s="20"/>
    </row>
    <row r="7156" spans="78:79" x14ac:dyDescent="0.35">
      <c r="BZ7156" s="105"/>
      <c r="CA7156" s="20"/>
    </row>
    <row r="7157" spans="78:79" x14ac:dyDescent="0.35">
      <c r="BZ7157" s="105"/>
      <c r="CA7157" s="20"/>
    </row>
    <row r="7158" spans="78:79" x14ac:dyDescent="0.35">
      <c r="BZ7158" s="105"/>
      <c r="CA7158" s="20"/>
    </row>
    <row r="7159" spans="78:79" x14ac:dyDescent="0.35">
      <c r="BZ7159" s="105"/>
      <c r="CA7159" s="20"/>
    </row>
    <row r="7160" spans="78:79" x14ac:dyDescent="0.35">
      <c r="BZ7160" s="105"/>
      <c r="CA7160" s="20"/>
    </row>
    <row r="7161" spans="78:79" x14ac:dyDescent="0.35">
      <c r="BZ7161" s="105"/>
      <c r="CA7161" s="20"/>
    </row>
    <row r="7162" spans="78:79" x14ac:dyDescent="0.35">
      <c r="BZ7162" s="105"/>
      <c r="CA7162" s="20"/>
    </row>
    <row r="7163" spans="78:79" x14ac:dyDescent="0.35">
      <c r="BZ7163" s="105"/>
      <c r="CA7163" s="20"/>
    </row>
    <row r="7164" spans="78:79" x14ac:dyDescent="0.35">
      <c r="BZ7164" s="105"/>
      <c r="CA7164" s="20"/>
    </row>
    <row r="7165" spans="78:79" x14ac:dyDescent="0.35">
      <c r="BZ7165" s="105"/>
      <c r="CA7165" s="20"/>
    </row>
    <row r="7166" spans="78:79" x14ac:dyDescent="0.35">
      <c r="BZ7166" s="105"/>
      <c r="CA7166" s="20"/>
    </row>
    <row r="7167" spans="78:79" x14ac:dyDescent="0.35">
      <c r="BZ7167" s="105"/>
      <c r="CA7167" s="20"/>
    </row>
    <row r="7168" spans="78:79" x14ac:dyDescent="0.35">
      <c r="BZ7168" s="105"/>
      <c r="CA7168" s="20"/>
    </row>
    <row r="7169" spans="78:79" x14ac:dyDescent="0.35">
      <c r="BZ7169" s="105"/>
      <c r="CA7169" s="20"/>
    </row>
    <row r="7170" spans="78:79" x14ac:dyDescent="0.35">
      <c r="BZ7170" s="105"/>
      <c r="CA7170" s="20"/>
    </row>
    <row r="7171" spans="78:79" x14ac:dyDescent="0.35">
      <c r="BZ7171" s="105"/>
      <c r="CA7171" s="20"/>
    </row>
    <row r="7172" spans="78:79" x14ac:dyDescent="0.35">
      <c r="BZ7172" s="105"/>
      <c r="CA7172" s="20"/>
    </row>
    <row r="7173" spans="78:79" x14ac:dyDescent="0.35">
      <c r="BZ7173" s="105"/>
      <c r="CA7173" s="20"/>
    </row>
    <row r="7174" spans="78:79" x14ac:dyDescent="0.35">
      <c r="BZ7174" s="105"/>
      <c r="CA7174" s="20"/>
    </row>
    <row r="7175" spans="78:79" x14ac:dyDescent="0.35">
      <c r="BZ7175" s="105"/>
      <c r="CA7175" s="20"/>
    </row>
    <row r="7176" spans="78:79" x14ac:dyDescent="0.35">
      <c r="BZ7176" s="105"/>
      <c r="CA7176" s="20"/>
    </row>
    <row r="7177" spans="78:79" x14ac:dyDescent="0.35">
      <c r="BZ7177" s="105"/>
      <c r="CA7177" s="20"/>
    </row>
    <row r="7178" spans="78:79" x14ac:dyDescent="0.35">
      <c r="BZ7178" s="105"/>
      <c r="CA7178" s="20"/>
    </row>
    <row r="7179" spans="78:79" x14ac:dyDescent="0.35">
      <c r="BZ7179" s="105"/>
      <c r="CA7179" s="20"/>
    </row>
    <row r="7180" spans="78:79" x14ac:dyDescent="0.35">
      <c r="BZ7180" s="105"/>
      <c r="CA7180" s="20"/>
    </row>
    <row r="7181" spans="78:79" x14ac:dyDescent="0.35">
      <c r="BZ7181" s="105"/>
      <c r="CA7181" s="20"/>
    </row>
    <row r="7182" spans="78:79" x14ac:dyDescent="0.35">
      <c r="BZ7182" s="105"/>
      <c r="CA7182" s="20"/>
    </row>
    <row r="7183" spans="78:79" x14ac:dyDescent="0.35">
      <c r="BZ7183" s="105"/>
      <c r="CA7183" s="20"/>
    </row>
    <row r="7184" spans="78:79" x14ac:dyDescent="0.35">
      <c r="BZ7184" s="105"/>
      <c r="CA7184" s="20"/>
    </row>
    <row r="7185" spans="78:79" x14ac:dyDescent="0.35">
      <c r="BZ7185" s="105"/>
      <c r="CA7185" s="20"/>
    </row>
    <row r="7186" spans="78:79" x14ac:dyDescent="0.35">
      <c r="BZ7186" s="105"/>
      <c r="CA7186" s="20"/>
    </row>
    <row r="7187" spans="78:79" x14ac:dyDescent="0.35">
      <c r="BZ7187" s="105"/>
      <c r="CA7187" s="20"/>
    </row>
    <row r="7188" spans="78:79" x14ac:dyDescent="0.35">
      <c r="BZ7188" s="105"/>
      <c r="CA7188" s="20"/>
    </row>
    <row r="7189" spans="78:79" x14ac:dyDescent="0.35">
      <c r="BZ7189" s="105"/>
      <c r="CA7189" s="20"/>
    </row>
    <row r="7190" spans="78:79" x14ac:dyDescent="0.35">
      <c r="BZ7190" s="105"/>
      <c r="CA7190" s="20"/>
    </row>
    <row r="7191" spans="78:79" x14ac:dyDescent="0.35">
      <c r="BZ7191" s="105"/>
      <c r="CA7191" s="20"/>
    </row>
    <row r="7192" spans="78:79" x14ac:dyDescent="0.35">
      <c r="BZ7192" s="105"/>
      <c r="CA7192" s="20"/>
    </row>
    <row r="7193" spans="78:79" x14ac:dyDescent="0.35">
      <c r="BZ7193" s="105"/>
      <c r="CA7193" s="20"/>
    </row>
    <row r="7194" spans="78:79" x14ac:dyDescent="0.35">
      <c r="BZ7194" s="105"/>
      <c r="CA7194" s="20"/>
    </row>
    <row r="7195" spans="78:79" x14ac:dyDescent="0.35">
      <c r="BZ7195" s="105"/>
      <c r="CA7195" s="20"/>
    </row>
    <row r="7196" spans="78:79" x14ac:dyDescent="0.35">
      <c r="BZ7196" s="105"/>
      <c r="CA7196" s="20"/>
    </row>
    <row r="7197" spans="78:79" x14ac:dyDescent="0.35">
      <c r="BZ7197" s="105"/>
      <c r="CA7197" s="20"/>
    </row>
    <row r="7198" spans="78:79" x14ac:dyDescent="0.35">
      <c r="BZ7198" s="105"/>
      <c r="CA7198" s="20"/>
    </row>
    <row r="7199" spans="78:79" x14ac:dyDescent="0.35">
      <c r="BZ7199" s="105"/>
      <c r="CA7199" s="20"/>
    </row>
    <row r="7200" spans="78:79" x14ac:dyDescent="0.35">
      <c r="BZ7200" s="105"/>
      <c r="CA7200" s="20"/>
    </row>
    <row r="7201" spans="78:79" x14ac:dyDescent="0.35">
      <c r="BZ7201" s="105"/>
      <c r="CA7201" s="20"/>
    </row>
    <row r="7202" spans="78:79" x14ac:dyDescent="0.35">
      <c r="BZ7202" s="105"/>
      <c r="CA7202" s="20"/>
    </row>
    <row r="7203" spans="78:79" x14ac:dyDescent="0.35">
      <c r="BZ7203" s="105"/>
      <c r="CA7203" s="20"/>
    </row>
    <row r="7204" spans="78:79" x14ac:dyDescent="0.35">
      <c r="BZ7204" s="105"/>
      <c r="CA7204" s="20"/>
    </row>
    <row r="7205" spans="78:79" x14ac:dyDescent="0.35">
      <c r="BZ7205" s="105"/>
      <c r="CA7205" s="20"/>
    </row>
    <row r="7206" spans="78:79" x14ac:dyDescent="0.35">
      <c r="BZ7206" s="105"/>
      <c r="CA7206" s="20"/>
    </row>
    <row r="7207" spans="78:79" x14ac:dyDescent="0.35">
      <c r="BZ7207" s="105"/>
      <c r="CA7207" s="20"/>
    </row>
    <row r="7208" spans="78:79" x14ac:dyDescent="0.35">
      <c r="BZ7208" s="105"/>
      <c r="CA7208" s="20"/>
    </row>
    <row r="7209" spans="78:79" x14ac:dyDescent="0.35">
      <c r="BZ7209" s="105"/>
      <c r="CA7209" s="20"/>
    </row>
    <row r="7210" spans="78:79" x14ac:dyDescent="0.35">
      <c r="BZ7210" s="105"/>
      <c r="CA7210" s="20"/>
    </row>
    <row r="7211" spans="78:79" x14ac:dyDescent="0.35">
      <c r="BZ7211" s="105"/>
      <c r="CA7211" s="20"/>
    </row>
    <row r="7212" spans="78:79" x14ac:dyDescent="0.35">
      <c r="BZ7212" s="105"/>
      <c r="CA7212" s="20"/>
    </row>
    <row r="7213" spans="78:79" x14ac:dyDescent="0.35">
      <c r="BZ7213" s="105"/>
      <c r="CA7213" s="20"/>
    </row>
    <row r="7214" spans="78:79" x14ac:dyDescent="0.35">
      <c r="BZ7214" s="105"/>
      <c r="CA7214" s="20"/>
    </row>
    <row r="7215" spans="78:79" x14ac:dyDescent="0.35">
      <c r="BZ7215" s="105"/>
      <c r="CA7215" s="20"/>
    </row>
    <row r="7216" spans="78:79" x14ac:dyDescent="0.35">
      <c r="BZ7216" s="105"/>
      <c r="CA7216" s="20"/>
    </row>
    <row r="7217" spans="78:79" x14ac:dyDescent="0.35">
      <c r="BZ7217" s="105"/>
      <c r="CA7217" s="20"/>
    </row>
    <row r="7218" spans="78:79" x14ac:dyDescent="0.35">
      <c r="BZ7218" s="105"/>
      <c r="CA7218" s="20"/>
    </row>
    <row r="7219" spans="78:79" x14ac:dyDescent="0.35">
      <c r="BZ7219" s="105"/>
      <c r="CA7219" s="20"/>
    </row>
    <row r="7220" spans="78:79" x14ac:dyDescent="0.35">
      <c r="BZ7220" s="105"/>
      <c r="CA7220" s="20"/>
    </row>
    <row r="7221" spans="78:79" x14ac:dyDescent="0.35">
      <c r="BZ7221" s="105"/>
      <c r="CA7221" s="20"/>
    </row>
    <row r="7222" spans="78:79" x14ac:dyDescent="0.35">
      <c r="BZ7222" s="105"/>
      <c r="CA7222" s="20"/>
    </row>
    <row r="7223" spans="78:79" x14ac:dyDescent="0.35">
      <c r="BZ7223" s="105"/>
      <c r="CA7223" s="20"/>
    </row>
    <row r="7224" spans="78:79" x14ac:dyDescent="0.35">
      <c r="BZ7224" s="105"/>
      <c r="CA7224" s="20"/>
    </row>
    <row r="7225" spans="78:79" x14ac:dyDescent="0.35">
      <c r="BZ7225" s="105"/>
      <c r="CA7225" s="20"/>
    </row>
    <row r="7226" spans="78:79" x14ac:dyDescent="0.35">
      <c r="BZ7226" s="105"/>
      <c r="CA7226" s="20"/>
    </row>
    <row r="7227" spans="78:79" x14ac:dyDescent="0.35">
      <c r="BZ7227" s="105"/>
      <c r="CA7227" s="20"/>
    </row>
    <row r="7228" spans="78:79" x14ac:dyDescent="0.35">
      <c r="BZ7228" s="105"/>
      <c r="CA7228" s="20"/>
    </row>
    <row r="7229" spans="78:79" x14ac:dyDescent="0.35">
      <c r="BZ7229" s="105"/>
      <c r="CA7229" s="20"/>
    </row>
    <row r="7230" spans="78:79" x14ac:dyDescent="0.35">
      <c r="BZ7230" s="105"/>
      <c r="CA7230" s="20"/>
    </row>
    <row r="7231" spans="78:79" x14ac:dyDescent="0.35">
      <c r="BZ7231" s="105"/>
      <c r="CA7231" s="20"/>
    </row>
    <row r="7232" spans="78:79" x14ac:dyDescent="0.35">
      <c r="BZ7232" s="105"/>
      <c r="CA7232" s="20"/>
    </row>
    <row r="7233" spans="78:79" x14ac:dyDescent="0.35">
      <c r="BZ7233" s="105"/>
      <c r="CA7233" s="20"/>
    </row>
    <row r="7234" spans="78:79" x14ac:dyDescent="0.35">
      <c r="BZ7234" s="105"/>
      <c r="CA7234" s="20"/>
    </row>
    <row r="7235" spans="78:79" x14ac:dyDescent="0.35">
      <c r="BZ7235" s="105"/>
      <c r="CA7235" s="20"/>
    </row>
    <row r="7236" spans="78:79" x14ac:dyDescent="0.35">
      <c r="BZ7236" s="105"/>
      <c r="CA7236" s="20"/>
    </row>
    <row r="7237" spans="78:79" x14ac:dyDescent="0.35">
      <c r="BZ7237" s="105"/>
      <c r="CA7237" s="20"/>
    </row>
    <row r="7238" spans="78:79" x14ac:dyDescent="0.35">
      <c r="BZ7238" s="105"/>
      <c r="CA7238" s="20"/>
    </row>
    <row r="7239" spans="78:79" x14ac:dyDescent="0.35">
      <c r="BZ7239" s="105"/>
      <c r="CA7239" s="20"/>
    </row>
    <row r="7240" spans="78:79" x14ac:dyDescent="0.35">
      <c r="BZ7240" s="105"/>
      <c r="CA7240" s="20"/>
    </row>
    <row r="7241" spans="78:79" x14ac:dyDescent="0.35">
      <c r="BZ7241" s="105"/>
      <c r="CA7241" s="20"/>
    </row>
    <row r="7242" spans="78:79" x14ac:dyDescent="0.35">
      <c r="BZ7242" s="105"/>
      <c r="CA7242" s="20"/>
    </row>
    <row r="7243" spans="78:79" x14ac:dyDescent="0.35">
      <c r="BZ7243" s="105"/>
      <c r="CA7243" s="20"/>
    </row>
    <row r="7244" spans="78:79" x14ac:dyDescent="0.35">
      <c r="BZ7244" s="105"/>
      <c r="CA7244" s="20"/>
    </row>
    <row r="7245" spans="78:79" x14ac:dyDescent="0.35">
      <c r="BZ7245" s="105"/>
      <c r="CA7245" s="20"/>
    </row>
    <row r="7246" spans="78:79" x14ac:dyDescent="0.35">
      <c r="BZ7246" s="105"/>
      <c r="CA7246" s="20"/>
    </row>
    <row r="7247" spans="78:79" x14ac:dyDescent="0.35">
      <c r="BZ7247" s="105"/>
      <c r="CA7247" s="20"/>
    </row>
    <row r="7248" spans="78:79" x14ac:dyDescent="0.35">
      <c r="BZ7248" s="105"/>
      <c r="CA7248" s="20"/>
    </row>
    <row r="7249" spans="78:79" x14ac:dyDescent="0.35">
      <c r="BZ7249" s="105"/>
      <c r="CA7249" s="20"/>
    </row>
    <row r="7250" spans="78:79" x14ac:dyDescent="0.35">
      <c r="BZ7250" s="105"/>
      <c r="CA7250" s="20"/>
    </row>
    <row r="7251" spans="78:79" x14ac:dyDescent="0.35">
      <c r="BZ7251" s="105"/>
      <c r="CA7251" s="20"/>
    </row>
    <row r="7252" spans="78:79" x14ac:dyDescent="0.35">
      <c r="BZ7252" s="105"/>
      <c r="CA7252" s="20"/>
    </row>
    <row r="7253" spans="78:79" x14ac:dyDescent="0.35">
      <c r="BZ7253" s="105"/>
      <c r="CA7253" s="20"/>
    </row>
    <row r="7254" spans="78:79" x14ac:dyDescent="0.35">
      <c r="BZ7254" s="105"/>
      <c r="CA7254" s="20"/>
    </row>
    <row r="7255" spans="78:79" x14ac:dyDescent="0.35">
      <c r="BZ7255" s="105"/>
      <c r="CA7255" s="20"/>
    </row>
    <row r="7256" spans="78:79" x14ac:dyDescent="0.35">
      <c r="BZ7256" s="105"/>
      <c r="CA7256" s="20"/>
    </row>
    <row r="7257" spans="78:79" x14ac:dyDescent="0.35">
      <c r="BZ7257" s="105"/>
      <c r="CA7257" s="20"/>
    </row>
    <row r="7258" spans="78:79" x14ac:dyDescent="0.35">
      <c r="BZ7258" s="105"/>
      <c r="CA7258" s="20"/>
    </row>
    <row r="7259" spans="78:79" x14ac:dyDescent="0.35">
      <c r="BZ7259" s="105"/>
      <c r="CA7259" s="20"/>
    </row>
    <row r="7260" spans="78:79" x14ac:dyDescent="0.35">
      <c r="BZ7260" s="105"/>
      <c r="CA7260" s="20"/>
    </row>
    <row r="7261" spans="78:79" x14ac:dyDescent="0.35">
      <c r="BZ7261" s="105"/>
      <c r="CA7261" s="20"/>
    </row>
    <row r="7262" spans="78:79" x14ac:dyDescent="0.35">
      <c r="BZ7262" s="105"/>
      <c r="CA7262" s="20"/>
    </row>
    <row r="7263" spans="78:79" x14ac:dyDescent="0.35">
      <c r="BZ7263" s="105"/>
      <c r="CA7263" s="20"/>
    </row>
    <row r="7264" spans="78:79" x14ac:dyDescent="0.35">
      <c r="BZ7264" s="105"/>
      <c r="CA7264" s="20"/>
    </row>
    <row r="7265" spans="78:79" x14ac:dyDescent="0.35">
      <c r="BZ7265" s="105"/>
      <c r="CA7265" s="20"/>
    </row>
    <row r="7266" spans="78:79" x14ac:dyDescent="0.35">
      <c r="BZ7266" s="105"/>
      <c r="CA7266" s="20"/>
    </row>
    <row r="7267" spans="78:79" x14ac:dyDescent="0.35">
      <c r="BZ7267" s="105"/>
      <c r="CA7267" s="20"/>
    </row>
    <row r="7268" spans="78:79" x14ac:dyDescent="0.35">
      <c r="BZ7268" s="105"/>
      <c r="CA7268" s="20"/>
    </row>
    <row r="7269" spans="78:79" x14ac:dyDescent="0.35">
      <c r="BZ7269" s="105"/>
      <c r="CA7269" s="20"/>
    </row>
    <row r="7270" spans="78:79" x14ac:dyDescent="0.35">
      <c r="BZ7270" s="105"/>
      <c r="CA7270" s="20"/>
    </row>
    <row r="7271" spans="78:79" x14ac:dyDescent="0.35">
      <c r="BZ7271" s="105"/>
      <c r="CA7271" s="20"/>
    </row>
    <row r="7272" spans="78:79" x14ac:dyDescent="0.35">
      <c r="BZ7272" s="105"/>
      <c r="CA7272" s="20"/>
    </row>
    <row r="7273" spans="78:79" x14ac:dyDescent="0.35">
      <c r="BZ7273" s="105"/>
      <c r="CA7273" s="20"/>
    </row>
    <row r="7274" spans="78:79" x14ac:dyDescent="0.35">
      <c r="BZ7274" s="105"/>
      <c r="CA7274" s="20"/>
    </row>
    <row r="7275" spans="78:79" x14ac:dyDescent="0.35">
      <c r="BZ7275" s="105"/>
      <c r="CA7275" s="20"/>
    </row>
    <row r="7276" spans="78:79" x14ac:dyDescent="0.35">
      <c r="BZ7276" s="105"/>
      <c r="CA7276" s="20"/>
    </row>
    <row r="7277" spans="78:79" x14ac:dyDescent="0.35">
      <c r="BZ7277" s="105"/>
      <c r="CA7277" s="20"/>
    </row>
    <row r="7278" spans="78:79" x14ac:dyDescent="0.35">
      <c r="BZ7278" s="105"/>
      <c r="CA7278" s="20"/>
    </row>
    <row r="7279" spans="78:79" x14ac:dyDescent="0.35">
      <c r="BZ7279" s="105"/>
      <c r="CA7279" s="20"/>
    </row>
    <row r="7280" spans="78:79" x14ac:dyDescent="0.35">
      <c r="BZ7280" s="105"/>
      <c r="CA7280" s="20"/>
    </row>
    <row r="7281" spans="78:79" x14ac:dyDescent="0.35">
      <c r="BZ7281" s="105"/>
      <c r="CA7281" s="20"/>
    </row>
    <row r="7282" spans="78:79" x14ac:dyDescent="0.35">
      <c r="BZ7282" s="105"/>
      <c r="CA7282" s="20"/>
    </row>
    <row r="7283" spans="78:79" x14ac:dyDescent="0.35">
      <c r="BZ7283" s="105"/>
      <c r="CA7283" s="20"/>
    </row>
    <row r="7284" spans="78:79" x14ac:dyDescent="0.35">
      <c r="BZ7284" s="105"/>
      <c r="CA7284" s="20"/>
    </row>
    <row r="7285" spans="78:79" x14ac:dyDescent="0.35">
      <c r="BZ7285" s="105"/>
      <c r="CA7285" s="20"/>
    </row>
    <row r="7286" spans="78:79" x14ac:dyDescent="0.35">
      <c r="BZ7286" s="105"/>
      <c r="CA7286" s="20"/>
    </row>
    <row r="7287" spans="78:79" x14ac:dyDescent="0.35">
      <c r="BZ7287" s="105"/>
      <c r="CA7287" s="20"/>
    </row>
    <row r="7288" spans="78:79" x14ac:dyDescent="0.35">
      <c r="BZ7288" s="105"/>
      <c r="CA7288" s="20"/>
    </row>
    <row r="7289" spans="78:79" x14ac:dyDescent="0.35">
      <c r="BZ7289" s="105"/>
      <c r="CA7289" s="20"/>
    </row>
    <row r="7290" spans="78:79" x14ac:dyDescent="0.35">
      <c r="BZ7290" s="105"/>
      <c r="CA7290" s="20"/>
    </row>
    <row r="7291" spans="78:79" x14ac:dyDescent="0.35">
      <c r="BZ7291" s="105"/>
      <c r="CA7291" s="20"/>
    </row>
    <row r="7292" spans="78:79" x14ac:dyDescent="0.35">
      <c r="BZ7292" s="105"/>
      <c r="CA7292" s="20"/>
    </row>
    <row r="7293" spans="78:79" x14ac:dyDescent="0.35">
      <c r="BZ7293" s="105"/>
      <c r="CA7293" s="20"/>
    </row>
    <row r="7294" spans="78:79" x14ac:dyDescent="0.35">
      <c r="BZ7294" s="105"/>
      <c r="CA7294" s="20"/>
    </row>
    <row r="7295" spans="78:79" x14ac:dyDescent="0.35">
      <c r="BZ7295" s="105"/>
      <c r="CA7295" s="20"/>
    </row>
    <row r="7296" spans="78:79" x14ac:dyDescent="0.35">
      <c r="BZ7296" s="105"/>
      <c r="CA7296" s="20"/>
    </row>
    <row r="7297" spans="78:79" x14ac:dyDescent="0.35">
      <c r="BZ7297" s="105"/>
      <c r="CA7297" s="20"/>
    </row>
    <row r="7298" spans="78:79" x14ac:dyDescent="0.35">
      <c r="BZ7298" s="105"/>
      <c r="CA7298" s="20"/>
    </row>
    <row r="7299" spans="78:79" x14ac:dyDescent="0.35">
      <c r="BZ7299" s="105"/>
      <c r="CA7299" s="20"/>
    </row>
    <row r="7300" spans="78:79" x14ac:dyDescent="0.35">
      <c r="BZ7300" s="105"/>
      <c r="CA7300" s="20"/>
    </row>
    <row r="7301" spans="78:79" x14ac:dyDescent="0.35">
      <c r="BZ7301" s="105"/>
      <c r="CA7301" s="20"/>
    </row>
    <row r="7302" spans="78:79" x14ac:dyDescent="0.35">
      <c r="BZ7302" s="105"/>
      <c r="CA7302" s="20"/>
    </row>
    <row r="7303" spans="78:79" x14ac:dyDescent="0.35">
      <c r="BZ7303" s="105"/>
      <c r="CA7303" s="20"/>
    </row>
    <row r="7304" spans="78:79" x14ac:dyDescent="0.35">
      <c r="BZ7304" s="105"/>
      <c r="CA7304" s="20"/>
    </row>
    <row r="7305" spans="78:79" x14ac:dyDescent="0.35">
      <c r="BZ7305" s="105"/>
      <c r="CA7305" s="20"/>
    </row>
    <row r="7306" spans="78:79" x14ac:dyDescent="0.35">
      <c r="BZ7306" s="105"/>
      <c r="CA7306" s="20"/>
    </row>
    <row r="7307" spans="78:79" x14ac:dyDescent="0.35">
      <c r="BZ7307" s="105"/>
      <c r="CA7307" s="20"/>
    </row>
    <row r="7308" spans="78:79" x14ac:dyDescent="0.35">
      <c r="BZ7308" s="105"/>
      <c r="CA7308" s="20"/>
    </row>
    <row r="7309" spans="78:79" x14ac:dyDescent="0.35">
      <c r="BZ7309" s="105"/>
      <c r="CA7309" s="20"/>
    </row>
    <row r="7310" spans="78:79" x14ac:dyDescent="0.35">
      <c r="BZ7310" s="105"/>
      <c r="CA7310" s="20"/>
    </row>
    <row r="7311" spans="78:79" x14ac:dyDescent="0.35">
      <c r="BZ7311" s="105"/>
      <c r="CA7311" s="20"/>
    </row>
    <row r="7312" spans="78:79" x14ac:dyDescent="0.35">
      <c r="BZ7312" s="105"/>
      <c r="CA7312" s="20"/>
    </row>
    <row r="7313" spans="78:79" x14ac:dyDescent="0.35">
      <c r="BZ7313" s="105"/>
      <c r="CA7313" s="20"/>
    </row>
    <row r="7314" spans="78:79" x14ac:dyDescent="0.35">
      <c r="BZ7314" s="105"/>
      <c r="CA7314" s="20"/>
    </row>
    <row r="7315" spans="78:79" x14ac:dyDescent="0.35">
      <c r="BZ7315" s="105"/>
      <c r="CA7315" s="20"/>
    </row>
    <row r="7316" spans="78:79" x14ac:dyDescent="0.35">
      <c r="BZ7316" s="105"/>
      <c r="CA7316" s="20"/>
    </row>
    <row r="7317" spans="78:79" x14ac:dyDescent="0.35">
      <c r="BZ7317" s="105"/>
      <c r="CA7317" s="20"/>
    </row>
    <row r="7318" spans="78:79" x14ac:dyDescent="0.35">
      <c r="BZ7318" s="105"/>
      <c r="CA7318" s="20"/>
    </row>
    <row r="7319" spans="78:79" x14ac:dyDescent="0.35">
      <c r="BZ7319" s="105"/>
      <c r="CA7319" s="20"/>
    </row>
    <row r="7320" spans="78:79" x14ac:dyDescent="0.35">
      <c r="BZ7320" s="105"/>
      <c r="CA7320" s="20"/>
    </row>
    <row r="7321" spans="78:79" x14ac:dyDescent="0.35">
      <c r="BZ7321" s="105"/>
      <c r="CA7321" s="20"/>
    </row>
    <row r="7322" spans="78:79" x14ac:dyDescent="0.35">
      <c r="BZ7322" s="105"/>
      <c r="CA7322" s="20"/>
    </row>
    <row r="7323" spans="78:79" x14ac:dyDescent="0.35">
      <c r="BZ7323" s="105"/>
      <c r="CA7323" s="20"/>
    </row>
    <row r="7324" spans="78:79" x14ac:dyDescent="0.35">
      <c r="BZ7324" s="105"/>
      <c r="CA7324" s="20"/>
    </row>
    <row r="7325" spans="78:79" x14ac:dyDescent="0.35">
      <c r="BZ7325" s="105"/>
      <c r="CA7325" s="20"/>
    </row>
    <row r="7326" spans="78:79" x14ac:dyDescent="0.35">
      <c r="BZ7326" s="105"/>
      <c r="CA7326" s="20"/>
    </row>
    <row r="7327" spans="78:79" x14ac:dyDescent="0.35">
      <c r="BZ7327" s="105"/>
      <c r="CA7327" s="20"/>
    </row>
    <row r="7328" spans="78:79" x14ac:dyDescent="0.35">
      <c r="BZ7328" s="105"/>
      <c r="CA7328" s="20"/>
    </row>
    <row r="7329" spans="78:79" x14ac:dyDescent="0.35">
      <c r="BZ7329" s="105"/>
      <c r="CA7329" s="20"/>
    </row>
    <row r="7330" spans="78:79" x14ac:dyDescent="0.35">
      <c r="BZ7330" s="105"/>
      <c r="CA7330" s="20"/>
    </row>
    <row r="7331" spans="78:79" x14ac:dyDescent="0.35">
      <c r="BZ7331" s="105"/>
      <c r="CA7331" s="20"/>
    </row>
    <row r="7332" spans="78:79" x14ac:dyDescent="0.35">
      <c r="BZ7332" s="105"/>
      <c r="CA7332" s="20"/>
    </row>
    <row r="7333" spans="78:79" x14ac:dyDescent="0.35">
      <c r="BZ7333" s="105"/>
      <c r="CA7333" s="20"/>
    </row>
    <row r="7334" spans="78:79" x14ac:dyDescent="0.35">
      <c r="BZ7334" s="105"/>
      <c r="CA7334" s="20"/>
    </row>
    <row r="7335" spans="78:79" x14ac:dyDescent="0.35">
      <c r="BZ7335" s="105"/>
      <c r="CA7335" s="20"/>
    </row>
    <row r="7336" spans="78:79" x14ac:dyDescent="0.35">
      <c r="BZ7336" s="105"/>
      <c r="CA7336" s="20"/>
    </row>
    <row r="7337" spans="78:79" x14ac:dyDescent="0.35">
      <c r="BZ7337" s="105"/>
      <c r="CA7337" s="20"/>
    </row>
    <row r="7338" spans="78:79" x14ac:dyDescent="0.35">
      <c r="BZ7338" s="105"/>
      <c r="CA7338" s="20"/>
    </row>
    <row r="7339" spans="78:79" x14ac:dyDescent="0.35">
      <c r="BZ7339" s="105"/>
      <c r="CA7339" s="20"/>
    </row>
    <row r="7340" spans="78:79" x14ac:dyDescent="0.35">
      <c r="BZ7340" s="105"/>
      <c r="CA7340" s="20"/>
    </row>
    <row r="7341" spans="78:79" x14ac:dyDescent="0.35">
      <c r="BZ7341" s="105"/>
      <c r="CA7341" s="20"/>
    </row>
    <row r="7342" spans="78:79" x14ac:dyDescent="0.35">
      <c r="BZ7342" s="105"/>
      <c r="CA7342" s="20"/>
    </row>
    <row r="7343" spans="78:79" x14ac:dyDescent="0.35">
      <c r="BZ7343" s="105"/>
      <c r="CA7343" s="20"/>
    </row>
    <row r="7344" spans="78:79" x14ac:dyDescent="0.35">
      <c r="BZ7344" s="105"/>
      <c r="CA7344" s="20"/>
    </row>
    <row r="7345" spans="78:79" x14ac:dyDescent="0.35">
      <c r="BZ7345" s="105"/>
      <c r="CA7345" s="20"/>
    </row>
    <row r="7346" spans="78:79" x14ac:dyDescent="0.35">
      <c r="BZ7346" s="105"/>
      <c r="CA7346" s="20"/>
    </row>
    <row r="7347" spans="78:79" x14ac:dyDescent="0.35">
      <c r="BZ7347" s="105"/>
      <c r="CA7347" s="20"/>
    </row>
    <row r="7348" spans="78:79" x14ac:dyDescent="0.35">
      <c r="BZ7348" s="105"/>
      <c r="CA7348" s="20"/>
    </row>
    <row r="7349" spans="78:79" x14ac:dyDescent="0.35">
      <c r="BZ7349" s="105"/>
      <c r="CA7349" s="20"/>
    </row>
    <row r="7350" spans="78:79" x14ac:dyDescent="0.35">
      <c r="BZ7350" s="105"/>
      <c r="CA7350" s="20"/>
    </row>
    <row r="7351" spans="78:79" x14ac:dyDescent="0.35">
      <c r="BZ7351" s="105"/>
      <c r="CA7351" s="20"/>
    </row>
    <row r="7352" spans="78:79" x14ac:dyDescent="0.35">
      <c r="BZ7352" s="105"/>
      <c r="CA7352" s="20"/>
    </row>
    <row r="7353" spans="78:79" x14ac:dyDescent="0.35">
      <c r="BZ7353" s="105"/>
      <c r="CA7353" s="20"/>
    </row>
    <row r="7354" spans="78:79" x14ac:dyDescent="0.35">
      <c r="BZ7354" s="105"/>
      <c r="CA7354" s="20"/>
    </row>
    <row r="7355" spans="78:79" x14ac:dyDescent="0.35">
      <c r="BZ7355" s="105"/>
      <c r="CA7355" s="20"/>
    </row>
    <row r="7356" spans="78:79" x14ac:dyDescent="0.35">
      <c r="BZ7356" s="105"/>
      <c r="CA7356" s="20"/>
    </row>
    <row r="7357" spans="78:79" x14ac:dyDescent="0.35">
      <c r="BZ7357" s="105"/>
      <c r="CA7357" s="20"/>
    </row>
    <row r="7358" spans="78:79" x14ac:dyDescent="0.35">
      <c r="BZ7358" s="105"/>
      <c r="CA7358" s="20"/>
    </row>
    <row r="7359" spans="78:79" x14ac:dyDescent="0.35">
      <c r="BZ7359" s="105"/>
      <c r="CA7359" s="20"/>
    </row>
    <row r="7360" spans="78:79" x14ac:dyDescent="0.35">
      <c r="BZ7360" s="105"/>
      <c r="CA7360" s="20"/>
    </row>
    <row r="7361" spans="78:79" x14ac:dyDescent="0.35">
      <c r="BZ7361" s="105"/>
      <c r="CA7361" s="20"/>
    </row>
    <row r="7362" spans="78:79" x14ac:dyDescent="0.35">
      <c r="BZ7362" s="105"/>
      <c r="CA7362" s="20"/>
    </row>
    <row r="7363" spans="78:79" x14ac:dyDescent="0.35">
      <c r="BZ7363" s="105"/>
      <c r="CA7363" s="20"/>
    </row>
    <row r="7364" spans="78:79" x14ac:dyDescent="0.35">
      <c r="BZ7364" s="105"/>
      <c r="CA7364" s="20"/>
    </row>
    <row r="7365" spans="78:79" x14ac:dyDescent="0.35">
      <c r="BZ7365" s="105"/>
      <c r="CA7365" s="20"/>
    </row>
    <row r="7366" spans="78:79" x14ac:dyDescent="0.35">
      <c r="BZ7366" s="105"/>
      <c r="CA7366" s="20"/>
    </row>
    <row r="7367" spans="78:79" x14ac:dyDescent="0.35">
      <c r="BZ7367" s="105"/>
      <c r="CA7367" s="20"/>
    </row>
    <row r="7368" spans="78:79" x14ac:dyDescent="0.35">
      <c r="BZ7368" s="105"/>
      <c r="CA7368" s="20"/>
    </row>
    <row r="7369" spans="78:79" x14ac:dyDescent="0.35">
      <c r="BZ7369" s="105"/>
      <c r="CA7369" s="20"/>
    </row>
    <row r="7370" spans="78:79" x14ac:dyDescent="0.35">
      <c r="BZ7370" s="105"/>
      <c r="CA7370" s="20"/>
    </row>
    <row r="7371" spans="78:79" x14ac:dyDescent="0.35">
      <c r="BZ7371" s="105"/>
      <c r="CA7371" s="20"/>
    </row>
    <row r="7372" spans="78:79" x14ac:dyDescent="0.35">
      <c r="BZ7372" s="105"/>
      <c r="CA7372" s="20"/>
    </row>
    <row r="7373" spans="78:79" x14ac:dyDescent="0.35">
      <c r="BZ7373" s="105"/>
      <c r="CA7373" s="20"/>
    </row>
    <row r="7374" spans="78:79" x14ac:dyDescent="0.35">
      <c r="BZ7374" s="105"/>
      <c r="CA7374" s="20"/>
    </row>
    <row r="7375" spans="78:79" x14ac:dyDescent="0.35">
      <c r="BZ7375" s="105"/>
      <c r="CA7375" s="20"/>
    </row>
    <row r="7376" spans="78:79" x14ac:dyDescent="0.35">
      <c r="BZ7376" s="105"/>
      <c r="CA7376" s="20"/>
    </row>
    <row r="7377" spans="78:79" x14ac:dyDescent="0.35">
      <c r="BZ7377" s="105"/>
      <c r="CA7377" s="20"/>
    </row>
    <row r="7378" spans="78:79" x14ac:dyDescent="0.35">
      <c r="BZ7378" s="105"/>
      <c r="CA7378" s="20"/>
    </row>
    <row r="7379" spans="78:79" x14ac:dyDescent="0.35">
      <c r="BZ7379" s="105"/>
      <c r="CA7379" s="20"/>
    </row>
    <row r="7380" spans="78:79" x14ac:dyDescent="0.35">
      <c r="BZ7380" s="105"/>
      <c r="CA7380" s="20"/>
    </row>
    <row r="7381" spans="78:79" x14ac:dyDescent="0.35">
      <c r="BZ7381" s="105"/>
      <c r="CA7381" s="20"/>
    </row>
    <row r="7382" spans="78:79" x14ac:dyDescent="0.35">
      <c r="BZ7382" s="105"/>
      <c r="CA7382" s="20"/>
    </row>
    <row r="7383" spans="78:79" x14ac:dyDescent="0.35">
      <c r="BZ7383" s="105"/>
      <c r="CA7383" s="20"/>
    </row>
    <row r="7384" spans="78:79" x14ac:dyDescent="0.35">
      <c r="BZ7384" s="105"/>
      <c r="CA7384" s="20"/>
    </row>
    <row r="7385" spans="78:79" x14ac:dyDescent="0.35">
      <c r="BZ7385" s="105"/>
      <c r="CA7385" s="20"/>
    </row>
    <row r="7386" spans="78:79" x14ac:dyDescent="0.35">
      <c r="BZ7386" s="105"/>
      <c r="CA7386" s="20"/>
    </row>
    <row r="7387" spans="78:79" x14ac:dyDescent="0.35">
      <c r="BZ7387" s="105"/>
      <c r="CA7387" s="20"/>
    </row>
    <row r="7388" spans="78:79" x14ac:dyDescent="0.35">
      <c r="BZ7388" s="105"/>
      <c r="CA7388" s="20"/>
    </row>
    <row r="7389" spans="78:79" x14ac:dyDescent="0.35">
      <c r="BZ7389" s="105"/>
      <c r="CA7389" s="20"/>
    </row>
    <row r="7390" spans="78:79" x14ac:dyDescent="0.35">
      <c r="BZ7390" s="105"/>
      <c r="CA7390" s="20"/>
    </row>
    <row r="7391" spans="78:79" x14ac:dyDescent="0.35">
      <c r="BZ7391" s="105"/>
      <c r="CA7391" s="20"/>
    </row>
    <row r="7392" spans="78:79" x14ac:dyDescent="0.35">
      <c r="BZ7392" s="105"/>
      <c r="CA7392" s="20"/>
    </row>
    <row r="7393" spans="78:79" x14ac:dyDescent="0.35">
      <c r="BZ7393" s="105"/>
      <c r="CA7393" s="20"/>
    </row>
    <row r="7394" spans="78:79" x14ac:dyDescent="0.35">
      <c r="BZ7394" s="105"/>
      <c r="CA7394" s="20"/>
    </row>
    <row r="7395" spans="78:79" x14ac:dyDescent="0.35">
      <c r="BZ7395" s="105"/>
      <c r="CA7395" s="20"/>
    </row>
    <row r="7396" spans="78:79" x14ac:dyDescent="0.35">
      <c r="BZ7396" s="105"/>
      <c r="CA7396" s="20"/>
    </row>
    <row r="7397" spans="78:79" x14ac:dyDescent="0.35">
      <c r="BZ7397" s="105"/>
      <c r="CA7397" s="20"/>
    </row>
    <row r="7398" spans="78:79" x14ac:dyDescent="0.35">
      <c r="BZ7398" s="105"/>
      <c r="CA7398" s="20"/>
    </row>
    <row r="7399" spans="78:79" x14ac:dyDescent="0.35">
      <c r="BZ7399" s="105"/>
      <c r="CA7399" s="20"/>
    </row>
    <row r="7400" spans="78:79" x14ac:dyDescent="0.35">
      <c r="BZ7400" s="105"/>
      <c r="CA7400" s="20"/>
    </row>
    <row r="7401" spans="78:79" x14ac:dyDescent="0.35">
      <c r="BZ7401" s="105"/>
      <c r="CA7401" s="20"/>
    </row>
    <row r="7402" spans="78:79" x14ac:dyDescent="0.35">
      <c r="BZ7402" s="105"/>
      <c r="CA7402" s="20"/>
    </row>
    <row r="7403" spans="78:79" x14ac:dyDescent="0.35">
      <c r="BZ7403" s="105"/>
      <c r="CA7403" s="20"/>
    </row>
    <row r="7404" spans="78:79" x14ac:dyDescent="0.35">
      <c r="BZ7404" s="105"/>
      <c r="CA7404" s="20"/>
    </row>
    <row r="7405" spans="78:79" x14ac:dyDescent="0.35">
      <c r="BZ7405" s="105"/>
      <c r="CA7405" s="20"/>
    </row>
    <row r="7406" spans="78:79" x14ac:dyDescent="0.35">
      <c r="BZ7406" s="105"/>
      <c r="CA7406" s="20"/>
    </row>
    <row r="7407" spans="78:79" x14ac:dyDescent="0.35">
      <c r="BZ7407" s="105"/>
      <c r="CA7407" s="20"/>
    </row>
    <row r="7408" spans="78:79" x14ac:dyDescent="0.35">
      <c r="BZ7408" s="105"/>
      <c r="CA7408" s="20"/>
    </row>
    <row r="7409" spans="78:79" x14ac:dyDescent="0.35">
      <c r="BZ7409" s="105"/>
      <c r="CA7409" s="20"/>
    </row>
    <row r="7410" spans="78:79" x14ac:dyDescent="0.35">
      <c r="BZ7410" s="105"/>
      <c r="CA7410" s="20"/>
    </row>
    <row r="7411" spans="78:79" x14ac:dyDescent="0.35">
      <c r="BZ7411" s="105"/>
      <c r="CA7411" s="20"/>
    </row>
    <row r="7412" spans="78:79" x14ac:dyDescent="0.35">
      <c r="BZ7412" s="105"/>
      <c r="CA7412" s="20"/>
    </row>
    <row r="7413" spans="78:79" x14ac:dyDescent="0.35">
      <c r="BZ7413" s="105"/>
      <c r="CA7413" s="20"/>
    </row>
    <row r="7414" spans="78:79" x14ac:dyDescent="0.35">
      <c r="BZ7414" s="105"/>
      <c r="CA7414" s="20"/>
    </row>
    <row r="7415" spans="78:79" x14ac:dyDescent="0.35">
      <c r="BZ7415" s="105"/>
      <c r="CA7415" s="20"/>
    </row>
    <row r="7416" spans="78:79" x14ac:dyDescent="0.35">
      <c r="BZ7416" s="105"/>
      <c r="CA7416" s="20"/>
    </row>
    <row r="7417" spans="78:79" x14ac:dyDescent="0.35">
      <c r="BZ7417" s="105"/>
      <c r="CA7417" s="20"/>
    </row>
    <row r="7418" spans="78:79" x14ac:dyDescent="0.35">
      <c r="BZ7418" s="105"/>
      <c r="CA7418" s="20"/>
    </row>
    <row r="7419" spans="78:79" x14ac:dyDescent="0.35">
      <c r="BZ7419" s="105"/>
      <c r="CA7419" s="20"/>
    </row>
    <row r="7420" spans="78:79" x14ac:dyDescent="0.35">
      <c r="BZ7420" s="105"/>
      <c r="CA7420" s="20"/>
    </row>
    <row r="7421" spans="78:79" x14ac:dyDescent="0.35">
      <c r="BZ7421" s="105"/>
      <c r="CA7421" s="20"/>
    </row>
    <row r="7422" spans="78:79" x14ac:dyDescent="0.35">
      <c r="BZ7422" s="105"/>
      <c r="CA7422" s="20"/>
    </row>
    <row r="7423" spans="78:79" x14ac:dyDescent="0.35">
      <c r="BZ7423" s="105"/>
      <c r="CA7423" s="20"/>
    </row>
    <row r="7424" spans="78:79" x14ac:dyDescent="0.35">
      <c r="BZ7424" s="105"/>
      <c r="CA7424" s="20"/>
    </row>
    <row r="7425" spans="78:79" x14ac:dyDescent="0.35">
      <c r="BZ7425" s="105"/>
      <c r="CA7425" s="20"/>
    </row>
    <row r="7426" spans="78:79" x14ac:dyDescent="0.35">
      <c r="BZ7426" s="105"/>
      <c r="CA7426" s="20"/>
    </row>
    <row r="7427" spans="78:79" x14ac:dyDescent="0.35">
      <c r="BZ7427" s="105"/>
      <c r="CA7427" s="20"/>
    </row>
    <row r="7428" spans="78:79" x14ac:dyDescent="0.35">
      <c r="BZ7428" s="105"/>
      <c r="CA7428" s="20"/>
    </row>
    <row r="7429" spans="78:79" x14ac:dyDescent="0.35">
      <c r="BZ7429" s="105"/>
      <c r="CA7429" s="20"/>
    </row>
    <row r="7430" spans="78:79" x14ac:dyDescent="0.35">
      <c r="BZ7430" s="105"/>
      <c r="CA7430" s="20"/>
    </row>
    <row r="7431" spans="78:79" x14ac:dyDescent="0.35">
      <c r="BZ7431" s="105"/>
      <c r="CA7431" s="20"/>
    </row>
    <row r="7432" spans="78:79" x14ac:dyDescent="0.35">
      <c r="BZ7432" s="105"/>
      <c r="CA7432" s="20"/>
    </row>
    <row r="7433" spans="78:79" x14ac:dyDescent="0.35">
      <c r="BZ7433" s="105"/>
      <c r="CA7433" s="20"/>
    </row>
    <row r="7434" spans="78:79" x14ac:dyDescent="0.35">
      <c r="BZ7434" s="105"/>
      <c r="CA7434" s="20"/>
    </row>
    <row r="7435" spans="78:79" x14ac:dyDescent="0.35">
      <c r="BZ7435" s="105"/>
      <c r="CA7435" s="20"/>
    </row>
    <row r="7436" spans="78:79" x14ac:dyDescent="0.35">
      <c r="BZ7436" s="105"/>
      <c r="CA7436" s="20"/>
    </row>
    <row r="7437" spans="78:79" x14ac:dyDescent="0.35">
      <c r="BZ7437" s="105"/>
      <c r="CA7437" s="20"/>
    </row>
    <row r="7438" spans="78:79" x14ac:dyDescent="0.35">
      <c r="BZ7438" s="105"/>
      <c r="CA7438" s="20"/>
    </row>
    <row r="7439" spans="78:79" x14ac:dyDescent="0.35">
      <c r="BZ7439" s="105"/>
      <c r="CA7439" s="20"/>
    </row>
    <row r="7440" spans="78:79" x14ac:dyDescent="0.35">
      <c r="BZ7440" s="105"/>
      <c r="CA7440" s="20"/>
    </row>
    <row r="7441" spans="78:79" x14ac:dyDescent="0.35">
      <c r="BZ7441" s="105"/>
      <c r="CA7441" s="20"/>
    </row>
    <row r="7442" spans="78:79" x14ac:dyDescent="0.35">
      <c r="BZ7442" s="105"/>
      <c r="CA7442" s="20"/>
    </row>
    <row r="7443" spans="78:79" x14ac:dyDescent="0.35">
      <c r="BZ7443" s="105"/>
      <c r="CA7443" s="20"/>
    </row>
    <row r="7444" spans="78:79" x14ac:dyDescent="0.35">
      <c r="BZ7444" s="105"/>
      <c r="CA7444" s="20"/>
    </row>
    <row r="7445" spans="78:79" x14ac:dyDescent="0.35">
      <c r="BZ7445" s="105"/>
      <c r="CA7445" s="20"/>
    </row>
    <row r="7446" spans="78:79" x14ac:dyDescent="0.35">
      <c r="BZ7446" s="105"/>
      <c r="CA7446" s="20"/>
    </row>
    <row r="7447" spans="78:79" x14ac:dyDescent="0.35">
      <c r="BZ7447" s="105"/>
      <c r="CA7447" s="20"/>
    </row>
    <row r="7448" spans="78:79" x14ac:dyDescent="0.35">
      <c r="BZ7448" s="105"/>
      <c r="CA7448" s="20"/>
    </row>
    <row r="7449" spans="78:79" x14ac:dyDescent="0.35">
      <c r="BZ7449" s="105"/>
      <c r="CA7449" s="20"/>
    </row>
    <row r="7450" spans="78:79" x14ac:dyDescent="0.35">
      <c r="BZ7450" s="105"/>
      <c r="CA7450" s="20"/>
    </row>
    <row r="7451" spans="78:79" x14ac:dyDescent="0.35">
      <c r="BZ7451" s="105"/>
      <c r="CA7451" s="20"/>
    </row>
    <row r="7452" spans="78:79" x14ac:dyDescent="0.35">
      <c r="BZ7452" s="105"/>
      <c r="CA7452" s="20"/>
    </row>
    <row r="7453" spans="78:79" x14ac:dyDescent="0.35">
      <c r="BZ7453" s="105"/>
      <c r="CA7453" s="20"/>
    </row>
    <row r="7454" spans="78:79" x14ac:dyDescent="0.35">
      <c r="BZ7454" s="105"/>
      <c r="CA7454" s="20"/>
    </row>
    <row r="7455" spans="78:79" x14ac:dyDescent="0.35">
      <c r="BZ7455" s="105"/>
      <c r="CA7455" s="20"/>
    </row>
    <row r="7456" spans="78:79" x14ac:dyDescent="0.35">
      <c r="BZ7456" s="105"/>
      <c r="CA7456" s="20"/>
    </row>
    <row r="7457" spans="78:79" x14ac:dyDescent="0.35">
      <c r="BZ7457" s="105"/>
      <c r="CA7457" s="20"/>
    </row>
    <row r="7458" spans="78:79" x14ac:dyDescent="0.35">
      <c r="BZ7458" s="105"/>
      <c r="CA7458" s="20"/>
    </row>
    <row r="7459" spans="78:79" x14ac:dyDescent="0.35">
      <c r="BZ7459" s="105"/>
      <c r="CA7459" s="20"/>
    </row>
    <row r="7460" spans="78:79" x14ac:dyDescent="0.35">
      <c r="BZ7460" s="105"/>
      <c r="CA7460" s="20"/>
    </row>
    <row r="7461" spans="78:79" x14ac:dyDescent="0.35">
      <c r="BZ7461" s="105"/>
      <c r="CA7461" s="20"/>
    </row>
    <row r="7462" spans="78:79" x14ac:dyDescent="0.35">
      <c r="BZ7462" s="105"/>
      <c r="CA7462" s="20"/>
    </row>
    <row r="7463" spans="78:79" x14ac:dyDescent="0.35">
      <c r="BZ7463" s="105"/>
      <c r="CA7463" s="20"/>
    </row>
    <row r="7464" spans="78:79" x14ac:dyDescent="0.35">
      <c r="BZ7464" s="105"/>
      <c r="CA7464" s="20"/>
    </row>
    <row r="7465" spans="78:79" x14ac:dyDescent="0.35">
      <c r="BZ7465" s="105"/>
      <c r="CA7465" s="20"/>
    </row>
    <row r="7466" spans="78:79" x14ac:dyDescent="0.35">
      <c r="BZ7466" s="105"/>
      <c r="CA7466" s="20"/>
    </row>
    <row r="7467" spans="78:79" x14ac:dyDescent="0.35">
      <c r="BZ7467" s="105"/>
      <c r="CA7467" s="20"/>
    </row>
    <row r="7468" spans="78:79" x14ac:dyDescent="0.35">
      <c r="BZ7468" s="105"/>
      <c r="CA7468" s="20"/>
    </row>
    <row r="7469" spans="78:79" x14ac:dyDescent="0.35">
      <c r="BZ7469" s="105"/>
      <c r="CA7469" s="20"/>
    </row>
    <row r="7470" spans="78:79" x14ac:dyDescent="0.35">
      <c r="BZ7470" s="105"/>
      <c r="CA7470" s="20"/>
    </row>
    <row r="7471" spans="78:79" x14ac:dyDescent="0.35">
      <c r="BZ7471" s="105"/>
      <c r="CA7471" s="20"/>
    </row>
    <row r="7472" spans="78:79" x14ac:dyDescent="0.35">
      <c r="BZ7472" s="105"/>
      <c r="CA7472" s="20"/>
    </row>
    <row r="7473" spans="78:79" x14ac:dyDescent="0.35">
      <c r="BZ7473" s="105"/>
      <c r="CA7473" s="20"/>
    </row>
    <row r="7474" spans="78:79" x14ac:dyDescent="0.35">
      <c r="BZ7474" s="105"/>
      <c r="CA7474" s="20"/>
    </row>
    <row r="7475" spans="78:79" x14ac:dyDescent="0.35">
      <c r="BZ7475" s="105"/>
      <c r="CA7475" s="20"/>
    </row>
    <row r="7476" spans="78:79" x14ac:dyDescent="0.35">
      <c r="BZ7476" s="105"/>
      <c r="CA7476" s="20"/>
    </row>
    <row r="7477" spans="78:79" x14ac:dyDescent="0.35">
      <c r="BZ7477" s="105"/>
      <c r="CA7477" s="20"/>
    </row>
    <row r="7478" spans="78:79" x14ac:dyDescent="0.35">
      <c r="BZ7478" s="105"/>
      <c r="CA7478" s="20"/>
    </row>
    <row r="7479" spans="78:79" x14ac:dyDescent="0.35">
      <c r="BZ7479" s="105"/>
      <c r="CA7479" s="20"/>
    </row>
    <row r="7480" spans="78:79" x14ac:dyDescent="0.35">
      <c r="BZ7480" s="105"/>
      <c r="CA7480" s="20"/>
    </row>
    <row r="7481" spans="78:79" x14ac:dyDescent="0.35">
      <c r="BZ7481" s="105"/>
      <c r="CA7481" s="20"/>
    </row>
    <row r="7482" spans="78:79" x14ac:dyDescent="0.35">
      <c r="BZ7482" s="105"/>
      <c r="CA7482" s="20"/>
    </row>
    <row r="7483" spans="78:79" x14ac:dyDescent="0.35">
      <c r="BZ7483" s="105"/>
      <c r="CA7483" s="20"/>
    </row>
    <row r="7484" spans="78:79" x14ac:dyDescent="0.35">
      <c r="BZ7484" s="105"/>
      <c r="CA7484" s="20"/>
    </row>
    <row r="7485" spans="78:79" x14ac:dyDescent="0.35">
      <c r="BZ7485" s="105"/>
      <c r="CA7485" s="20"/>
    </row>
    <row r="7486" spans="78:79" x14ac:dyDescent="0.35">
      <c r="BZ7486" s="105"/>
      <c r="CA7486" s="20"/>
    </row>
    <row r="7487" spans="78:79" x14ac:dyDescent="0.35">
      <c r="BZ7487" s="105"/>
      <c r="CA7487" s="20"/>
    </row>
    <row r="7488" spans="78:79" x14ac:dyDescent="0.35">
      <c r="BZ7488" s="105"/>
      <c r="CA7488" s="20"/>
    </row>
    <row r="7489" spans="78:79" x14ac:dyDescent="0.35">
      <c r="BZ7489" s="105"/>
      <c r="CA7489" s="20"/>
    </row>
    <row r="7490" spans="78:79" x14ac:dyDescent="0.35">
      <c r="BZ7490" s="105"/>
      <c r="CA7490" s="20"/>
    </row>
    <row r="7491" spans="78:79" x14ac:dyDescent="0.35">
      <c r="BZ7491" s="105"/>
      <c r="CA7491" s="20"/>
    </row>
    <row r="7492" spans="78:79" x14ac:dyDescent="0.35">
      <c r="BZ7492" s="105"/>
      <c r="CA7492" s="20"/>
    </row>
    <row r="7493" spans="78:79" x14ac:dyDescent="0.35">
      <c r="BZ7493" s="105"/>
      <c r="CA7493" s="20"/>
    </row>
    <row r="7494" spans="78:79" x14ac:dyDescent="0.35">
      <c r="BZ7494" s="105"/>
      <c r="CA7494" s="20"/>
    </row>
    <row r="7495" spans="78:79" x14ac:dyDescent="0.35">
      <c r="BZ7495" s="105"/>
      <c r="CA7495" s="20"/>
    </row>
    <row r="7496" spans="78:79" x14ac:dyDescent="0.35">
      <c r="BZ7496" s="105"/>
      <c r="CA7496" s="20"/>
    </row>
    <row r="7497" spans="78:79" x14ac:dyDescent="0.35">
      <c r="BZ7497" s="105"/>
      <c r="CA7497" s="20"/>
    </row>
    <row r="7498" spans="78:79" x14ac:dyDescent="0.35">
      <c r="BZ7498" s="105"/>
      <c r="CA7498" s="20"/>
    </row>
    <row r="7499" spans="78:79" x14ac:dyDescent="0.35">
      <c r="BZ7499" s="105"/>
      <c r="CA7499" s="20"/>
    </row>
    <row r="7500" spans="78:79" x14ac:dyDescent="0.35">
      <c r="BZ7500" s="105"/>
      <c r="CA7500" s="20"/>
    </row>
    <row r="7501" spans="78:79" x14ac:dyDescent="0.35">
      <c r="BZ7501" s="105"/>
      <c r="CA7501" s="20"/>
    </row>
    <row r="7502" spans="78:79" x14ac:dyDescent="0.35">
      <c r="BZ7502" s="105"/>
      <c r="CA7502" s="20"/>
    </row>
    <row r="7503" spans="78:79" x14ac:dyDescent="0.35">
      <c r="BZ7503" s="105"/>
      <c r="CA7503" s="20"/>
    </row>
    <row r="7504" spans="78:79" x14ac:dyDescent="0.35">
      <c r="BZ7504" s="105"/>
      <c r="CA7504" s="20"/>
    </row>
    <row r="7505" spans="78:79" x14ac:dyDescent="0.35">
      <c r="BZ7505" s="105"/>
      <c r="CA7505" s="20"/>
    </row>
    <row r="7506" spans="78:79" x14ac:dyDescent="0.35">
      <c r="BZ7506" s="105"/>
      <c r="CA7506" s="20"/>
    </row>
    <row r="7507" spans="78:79" x14ac:dyDescent="0.35">
      <c r="BZ7507" s="105"/>
      <c r="CA7507" s="20"/>
    </row>
    <row r="7508" spans="78:79" x14ac:dyDescent="0.35">
      <c r="BZ7508" s="105"/>
      <c r="CA7508" s="20"/>
    </row>
    <row r="7509" spans="78:79" x14ac:dyDescent="0.35">
      <c r="BZ7509" s="105"/>
      <c r="CA7509" s="20"/>
    </row>
    <row r="7510" spans="78:79" x14ac:dyDescent="0.35">
      <c r="BZ7510" s="105"/>
      <c r="CA7510" s="20"/>
    </row>
    <row r="7511" spans="78:79" x14ac:dyDescent="0.35">
      <c r="BZ7511" s="105"/>
      <c r="CA7511" s="20"/>
    </row>
    <row r="7512" spans="78:79" x14ac:dyDescent="0.35">
      <c r="BZ7512" s="105"/>
      <c r="CA7512" s="20"/>
    </row>
    <row r="7513" spans="78:79" x14ac:dyDescent="0.35">
      <c r="BZ7513" s="105"/>
      <c r="CA7513" s="20"/>
    </row>
    <row r="7514" spans="78:79" x14ac:dyDescent="0.35">
      <c r="BZ7514" s="105"/>
      <c r="CA7514" s="20"/>
    </row>
    <row r="7515" spans="78:79" x14ac:dyDescent="0.35">
      <c r="BZ7515" s="105"/>
      <c r="CA7515" s="20"/>
    </row>
    <row r="7516" spans="78:79" x14ac:dyDescent="0.35">
      <c r="BZ7516" s="105"/>
      <c r="CA7516" s="20"/>
    </row>
    <row r="7517" spans="78:79" x14ac:dyDescent="0.35">
      <c r="BZ7517" s="105"/>
      <c r="CA7517" s="20"/>
    </row>
    <row r="7518" spans="78:79" x14ac:dyDescent="0.35">
      <c r="BZ7518" s="105"/>
      <c r="CA7518" s="20"/>
    </row>
    <row r="7519" spans="78:79" x14ac:dyDescent="0.35">
      <c r="BZ7519" s="105"/>
      <c r="CA7519" s="20"/>
    </row>
    <row r="7520" spans="78:79" x14ac:dyDescent="0.35">
      <c r="BZ7520" s="105"/>
      <c r="CA7520" s="20"/>
    </row>
    <row r="7521" spans="78:79" x14ac:dyDescent="0.35">
      <c r="BZ7521" s="105"/>
      <c r="CA7521" s="20"/>
    </row>
    <row r="7522" spans="78:79" x14ac:dyDescent="0.35">
      <c r="BZ7522" s="105"/>
      <c r="CA7522" s="20"/>
    </row>
    <row r="7523" spans="78:79" x14ac:dyDescent="0.35">
      <c r="BZ7523" s="105"/>
      <c r="CA7523" s="20"/>
    </row>
    <row r="7524" spans="78:79" x14ac:dyDescent="0.35">
      <c r="BZ7524" s="105"/>
      <c r="CA7524" s="20"/>
    </row>
    <row r="7525" spans="78:79" x14ac:dyDescent="0.35">
      <c r="BZ7525" s="105"/>
      <c r="CA7525" s="20"/>
    </row>
    <row r="7526" spans="78:79" x14ac:dyDescent="0.35">
      <c r="BZ7526" s="105"/>
      <c r="CA7526" s="20"/>
    </row>
    <row r="7527" spans="78:79" x14ac:dyDescent="0.35">
      <c r="BZ7527" s="105"/>
      <c r="CA7527" s="20"/>
    </row>
    <row r="7528" spans="78:79" x14ac:dyDescent="0.35">
      <c r="BZ7528" s="105"/>
      <c r="CA7528" s="20"/>
    </row>
    <row r="7529" spans="78:79" x14ac:dyDescent="0.35">
      <c r="BZ7529" s="105"/>
      <c r="CA7529" s="20"/>
    </row>
    <row r="7530" spans="78:79" x14ac:dyDescent="0.35">
      <c r="BZ7530" s="105"/>
      <c r="CA7530" s="20"/>
    </row>
    <row r="7531" spans="78:79" x14ac:dyDescent="0.35">
      <c r="BZ7531" s="105"/>
      <c r="CA7531" s="20"/>
    </row>
    <row r="7532" spans="78:79" x14ac:dyDescent="0.35">
      <c r="BZ7532" s="105"/>
      <c r="CA7532" s="20"/>
    </row>
    <row r="7533" spans="78:79" x14ac:dyDescent="0.35">
      <c r="BZ7533" s="105"/>
      <c r="CA7533" s="20"/>
    </row>
    <row r="7534" spans="78:79" x14ac:dyDescent="0.35">
      <c r="BZ7534" s="105"/>
      <c r="CA7534" s="20"/>
    </row>
    <row r="7535" spans="78:79" x14ac:dyDescent="0.35">
      <c r="BZ7535" s="105"/>
      <c r="CA7535" s="20"/>
    </row>
    <row r="7536" spans="78:79" x14ac:dyDescent="0.35">
      <c r="BZ7536" s="105"/>
      <c r="CA7536" s="20"/>
    </row>
    <row r="7537" spans="78:79" x14ac:dyDescent="0.35">
      <c r="BZ7537" s="105"/>
      <c r="CA7537" s="20"/>
    </row>
    <row r="7538" spans="78:79" x14ac:dyDescent="0.35">
      <c r="BZ7538" s="105"/>
      <c r="CA7538" s="20"/>
    </row>
    <row r="7539" spans="78:79" x14ac:dyDescent="0.35">
      <c r="BZ7539" s="105"/>
      <c r="CA7539" s="20"/>
    </row>
    <row r="7540" spans="78:79" x14ac:dyDescent="0.35">
      <c r="BZ7540" s="105"/>
      <c r="CA7540" s="20"/>
    </row>
    <row r="7541" spans="78:79" x14ac:dyDescent="0.35">
      <c r="BZ7541" s="105"/>
      <c r="CA7541" s="20"/>
    </row>
    <row r="7542" spans="78:79" x14ac:dyDescent="0.35">
      <c r="BZ7542" s="105"/>
      <c r="CA7542" s="20"/>
    </row>
    <row r="7543" spans="78:79" x14ac:dyDescent="0.35">
      <c r="BZ7543" s="105"/>
      <c r="CA7543" s="20"/>
    </row>
    <row r="7544" spans="78:79" x14ac:dyDescent="0.35">
      <c r="BZ7544" s="105"/>
      <c r="CA7544" s="20"/>
    </row>
    <row r="7545" spans="78:79" x14ac:dyDescent="0.35">
      <c r="BZ7545" s="105"/>
      <c r="CA7545" s="20"/>
    </row>
    <row r="7546" spans="78:79" x14ac:dyDescent="0.35">
      <c r="BZ7546" s="105"/>
      <c r="CA7546" s="20"/>
    </row>
    <row r="7547" spans="78:79" x14ac:dyDescent="0.35">
      <c r="BZ7547" s="105"/>
      <c r="CA7547" s="20"/>
    </row>
    <row r="7548" spans="78:79" x14ac:dyDescent="0.35">
      <c r="BZ7548" s="105"/>
      <c r="CA7548" s="20"/>
    </row>
    <row r="7549" spans="78:79" x14ac:dyDescent="0.35">
      <c r="BZ7549" s="105"/>
      <c r="CA7549" s="20"/>
    </row>
    <row r="7550" spans="78:79" x14ac:dyDescent="0.35">
      <c r="BZ7550" s="105"/>
      <c r="CA7550" s="20"/>
    </row>
    <row r="7551" spans="78:79" x14ac:dyDescent="0.35">
      <c r="BZ7551" s="105"/>
      <c r="CA7551" s="20"/>
    </row>
    <row r="7552" spans="78:79" x14ac:dyDescent="0.35">
      <c r="BZ7552" s="105"/>
      <c r="CA7552" s="20"/>
    </row>
    <row r="7553" spans="78:79" x14ac:dyDescent="0.35">
      <c r="BZ7553" s="105"/>
      <c r="CA7553" s="20"/>
    </row>
    <row r="7554" spans="78:79" x14ac:dyDescent="0.35">
      <c r="BZ7554" s="105"/>
      <c r="CA7554" s="20"/>
    </row>
    <row r="7555" spans="78:79" x14ac:dyDescent="0.35">
      <c r="BZ7555" s="105"/>
      <c r="CA7555" s="20"/>
    </row>
    <row r="7556" spans="78:79" x14ac:dyDescent="0.35">
      <c r="BZ7556" s="105"/>
      <c r="CA7556" s="20"/>
    </row>
    <row r="7557" spans="78:79" x14ac:dyDescent="0.35">
      <c r="BZ7557" s="105"/>
      <c r="CA7557" s="20"/>
    </row>
    <row r="7558" spans="78:79" x14ac:dyDescent="0.35">
      <c r="BZ7558" s="105"/>
      <c r="CA7558" s="20"/>
    </row>
    <row r="7559" spans="78:79" x14ac:dyDescent="0.35">
      <c r="BZ7559" s="105"/>
      <c r="CA7559" s="20"/>
    </row>
    <row r="7560" spans="78:79" x14ac:dyDescent="0.35">
      <c r="BZ7560" s="105"/>
      <c r="CA7560" s="20"/>
    </row>
    <row r="7561" spans="78:79" x14ac:dyDescent="0.35">
      <c r="BZ7561" s="105"/>
      <c r="CA7561" s="20"/>
    </row>
    <row r="7562" spans="78:79" x14ac:dyDescent="0.35">
      <c r="BZ7562" s="105"/>
      <c r="CA7562" s="20"/>
    </row>
    <row r="7563" spans="78:79" x14ac:dyDescent="0.35">
      <c r="BZ7563" s="105"/>
      <c r="CA7563" s="20"/>
    </row>
    <row r="7564" spans="78:79" x14ac:dyDescent="0.35">
      <c r="BZ7564" s="105"/>
      <c r="CA7564" s="20"/>
    </row>
    <row r="7565" spans="78:79" x14ac:dyDescent="0.35">
      <c r="BZ7565" s="105"/>
      <c r="CA7565" s="20"/>
    </row>
    <row r="7566" spans="78:79" x14ac:dyDescent="0.35">
      <c r="BZ7566" s="105"/>
      <c r="CA7566" s="20"/>
    </row>
    <row r="7567" spans="78:79" x14ac:dyDescent="0.35">
      <c r="BZ7567" s="105"/>
      <c r="CA7567" s="20"/>
    </row>
    <row r="7568" spans="78:79" x14ac:dyDescent="0.35">
      <c r="BZ7568" s="105"/>
      <c r="CA7568" s="20"/>
    </row>
    <row r="7569" spans="78:79" x14ac:dyDescent="0.35">
      <c r="BZ7569" s="105"/>
      <c r="CA7569" s="20"/>
    </row>
    <row r="7570" spans="78:79" x14ac:dyDescent="0.35">
      <c r="BZ7570" s="105"/>
      <c r="CA7570" s="20"/>
    </row>
    <row r="7571" spans="78:79" x14ac:dyDescent="0.35">
      <c r="BZ7571" s="105"/>
      <c r="CA7571" s="20"/>
    </row>
    <row r="7572" spans="78:79" x14ac:dyDescent="0.35">
      <c r="BZ7572" s="105"/>
      <c r="CA7572" s="20"/>
    </row>
    <row r="7573" spans="78:79" x14ac:dyDescent="0.35">
      <c r="BZ7573" s="105"/>
      <c r="CA7573" s="20"/>
    </row>
    <row r="7574" spans="78:79" x14ac:dyDescent="0.35">
      <c r="BZ7574" s="105"/>
      <c r="CA7574" s="20"/>
    </row>
    <row r="7575" spans="78:79" x14ac:dyDescent="0.35">
      <c r="BZ7575" s="105"/>
      <c r="CA7575" s="20"/>
    </row>
    <row r="7576" spans="78:79" x14ac:dyDescent="0.35">
      <c r="BZ7576" s="105"/>
      <c r="CA7576" s="20"/>
    </row>
    <row r="7577" spans="78:79" x14ac:dyDescent="0.35">
      <c r="BZ7577" s="105"/>
      <c r="CA7577" s="20"/>
    </row>
    <row r="7578" spans="78:79" x14ac:dyDescent="0.35">
      <c r="BZ7578" s="105"/>
      <c r="CA7578" s="20"/>
    </row>
    <row r="7579" spans="78:79" x14ac:dyDescent="0.35">
      <c r="BZ7579" s="105"/>
      <c r="CA7579" s="20"/>
    </row>
    <row r="7580" spans="78:79" x14ac:dyDescent="0.35">
      <c r="BZ7580" s="105"/>
      <c r="CA7580" s="20"/>
    </row>
    <row r="7581" spans="78:79" x14ac:dyDescent="0.35">
      <c r="BZ7581" s="105"/>
      <c r="CA7581" s="20"/>
    </row>
    <row r="7582" spans="78:79" x14ac:dyDescent="0.35">
      <c r="BZ7582" s="105"/>
      <c r="CA7582" s="20"/>
    </row>
    <row r="7583" spans="78:79" x14ac:dyDescent="0.35">
      <c r="BZ7583" s="105"/>
      <c r="CA7583" s="20"/>
    </row>
    <row r="7584" spans="78:79" x14ac:dyDescent="0.35">
      <c r="BZ7584" s="105"/>
      <c r="CA7584" s="20"/>
    </row>
    <row r="7585" spans="78:79" x14ac:dyDescent="0.35">
      <c r="BZ7585" s="105"/>
      <c r="CA7585" s="20"/>
    </row>
    <row r="7586" spans="78:79" x14ac:dyDescent="0.35">
      <c r="BZ7586" s="105"/>
      <c r="CA7586" s="20"/>
    </row>
    <row r="7587" spans="78:79" x14ac:dyDescent="0.35">
      <c r="BZ7587" s="105"/>
      <c r="CA7587" s="20"/>
    </row>
    <row r="7588" spans="78:79" x14ac:dyDescent="0.35">
      <c r="BZ7588" s="105"/>
      <c r="CA7588" s="20"/>
    </row>
    <row r="7589" spans="78:79" x14ac:dyDescent="0.35">
      <c r="BZ7589" s="105"/>
      <c r="CA7589" s="20"/>
    </row>
    <row r="7590" spans="78:79" x14ac:dyDescent="0.35">
      <c r="BZ7590" s="105"/>
      <c r="CA7590" s="20"/>
    </row>
    <row r="7591" spans="78:79" x14ac:dyDescent="0.35">
      <c r="BZ7591" s="105"/>
      <c r="CA7591" s="20"/>
    </row>
    <row r="7592" spans="78:79" x14ac:dyDescent="0.35">
      <c r="BZ7592" s="105"/>
      <c r="CA7592" s="20"/>
    </row>
    <row r="7593" spans="78:79" x14ac:dyDescent="0.35">
      <c r="BZ7593" s="105"/>
      <c r="CA7593" s="20"/>
    </row>
    <row r="7594" spans="78:79" x14ac:dyDescent="0.35">
      <c r="BZ7594" s="105"/>
      <c r="CA7594" s="20"/>
    </row>
    <row r="7595" spans="78:79" x14ac:dyDescent="0.35">
      <c r="BZ7595" s="105"/>
      <c r="CA7595" s="20"/>
    </row>
    <row r="7596" spans="78:79" x14ac:dyDescent="0.35">
      <c r="BZ7596" s="105"/>
      <c r="CA7596" s="20"/>
    </row>
    <row r="7597" spans="78:79" x14ac:dyDescent="0.35">
      <c r="BZ7597" s="105"/>
      <c r="CA7597" s="20"/>
    </row>
    <row r="7598" spans="78:79" x14ac:dyDescent="0.35">
      <c r="BZ7598" s="105"/>
      <c r="CA7598" s="20"/>
    </row>
    <row r="7599" spans="78:79" x14ac:dyDescent="0.35">
      <c r="BZ7599" s="105"/>
      <c r="CA7599" s="20"/>
    </row>
    <row r="7600" spans="78:79" x14ac:dyDescent="0.35">
      <c r="BZ7600" s="105"/>
      <c r="CA7600" s="20"/>
    </row>
    <row r="7601" spans="78:79" x14ac:dyDescent="0.35">
      <c r="BZ7601" s="105"/>
      <c r="CA7601" s="20"/>
    </row>
    <row r="7602" spans="78:79" x14ac:dyDescent="0.35">
      <c r="BZ7602" s="105"/>
      <c r="CA7602" s="20"/>
    </row>
    <row r="7603" spans="78:79" x14ac:dyDescent="0.35">
      <c r="BZ7603" s="105"/>
      <c r="CA7603" s="20"/>
    </row>
    <row r="7604" spans="78:79" x14ac:dyDescent="0.35">
      <c r="BZ7604" s="105"/>
      <c r="CA7604" s="20"/>
    </row>
    <row r="7605" spans="78:79" x14ac:dyDescent="0.35">
      <c r="BZ7605" s="105"/>
      <c r="CA7605" s="20"/>
    </row>
    <row r="7606" spans="78:79" x14ac:dyDescent="0.35">
      <c r="BZ7606" s="105"/>
      <c r="CA7606" s="20"/>
    </row>
    <row r="7607" spans="78:79" x14ac:dyDescent="0.35">
      <c r="BZ7607" s="105"/>
      <c r="CA7607" s="20"/>
    </row>
    <row r="7608" spans="78:79" x14ac:dyDescent="0.35">
      <c r="BZ7608" s="105"/>
      <c r="CA7608" s="20"/>
    </row>
    <row r="7609" spans="78:79" x14ac:dyDescent="0.35">
      <c r="BZ7609" s="105"/>
      <c r="CA7609" s="20"/>
    </row>
    <row r="7610" spans="78:79" x14ac:dyDescent="0.35">
      <c r="BZ7610" s="105"/>
      <c r="CA7610" s="20"/>
    </row>
    <row r="7611" spans="78:79" x14ac:dyDescent="0.35">
      <c r="BZ7611" s="105"/>
      <c r="CA7611" s="20"/>
    </row>
    <row r="7612" spans="78:79" x14ac:dyDescent="0.35">
      <c r="BZ7612" s="105"/>
      <c r="CA7612" s="20"/>
    </row>
    <row r="7613" spans="78:79" x14ac:dyDescent="0.35">
      <c r="BZ7613" s="105"/>
      <c r="CA7613" s="20"/>
    </row>
    <row r="7614" spans="78:79" x14ac:dyDescent="0.35">
      <c r="BZ7614" s="105"/>
      <c r="CA7614" s="20"/>
    </row>
    <row r="7615" spans="78:79" x14ac:dyDescent="0.35">
      <c r="BZ7615" s="105"/>
      <c r="CA7615" s="20"/>
    </row>
    <row r="7616" spans="78:79" x14ac:dyDescent="0.35">
      <c r="BZ7616" s="105"/>
      <c r="CA7616" s="20"/>
    </row>
    <row r="7617" spans="78:79" x14ac:dyDescent="0.35">
      <c r="BZ7617" s="105"/>
      <c r="CA7617" s="20"/>
    </row>
    <row r="7618" spans="78:79" x14ac:dyDescent="0.35">
      <c r="BZ7618" s="105"/>
      <c r="CA7618" s="20"/>
    </row>
    <row r="7619" spans="78:79" x14ac:dyDescent="0.35">
      <c r="BZ7619" s="105"/>
      <c r="CA7619" s="20"/>
    </row>
    <row r="7620" spans="78:79" x14ac:dyDescent="0.35">
      <c r="BZ7620" s="105"/>
      <c r="CA7620" s="20"/>
    </row>
    <row r="7621" spans="78:79" x14ac:dyDescent="0.35">
      <c r="BZ7621" s="105"/>
      <c r="CA7621" s="20"/>
    </row>
    <row r="7622" spans="78:79" x14ac:dyDescent="0.35">
      <c r="BZ7622" s="105"/>
      <c r="CA7622" s="20"/>
    </row>
    <row r="7623" spans="78:79" x14ac:dyDescent="0.35">
      <c r="BZ7623" s="105"/>
      <c r="CA7623" s="20"/>
    </row>
    <row r="7624" spans="78:79" x14ac:dyDescent="0.35">
      <c r="BZ7624" s="105"/>
      <c r="CA7624" s="20"/>
    </row>
    <row r="7625" spans="78:79" x14ac:dyDescent="0.35">
      <c r="BZ7625" s="105"/>
      <c r="CA7625" s="20"/>
    </row>
    <row r="7626" spans="78:79" x14ac:dyDescent="0.35">
      <c r="BZ7626" s="105"/>
      <c r="CA7626" s="20"/>
    </row>
    <row r="7627" spans="78:79" x14ac:dyDescent="0.35">
      <c r="BZ7627" s="105"/>
      <c r="CA7627" s="20"/>
    </row>
    <row r="7628" spans="78:79" x14ac:dyDescent="0.35">
      <c r="BZ7628" s="105"/>
      <c r="CA7628" s="20"/>
    </row>
    <row r="7629" spans="78:79" x14ac:dyDescent="0.35">
      <c r="BZ7629" s="105"/>
      <c r="CA7629" s="20"/>
    </row>
    <row r="7630" spans="78:79" x14ac:dyDescent="0.35">
      <c r="BZ7630" s="105"/>
      <c r="CA7630" s="20"/>
    </row>
    <row r="7631" spans="78:79" x14ac:dyDescent="0.35">
      <c r="BZ7631" s="105"/>
      <c r="CA7631" s="20"/>
    </row>
    <row r="7632" spans="78:79" x14ac:dyDescent="0.35">
      <c r="BZ7632" s="105"/>
      <c r="CA7632" s="20"/>
    </row>
    <row r="7633" spans="78:79" x14ac:dyDescent="0.35">
      <c r="BZ7633" s="105"/>
      <c r="CA7633" s="20"/>
    </row>
    <row r="7634" spans="78:79" x14ac:dyDescent="0.35">
      <c r="BZ7634" s="105"/>
      <c r="CA7634" s="20"/>
    </row>
    <row r="7635" spans="78:79" x14ac:dyDescent="0.35">
      <c r="BZ7635" s="105"/>
      <c r="CA7635" s="20"/>
    </row>
    <row r="7636" spans="78:79" x14ac:dyDescent="0.35">
      <c r="BZ7636" s="105"/>
      <c r="CA7636" s="20"/>
    </row>
    <row r="7637" spans="78:79" x14ac:dyDescent="0.35">
      <c r="BZ7637" s="105"/>
      <c r="CA7637" s="20"/>
    </row>
    <row r="7638" spans="78:79" x14ac:dyDescent="0.35">
      <c r="BZ7638" s="105"/>
      <c r="CA7638" s="20"/>
    </row>
    <row r="7639" spans="78:79" x14ac:dyDescent="0.35">
      <c r="BZ7639" s="105"/>
      <c r="CA7639" s="20"/>
    </row>
    <row r="7640" spans="78:79" x14ac:dyDescent="0.35">
      <c r="BZ7640" s="105"/>
      <c r="CA7640" s="20"/>
    </row>
    <row r="7641" spans="78:79" x14ac:dyDescent="0.35">
      <c r="BZ7641" s="105"/>
      <c r="CA7641" s="20"/>
    </row>
    <row r="7642" spans="78:79" x14ac:dyDescent="0.35">
      <c r="BZ7642" s="105"/>
      <c r="CA7642" s="20"/>
    </row>
    <row r="7643" spans="78:79" x14ac:dyDescent="0.35">
      <c r="BZ7643" s="105"/>
      <c r="CA7643" s="20"/>
    </row>
    <row r="7644" spans="78:79" x14ac:dyDescent="0.35">
      <c r="BZ7644" s="105"/>
      <c r="CA7644" s="20"/>
    </row>
    <row r="7645" spans="78:79" x14ac:dyDescent="0.35">
      <c r="BZ7645" s="105"/>
      <c r="CA7645" s="20"/>
    </row>
    <row r="7646" spans="78:79" x14ac:dyDescent="0.35">
      <c r="BZ7646" s="105"/>
      <c r="CA7646" s="20"/>
    </row>
    <row r="7647" spans="78:79" x14ac:dyDescent="0.35">
      <c r="BZ7647" s="105"/>
      <c r="CA7647" s="20"/>
    </row>
    <row r="7648" spans="78:79" x14ac:dyDescent="0.35">
      <c r="BZ7648" s="105"/>
      <c r="CA7648" s="20"/>
    </row>
    <row r="7649" spans="78:79" x14ac:dyDescent="0.35">
      <c r="BZ7649" s="105"/>
      <c r="CA7649" s="20"/>
    </row>
    <row r="7650" spans="78:79" x14ac:dyDescent="0.35">
      <c r="BZ7650" s="105"/>
      <c r="CA7650" s="20"/>
    </row>
    <row r="7651" spans="78:79" x14ac:dyDescent="0.35">
      <c r="BZ7651" s="105"/>
      <c r="CA7651" s="20"/>
    </row>
    <row r="7652" spans="78:79" x14ac:dyDescent="0.35">
      <c r="BZ7652" s="105"/>
      <c r="CA7652" s="20"/>
    </row>
    <row r="7653" spans="78:79" x14ac:dyDescent="0.35">
      <c r="BZ7653" s="105"/>
      <c r="CA7653" s="20"/>
    </row>
    <row r="7654" spans="78:79" x14ac:dyDescent="0.35">
      <c r="BZ7654" s="105"/>
      <c r="CA7654" s="20"/>
    </row>
    <row r="7655" spans="78:79" x14ac:dyDescent="0.35">
      <c r="BZ7655" s="105"/>
      <c r="CA7655" s="20"/>
    </row>
    <row r="7656" spans="78:79" x14ac:dyDescent="0.35">
      <c r="BZ7656" s="105"/>
      <c r="CA7656" s="20"/>
    </row>
    <row r="7657" spans="78:79" x14ac:dyDescent="0.35">
      <c r="BZ7657" s="105"/>
      <c r="CA7657" s="20"/>
    </row>
    <row r="7658" spans="78:79" x14ac:dyDescent="0.35">
      <c r="BZ7658" s="105"/>
      <c r="CA7658" s="20"/>
    </row>
    <row r="7659" spans="78:79" x14ac:dyDescent="0.35">
      <c r="BZ7659" s="105"/>
      <c r="CA7659" s="20"/>
    </row>
    <row r="7660" spans="78:79" x14ac:dyDescent="0.35">
      <c r="BZ7660" s="105"/>
      <c r="CA7660" s="20"/>
    </row>
    <row r="7661" spans="78:79" x14ac:dyDescent="0.35">
      <c r="BZ7661" s="105"/>
      <c r="CA7661" s="20"/>
    </row>
    <row r="7662" spans="78:79" x14ac:dyDescent="0.35">
      <c r="BZ7662" s="105"/>
      <c r="CA7662" s="20"/>
    </row>
    <row r="7663" spans="78:79" x14ac:dyDescent="0.35">
      <c r="BZ7663" s="105"/>
      <c r="CA7663" s="20"/>
    </row>
    <row r="7664" spans="78:79" x14ac:dyDescent="0.35">
      <c r="BZ7664" s="105"/>
      <c r="CA7664" s="20"/>
    </row>
    <row r="7665" spans="78:79" x14ac:dyDescent="0.35">
      <c r="BZ7665" s="105"/>
      <c r="CA7665" s="20"/>
    </row>
    <row r="7666" spans="78:79" x14ac:dyDescent="0.35">
      <c r="BZ7666" s="105"/>
      <c r="CA7666" s="20"/>
    </row>
    <row r="7667" spans="78:79" x14ac:dyDescent="0.35">
      <c r="BZ7667" s="105"/>
      <c r="CA7667" s="20"/>
    </row>
    <row r="7668" spans="78:79" x14ac:dyDescent="0.35">
      <c r="BZ7668" s="105"/>
      <c r="CA7668" s="20"/>
    </row>
    <row r="7669" spans="78:79" x14ac:dyDescent="0.35">
      <c r="BZ7669" s="105"/>
      <c r="CA7669" s="20"/>
    </row>
    <row r="7670" spans="78:79" x14ac:dyDescent="0.35">
      <c r="BZ7670" s="105"/>
      <c r="CA7670" s="20"/>
    </row>
    <row r="7671" spans="78:79" x14ac:dyDescent="0.35">
      <c r="BZ7671" s="105"/>
      <c r="CA7671" s="20"/>
    </row>
    <row r="7672" spans="78:79" x14ac:dyDescent="0.35">
      <c r="BZ7672" s="105"/>
      <c r="CA7672" s="20"/>
    </row>
    <row r="7673" spans="78:79" x14ac:dyDescent="0.35">
      <c r="BZ7673" s="105"/>
      <c r="CA7673" s="20"/>
    </row>
    <row r="7674" spans="78:79" x14ac:dyDescent="0.35">
      <c r="BZ7674" s="105"/>
      <c r="CA7674" s="20"/>
    </row>
    <row r="7675" spans="78:79" x14ac:dyDescent="0.35">
      <c r="BZ7675" s="105"/>
      <c r="CA7675" s="20"/>
    </row>
    <row r="7676" spans="78:79" x14ac:dyDescent="0.35">
      <c r="BZ7676" s="105"/>
      <c r="CA7676" s="20"/>
    </row>
    <row r="7677" spans="78:79" x14ac:dyDescent="0.35">
      <c r="BZ7677" s="105"/>
      <c r="CA7677" s="20"/>
    </row>
    <row r="7678" spans="78:79" x14ac:dyDescent="0.35">
      <c r="BZ7678" s="105"/>
      <c r="CA7678" s="20"/>
    </row>
    <row r="7679" spans="78:79" x14ac:dyDescent="0.35">
      <c r="BZ7679" s="105"/>
      <c r="CA7679" s="20"/>
    </row>
    <row r="7680" spans="78:79" x14ac:dyDescent="0.35">
      <c r="BZ7680" s="105"/>
      <c r="CA7680" s="20"/>
    </row>
    <row r="7681" spans="78:79" x14ac:dyDescent="0.35">
      <c r="BZ7681" s="105"/>
      <c r="CA7681" s="20"/>
    </row>
    <row r="7682" spans="78:79" x14ac:dyDescent="0.35">
      <c r="BZ7682" s="105"/>
      <c r="CA7682" s="20"/>
    </row>
    <row r="7683" spans="78:79" x14ac:dyDescent="0.35">
      <c r="BZ7683" s="105"/>
      <c r="CA7683" s="20"/>
    </row>
    <row r="7684" spans="78:79" x14ac:dyDescent="0.35">
      <c r="BZ7684" s="105"/>
      <c r="CA7684" s="20"/>
    </row>
    <row r="7685" spans="78:79" x14ac:dyDescent="0.35">
      <c r="BZ7685" s="105"/>
      <c r="CA7685" s="20"/>
    </row>
    <row r="7686" spans="78:79" x14ac:dyDescent="0.35">
      <c r="BZ7686" s="105"/>
      <c r="CA7686" s="20"/>
    </row>
    <row r="7687" spans="78:79" x14ac:dyDescent="0.35">
      <c r="BZ7687" s="105"/>
      <c r="CA7687" s="20"/>
    </row>
    <row r="7688" spans="78:79" x14ac:dyDescent="0.35">
      <c r="BZ7688" s="105"/>
      <c r="CA7688" s="20"/>
    </row>
    <row r="7689" spans="78:79" x14ac:dyDescent="0.35">
      <c r="BZ7689" s="105"/>
      <c r="CA7689" s="20"/>
    </row>
    <row r="7690" spans="78:79" x14ac:dyDescent="0.35">
      <c r="BZ7690" s="105"/>
      <c r="CA7690" s="20"/>
    </row>
    <row r="7691" spans="78:79" x14ac:dyDescent="0.35">
      <c r="BZ7691" s="105"/>
      <c r="CA7691" s="20"/>
    </row>
    <row r="7692" spans="78:79" x14ac:dyDescent="0.35">
      <c r="BZ7692" s="105"/>
      <c r="CA7692" s="20"/>
    </row>
    <row r="7693" spans="78:79" x14ac:dyDescent="0.35">
      <c r="BZ7693" s="105"/>
      <c r="CA7693" s="20"/>
    </row>
    <row r="7694" spans="78:79" x14ac:dyDescent="0.35">
      <c r="BZ7694" s="105"/>
      <c r="CA7694" s="20"/>
    </row>
    <row r="7695" spans="78:79" x14ac:dyDescent="0.35">
      <c r="BZ7695" s="105"/>
      <c r="CA7695" s="20"/>
    </row>
    <row r="7696" spans="78:79" x14ac:dyDescent="0.35">
      <c r="BZ7696" s="105"/>
      <c r="CA7696" s="20"/>
    </row>
    <row r="7697" spans="78:79" x14ac:dyDescent="0.35">
      <c r="BZ7697" s="105"/>
      <c r="CA7697" s="20"/>
    </row>
    <row r="7698" spans="78:79" x14ac:dyDescent="0.35">
      <c r="BZ7698" s="105"/>
      <c r="CA7698" s="20"/>
    </row>
    <row r="7699" spans="78:79" x14ac:dyDescent="0.35">
      <c r="BZ7699" s="105"/>
      <c r="CA7699" s="20"/>
    </row>
    <row r="7700" spans="78:79" x14ac:dyDescent="0.35">
      <c r="BZ7700" s="105"/>
      <c r="CA7700" s="20"/>
    </row>
    <row r="7701" spans="78:79" x14ac:dyDescent="0.35">
      <c r="BZ7701" s="105"/>
      <c r="CA7701" s="20"/>
    </row>
    <row r="7702" spans="78:79" x14ac:dyDescent="0.35">
      <c r="BZ7702" s="105"/>
      <c r="CA7702" s="20"/>
    </row>
    <row r="7703" spans="78:79" x14ac:dyDescent="0.35">
      <c r="BZ7703" s="105"/>
      <c r="CA7703" s="20"/>
    </row>
    <row r="7704" spans="78:79" x14ac:dyDescent="0.35">
      <c r="BZ7704" s="105"/>
      <c r="CA7704" s="20"/>
    </row>
    <row r="7705" spans="78:79" x14ac:dyDescent="0.35">
      <c r="BZ7705" s="105"/>
      <c r="CA7705" s="20"/>
    </row>
    <row r="7706" spans="78:79" x14ac:dyDescent="0.35">
      <c r="BZ7706" s="105"/>
      <c r="CA7706" s="20"/>
    </row>
    <row r="7707" spans="78:79" x14ac:dyDescent="0.35">
      <c r="BZ7707" s="105"/>
      <c r="CA7707" s="20"/>
    </row>
    <row r="7708" spans="78:79" x14ac:dyDescent="0.35">
      <c r="BZ7708" s="105"/>
      <c r="CA7708" s="20"/>
    </row>
    <row r="7709" spans="78:79" x14ac:dyDescent="0.35">
      <c r="BZ7709" s="105"/>
      <c r="CA7709" s="20"/>
    </row>
    <row r="7710" spans="78:79" x14ac:dyDescent="0.35">
      <c r="BZ7710" s="105"/>
      <c r="CA7710" s="20"/>
    </row>
    <row r="7711" spans="78:79" x14ac:dyDescent="0.35">
      <c r="BZ7711" s="105"/>
      <c r="CA7711" s="20"/>
    </row>
    <row r="7712" spans="78:79" x14ac:dyDescent="0.35">
      <c r="BZ7712" s="105"/>
      <c r="CA7712" s="20"/>
    </row>
    <row r="7713" spans="78:79" x14ac:dyDescent="0.35">
      <c r="BZ7713" s="105"/>
      <c r="CA7713" s="20"/>
    </row>
    <row r="7714" spans="78:79" x14ac:dyDescent="0.35">
      <c r="BZ7714" s="105"/>
      <c r="CA7714" s="20"/>
    </row>
    <row r="7715" spans="78:79" x14ac:dyDescent="0.35">
      <c r="BZ7715" s="105"/>
      <c r="CA7715" s="20"/>
    </row>
    <row r="7716" spans="78:79" x14ac:dyDescent="0.35">
      <c r="BZ7716" s="105"/>
      <c r="CA7716" s="20"/>
    </row>
    <row r="7717" spans="78:79" x14ac:dyDescent="0.35">
      <c r="BZ7717" s="105"/>
      <c r="CA7717" s="20"/>
    </row>
    <row r="7718" spans="78:79" x14ac:dyDescent="0.35">
      <c r="BZ7718" s="105"/>
      <c r="CA7718" s="20"/>
    </row>
    <row r="7719" spans="78:79" x14ac:dyDescent="0.35">
      <c r="BZ7719" s="105"/>
      <c r="CA7719" s="20"/>
    </row>
    <row r="7720" spans="78:79" x14ac:dyDescent="0.35">
      <c r="BZ7720" s="105"/>
      <c r="CA7720" s="20"/>
    </row>
    <row r="7721" spans="78:79" x14ac:dyDescent="0.35">
      <c r="BZ7721" s="105"/>
      <c r="CA7721" s="20"/>
    </row>
    <row r="7722" spans="78:79" x14ac:dyDescent="0.35">
      <c r="BZ7722" s="105"/>
      <c r="CA7722" s="20"/>
    </row>
    <row r="7723" spans="78:79" x14ac:dyDescent="0.35">
      <c r="BZ7723" s="105"/>
      <c r="CA7723" s="20"/>
    </row>
    <row r="7724" spans="78:79" x14ac:dyDescent="0.35">
      <c r="BZ7724" s="105"/>
      <c r="CA7724" s="20"/>
    </row>
    <row r="7725" spans="78:79" x14ac:dyDescent="0.35">
      <c r="BZ7725" s="105"/>
      <c r="CA7725" s="20"/>
    </row>
    <row r="7726" spans="78:79" x14ac:dyDescent="0.35">
      <c r="BZ7726" s="105"/>
      <c r="CA7726" s="20"/>
    </row>
    <row r="7727" spans="78:79" x14ac:dyDescent="0.35">
      <c r="BZ7727" s="105"/>
      <c r="CA7727" s="20"/>
    </row>
    <row r="7728" spans="78:79" x14ac:dyDescent="0.35">
      <c r="BZ7728" s="105"/>
      <c r="CA7728" s="20"/>
    </row>
    <row r="7729" spans="78:79" x14ac:dyDescent="0.35">
      <c r="BZ7729" s="105"/>
      <c r="CA7729" s="20"/>
    </row>
    <row r="7730" spans="78:79" x14ac:dyDescent="0.35">
      <c r="BZ7730" s="105"/>
      <c r="CA7730" s="20"/>
    </row>
    <row r="7731" spans="78:79" x14ac:dyDescent="0.35">
      <c r="BZ7731" s="105"/>
      <c r="CA7731" s="20"/>
    </row>
    <row r="7732" spans="78:79" x14ac:dyDescent="0.35">
      <c r="BZ7732" s="105"/>
      <c r="CA7732" s="20"/>
    </row>
    <row r="7733" spans="78:79" x14ac:dyDescent="0.35">
      <c r="BZ7733" s="105"/>
      <c r="CA7733" s="20"/>
    </row>
    <row r="7734" spans="78:79" x14ac:dyDescent="0.35">
      <c r="BZ7734" s="105"/>
      <c r="CA7734" s="20"/>
    </row>
    <row r="7735" spans="78:79" x14ac:dyDescent="0.35">
      <c r="BZ7735" s="105"/>
      <c r="CA7735" s="20"/>
    </row>
    <row r="7736" spans="78:79" x14ac:dyDescent="0.35">
      <c r="BZ7736" s="105"/>
      <c r="CA7736" s="20"/>
    </row>
    <row r="7737" spans="78:79" x14ac:dyDescent="0.35">
      <c r="BZ7737" s="105"/>
      <c r="CA7737" s="20"/>
    </row>
    <row r="7738" spans="78:79" x14ac:dyDescent="0.35">
      <c r="BZ7738" s="105"/>
      <c r="CA7738" s="20"/>
    </row>
    <row r="7739" spans="78:79" x14ac:dyDescent="0.35">
      <c r="BZ7739" s="105"/>
      <c r="CA7739" s="20"/>
    </row>
    <row r="7740" spans="78:79" x14ac:dyDescent="0.35">
      <c r="BZ7740" s="105"/>
      <c r="CA7740" s="20"/>
    </row>
    <row r="7741" spans="78:79" x14ac:dyDescent="0.35">
      <c r="BZ7741" s="105"/>
      <c r="CA7741" s="20"/>
    </row>
    <row r="7742" spans="78:79" x14ac:dyDescent="0.35">
      <c r="BZ7742" s="105"/>
      <c r="CA7742" s="20"/>
    </row>
    <row r="7743" spans="78:79" x14ac:dyDescent="0.35">
      <c r="BZ7743" s="105"/>
      <c r="CA7743" s="20"/>
    </row>
    <row r="7744" spans="78:79" x14ac:dyDescent="0.35">
      <c r="BZ7744" s="105"/>
      <c r="CA7744" s="20"/>
    </row>
    <row r="7745" spans="78:79" x14ac:dyDescent="0.35">
      <c r="BZ7745" s="105"/>
      <c r="CA7745" s="20"/>
    </row>
    <row r="7746" spans="78:79" x14ac:dyDescent="0.35">
      <c r="BZ7746" s="105"/>
      <c r="CA7746" s="20"/>
    </row>
    <row r="7747" spans="78:79" x14ac:dyDescent="0.35">
      <c r="BZ7747" s="105"/>
      <c r="CA7747" s="20"/>
    </row>
    <row r="7748" spans="78:79" x14ac:dyDescent="0.35">
      <c r="BZ7748" s="105"/>
      <c r="CA7748" s="20"/>
    </row>
    <row r="7749" spans="78:79" x14ac:dyDescent="0.35">
      <c r="BZ7749" s="105"/>
      <c r="CA7749" s="20"/>
    </row>
    <row r="7750" spans="78:79" x14ac:dyDescent="0.35">
      <c r="BZ7750" s="105"/>
      <c r="CA7750" s="20"/>
    </row>
    <row r="7751" spans="78:79" x14ac:dyDescent="0.35">
      <c r="BZ7751" s="105"/>
      <c r="CA7751" s="20"/>
    </row>
    <row r="7752" spans="78:79" x14ac:dyDescent="0.35">
      <c r="BZ7752" s="105"/>
      <c r="CA7752" s="20"/>
    </row>
    <row r="7753" spans="78:79" x14ac:dyDescent="0.35">
      <c r="BZ7753" s="105"/>
      <c r="CA7753" s="20"/>
    </row>
    <row r="7754" spans="78:79" x14ac:dyDescent="0.35">
      <c r="BZ7754" s="105"/>
      <c r="CA7754" s="20"/>
    </row>
    <row r="7755" spans="78:79" x14ac:dyDescent="0.35">
      <c r="BZ7755" s="105"/>
      <c r="CA7755" s="20"/>
    </row>
    <row r="7756" spans="78:79" x14ac:dyDescent="0.35">
      <c r="BZ7756" s="105"/>
      <c r="CA7756" s="20"/>
    </row>
    <row r="7757" spans="78:79" x14ac:dyDescent="0.35">
      <c r="BZ7757" s="105"/>
      <c r="CA7757" s="20"/>
    </row>
    <row r="7758" spans="78:79" x14ac:dyDescent="0.35">
      <c r="BZ7758" s="105"/>
      <c r="CA7758" s="20"/>
    </row>
    <row r="7759" spans="78:79" x14ac:dyDescent="0.35">
      <c r="BZ7759" s="105"/>
      <c r="CA7759" s="20"/>
    </row>
    <row r="7760" spans="78:79" x14ac:dyDescent="0.35">
      <c r="BZ7760" s="105"/>
      <c r="CA7760" s="20"/>
    </row>
    <row r="7761" spans="78:79" x14ac:dyDescent="0.35">
      <c r="BZ7761" s="105"/>
      <c r="CA7761" s="20"/>
    </row>
    <row r="7762" spans="78:79" x14ac:dyDescent="0.35">
      <c r="BZ7762" s="105"/>
      <c r="CA7762" s="20"/>
    </row>
    <row r="7763" spans="78:79" x14ac:dyDescent="0.35">
      <c r="BZ7763" s="105"/>
      <c r="CA7763" s="20"/>
    </row>
    <row r="7764" spans="78:79" x14ac:dyDescent="0.35">
      <c r="BZ7764" s="105"/>
      <c r="CA7764" s="20"/>
    </row>
    <row r="7765" spans="78:79" x14ac:dyDescent="0.35">
      <c r="BZ7765" s="105"/>
      <c r="CA7765" s="20"/>
    </row>
    <row r="7766" spans="78:79" x14ac:dyDescent="0.35">
      <c r="BZ7766" s="105"/>
      <c r="CA7766" s="20"/>
    </row>
    <row r="7767" spans="78:79" x14ac:dyDescent="0.35">
      <c r="BZ7767" s="105"/>
      <c r="CA7767" s="20"/>
    </row>
    <row r="7768" spans="78:79" x14ac:dyDescent="0.35">
      <c r="BZ7768" s="105"/>
      <c r="CA7768" s="20"/>
    </row>
    <row r="7769" spans="78:79" x14ac:dyDescent="0.35">
      <c r="BZ7769" s="105"/>
      <c r="CA7769" s="20"/>
    </row>
    <row r="7770" spans="78:79" x14ac:dyDescent="0.35">
      <c r="BZ7770" s="105"/>
      <c r="CA7770" s="20"/>
    </row>
    <row r="7771" spans="78:79" x14ac:dyDescent="0.35">
      <c r="BZ7771" s="105"/>
      <c r="CA7771" s="20"/>
    </row>
    <row r="7772" spans="78:79" x14ac:dyDescent="0.35">
      <c r="BZ7772" s="105"/>
      <c r="CA7772" s="20"/>
    </row>
    <row r="7773" spans="78:79" x14ac:dyDescent="0.35">
      <c r="BZ7773" s="105"/>
      <c r="CA7773" s="20"/>
    </row>
    <row r="7774" spans="78:79" x14ac:dyDescent="0.35">
      <c r="BZ7774" s="105"/>
      <c r="CA7774" s="20"/>
    </row>
    <row r="7775" spans="78:79" x14ac:dyDescent="0.35">
      <c r="BZ7775" s="105"/>
      <c r="CA7775" s="20"/>
    </row>
    <row r="7776" spans="78:79" x14ac:dyDescent="0.35">
      <c r="BZ7776" s="105"/>
      <c r="CA7776" s="20"/>
    </row>
    <row r="7777" spans="78:79" x14ac:dyDescent="0.35">
      <c r="BZ7777" s="105"/>
      <c r="CA7777" s="20"/>
    </row>
    <row r="7778" spans="78:79" x14ac:dyDescent="0.35">
      <c r="BZ7778" s="105"/>
      <c r="CA7778" s="20"/>
    </row>
    <row r="7779" spans="78:79" x14ac:dyDescent="0.35">
      <c r="BZ7779" s="105"/>
      <c r="CA7779" s="20"/>
    </row>
    <row r="7780" spans="78:79" x14ac:dyDescent="0.35">
      <c r="BZ7780" s="105"/>
      <c r="CA7780" s="20"/>
    </row>
    <row r="7781" spans="78:79" x14ac:dyDescent="0.35">
      <c r="BZ7781" s="105"/>
      <c r="CA7781" s="20"/>
    </row>
    <row r="7782" spans="78:79" x14ac:dyDescent="0.35">
      <c r="BZ7782" s="105"/>
      <c r="CA7782" s="20"/>
    </row>
    <row r="7783" spans="78:79" x14ac:dyDescent="0.35">
      <c r="BZ7783" s="105"/>
      <c r="CA7783" s="20"/>
    </row>
    <row r="7784" spans="78:79" x14ac:dyDescent="0.35">
      <c r="BZ7784" s="105"/>
      <c r="CA7784" s="20"/>
    </row>
    <row r="7785" spans="78:79" x14ac:dyDescent="0.35">
      <c r="BZ7785" s="105"/>
      <c r="CA7785" s="20"/>
    </row>
    <row r="7786" spans="78:79" x14ac:dyDescent="0.35">
      <c r="BZ7786" s="105"/>
      <c r="CA7786" s="20"/>
    </row>
    <row r="7787" spans="78:79" x14ac:dyDescent="0.35">
      <c r="BZ7787" s="105"/>
      <c r="CA7787" s="20"/>
    </row>
    <row r="7788" spans="78:79" x14ac:dyDescent="0.35">
      <c r="BZ7788" s="105"/>
      <c r="CA7788" s="20"/>
    </row>
    <row r="7789" spans="78:79" x14ac:dyDescent="0.35">
      <c r="BZ7789" s="105"/>
      <c r="CA7789" s="20"/>
    </row>
    <row r="7790" spans="78:79" x14ac:dyDescent="0.35">
      <c r="BZ7790" s="105"/>
      <c r="CA7790" s="20"/>
    </row>
    <row r="7791" spans="78:79" x14ac:dyDescent="0.35">
      <c r="BZ7791" s="105"/>
      <c r="CA7791" s="20"/>
    </row>
    <row r="7792" spans="78:79" x14ac:dyDescent="0.35">
      <c r="BZ7792" s="105"/>
      <c r="CA7792" s="20"/>
    </row>
    <row r="7793" spans="78:79" x14ac:dyDescent="0.35">
      <c r="BZ7793" s="105"/>
      <c r="CA7793" s="20"/>
    </row>
    <row r="7794" spans="78:79" x14ac:dyDescent="0.35">
      <c r="BZ7794" s="105"/>
      <c r="CA7794" s="20"/>
    </row>
    <row r="7795" spans="78:79" x14ac:dyDescent="0.35">
      <c r="BZ7795" s="105"/>
      <c r="CA7795" s="20"/>
    </row>
    <row r="7796" spans="78:79" x14ac:dyDescent="0.35">
      <c r="BZ7796" s="105"/>
      <c r="CA7796" s="20"/>
    </row>
    <row r="7797" spans="78:79" x14ac:dyDescent="0.35">
      <c r="BZ7797" s="105"/>
      <c r="CA7797" s="20"/>
    </row>
    <row r="7798" spans="78:79" x14ac:dyDescent="0.35">
      <c r="BZ7798" s="105"/>
      <c r="CA7798" s="20"/>
    </row>
    <row r="7799" spans="78:79" x14ac:dyDescent="0.35">
      <c r="BZ7799" s="105"/>
      <c r="CA7799" s="20"/>
    </row>
    <row r="7800" spans="78:79" x14ac:dyDescent="0.35">
      <c r="BZ7800" s="105"/>
      <c r="CA7800" s="20"/>
    </row>
    <row r="7801" spans="78:79" x14ac:dyDescent="0.35">
      <c r="BZ7801" s="105"/>
      <c r="CA7801" s="20"/>
    </row>
    <row r="7802" spans="78:79" x14ac:dyDescent="0.35">
      <c r="BZ7802" s="105"/>
      <c r="CA7802" s="20"/>
    </row>
    <row r="7803" spans="78:79" x14ac:dyDescent="0.35">
      <c r="BZ7803" s="105"/>
      <c r="CA7803" s="20"/>
    </row>
    <row r="7804" spans="78:79" x14ac:dyDescent="0.35">
      <c r="BZ7804" s="105"/>
      <c r="CA7804" s="20"/>
    </row>
    <row r="7805" spans="78:79" x14ac:dyDescent="0.35">
      <c r="BZ7805" s="105"/>
      <c r="CA7805" s="20"/>
    </row>
    <row r="7806" spans="78:79" x14ac:dyDescent="0.35">
      <c r="BZ7806" s="105"/>
      <c r="CA7806" s="20"/>
    </row>
    <row r="7807" spans="78:79" x14ac:dyDescent="0.35">
      <c r="BZ7807" s="105"/>
      <c r="CA7807" s="20"/>
    </row>
    <row r="7808" spans="78:79" x14ac:dyDescent="0.35">
      <c r="BZ7808" s="105"/>
      <c r="CA7808" s="20"/>
    </row>
    <row r="7809" spans="78:79" x14ac:dyDescent="0.35">
      <c r="BZ7809" s="105"/>
      <c r="CA7809" s="20"/>
    </row>
    <row r="7810" spans="78:79" x14ac:dyDescent="0.35">
      <c r="BZ7810" s="105"/>
      <c r="CA7810" s="20"/>
    </row>
    <row r="7811" spans="78:79" x14ac:dyDescent="0.35">
      <c r="BZ7811" s="105"/>
      <c r="CA7811" s="20"/>
    </row>
    <row r="7812" spans="78:79" x14ac:dyDescent="0.35">
      <c r="BZ7812" s="105"/>
      <c r="CA7812" s="20"/>
    </row>
    <row r="7813" spans="78:79" x14ac:dyDescent="0.35">
      <c r="BZ7813" s="105"/>
      <c r="CA7813" s="20"/>
    </row>
    <row r="7814" spans="78:79" x14ac:dyDescent="0.35">
      <c r="BZ7814" s="105"/>
      <c r="CA7814" s="20"/>
    </row>
    <row r="7815" spans="78:79" x14ac:dyDescent="0.35">
      <c r="BZ7815" s="105"/>
      <c r="CA7815" s="20"/>
    </row>
    <row r="7816" spans="78:79" x14ac:dyDescent="0.35">
      <c r="BZ7816" s="105"/>
      <c r="CA7816" s="20"/>
    </row>
    <row r="7817" spans="78:79" x14ac:dyDescent="0.35">
      <c r="BZ7817" s="105"/>
      <c r="CA7817" s="20"/>
    </row>
    <row r="7818" spans="78:79" x14ac:dyDescent="0.35">
      <c r="BZ7818" s="105"/>
      <c r="CA7818" s="20"/>
    </row>
    <row r="7819" spans="78:79" x14ac:dyDescent="0.35">
      <c r="BZ7819" s="105"/>
      <c r="CA7819" s="20"/>
    </row>
    <row r="7820" spans="78:79" x14ac:dyDescent="0.35">
      <c r="BZ7820" s="105"/>
      <c r="CA7820" s="20"/>
    </row>
    <row r="7821" spans="78:79" x14ac:dyDescent="0.35">
      <c r="BZ7821" s="105"/>
      <c r="CA7821" s="20"/>
    </row>
    <row r="7822" spans="78:79" x14ac:dyDescent="0.35">
      <c r="BZ7822" s="105"/>
      <c r="CA7822" s="20"/>
    </row>
    <row r="7823" spans="78:79" x14ac:dyDescent="0.35">
      <c r="BZ7823" s="105"/>
      <c r="CA7823" s="20"/>
    </row>
    <row r="7824" spans="78:79" x14ac:dyDescent="0.35">
      <c r="BZ7824" s="105"/>
      <c r="CA7824" s="20"/>
    </row>
    <row r="7825" spans="78:79" x14ac:dyDescent="0.35">
      <c r="BZ7825" s="105"/>
      <c r="CA7825" s="20"/>
    </row>
    <row r="7826" spans="78:79" x14ac:dyDescent="0.35">
      <c r="BZ7826" s="105"/>
      <c r="CA7826" s="20"/>
    </row>
    <row r="7827" spans="78:79" x14ac:dyDescent="0.35">
      <c r="BZ7827" s="105"/>
      <c r="CA7827" s="20"/>
    </row>
    <row r="7828" spans="78:79" x14ac:dyDescent="0.35">
      <c r="BZ7828" s="105"/>
      <c r="CA7828" s="20"/>
    </row>
    <row r="7829" spans="78:79" x14ac:dyDescent="0.35">
      <c r="BZ7829" s="105"/>
      <c r="CA7829" s="20"/>
    </row>
    <row r="7830" spans="78:79" x14ac:dyDescent="0.35">
      <c r="BZ7830" s="105"/>
      <c r="CA7830" s="20"/>
    </row>
    <row r="7831" spans="78:79" x14ac:dyDescent="0.35">
      <c r="BZ7831" s="105"/>
      <c r="CA7831" s="20"/>
    </row>
    <row r="7832" spans="78:79" x14ac:dyDescent="0.35">
      <c r="BZ7832" s="105"/>
      <c r="CA7832" s="20"/>
    </row>
    <row r="7833" spans="78:79" x14ac:dyDescent="0.35">
      <c r="BZ7833" s="105"/>
      <c r="CA7833" s="20"/>
    </row>
    <row r="7834" spans="78:79" x14ac:dyDescent="0.35">
      <c r="BZ7834" s="105"/>
      <c r="CA7834" s="20"/>
    </row>
    <row r="7835" spans="78:79" x14ac:dyDescent="0.35">
      <c r="BZ7835" s="105"/>
      <c r="CA7835" s="20"/>
    </row>
    <row r="7836" spans="78:79" x14ac:dyDescent="0.35">
      <c r="BZ7836" s="105"/>
      <c r="CA7836" s="20"/>
    </row>
    <row r="7837" spans="78:79" x14ac:dyDescent="0.35">
      <c r="BZ7837" s="105"/>
      <c r="CA7837" s="20"/>
    </row>
    <row r="7838" spans="78:79" x14ac:dyDescent="0.35">
      <c r="BZ7838" s="105"/>
      <c r="CA7838" s="20"/>
    </row>
    <row r="7839" spans="78:79" x14ac:dyDescent="0.35">
      <c r="BZ7839" s="105"/>
      <c r="CA7839" s="20"/>
    </row>
    <row r="7840" spans="78:79" x14ac:dyDescent="0.35">
      <c r="BZ7840" s="105"/>
      <c r="CA7840" s="20"/>
    </row>
    <row r="7841" spans="78:79" x14ac:dyDescent="0.35">
      <c r="BZ7841" s="105"/>
      <c r="CA7841" s="20"/>
    </row>
    <row r="7842" spans="78:79" x14ac:dyDescent="0.35">
      <c r="BZ7842" s="105"/>
      <c r="CA7842" s="20"/>
    </row>
    <row r="7843" spans="78:79" x14ac:dyDescent="0.35">
      <c r="BZ7843" s="105"/>
      <c r="CA7843" s="20"/>
    </row>
    <row r="7844" spans="78:79" x14ac:dyDescent="0.35">
      <c r="BZ7844" s="105"/>
      <c r="CA7844" s="20"/>
    </row>
    <row r="7845" spans="78:79" x14ac:dyDescent="0.35">
      <c r="BZ7845" s="105"/>
      <c r="CA7845" s="20"/>
    </row>
    <row r="7846" spans="78:79" x14ac:dyDescent="0.35">
      <c r="BZ7846" s="105"/>
      <c r="CA7846" s="20"/>
    </row>
    <row r="7847" spans="78:79" x14ac:dyDescent="0.35">
      <c r="BZ7847" s="105"/>
      <c r="CA7847" s="20"/>
    </row>
    <row r="7848" spans="78:79" x14ac:dyDescent="0.35">
      <c r="BZ7848" s="105"/>
      <c r="CA7848" s="20"/>
    </row>
    <row r="7849" spans="78:79" x14ac:dyDescent="0.35">
      <c r="BZ7849" s="105"/>
      <c r="CA7849" s="20"/>
    </row>
    <row r="7850" spans="78:79" x14ac:dyDescent="0.35">
      <c r="BZ7850" s="105"/>
      <c r="CA7850" s="20"/>
    </row>
    <row r="7851" spans="78:79" x14ac:dyDescent="0.35">
      <c r="BZ7851" s="105"/>
      <c r="CA7851" s="20"/>
    </row>
    <row r="7852" spans="78:79" x14ac:dyDescent="0.35">
      <c r="BZ7852" s="105"/>
      <c r="CA7852" s="20"/>
    </row>
    <row r="7853" spans="78:79" x14ac:dyDescent="0.35">
      <c r="BZ7853" s="105"/>
      <c r="CA7853" s="20"/>
    </row>
    <row r="7854" spans="78:79" x14ac:dyDescent="0.35">
      <c r="BZ7854" s="105"/>
      <c r="CA7854" s="20"/>
    </row>
    <row r="7855" spans="78:79" x14ac:dyDescent="0.35">
      <c r="BZ7855" s="105"/>
      <c r="CA7855" s="20"/>
    </row>
    <row r="7856" spans="78:79" x14ac:dyDescent="0.35">
      <c r="BZ7856" s="105"/>
      <c r="CA7856" s="20"/>
    </row>
    <row r="7857" spans="78:79" x14ac:dyDescent="0.35">
      <c r="BZ7857" s="105"/>
      <c r="CA7857" s="20"/>
    </row>
    <row r="7858" spans="78:79" x14ac:dyDescent="0.35">
      <c r="BZ7858" s="105"/>
      <c r="CA7858" s="20"/>
    </row>
    <row r="7859" spans="78:79" x14ac:dyDescent="0.35">
      <c r="BZ7859" s="105"/>
      <c r="CA7859" s="20"/>
    </row>
    <row r="7860" spans="78:79" x14ac:dyDescent="0.35">
      <c r="BZ7860" s="105"/>
      <c r="CA7860" s="20"/>
    </row>
    <row r="7861" spans="78:79" x14ac:dyDescent="0.35">
      <c r="BZ7861" s="105"/>
      <c r="CA7861" s="20"/>
    </row>
    <row r="7862" spans="78:79" x14ac:dyDescent="0.35">
      <c r="BZ7862" s="105"/>
      <c r="CA7862" s="20"/>
    </row>
    <row r="7863" spans="78:79" x14ac:dyDescent="0.35">
      <c r="BZ7863" s="105"/>
      <c r="CA7863" s="20"/>
    </row>
    <row r="7864" spans="78:79" x14ac:dyDescent="0.35">
      <c r="BZ7864" s="105"/>
      <c r="CA7864" s="20"/>
    </row>
    <row r="7865" spans="78:79" x14ac:dyDescent="0.35">
      <c r="BZ7865" s="105"/>
      <c r="CA7865" s="20"/>
    </row>
    <row r="7866" spans="78:79" x14ac:dyDescent="0.35">
      <c r="BZ7866" s="105"/>
      <c r="CA7866" s="20"/>
    </row>
    <row r="7867" spans="78:79" x14ac:dyDescent="0.35">
      <c r="BZ7867" s="105"/>
      <c r="CA7867" s="20"/>
    </row>
    <row r="7868" spans="78:79" x14ac:dyDescent="0.35">
      <c r="BZ7868" s="105"/>
      <c r="CA7868" s="20"/>
    </row>
    <row r="7869" spans="78:79" x14ac:dyDescent="0.35">
      <c r="BZ7869" s="105"/>
      <c r="CA7869" s="20"/>
    </row>
    <row r="7870" spans="78:79" x14ac:dyDescent="0.35">
      <c r="BZ7870" s="105"/>
      <c r="CA7870" s="20"/>
    </row>
    <row r="7871" spans="78:79" x14ac:dyDescent="0.35">
      <c r="BZ7871" s="105"/>
      <c r="CA7871" s="20"/>
    </row>
    <row r="7872" spans="78:79" x14ac:dyDescent="0.35">
      <c r="BZ7872" s="105"/>
      <c r="CA7872" s="20"/>
    </row>
    <row r="7873" spans="78:79" x14ac:dyDescent="0.35">
      <c r="BZ7873" s="105"/>
      <c r="CA7873" s="20"/>
    </row>
    <row r="7874" spans="78:79" x14ac:dyDescent="0.35">
      <c r="BZ7874" s="105"/>
      <c r="CA7874" s="20"/>
    </row>
    <row r="7875" spans="78:79" x14ac:dyDescent="0.35">
      <c r="BZ7875" s="105"/>
      <c r="CA7875" s="20"/>
    </row>
    <row r="7876" spans="78:79" x14ac:dyDescent="0.35">
      <c r="BZ7876" s="105"/>
      <c r="CA7876" s="20"/>
    </row>
    <row r="7877" spans="78:79" x14ac:dyDescent="0.35">
      <c r="BZ7877" s="105"/>
      <c r="CA7877" s="20"/>
    </row>
    <row r="7878" spans="78:79" x14ac:dyDescent="0.35">
      <c r="BZ7878" s="105"/>
      <c r="CA7878" s="20"/>
    </row>
    <row r="7879" spans="78:79" x14ac:dyDescent="0.35">
      <c r="BZ7879" s="105"/>
      <c r="CA7879" s="20"/>
    </row>
    <row r="7880" spans="78:79" x14ac:dyDescent="0.35">
      <c r="BZ7880" s="105"/>
      <c r="CA7880" s="20"/>
    </row>
    <row r="7881" spans="78:79" x14ac:dyDescent="0.35">
      <c r="BZ7881" s="105"/>
      <c r="CA7881" s="20"/>
    </row>
    <row r="7882" spans="78:79" x14ac:dyDescent="0.35">
      <c r="BZ7882" s="105"/>
      <c r="CA7882" s="20"/>
    </row>
    <row r="7883" spans="78:79" x14ac:dyDescent="0.35">
      <c r="BZ7883" s="105"/>
      <c r="CA7883" s="20"/>
    </row>
    <row r="7884" spans="78:79" x14ac:dyDescent="0.35">
      <c r="BZ7884" s="105"/>
      <c r="CA7884" s="20"/>
    </row>
    <row r="7885" spans="78:79" x14ac:dyDescent="0.35">
      <c r="BZ7885" s="105"/>
      <c r="CA7885" s="20"/>
    </row>
    <row r="7886" spans="78:79" x14ac:dyDescent="0.35">
      <c r="BZ7886" s="105"/>
      <c r="CA7886" s="20"/>
    </row>
    <row r="7887" spans="78:79" x14ac:dyDescent="0.35">
      <c r="BZ7887" s="105"/>
      <c r="CA7887" s="20"/>
    </row>
    <row r="7888" spans="78:79" x14ac:dyDescent="0.35">
      <c r="BZ7888" s="105"/>
      <c r="CA7888" s="20"/>
    </row>
    <row r="7889" spans="78:79" x14ac:dyDescent="0.35">
      <c r="BZ7889" s="105"/>
      <c r="CA7889" s="20"/>
    </row>
    <row r="7890" spans="78:79" x14ac:dyDescent="0.35">
      <c r="BZ7890" s="105"/>
      <c r="CA7890" s="20"/>
    </row>
    <row r="7891" spans="78:79" x14ac:dyDescent="0.35">
      <c r="BZ7891" s="105"/>
      <c r="CA7891" s="20"/>
    </row>
    <row r="7892" spans="78:79" x14ac:dyDescent="0.35">
      <c r="BZ7892" s="105"/>
      <c r="CA7892" s="20"/>
    </row>
    <row r="7893" spans="78:79" x14ac:dyDescent="0.35">
      <c r="BZ7893" s="105"/>
      <c r="CA7893" s="20"/>
    </row>
    <row r="7894" spans="78:79" x14ac:dyDescent="0.35">
      <c r="BZ7894" s="105"/>
      <c r="CA7894" s="20"/>
    </row>
    <row r="7895" spans="78:79" x14ac:dyDescent="0.35">
      <c r="BZ7895" s="105"/>
      <c r="CA7895" s="20"/>
    </row>
    <row r="7896" spans="78:79" x14ac:dyDescent="0.35">
      <c r="BZ7896" s="105"/>
      <c r="CA7896" s="20"/>
    </row>
    <row r="7897" spans="78:79" x14ac:dyDescent="0.35">
      <c r="BZ7897" s="105"/>
      <c r="CA7897" s="20"/>
    </row>
    <row r="7898" spans="78:79" x14ac:dyDescent="0.35">
      <c r="BZ7898" s="105"/>
      <c r="CA7898" s="20"/>
    </row>
    <row r="7899" spans="78:79" x14ac:dyDescent="0.35">
      <c r="BZ7899" s="105"/>
      <c r="CA7899" s="20"/>
    </row>
    <row r="7900" spans="78:79" x14ac:dyDescent="0.35">
      <c r="BZ7900" s="105"/>
      <c r="CA7900" s="20"/>
    </row>
    <row r="7901" spans="78:79" x14ac:dyDescent="0.35">
      <c r="BZ7901" s="105"/>
      <c r="CA7901" s="20"/>
    </row>
    <row r="7902" spans="78:79" x14ac:dyDescent="0.35">
      <c r="BZ7902" s="105"/>
      <c r="CA7902" s="20"/>
    </row>
    <row r="7903" spans="78:79" x14ac:dyDescent="0.35">
      <c r="BZ7903" s="105"/>
      <c r="CA7903" s="20"/>
    </row>
    <row r="7904" spans="78:79" x14ac:dyDescent="0.35">
      <c r="BZ7904" s="105"/>
      <c r="CA7904" s="20"/>
    </row>
    <row r="7905" spans="78:79" x14ac:dyDescent="0.35">
      <c r="BZ7905" s="105"/>
      <c r="CA7905" s="20"/>
    </row>
    <row r="7906" spans="78:79" x14ac:dyDescent="0.35">
      <c r="BZ7906" s="105"/>
      <c r="CA7906" s="20"/>
    </row>
    <row r="7907" spans="78:79" x14ac:dyDescent="0.35">
      <c r="BZ7907" s="105"/>
      <c r="CA7907" s="20"/>
    </row>
    <row r="7908" spans="78:79" x14ac:dyDescent="0.35">
      <c r="BZ7908" s="105"/>
      <c r="CA7908" s="20"/>
    </row>
    <row r="7909" spans="78:79" x14ac:dyDescent="0.35">
      <c r="BZ7909" s="105"/>
      <c r="CA7909" s="20"/>
    </row>
    <row r="7910" spans="78:79" x14ac:dyDescent="0.35">
      <c r="BZ7910" s="105"/>
      <c r="CA7910" s="20"/>
    </row>
    <row r="7911" spans="78:79" x14ac:dyDescent="0.35">
      <c r="BZ7911" s="105"/>
      <c r="CA7911" s="20"/>
    </row>
    <row r="7912" spans="78:79" x14ac:dyDescent="0.35">
      <c r="BZ7912" s="105"/>
      <c r="CA7912" s="20"/>
    </row>
    <row r="7913" spans="78:79" x14ac:dyDescent="0.35">
      <c r="BZ7913" s="105"/>
      <c r="CA7913" s="20"/>
    </row>
    <row r="7914" spans="78:79" x14ac:dyDescent="0.35">
      <c r="BZ7914" s="105"/>
      <c r="CA7914" s="20"/>
    </row>
    <row r="7915" spans="78:79" x14ac:dyDescent="0.35">
      <c r="BZ7915" s="105"/>
      <c r="CA7915" s="20"/>
    </row>
    <row r="7916" spans="78:79" x14ac:dyDescent="0.35">
      <c r="BZ7916" s="105"/>
      <c r="CA7916" s="20"/>
    </row>
    <row r="7917" spans="78:79" x14ac:dyDescent="0.35">
      <c r="BZ7917" s="105"/>
      <c r="CA7917" s="20"/>
    </row>
    <row r="7918" spans="78:79" x14ac:dyDescent="0.35">
      <c r="BZ7918" s="105"/>
      <c r="CA7918" s="20"/>
    </row>
    <row r="7919" spans="78:79" x14ac:dyDescent="0.35">
      <c r="BZ7919" s="105"/>
      <c r="CA7919" s="20"/>
    </row>
    <row r="7920" spans="78:79" x14ac:dyDescent="0.35">
      <c r="BZ7920" s="105"/>
      <c r="CA7920" s="20"/>
    </row>
    <row r="7921" spans="78:79" x14ac:dyDescent="0.35">
      <c r="BZ7921" s="105"/>
      <c r="CA7921" s="20"/>
    </row>
    <row r="7922" spans="78:79" x14ac:dyDescent="0.35">
      <c r="BZ7922" s="105"/>
      <c r="CA7922" s="20"/>
    </row>
    <row r="7923" spans="78:79" x14ac:dyDescent="0.35">
      <c r="BZ7923" s="105"/>
      <c r="CA7923" s="20"/>
    </row>
    <row r="7924" spans="78:79" x14ac:dyDescent="0.35">
      <c r="BZ7924" s="105"/>
      <c r="CA7924" s="20"/>
    </row>
    <row r="7925" spans="78:79" x14ac:dyDescent="0.35">
      <c r="BZ7925" s="105"/>
      <c r="CA7925" s="20"/>
    </row>
    <row r="7926" spans="78:79" x14ac:dyDescent="0.35">
      <c r="BZ7926" s="105"/>
      <c r="CA7926" s="20"/>
    </row>
    <row r="7927" spans="78:79" x14ac:dyDescent="0.35">
      <c r="BZ7927" s="105"/>
      <c r="CA7927" s="20"/>
    </row>
    <row r="7928" spans="78:79" x14ac:dyDescent="0.35">
      <c r="BZ7928" s="105"/>
      <c r="CA7928" s="20"/>
    </row>
    <row r="7929" spans="78:79" x14ac:dyDescent="0.35">
      <c r="BZ7929" s="105"/>
      <c r="CA7929" s="20"/>
    </row>
    <row r="7930" spans="78:79" x14ac:dyDescent="0.35">
      <c r="BZ7930" s="105"/>
      <c r="CA7930" s="20"/>
    </row>
    <row r="7931" spans="78:79" x14ac:dyDescent="0.35">
      <c r="BZ7931" s="105"/>
      <c r="CA7931" s="20"/>
    </row>
    <row r="7932" spans="78:79" x14ac:dyDescent="0.35">
      <c r="BZ7932" s="105"/>
      <c r="CA7932" s="20"/>
    </row>
    <row r="7933" spans="78:79" x14ac:dyDescent="0.35">
      <c r="BZ7933" s="105"/>
      <c r="CA7933" s="20"/>
    </row>
    <row r="7934" spans="78:79" x14ac:dyDescent="0.35">
      <c r="BZ7934" s="105"/>
      <c r="CA7934" s="20"/>
    </row>
    <row r="7935" spans="78:79" x14ac:dyDescent="0.35">
      <c r="BZ7935" s="105"/>
      <c r="CA7935" s="20"/>
    </row>
    <row r="7936" spans="78:79" x14ac:dyDescent="0.35">
      <c r="BZ7936" s="105"/>
      <c r="CA7936" s="20"/>
    </row>
    <row r="7937" spans="78:79" x14ac:dyDescent="0.35">
      <c r="BZ7937" s="105"/>
      <c r="CA7937" s="20"/>
    </row>
    <row r="7938" spans="78:79" x14ac:dyDescent="0.35">
      <c r="BZ7938" s="105"/>
      <c r="CA7938" s="20"/>
    </row>
    <row r="7939" spans="78:79" x14ac:dyDescent="0.35">
      <c r="BZ7939" s="105"/>
      <c r="CA7939" s="20"/>
    </row>
    <row r="7940" spans="78:79" x14ac:dyDescent="0.35">
      <c r="BZ7940" s="105"/>
      <c r="CA7940" s="20"/>
    </row>
    <row r="7941" spans="78:79" x14ac:dyDescent="0.35">
      <c r="BZ7941" s="105"/>
      <c r="CA7941" s="20"/>
    </row>
    <row r="7942" spans="78:79" x14ac:dyDescent="0.35">
      <c r="BZ7942" s="105"/>
      <c r="CA7942" s="20"/>
    </row>
    <row r="7943" spans="78:79" x14ac:dyDescent="0.35">
      <c r="BZ7943" s="105"/>
      <c r="CA7943" s="20"/>
    </row>
    <row r="7944" spans="78:79" x14ac:dyDescent="0.35">
      <c r="BZ7944" s="105"/>
      <c r="CA7944" s="20"/>
    </row>
    <row r="7945" spans="78:79" x14ac:dyDescent="0.35">
      <c r="BZ7945" s="105"/>
      <c r="CA7945" s="20"/>
    </row>
    <row r="7946" spans="78:79" x14ac:dyDescent="0.35">
      <c r="BZ7946" s="105"/>
      <c r="CA7946" s="20"/>
    </row>
    <row r="7947" spans="78:79" x14ac:dyDescent="0.35">
      <c r="BZ7947" s="105"/>
      <c r="CA7947" s="20"/>
    </row>
    <row r="7948" spans="78:79" x14ac:dyDescent="0.35">
      <c r="BZ7948" s="105"/>
      <c r="CA7948" s="20"/>
    </row>
    <row r="7949" spans="78:79" x14ac:dyDescent="0.35">
      <c r="BZ7949" s="105"/>
      <c r="CA7949" s="20"/>
    </row>
    <row r="7950" spans="78:79" x14ac:dyDescent="0.35">
      <c r="BZ7950" s="105"/>
      <c r="CA7950" s="20"/>
    </row>
    <row r="7951" spans="78:79" x14ac:dyDescent="0.35">
      <c r="BZ7951" s="105"/>
      <c r="CA7951" s="20"/>
    </row>
    <row r="7952" spans="78:79" x14ac:dyDescent="0.35">
      <c r="BZ7952" s="105"/>
      <c r="CA7952" s="20"/>
    </row>
    <row r="7953" spans="78:79" x14ac:dyDescent="0.35">
      <c r="BZ7953" s="105"/>
      <c r="CA7953" s="20"/>
    </row>
    <row r="7954" spans="78:79" x14ac:dyDescent="0.35">
      <c r="BZ7954" s="105"/>
      <c r="CA7954" s="20"/>
    </row>
    <row r="7955" spans="78:79" x14ac:dyDescent="0.35">
      <c r="BZ7955" s="105"/>
      <c r="CA7955" s="20"/>
    </row>
    <row r="7956" spans="78:79" x14ac:dyDescent="0.35">
      <c r="BZ7956" s="105"/>
      <c r="CA7956" s="20"/>
    </row>
    <row r="7957" spans="78:79" x14ac:dyDescent="0.35">
      <c r="BZ7957" s="105"/>
      <c r="CA7957" s="20"/>
    </row>
    <row r="7958" spans="78:79" x14ac:dyDescent="0.35">
      <c r="BZ7958" s="105"/>
      <c r="CA7958" s="20"/>
    </row>
    <row r="7959" spans="78:79" x14ac:dyDescent="0.35">
      <c r="BZ7959" s="105"/>
      <c r="CA7959" s="20"/>
    </row>
    <row r="7960" spans="78:79" x14ac:dyDescent="0.35">
      <c r="BZ7960" s="105"/>
      <c r="CA7960" s="20"/>
    </row>
    <row r="7961" spans="78:79" x14ac:dyDescent="0.35">
      <c r="BZ7961" s="105"/>
      <c r="CA7961" s="20"/>
    </row>
    <row r="7962" spans="78:79" x14ac:dyDescent="0.35">
      <c r="BZ7962" s="105"/>
      <c r="CA7962" s="20"/>
    </row>
    <row r="7963" spans="78:79" x14ac:dyDescent="0.35">
      <c r="BZ7963" s="105"/>
      <c r="CA7963" s="20"/>
    </row>
    <row r="7964" spans="78:79" x14ac:dyDescent="0.35">
      <c r="BZ7964" s="105"/>
      <c r="CA7964" s="20"/>
    </row>
    <row r="7965" spans="78:79" x14ac:dyDescent="0.35">
      <c r="BZ7965" s="105"/>
      <c r="CA7965" s="20"/>
    </row>
    <row r="7966" spans="78:79" x14ac:dyDescent="0.35">
      <c r="BZ7966" s="105"/>
      <c r="CA7966" s="20"/>
    </row>
    <row r="7967" spans="78:79" x14ac:dyDescent="0.35">
      <c r="BZ7967" s="105"/>
      <c r="CA7967" s="20"/>
    </row>
    <row r="7968" spans="78:79" x14ac:dyDescent="0.35">
      <c r="BZ7968" s="105"/>
      <c r="CA7968" s="20"/>
    </row>
    <row r="7969" spans="78:79" x14ac:dyDescent="0.35">
      <c r="BZ7969" s="105"/>
      <c r="CA7969" s="20"/>
    </row>
    <row r="7970" spans="78:79" x14ac:dyDescent="0.35">
      <c r="BZ7970" s="105"/>
      <c r="CA7970" s="20"/>
    </row>
    <row r="7971" spans="78:79" x14ac:dyDescent="0.35">
      <c r="BZ7971" s="105"/>
      <c r="CA7971" s="20"/>
    </row>
    <row r="7972" spans="78:79" x14ac:dyDescent="0.35">
      <c r="BZ7972" s="105"/>
      <c r="CA7972" s="20"/>
    </row>
    <row r="7973" spans="78:79" x14ac:dyDescent="0.35">
      <c r="BZ7973" s="105"/>
      <c r="CA7973" s="20"/>
    </row>
    <row r="7974" spans="78:79" x14ac:dyDescent="0.35">
      <c r="BZ7974" s="105"/>
      <c r="CA7974" s="20"/>
    </row>
    <row r="7975" spans="78:79" x14ac:dyDescent="0.35">
      <c r="BZ7975" s="105"/>
      <c r="CA7975" s="20"/>
    </row>
    <row r="7976" spans="78:79" x14ac:dyDescent="0.35">
      <c r="BZ7976" s="105"/>
      <c r="CA7976" s="20"/>
    </row>
    <row r="7977" spans="78:79" x14ac:dyDescent="0.35">
      <c r="BZ7977" s="105"/>
      <c r="CA7977" s="20"/>
    </row>
    <row r="7978" spans="78:79" x14ac:dyDescent="0.35">
      <c r="BZ7978" s="105"/>
      <c r="CA7978" s="20"/>
    </row>
    <row r="7979" spans="78:79" x14ac:dyDescent="0.35">
      <c r="BZ7979" s="105"/>
      <c r="CA7979" s="20"/>
    </row>
    <row r="7980" spans="78:79" x14ac:dyDescent="0.35">
      <c r="BZ7980" s="105"/>
      <c r="CA7980" s="20"/>
    </row>
    <row r="7981" spans="78:79" x14ac:dyDescent="0.35">
      <c r="BZ7981" s="105"/>
      <c r="CA7981" s="20"/>
    </row>
    <row r="7982" spans="78:79" x14ac:dyDescent="0.35">
      <c r="BZ7982" s="105"/>
      <c r="CA7982" s="20"/>
    </row>
    <row r="7983" spans="78:79" x14ac:dyDescent="0.35">
      <c r="BZ7983" s="105"/>
      <c r="CA7983" s="20"/>
    </row>
    <row r="7984" spans="78:79" x14ac:dyDescent="0.35">
      <c r="BZ7984" s="105"/>
      <c r="CA7984" s="20"/>
    </row>
    <row r="7985" spans="78:79" x14ac:dyDescent="0.35">
      <c r="BZ7985" s="105"/>
      <c r="CA7985" s="20"/>
    </row>
    <row r="7986" spans="78:79" x14ac:dyDescent="0.35">
      <c r="BZ7986" s="105"/>
      <c r="CA7986" s="20"/>
    </row>
    <row r="7987" spans="78:79" x14ac:dyDescent="0.35">
      <c r="BZ7987" s="105"/>
      <c r="CA7987" s="20"/>
    </row>
    <row r="7988" spans="78:79" x14ac:dyDescent="0.35">
      <c r="BZ7988" s="105"/>
      <c r="CA7988" s="20"/>
    </row>
    <row r="7989" spans="78:79" x14ac:dyDescent="0.35">
      <c r="BZ7989" s="105"/>
      <c r="CA7989" s="20"/>
    </row>
    <row r="7990" spans="78:79" x14ac:dyDescent="0.35">
      <c r="BZ7990" s="105"/>
      <c r="CA7990" s="20"/>
    </row>
    <row r="7991" spans="78:79" x14ac:dyDescent="0.35">
      <c r="BZ7991" s="105"/>
      <c r="CA7991" s="20"/>
    </row>
    <row r="7992" spans="78:79" x14ac:dyDescent="0.35">
      <c r="BZ7992" s="105"/>
      <c r="CA7992" s="20"/>
    </row>
    <row r="7993" spans="78:79" x14ac:dyDescent="0.35">
      <c r="BZ7993" s="105"/>
      <c r="CA7993" s="20"/>
    </row>
    <row r="7994" spans="78:79" x14ac:dyDescent="0.35">
      <c r="BZ7994" s="105"/>
      <c r="CA7994" s="20"/>
    </row>
    <row r="7995" spans="78:79" x14ac:dyDescent="0.35">
      <c r="BZ7995" s="105"/>
      <c r="CA7995" s="20"/>
    </row>
    <row r="7996" spans="78:79" x14ac:dyDescent="0.35">
      <c r="BZ7996" s="105"/>
      <c r="CA7996" s="20"/>
    </row>
    <row r="7997" spans="78:79" x14ac:dyDescent="0.35">
      <c r="BZ7997" s="105"/>
      <c r="CA7997" s="20"/>
    </row>
    <row r="7998" spans="78:79" x14ac:dyDescent="0.35">
      <c r="BZ7998" s="105"/>
      <c r="CA7998" s="20"/>
    </row>
    <row r="7999" spans="78:79" x14ac:dyDescent="0.35">
      <c r="BZ7999" s="105"/>
      <c r="CA7999" s="20"/>
    </row>
    <row r="8000" spans="78:79" x14ac:dyDescent="0.35">
      <c r="BZ8000" s="105"/>
      <c r="CA8000" s="20"/>
    </row>
    <row r="8001" spans="78:79" x14ac:dyDescent="0.35">
      <c r="BZ8001" s="105"/>
      <c r="CA8001" s="20"/>
    </row>
    <row r="8002" spans="78:79" x14ac:dyDescent="0.35">
      <c r="BZ8002" s="105"/>
      <c r="CA8002" s="20"/>
    </row>
    <row r="8003" spans="78:79" x14ac:dyDescent="0.35">
      <c r="BZ8003" s="105"/>
      <c r="CA8003" s="20"/>
    </row>
    <row r="8004" spans="78:79" x14ac:dyDescent="0.35">
      <c r="BZ8004" s="105"/>
      <c r="CA8004" s="20"/>
    </row>
    <row r="8005" spans="78:79" x14ac:dyDescent="0.35">
      <c r="BZ8005" s="105"/>
      <c r="CA8005" s="20"/>
    </row>
    <row r="8006" spans="78:79" x14ac:dyDescent="0.35">
      <c r="BZ8006" s="105"/>
      <c r="CA8006" s="20"/>
    </row>
    <row r="8007" spans="78:79" x14ac:dyDescent="0.35">
      <c r="BZ8007" s="105"/>
      <c r="CA8007" s="20"/>
    </row>
    <row r="8008" spans="78:79" x14ac:dyDescent="0.35">
      <c r="BZ8008" s="105"/>
      <c r="CA8008" s="20"/>
    </row>
    <row r="8009" spans="78:79" x14ac:dyDescent="0.35">
      <c r="BZ8009" s="105"/>
      <c r="CA8009" s="20"/>
    </row>
    <row r="8010" spans="78:79" x14ac:dyDescent="0.35">
      <c r="BZ8010" s="105"/>
      <c r="CA8010" s="20"/>
    </row>
    <row r="8011" spans="78:79" x14ac:dyDescent="0.35">
      <c r="BZ8011" s="105"/>
      <c r="CA8011" s="20"/>
    </row>
    <row r="8012" spans="78:79" x14ac:dyDescent="0.35">
      <c r="BZ8012" s="105"/>
      <c r="CA8012" s="20"/>
    </row>
    <row r="8013" spans="78:79" x14ac:dyDescent="0.35">
      <c r="BZ8013" s="105"/>
      <c r="CA8013" s="20"/>
    </row>
    <row r="8014" spans="78:79" x14ac:dyDescent="0.35">
      <c r="BZ8014" s="105"/>
      <c r="CA8014" s="20"/>
    </row>
    <row r="8015" spans="78:79" x14ac:dyDescent="0.35">
      <c r="BZ8015" s="105"/>
      <c r="CA8015" s="20"/>
    </row>
    <row r="8016" spans="78:79" x14ac:dyDescent="0.35">
      <c r="BZ8016" s="105"/>
      <c r="CA8016" s="20"/>
    </row>
    <row r="8017" spans="78:79" x14ac:dyDescent="0.35">
      <c r="BZ8017" s="105"/>
      <c r="CA8017" s="20"/>
    </row>
    <row r="8018" spans="78:79" x14ac:dyDescent="0.35">
      <c r="BZ8018" s="105"/>
      <c r="CA8018" s="20"/>
    </row>
    <row r="8019" spans="78:79" x14ac:dyDescent="0.35">
      <c r="BZ8019" s="105"/>
      <c r="CA8019" s="20"/>
    </row>
    <row r="8020" spans="78:79" x14ac:dyDescent="0.35">
      <c r="BZ8020" s="105"/>
      <c r="CA8020" s="20"/>
    </row>
    <row r="8021" spans="78:79" x14ac:dyDescent="0.35">
      <c r="BZ8021" s="105"/>
      <c r="CA8021" s="20"/>
    </row>
    <row r="8022" spans="78:79" x14ac:dyDescent="0.35">
      <c r="BZ8022" s="105"/>
      <c r="CA8022" s="20"/>
    </row>
    <row r="8023" spans="78:79" x14ac:dyDescent="0.35">
      <c r="BZ8023" s="105"/>
      <c r="CA8023" s="20"/>
    </row>
    <row r="8024" spans="78:79" x14ac:dyDescent="0.35">
      <c r="BZ8024" s="105"/>
      <c r="CA8024" s="20"/>
    </row>
    <row r="8025" spans="78:79" x14ac:dyDescent="0.35">
      <c r="BZ8025" s="105"/>
      <c r="CA8025" s="20"/>
    </row>
    <row r="8026" spans="78:79" x14ac:dyDescent="0.35">
      <c r="BZ8026" s="105"/>
      <c r="CA8026" s="20"/>
    </row>
    <row r="8027" spans="78:79" x14ac:dyDescent="0.35">
      <c r="BZ8027" s="105"/>
      <c r="CA8027" s="20"/>
    </row>
    <row r="8028" spans="78:79" x14ac:dyDescent="0.35">
      <c r="BZ8028" s="105"/>
      <c r="CA8028" s="20"/>
    </row>
    <row r="8029" spans="78:79" x14ac:dyDescent="0.35">
      <c r="BZ8029" s="105"/>
      <c r="CA8029" s="20"/>
    </row>
    <row r="8030" spans="78:79" x14ac:dyDescent="0.35">
      <c r="BZ8030" s="105"/>
      <c r="CA8030" s="20"/>
    </row>
    <row r="8031" spans="78:79" x14ac:dyDescent="0.35">
      <c r="BZ8031" s="105"/>
      <c r="CA8031" s="20"/>
    </row>
    <row r="8032" spans="78:79" x14ac:dyDescent="0.35">
      <c r="BZ8032" s="105"/>
      <c r="CA8032" s="20"/>
    </row>
    <row r="8033" spans="78:79" x14ac:dyDescent="0.35">
      <c r="BZ8033" s="105"/>
      <c r="CA8033" s="20"/>
    </row>
    <row r="8034" spans="78:79" x14ac:dyDescent="0.35">
      <c r="BZ8034" s="105"/>
      <c r="CA8034" s="20"/>
    </row>
    <row r="8035" spans="78:79" x14ac:dyDescent="0.35">
      <c r="BZ8035" s="105"/>
      <c r="CA8035" s="20"/>
    </row>
    <row r="8036" spans="78:79" x14ac:dyDescent="0.35">
      <c r="BZ8036" s="105"/>
      <c r="CA8036" s="20"/>
    </row>
    <row r="8037" spans="78:79" x14ac:dyDescent="0.35">
      <c r="BZ8037" s="105"/>
      <c r="CA8037" s="20"/>
    </row>
    <row r="8038" spans="78:79" x14ac:dyDescent="0.35">
      <c r="BZ8038" s="105"/>
      <c r="CA8038" s="20"/>
    </row>
    <row r="8039" spans="78:79" x14ac:dyDescent="0.35">
      <c r="BZ8039" s="105"/>
      <c r="CA8039" s="20"/>
    </row>
    <row r="8040" spans="78:79" x14ac:dyDescent="0.35">
      <c r="BZ8040" s="105"/>
      <c r="CA8040" s="20"/>
    </row>
    <row r="8041" spans="78:79" x14ac:dyDescent="0.35">
      <c r="BZ8041" s="105"/>
      <c r="CA8041" s="20"/>
    </row>
    <row r="8042" spans="78:79" x14ac:dyDescent="0.35">
      <c r="BZ8042" s="105"/>
      <c r="CA8042" s="20"/>
    </row>
    <row r="8043" spans="78:79" x14ac:dyDescent="0.35">
      <c r="BZ8043" s="105"/>
      <c r="CA8043" s="20"/>
    </row>
    <row r="8044" spans="78:79" x14ac:dyDescent="0.35">
      <c r="BZ8044" s="105"/>
      <c r="CA8044" s="20"/>
    </row>
    <row r="8045" spans="78:79" x14ac:dyDescent="0.35">
      <c r="BZ8045" s="105"/>
      <c r="CA8045" s="20"/>
    </row>
    <row r="8046" spans="78:79" x14ac:dyDescent="0.35">
      <c r="BZ8046" s="105"/>
      <c r="CA8046" s="20"/>
    </row>
    <row r="8047" spans="78:79" x14ac:dyDescent="0.35">
      <c r="BZ8047" s="105"/>
      <c r="CA8047" s="20"/>
    </row>
    <row r="8048" spans="78:79" x14ac:dyDescent="0.35">
      <c r="BZ8048" s="105"/>
      <c r="CA8048" s="20"/>
    </row>
    <row r="8049" spans="78:79" x14ac:dyDescent="0.35">
      <c r="BZ8049" s="105"/>
      <c r="CA8049" s="20"/>
    </row>
    <row r="8050" spans="78:79" x14ac:dyDescent="0.35">
      <c r="BZ8050" s="105"/>
      <c r="CA8050" s="20"/>
    </row>
    <row r="8051" spans="78:79" x14ac:dyDescent="0.35">
      <c r="BZ8051" s="105"/>
      <c r="CA8051" s="20"/>
    </row>
    <row r="8052" spans="78:79" x14ac:dyDescent="0.35">
      <c r="BZ8052" s="105"/>
      <c r="CA8052" s="20"/>
    </row>
    <row r="8053" spans="78:79" x14ac:dyDescent="0.35">
      <c r="BZ8053" s="105"/>
      <c r="CA8053" s="20"/>
    </row>
    <row r="8054" spans="78:79" x14ac:dyDescent="0.35">
      <c r="BZ8054" s="105"/>
      <c r="CA8054" s="20"/>
    </row>
    <row r="8055" spans="78:79" x14ac:dyDescent="0.35">
      <c r="BZ8055" s="105"/>
      <c r="CA8055" s="20"/>
    </row>
    <row r="8056" spans="78:79" x14ac:dyDescent="0.35">
      <c r="BZ8056" s="105"/>
      <c r="CA8056" s="20"/>
    </row>
    <row r="8057" spans="78:79" x14ac:dyDescent="0.35">
      <c r="BZ8057" s="105"/>
      <c r="CA8057" s="20"/>
    </row>
    <row r="8058" spans="78:79" x14ac:dyDescent="0.35">
      <c r="BZ8058" s="105"/>
      <c r="CA8058" s="20"/>
    </row>
    <row r="8059" spans="78:79" x14ac:dyDescent="0.35">
      <c r="BZ8059" s="105"/>
      <c r="CA8059" s="20"/>
    </row>
    <row r="8060" spans="78:79" x14ac:dyDescent="0.35">
      <c r="BZ8060" s="105"/>
      <c r="CA8060" s="20"/>
    </row>
    <row r="8061" spans="78:79" x14ac:dyDescent="0.35">
      <c r="BZ8061" s="105"/>
      <c r="CA8061" s="20"/>
    </row>
    <row r="8062" spans="78:79" x14ac:dyDescent="0.35">
      <c r="BZ8062" s="105"/>
      <c r="CA8062" s="20"/>
    </row>
    <row r="8063" spans="78:79" x14ac:dyDescent="0.35">
      <c r="BZ8063" s="105"/>
      <c r="CA8063" s="20"/>
    </row>
    <row r="8064" spans="78:79" x14ac:dyDescent="0.35">
      <c r="BZ8064" s="105"/>
      <c r="CA8064" s="20"/>
    </row>
    <row r="8065" spans="78:79" x14ac:dyDescent="0.35">
      <c r="BZ8065" s="105"/>
      <c r="CA8065" s="20"/>
    </row>
    <row r="8066" spans="78:79" x14ac:dyDescent="0.35">
      <c r="BZ8066" s="105"/>
      <c r="CA8066" s="20"/>
    </row>
    <row r="8067" spans="78:79" x14ac:dyDescent="0.35">
      <c r="BZ8067" s="105"/>
      <c r="CA8067" s="20"/>
    </row>
    <row r="8068" spans="78:79" x14ac:dyDescent="0.35">
      <c r="BZ8068" s="105"/>
      <c r="CA8068" s="20"/>
    </row>
    <row r="8069" spans="78:79" x14ac:dyDescent="0.35">
      <c r="BZ8069" s="105"/>
      <c r="CA8069" s="20"/>
    </row>
    <row r="8070" spans="78:79" x14ac:dyDescent="0.35">
      <c r="BZ8070" s="105"/>
      <c r="CA8070" s="20"/>
    </row>
    <row r="8071" spans="78:79" x14ac:dyDescent="0.35">
      <c r="BZ8071" s="105"/>
      <c r="CA8071" s="20"/>
    </row>
    <row r="8072" spans="78:79" x14ac:dyDescent="0.35">
      <c r="BZ8072" s="105"/>
      <c r="CA8072" s="20"/>
    </row>
    <row r="8073" spans="78:79" x14ac:dyDescent="0.35">
      <c r="BZ8073" s="105"/>
      <c r="CA8073" s="20"/>
    </row>
    <row r="8074" spans="78:79" x14ac:dyDescent="0.35">
      <c r="BZ8074" s="105"/>
      <c r="CA8074" s="20"/>
    </row>
    <row r="8075" spans="78:79" x14ac:dyDescent="0.35">
      <c r="BZ8075" s="105"/>
      <c r="CA8075" s="20"/>
    </row>
    <row r="8076" spans="78:79" x14ac:dyDescent="0.35">
      <c r="BZ8076" s="105"/>
      <c r="CA8076" s="20"/>
    </row>
    <row r="8077" spans="78:79" x14ac:dyDescent="0.35">
      <c r="BZ8077" s="105"/>
      <c r="CA8077" s="20"/>
    </row>
    <row r="8078" spans="78:79" x14ac:dyDescent="0.35">
      <c r="BZ8078" s="105"/>
      <c r="CA8078" s="20"/>
    </row>
    <row r="8079" spans="78:79" x14ac:dyDescent="0.35">
      <c r="BZ8079" s="105"/>
      <c r="CA8079" s="20"/>
    </row>
    <row r="8080" spans="78:79" x14ac:dyDescent="0.35">
      <c r="BZ8080" s="105"/>
      <c r="CA8080" s="20"/>
    </row>
    <row r="8081" spans="78:79" x14ac:dyDescent="0.35">
      <c r="BZ8081" s="105"/>
      <c r="CA8081" s="20"/>
    </row>
    <row r="8082" spans="78:79" x14ac:dyDescent="0.35">
      <c r="BZ8082" s="105"/>
      <c r="CA8082" s="20"/>
    </row>
    <row r="8083" spans="78:79" x14ac:dyDescent="0.35">
      <c r="BZ8083" s="105"/>
      <c r="CA8083" s="20"/>
    </row>
    <row r="8084" spans="78:79" x14ac:dyDescent="0.35">
      <c r="BZ8084" s="105"/>
      <c r="CA8084" s="20"/>
    </row>
    <row r="8085" spans="78:79" x14ac:dyDescent="0.35">
      <c r="BZ8085" s="105"/>
      <c r="CA8085" s="20"/>
    </row>
    <row r="8086" spans="78:79" x14ac:dyDescent="0.35">
      <c r="BZ8086" s="105"/>
      <c r="CA8086" s="20"/>
    </row>
    <row r="8087" spans="78:79" x14ac:dyDescent="0.35">
      <c r="BZ8087" s="105"/>
      <c r="CA8087" s="20"/>
    </row>
    <row r="8088" spans="78:79" x14ac:dyDescent="0.35">
      <c r="BZ8088" s="105"/>
      <c r="CA8088" s="20"/>
    </row>
    <row r="8089" spans="78:79" x14ac:dyDescent="0.35">
      <c r="BZ8089" s="105"/>
      <c r="CA8089" s="20"/>
    </row>
    <row r="8090" spans="78:79" x14ac:dyDescent="0.35">
      <c r="BZ8090" s="105"/>
      <c r="CA8090" s="20"/>
    </row>
    <row r="8091" spans="78:79" x14ac:dyDescent="0.35">
      <c r="BZ8091" s="105"/>
      <c r="CA8091" s="20"/>
    </row>
    <row r="8092" spans="78:79" x14ac:dyDescent="0.35">
      <c r="BZ8092" s="105"/>
      <c r="CA8092" s="20"/>
    </row>
    <row r="8093" spans="78:79" x14ac:dyDescent="0.35">
      <c r="BZ8093" s="105"/>
      <c r="CA8093" s="20"/>
    </row>
    <row r="8094" spans="78:79" x14ac:dyDescent="0.35">
      <c r="BZ8094" s="105"/>
      <c r="CA8094" s="20"/>
    </row>
    <row r="8095" spans="78:79" x14ac:dyDescent="0.35">
      <c r="BZ8095" s="105"/>
      <c r="CA8095" s="20"/>
    </row>
    <row r="8096" spans="78:79" x14ac:dyDescent="0.35">
      <c r="BZ8096" s="105"/>
      <c r="CA8096" s="20"/>
    </row>
    <row r="8097" spans="78:79" x14ac:dyDescent="0.35">
      <c r="BZ8097" s="105"/>
      <c r="CA8097" s="20"/>
    </row>
    <row r="8098" spans="78:79" x14ac:dyDescent="0.35">
      <c r="BZ8098" s="105"/>
      <c r="CA8098" s="20"/>
    </row>
    <row r="8099" spans="78:79" x14ac:dyDescent="0.35">
      <c r="BZ8099" s="105"/>
      <c r="CA8099" s="20"/>
    </row>
    <row r="8100" spans="78:79" x14ac:dyDescent="0.35">
      <c r="BZ8100" s="105"/>
      <c r="CA8100" s="20"/>
    </row>
    <row r="8101" spans="78:79" x14ac:dyDescent="0.35">
      <c r="BZ8101" s="105"/>
      <c r="CA8101" s="20"/>
    </row>
    <row r="8102" spans="78:79" x14ac:dyDescent="0.35">
      <c r="BZ8102" s="105"/>
      <c r="CA8102" s="20"/>
    </row>
    <row r="8103" spans="78:79" x14ac:dyDescent="0.35">
      <c r="BZ8103" s="105"/>
      <c r="CA8103" s="20"/>
    </row>
    <row r="8104" spans="78:79" x14ac:dyDescent="0.35">
      <c r="BZ8104" s="105"/>
      <c r="CA8104" s="20"/>
    </row>
    <row r="8105" spans="78:79" x14ac:dyDescent="0.35">
      <c r="BZ8105" s="105"/>
      <c r="CA8105" s="20"/>
    </row>
    <row r="8106" spans="78:79" x14ac:dyDescent="0.35">
      <c r="BZ8106" s="105"/>
      <c r="CA8106" s="20"/>
    </row>
    <row r="8107" spans="78:79" x14ac:dyDescent="0.35">
      <c r="BZ8107" s="105"/>
      <c r="CA8107" s="20"/>
    </row>
    <row r="8108" spans="78:79" x14ac:dyDescent="0.35">
      <c r="BZ8108" s="105"/>
      <c r="CA8108" s="20"/>
    </row>
    <row r="8109" spans="78:79" x14ac:dyDescent="0.35">
      <c r="BZ8109" s="105"/>
      <c r="CA8109" s="20"/>
    </row>
    <row r="8110" spans="78:79" x14ac:dyDescent="0.35">
      <c r="BZ8110" s="105"/>
      <c r="CA8110" s="20"/>
    </row>
    <row r="8111" spans="78:79" x14ac:dyDescent="0.35">
      <c r="BZ8111" s="105"/>
      <c r="CA8111" s="20"/>
    </row>
    <row r="8112" spans="78:79" x14ac:dyDescent="0.35">
      <c r="BZ8112" s="105"/>
      <c r="CA8112" s="20"/>
    </row>
    <row r="8113" spans="78:79" x14ac:dyDescent="0.35">
      <c r="BZ8113" s="105"/>
      <c r="CA8113" s="20"/>
    </row>
    <row r="8114" spans="78:79" x14ac:dyDescent="0.35">
      <c r="BZ8114" s="105"/>
      <c r="CA8114" s="20"/>
    </row>
    <row r="8115" spans="78:79" x14ac:dyDescent="0.35">
      <c r="BZ8115" s="105"/>
      <c r="CA8115" s="20"/>
    </row>
    <row r="8116" spans="78:79" x14ac:dyDescent="0.35">
      <c r="BZ8116" s="105"/>
      <c r="CA8116" s="20"/>
    </row>
    <row r="8117" spans="78:79" x14ac:dyDescent="0.35">
      <c r="BZ8117" s="105"/>
      <c r="CA8117" s="20"/>
    </row>
    <row r="8118" spans="78:79" x14ac:dyDescent="0.35">
      <c r="BZ8118" s="105"/>
      <c r="CA8118" s="20"/>
    </row>
    <row r="8119" spans="78:79" x14ac:dyDescent="0.35">
      <c r="BZ8119" s="105"/>
      <c r="CA8119" s="20"/>
    </row>
    <row r="8120" spans="78:79" x14ac:dyDescent="0.35">
      <c r="BZ8120" s="105"/>
      <c r="CA8120" s="20"/>
    </row>
    <row r="8121" spans="78:79" x14ac:dyDescent="0.35">
      <c r="BZ8121" s="105"/>
      <c r="CA8121" s="20"/>
    </row>
    <row r="8122" spans="78:79" x14ac:dyDescent="0.35">
      <c r="BZ8122" s="105"/>
      <c r="CA8122" s="20"/>
    </row>
    <row r="8123" spans="78:79" x14ac:dyDescent="0.35">
      <c r="BZ8123" s="105"/>
      <c r="CA8123" s="20"/>
    </row>
    <row r="8124" spans="78:79" x14ac:dyDescent="0.35">
      <c r="BZ8124" s="105"/>
      <c r="CA8124" s="20"/>
    </row>
    <row r="8125" spans="78:79" x14ac:dyDescent="0.35">
      <c r="BZ8125" s="105"/>
      <c r="CA8125" s="20"/>
    </row>
    <row r="8126" spans="78:79" x14ac:dyDescent="0.35">
      <c r="BZ8126" s="105"/>
      <c r="CA8126" s="20"/>
    </row>
    <row r="8127" spans="78:79" x14ac:dyDescent="0.35">
      <c r="BZ8127" s="105"/>
      <c r="CA8127" s="20"/>
    </row>
    <row r="8128" spans="78:79" x14ac:dyDescent="0.35">
      <c r="BZ8128" s="105"/>
      <c r="CA8128" s="20"/>
    </row>
    <row r="8129" spans="78:79" x14ac:dyDescent="0.35">
      <c r="BZ8129" s="105"/>
      <c r="CA8129" s="20"/>
    </row>
    <row r="8130" spans="78:79" x14ac:dyDescent="0.35">
      <c r="BZ8130" s="105"/>
      <c r="CA8130" s="20"/>
    </row>
    <row r="8131" spans="78:79" x14ac:dyDescent="0.35">
      <c r="BZ8131" s="105"/>
      <c r="CA8131" s="20"/>
    </row>
    <row r="8132" spans="78:79" x14ac:dyDescent="0.35">
      <c r="BZ8132" s="105"/>
      <c r="CA8132" s="20"/>
    </row>
    <row r="8133" spans="78:79" x14ac:dyDescent="0.35">
      <c r="BZ8133" s="105"/>
      <c r="CA8133" s="20"/>
    </row>
    <row r="8134" spans="78:79" x14ac:dyDescent="0.35">
      <c r="BZ8134" s="105"/>
      <c r="CA8134" s="20"/>
    </row>
    <row r="8135" spans="78:79" x14ac:dyDescent="0.35">
      <c r="BZ8135" s="105"/>
      <c r="CA8135" s="20"/>
    </row>
    <row r="8136" spans="78:79" x14ac:dyDescent="0.35">
      <c r="BZ8136" s="105"/>
      <c r="CA8136" s="20"/>
    </row>
    <row r="8137" spans="78:79" x14ac:dyDescent="0.35">
      <c r="BZ8137" s="105"/>
      <c r="CA8137" s="20"/>
    </row>
    <row r="8138" spans="78:79" x14ac:dyDescent="0.35">
      <c r="BZ8138" s="105"/>
      <c r="CA8138" s="20"/>
    </row>
    <row r="8139" spans="78:79" x14ac:dyDescent="0.35">
      <c r="BZ8139" s="105"/>
      <c r="CA8139" s="20"/>
    </row>
    <row r="8140" spans="78:79" x14ac:dyDescent="0.35">
      <c r="BZ8140" s="105"/>
      <c r="CA8140" s="20"/>
    </row>
    <row r="8141" spans="78:79" x14ac:dyDescent="0.35">
      <c r="BZ8141" s="105"/>
      <c r="CA8141" s="20"/>
    </row>
    <row r="8142" spans="78:79" x14ac:dyDescent="0.35">
      <c r="BZ8142" s="105"/>
      <c r="CA8142" s="20"/>
    </row>
    <row r="8143" spans="78:79" x14ac:dyDescent="0.35">
      <c r="BZ8143" s="105"/>
      <c r="CA8143" s="20"/>
    </row>
    <row r="8144" spans="78:79" x14ac:dyDescent="0.35">
      <c r="BZ8144" s="105"/>
      <c r="CA8144" s="20"/>
    </row>
    <row r="8145" spans="78:79" x14ac:dyDescent="0.35">
      <c r="BZ8145" s="105"/>
      <c r="CA8145" s="20"/>
    </row>
    <row r="8146" spans="78:79" x14ac:dyDescent="0.35">
      <c r="BZ8146" s="105"/>
      <c r="CA8146" s="20"/>
    </row>
    <row r="8147" spans="78:79" x14ac:dyDescent="0.35">
      <c r="BZ8147" s="105"/>
      <c r="CA8147" s="20"/>
    </row>
    <row r="8148" spans="78:79" x14ac:dyDescent="0.35">
      <c r="BZ8148" s="105"/>
      <c r="CA8148" s="20"/>
    </row>
    <row r="8149" spans="78:79" x14ac:dyDescent="0.35">
      <c r="BZ8149" s="105"/>
      <c r="CA8149" s="20"/>
    </row>
    <row r="8150" spans="78:79" x14ac:dyDescent="0.35">
      <c r="BZ8150" s="105"/>
      <c r="CA8150" s="20"/>
    </row>
    <row r="8151" spans="78:79" x14ac:dyDescent="0.35">
      <c r="BZ8151" s="105"/>
      <c r="CA8151" s="20"/>
    </row>
    <row r="8152" spans="78:79" x14ac:dyDescent="0.35">
      <c r="BZ8152" s="105"/>
      <c r="CA8152" s="20"/>
    </row>
    <row r="8153" spans="78:79" x14ac:dyDescent="0.35">
      <c r="BZ8153" s="105"/>
      <c r="CA8153" s="20"/>
    </row>
    <row r="8154" spans="78:79" x14ac:dyDescent="0.35">
      <c r="BZ8154" s="105"/>
      <c r="CA8154" s="20"/>
    </row>
    <row r="8155" spans="78:79" x14ac:dyDescent="0.35">
      <c r="BZ8155" s="105"/>
      <c r="CA8155" s="20"/>
    </row>
    <row r="8156" spans="78:79" x14ac:dyDescent="0.35">
      <c r="BZ8156" s="105"/>
      <c r="CA8156" s="20"/>
    </row>
    <row r="8157" spans="78:79" x14ac:dyDescent="0.35">
      <c r="BZ8157" s="105"/>
      <c r="CA8157" s="20"/>
    </row>
    <row r="8158" spans="78:79" x14ac:dyDescent="0.35">
      <c r="BZ8158" s="105"/>
      <c r="CA8158" s="20"/>
    </row>
    <row r="8159" spans="78:79" x14ac:dyDescent="0.35">
      <c r="BZ8159" s="105"/>
      <c r="CA8159" s="20"/>
    </row>
    <row r="8160" spans="78:79" x14ac:dyDescent="0.35">
      <c r="BZ8160" s="105"/>
      <c r="CA8160" s="20"/>
    </row>
    <row r="8161" spans="78:79" x14ac:dyDescent="0.35">
      <c r="BZ8161" s="105"/>
      <c r="CA8161" s="20"/>
    </row>
    <row r="8162" spans="78:79" x14ac:dyDescent="0.35">
      <c r="BZ8162" s="105"/>
      <c r="CA8162" s="20"/>
    </row>
    <row r="8163" spans="78:79" x14ac:dyDescent="0.35">
      <c r="BZ8163" s="105"/>
      <c r="CA8163" s="20"/>
    </row>
    <row r="8164" spans="78:79" x14ac:dyDescent="0.35">
      <c r="BZ8164" s="105"/>
      <c r="CA8164" s="20"/>
    </row>
    <row r="8165" spans="78:79" x14ac:dyDescent="0.35">
      <c r="BZ8165" s="105"/>
      <c r="CA8165" s="20"/>
    </row>
    <row r="8166" spans="78:79" x14ac:dyDescent="0.35">
      <c r="BZ8166" s="105"/>
      <c r="CA8166" s="20"/>
    </row>
    <row r="8167" spans="78:79" x14ac:dyDescent="0.35">
      <c r="BZ8167" s="105"/>
      <c r="CA8167" s="20"/>
    </row>
    <row r="8168" spans="78:79" x14ac:dyDescent="0.35">
      <c r="BZ8168" s="105"/>
      <c r="CA8168" s="20"/>
    </row>
    <row r="8169" spans="78:79" x14ac:dyDescent="0.35">
      <c r="BZ8169" s="105"/>
      <c r="CA8169" s="20"/>
    </row>
    <row r="8170" spans="78:79" x14ac:dyDescent="0.35">
      <c r="BZ8170" s="105"/>
      <c r="CA8170" s="20"/>
    </row>
    <row r="8171" spans="78:79" x14ac:dyDescent="0.35">
      <c r="BZ8171" s="105"/>
      <c r="CA8171" s="20"/>
    </row>
    <row r="8172" spans="78:79" x14ac:dyDescent="0.35">
      <c r="BZ8172" s="105"/>
      <c r="CA8172" s="20"/>
    </row>
    <row r="8173" spans="78:79" x14ac:dyDescent="0.35">
      <c r="BZ8173" s="105"/>
      <c r="CA8173" s="20"/>
    </row>
    <row r="8174" spans="78:79" x14ac:dyDescent="0.35">
      <c r="BZ8174" s="105"/>
      <c r="CA8174" s="20"/>
    </row>
    <row r="8175" spans="78:79" x14ac:dyDescent="0.35">
      <c r="BZ8175" s="105"/>
      <c r="CA8175" s="20"/>
    </row>
    <row r="8176" spans="78:79" x14ac:dyDescent="0.35">
      <c r="BZ8176" s="105"/>
      <c r="CA8176" s="20"/>
    </row>
    <row r="8177" spans="78:79" x14ac:dyDescent="0.35">
      <c r="BZ8177" s="105"/>
      <c r="CA8177" s="20"/>
    </row>
    <row r="8178" spans="78:79" x14ac:dyDescent="0.35">
      <c r="BZ8178" s="105"/>
      <c r="CA8178" s="20"/>
    </row>
    <row r="8179" spans="78:79" x14ac:dyDescent="0.35">
      <c r="BZ8179" s="105"/>
      <c r="CA8179" s="20"/>
    </row>
    <row r="8180" spans="78:79" x14ac:dyDescent="0.35">
      <c r="BZ8180" s="105"/>
      <c r="CA8180" s="20"/>
    </row>
    <row r="8181" spans="78:79" x14ac:dyDescent="0.35">
      <c r="BZ8181" s="105"/>
      <c r="CA8181" s="20"/>
    </row>
    <row r="8182" spans="78:79" x14ac:dyDescent="0.35">
      <c r="BZ8182" s="105"/>
      <c r="CA8182" s="20"/>
    </row>
    <row r="8183" spans="78:79" x14ac:dyDescent="0.35">
      <c r="BZ8183" s="105"/>
      <c r="CA8183" s="20"/>
    </row>
    <row r="8184" spans="78:79" x14ac:dyDescent="0.35">
      <c r="BZ8184" s="105"/>
      <c r="CA8184" s="20"/>
    </row>
    <row r="8185" spans="78:79" x14ac:dyDescent="0.35">
      <c r="BZ8185" s="105"/>
      <c r="CA8185" s="20"/>
    </row>
    <row r="8186" spans="78:79" x14ac:dyDescent="0.35">
      <c r="BZ8186" s="105"/>
      <c r="CA8186" s="20"/>
    </row>
    <row r="8187" spans="78:79" x14ac:dyDescent="0.35">
      <c r="BZ8187" s="105"/>
      <c r="CA8187" s="20"/>
    </row>
    <row r="8188" spans="78:79" x14ac:dyDescent="0.35">
      <c r="BZ8188" s="105"/>
      <c r="CA8188" s="20"/>
    </row>
    <row r="8189" spans="78:79" x14ac:dyDescent="0.35">
      <c r="BZ8189" s="105"/>
      <c r="CA8189" s="20"/>
    </row>
    <row r="8190" spans="78:79" x14ac:dyDescent="0.35">
      <c r="BZ8190" s="105"/>
      <c r="CA8190" s="20"/>
    </row>
    <row r="8191" spans="78:79" x14ac:dyDescent="0.35">
      <c r="BZ8191" s="105"/>
      <c r="CA8191" s="20"/>
    </row>
    <row r="8192" spans="78:79" x14ac:dyDescent="0.35">
      <c r="BZ8192" s="105"/>
      <c r="CA8192" s="20"/>
    </row>
    <row r="8193" spans="78:79" x14ac:dyDescent="0.35">
      <c r="BZ8193" s="105"/>
      <c r="CA8193" s="20"/>
    </row>
    <row r="8194" spans="78:79" x14ac:dyDescent="0.35">
      <c r="BZ8194" s="105"/>
      <c r="CA8194" s="20"/>
    </row>
    <row r="8195" spans="78:79" x14ac:dyDescent="0.35">
      <c r="BZ8195" s="105"/>
      <c r="CA8195" s="20"/>
    </row>
    <row r="8196" spans="78:79" x14ac:dyDescent="0.35">
      <c r="BZ8196" s="105"/>
      <c r="CA8196" s="20"/>
    </row>
    <row r="8197" spans="78:79" x14ac:dyDescent="0.35">
      <c r="BZ8197" s="105"/>
      <c r="CA8197" s="20"/>
    </row>
    <row r="8198" spans="78:79" x14ac:dyDescent="0.35">
      <c r="BZ8198" s="105"/>
      <c r="CA8198" s="20"/>
    </row>
    <row r="8199" spans="78:79" x14ac:dyDescent="0.35">
      <c r="BZ8199" s="105"/>
      <c r="CA8199" s="20"/>
    </row>
    <row r="8200" spans="78:79" x14ac:dyDescent="0.35">
      <c r="BZ8200" s="105"/>
      <c r="CA8200" s="20"/>
    </row>
    <row r="8201" spans="78:79" x14ac:dyDescent="0.35">
      <c r="BZ8201" s="105"/>
      <c r="CA8201" s="20"/>
    </row>
    <row r="8202" spans="78:79" x14ac:dyDescent="0.35">
      <c r="BZ8202" s="105"/>
      <c r="CA8202" s="20"/>
    </row>
    <row r="8203" spans="78:79" x14ac:dyDescent="0.35">
      <c r="BZ8203" s="105"/>
      <c r="CA8203" s="20"/>
    </row>
    <row r="8204" spans="78:79" x14ac:dyDescent="0.35">
      <c r="BZ8204" s="105"/>
      <c r="CA8204" s="20"/>
    </row>
    <row r="8205" spans="78:79" x14ac:dyDescent="0.35">
      <c r="BZ8205" s="105"/>
      <c r="CA8205" s="20"/>
    </row>
    <row r="8206" spans="78:79" x14ac:dyDescent="0.35">
      <c r="BZ8206" s="105"/>
      <c r="CA8206" s="20"/>
    </row>
    <row r="8207" spans="78:79" x14ac:dyDescent="0.35">
      <c r="BZ8207" s="105"/>
      <c r="CA8207" s="20"/>
    </row>
    <row r="8208" spans="78:79" x14ac:dyDescent="0.35">
      <c r="BZ8208" s="105"/>
      <c r="CA8208" s="20"/>
    </row>
    <row r="8209" spans="78:79" x14ac:dyDescent="0.35">
      <c r="BZ8209" s="105"/>
      <c r="CA8209" s="20"/>
    </row>
    <row r="8210" spans="78:79" x14ac:dyDescent="0.35">
      <c r="BZ8210" s="105"/>
      <c r="CA8210" s="20"/>
    </row>
    <row r="8211" spans="78:79" x14ac:dyDescent="0.35">
      <c r="BZ8211" s="105"/>
      <c r="CA8211" s="20"/>
    </row>
    <row r="8212" spans="78:79" x14ac:dyDescent="0.35">
      <c r="BZ8212" s="105"/>
      <c r="CA8212" s="20"/>
    </row>
    <row r="8213" spans="78:79" x14ac:dyDescent="0.35">
      <c r="BZ8213" s="105"/>
      <c r="CA8213" s="20"/>
    </row>
    <row r="8214" spans="78:79" x14ac:dyDescent="0.35">
      <c r="BZ8214" s="105"/>
      <c r="CA8214" s="20"/>
    </row>
    <row r="8215" spans="78:79" x14ac:dyDescent="0.35">
      <c r="BZ8215" s="105"/>
      <c r="CA8215" s="20"/>
    </row>
    <row r="8216" spans="78:79" x14ac:dyDescent="0.35">
      <c r="BZ8216" s="105"/>
      <c r="CA8216" s="20"/>
    </row>
    <row r="8217" spans="78:79" x14ac:dyDescent="0.35">
      <c r="BZ8217" s="105"/>
      <c r="CA8217" s="20"/>
    </row>
    <row r="8218" spans="78:79" x14ac:dyDescent="0.35">
      <c r="BZ8218" s="105"/>
      <c r="CA8218" s="20"/>
    </row>
    <row r="8219" spans="78:79" x14ac:dyDescent="0.35">
      <c r="BZ8219" s="105"/>
      <c r="CA8219" s="20"/>
    </row>
    <row r="8220" spans="78:79" x14ac:dyDescent="0.35">
      <c r="BZ8220" s="105"/>
      <c r="CA8220" s="20"/>
    </row>
    <row r="8221" spans="78:79" x14ac:dyDescent="0.35">
      <c r="BZ8221" s="105"/>
      <c r="CA8221" s="20"/>
    </row>
    <row r="8222" spans="78:79" x14ac:dyDescent="0.35">
      <c r="BZ8222" s="105"/>
      <c r="CA8222" s="20"/>
    </row>
    <row r="8223" spans="78:79" x14ac:dyDescent="0.35">
      <c r="BZ8223" s="105"/>
      <c r="CA8223" s="20"/>
    </row>
    <row r="8224" spans="78:79" x14ac:dyDescent="0.35">
      <c r="BZ8224" s="105"/>
      <c r="CA8224" s="20"/>
    </row>
    <row r="8225" spans="78:79" x14ac:dyDescent="0.35">
      <c r="BZ8225" s="105"/>
      <c r="CA8225" s="20"/>
    </row>
    <row r="8226" spans="78:79" x14ac:dyDescent="0.35">
      <c r="BZ8226" s="105"/>
      <c r="CA8226" s="20"/>
    </row>
    <row r="8227" spans="78:79" x14ac:dyDescent="0.35">
      <c r="BZ8227" s="105"/>
      <c r="CA8227" s="20"/>
    </row>
    <row r="8228" spans="78:79" x14ac:dyDescent="0.35">
      <c r="BZ8228" s="105"/>
      <c r="CA8228" s="20"/>
    </row>
    <row r="8229" spans="78:79" x14ac:dyDescent="0.35">
      <c r="BZ8229" s="105"/>
      <c r="CA8229" s="20"/>
    </row>
    <row r="8230" spans="78:79" x14ac:dyDescent="0.35">
      <c r="BZ8230" s="105"/>
      <c r="CA8230" s="20"/>
    </row>
    <row r="8231" spans="78:79" x14ac:dyDescent="0.35">
      <c r="BZ8231" s="105"/>
      <c r="CA8231" s="20"/>
    </row>
    <row r="8232" spans="78:79" x14ac:dyDescent="0.35">
      <c r="BZ8232" s="105"/>
      <c r="CA8232" s="20"/>
    </row>
    <row r="8233" spans="78:79" x14ac:dyDescent="0.35">
      <c r="BZ8233" s="105"/>
      <c r="CA8233" s="20"/>
    </row>
    <row r="8234" spans="78:79" x14ac:dyDescent="0.35">
      <c r="BZ8234" s="105"/>
      <c r="CA8234" s="20"/>
    </row>
    <row r="8235" spans="78:79" x14ac:dyDescent="0.35">
      <c r="BZ8235" s="105"/>
      <c r="CA8235" s="20"/>
    </row>
    <row r="8236" spans="78:79" x14ac:dyDescent="0.35">
      <c r="BZ8236" s="105"/>
      <c r="CA8236" s="20"/>
    </row>
    <row r="8237" spans="78:79" x14ac:dyDescent="0.35">
      <c r="BZ8237" s="105"/>
      <c r="CA8237" s="20"/>
    </row>
    <row r="8238" spans="78:79" x14ac:dyDescent="0.35">
      <c r="BZ8238" s="105"/>
      <c r="CA8238" s="20"/>
    </row>
    <row r="8239" spans="78:79" x14ac:dyDescent="0.35">
      <c r="BZ8239" s="105"/>
      <c r="CA8239" s="20"/>
    </row>
    <row r="8240" spans="78:79" x14ac:dyDescent="0.35">
      <c r="BZ8240" s="105"/>
      <c r="CA8240" s="20"/>
    </row>
    <row r="8241" spans="78:79" x14ac:dyDescent="0.35">
      <c r="BZ8241" s="105"/>
      <c r="CA8241" s="20"/>
    </row>
    <row r="8242" spans="78:79" x14ac:dyDescent="0.35">
      <c r="BZ8242" s="105"/>
      <c r="CA8242" s="20"/>
    </row>
    <row r="8243" spans="78:79" x14ac:dyDescent="0.35">
      <c r="BZ8243" s="105"/>
      <c r="CA8243" s="20"/>
    </row>
    <row r="8244" spans="78:79" x14ac:dyDescent="0.35">
      <c r="BZ8244" s="105"/>
      <c r="CA8244" s="20"/>
    </row>
    <row r="8245" spans="78:79" x14ac:dyDescent="0.35">
      <c r="BZ8245" s="105"/>
      <c r="CA8245" s="20"/>
    </row>
    <row r="8246" spans="78:79" x14ac:dyDescent="0.35">
      <c r="BZ8246" s="105"/>
      <c r="CA8246" s="20"/>
    </row>
    <row r="8247" spans="78:79" x14ac:dyDescent="0.35">
      <c r="BZ8247" s="105"/>
      <c r="CA8247" s="20"/>
    </row>
    <row r="8248" spans="78:79" x14ac:dyDescent="0.35">
      <c r="BZ8248" s="105"/>
      <c r="CA8248" s="20"/>
    </row>
    <row r="8249" spans="78:79" x14ac:dyDescent="0.35">
      <c r="BZ8249" s="105"/>
      <c r="CA8249" s="20"/>
    </row>
    <row r="8250" spans="78:79" x14ac:dyDescent="0.35">
      <c r="BZ8250" s="105"/>
      <c r="CA8250" s="20"/>
    </row>
    <row r="8251" spans="78:79" x14ac:dyDescent="0.35">
      <c r="BZ8251" s="105"/>
      <c r="CA8251" s="20"/>
    </row>
    <row r="8252" spans="78:79" x14ac:dyDescent="0.35">
      <c r="BZ8252" s="105"/>
      <c r="CA8252" s="20"/>
    </row>
    <row r="8253" spans="78:79" x14ac:dyDescent="0.35">
      <c r="BZ8253" s="105"/>
      <c r="CA8253" s="20"/>
    </row>
    <row r="8254" spans="78:79" x14ac:dyDescent="0.35">
      <c r="BZ8254" s="105"/>
      <c r="CA8254" s="20"/>
    </row>
    <row r="8255" spans="78:79" x14ac:dyDescent="0.35">
      <c r="BZ8255" s="105"/>
      <c r="CA8255" s="20"/>
    </row>
    <row r="8256" spans="78:79" x14ac:dyDescent="0.35">
      <c r="BZ8256" s="105"/>
      <c r="CA8256" s="20"/>
    </row>
    <row r="8257" spans="78:79" x14ac:dyDescent="0.35">
      <c r="BZ8257" s="105"/>
      <c r="CA8257" s="20"/>
    </row>
    <row r="8258" spans="78:79" x14ac:dyDescent="0.35">
      <c r="BZ8258" s="105"/>
      <c r="CA8258" s="20"/>
    </row>
    <row r="8259" spans="78:79" x14ac:dyDescent="0.35">
      <c r="BZ8259" s="105"/>
      <c r="CA8259" s="20"/>
    </row>
    <row r="8260" spans="78:79" x14ac:dyDescent="0.35">
      <c r="BZ8260" s="105"/>
      <c r="CA8260" s="20"/>
    </row>
    <row r="8261" spans="78:79" x14ac:dyDescent="0.35">
      <c r="BZ8261" s="105"/>
      <c r="CA8261" s="20"/>
    </row>
    <row r="8262" spans="78:79" x14ac:dyDescent="0.35">
      <c r="BZ8262" s="105"/>
      <c r="CA8262" s="20"/>
    </row>
    <row r="8263" spans="78:79" x14ac:dyDescent="0.35">
      <c r="BZ8263" s="105"/>
      <c r="CA8263" s="20"/>
    </row>
    <row r="8264" spans="78:79" x14ac:dyDescent="0.35">
      <c r="BZ8264" s="105"/>
      <c r="CA8264" s="20"/>
    </row>
    <row r="8265" spans="78:79" x14ac:dyDescent="0.35">
      <c r="BZ8265" s="105"/>
      <c r="CA8265" s="20"/>
    </row>
    <row r="8266" spans="78:79" x14ac:dyDescent="0.35">
      <c r="BZ8266" s="105"/>
      <c r="CA8266" s="20"/>
    </row>
    <row r="8267" spans="78:79" x14ac:dyDescent="0.35">
      <c r="BZ8267" s="105"/>
      <c r="CA8267" s="20"/>
    </row>
    <row r="8268" spans="78:79" x14ac:dyDescent="0.35">
      <c r="BZ8268" s="105"/>
      <c r="CA8268" s="20"/>
    </row>
    <row r="8269" spans="78:79" x14ac:dyDescent="0.35">
      <c r="BZ8269" s="105"/>
      <c r="CA8269" s="20"/>
    </row>
    <row r="8270" spans="78:79" x14ac:dyDescent="0.35">
      <c r="BZ8270" s="105"/>
      <c r="CA8270" s="20"/>
    </row>
    <row r="8271" spans="78:79" x14ac:dyDescent="0.35">
      <c r="BZ8271" s="105"/>
      <c r="CA8271" s="20"/>
    </row>
    <row r="8272" spans="78:79" x14ac:dyDescent="0.35">
      <c r="BZ8272" s="105"/>
      <c r="CA8272" s="20"/>
    </row>
    <row r="8273" spans="78:79" x14ac:dyDescent="0.35">
      <c r="BZ8273" s="105"/>
      <c r="CA8273" s="20"/>
    </row>
    <row r="8274" spans="78:79" x14ac:dyDescent="0.35">
      <c r="BZ8274" s="105"/>
      <c r="CA8274" s="20"/>
    </row>
    <row r="8275" spans="78:79" x14ac:dyDescent="0.35">
      <c r="BZ8275" s="105"/>
      <c r="CA8275" s="20"/>
    </row>
    <row r="8276" spans="78:79" x14ac:dyDescent="0.35">
      <c r="BZ8276" s="105"/>
      <c r="CA8276" s="20"/>
    </row>
    <row r="8277" spans="78:79" x14ac:dyDescent="0.35">
      <c r="BZ8277" s="105"/>
      <c r="CA8277" s="20"/>
    </row>
    <row r="8278" spans="78:79" x14ac:dyDescent="0.35">
      <c r="BZ8278" s="105"/>
      <c r="CA8278" s="20"/>
    </row>
    <row r="8279" spans="78:79" x14ac:dyDescent="0.35">
      <c r="BZ8279" s="105"/>
      <c r="CA8279" s="20"/>
    </row>
    <row r="8280" spans="78:79" x14ac:dyDescent="0.35">
      <c r="BZ8280" s="105"/>
      <c r="CA8280" s="20"/>
    </row>
    <row r="8281" spans="78:79" x14ac:dyDescent="0.35">
      <c r="BZ8281" s="105"/>
      <c r="CA8281" s="20"/>
    </row>
    <row r="8282" spans="78:79" x14ac:dyDescent="0.35">
      <c r="BZ8282" s="105"/>
      <c r="CA8282" s="20"/>
    </row>
    <row r="8283" spans="78:79" x14ac:dyDescent="0.35">
      <c r="BZ8283" s="105"/>
      <c r="CA8283" s="20"/>
    </row>
    <row r="8284" spans="78:79" x14ac:dyDescent="0.35">
      <c r="BZ8284" s="105"/>
      <c r="CA8284" s="20"/>
    </row>
    <row r="8285" spans="78:79" x14ac:dyDescent="0.35">
      <c r="BZ8285" s="105"/>
      <c r="CA8285" s="20"/>
    </row>
    <row r="8286" spans="78:79" x14ac:dyDescent="0.35">
      <c r="BZ8286" s="105"/>
      <c r="CA8286" s="20"/>
    </row>
    <row r="8287" spans="78:79" x14ac:dyDescent="0.35">
      <c r="BZ8287" s="105"/>
      <c r="CA8287" s="20"/>
    </row>
    <row r="8288" spans="78:79" x14ac:dyDescent="0.35">
      <c r="BZ8288" s="105"/>
      <c r="CA8288" s="20"/>
    </row>
    <row r="8289" spans="78:79" x14ac:dyDescent="0.35">
      <c r="BZ8289" s="105"/>
      <c r="CA8289" s="20"/>
    </row>
    <row r="8290" spans="78:79" x14ac:dyDescent="0.35">
      <c r="BZ8290" s="105"/>
      <c r="CA8290" s="20"/>
    </row>
    <row r="8291" spans="78:79" x14ac:dyDescent="0.35">
      <c r="BZ8291" s="105"/>
      <c r="CA8291" s="20"/>
    </row>
    <row r="8292" spans="78:79" x14ac:dyDescent="0.35">
      <c r="BZ8292" s="105"/>
      <c r="CA8292" s="20"/>
    </row>
    <row r="8293" spans="78:79" x14ac:dyDescent="0.35">
      <c r="BZ8293" s="105"/>
      <c r="CA8293" s="20"/>
    </row>
    <row r="8294" spans="78:79" x14ac:dyDescent="0.35">
      <c r="BZ8294" s="105"/>
      <c r="CA8294" s="20"/>
    </row>
    <row r="8295" spans="78:79" x14ac:dyDescent="0.35">
      <c r="BZ8295" s="105"/>
      <c r="CA8295" s="20"/>
    </row>
    <row r="8296" spans="78:79" x14ac:dyDescent="0.35">
      <c r="BZ8296" s="105"/>
      <c r="CA8296" s="20"/>
    </row>
    <row r="8297" spans="78:79" x14ac:dyDescent="0.35">
      <c r="BZ8297" s="105"/>
      <c r="CA8297" s="20"/>
    </row>
    <row r="8298" spans="78:79" x14ac:dyDescent="0.35">
      <c r="BZ8298" s="105"/>
      <c r="CA8298" s="20"/>
    </row>
    <row r="8299" spans="78:79" x14ac:dyDescent="0.35">
      <c r="BZ8299" s="105"/>
      <c r="CA8299" s="20"/>
    </row>
    <row r="8300" spans="78:79" x14ac:dyDescent="0.35">
      <c r="BZ8300" s="105"/>
      <c r="CA8300" s="20"/>
    </row>
    <row r="8301" spans="78:79" x14ac:dyDescent="0.35">
      <c r="BZ8301" s="105"/>
      <c r="CA8301" s="20"/>
    </row>
    <row r="8302" spans="78:79" x14ac:dyDescent="0.35">
      <c r="BZ8302" s="105"/>
      <c r="CA8302" s="20"/>
    </row>
    <row r="8303" spans="78:79" x14ac:dyDescent="0.35">
      <c r="BZ8303" s="105"/>
      <c r="CA8303" s="20"/>
    </row>
    <row r="8304" spans="78:79" x14ac:dyDescent="0.35">
      <c r="BZ8304" s="105"/>
      <c r="CA8304" s="20"/>
    </row>
    <row r="8305" spans="78:79" x14ac:dyDescent="0.35">
      <c r="BZ8305" s="105"/>
      <c r="CA8305" s="20"/>
    </row>
    <row r="8306" spans="78:79" x14ac:dyDescent="0.35">
      <c r="BZ8306" s="105"/>
      <c r="CA8306" s="20"/>
    </row>
    <row r="8307" spans="78:79" x14ac:dyDescent="0.35">
      <c r="BZ8307" s="105"/>
      <c r="CA8307" s="20"/>
    </row>
    <row r="8308" spans="78:79" x14ac:dyDescent="0.35">
      <c r="BZ8308" s="105"/>
      <c r="CA8308" s="20"/>
    </row>
    <row r="8309" spans="78:79" x14ac:dyDescent="0.35">
      <c r="BZ8309" s="105"/>
      <c r="CA8309" s="20"/>
    </row>
    <row r="8310" spans="78:79" x14ac:dyDescent="0.35">
      <c r="BZ8310" s="105"/>
      <c r="CA8310" s="20"/>
    </row>
    <row r="8311" spans="78:79" x14ac:dyDescent="0.35">
      <c r="BZ8311" s="105"/>
      <c r="CA8311" s="20"/>
    </row>
    <row r="8312" spans="78:79" x14ac:dyDescent="0.35">
      <c r="BZ8312" s="105"/>
      <c r="CA8312" s="20"/>
    </row>
    <row r="8313" spans="78:79" x14ac:dyDescent="0.35">
      <c r="BZ8313" s="105"/>
      <c r="CA8313" s="20"/>
    </row>
    <row r="8314" spans="78:79" x14ac:dyDescent="0.35">
      <c r="BZ8314" s="105"/>
      <c r="CA8314" s="20"/>
    </row>
    <row r="8315" spans="78:79" x14ac:dyDescent="0.35">
      <c r="BZ8315" s="105"/>
      <c r="CA8315" s="20"/>
    </row>
    <row r="8316" spans="78:79" x14ac:dyDescent="0.35">
      <c r="BZ8316" s="105"/>
      <c r="CA8316" s="20"/>
    </row>
    <row r="8317" spans="78:79" x14ac:dyDescent="0.35">
      <c r="BZ8317" s="105"/>
      <c r="CA8317" s="20"/>
    </row>
    <row r="8318" spans="78:79" x14ac:dyDescent="0.35">
      <c r="BZ8318" s="105"/>
      <c r="CA8318" s="20"/>
    </row>
    <row r="8319" spans="78:79" x14ac:dyDescent="0.35">
      <c r="BZ8319" s="105"/>
      <c r="CA8319" s="20"/>
    </row>
    <row r="8320" spans="78:79" x14ac:dyDescent="0.35">
      <c r="BZ8320" s="105"/>
      <c r="CA8320" s="20"/>
    </row>
    <row r="8321" spans="78:79" x14ac:dyDescent="0.35">
      <c r="BZ8321" s="105"/>
      <c r="CA8321" s="20"/>
    </row>
    <row r="8322" spans="78:79" x14ac:dyDescent="0.35">
      <c r="BZ8322" s="105"/>
      <c r="CA8322" s="20"/>
    </row>
    <row r="8323" spans="78:79" x14ac:dyDescent="0.35">
      <c r="BZ8323" s="105"/>
      <c r="CA8323" s="20"/>
    </row>
    <row r="8324" spans="78:79" x14ac:dyDescent="0.35">
      <c r="BZ8324" s="105"/>
      <c r="CA8324" s="20"/>
    </row>
    <row r="8325" spans="78:79" x14ac:dyDescent="0.35">
      <c r="BZ8325" s="105"/>
      <c r="CA8325" s="20"/>
    </row>
    <row r="8326" spans="78:79" x14ac:dyDescent="0.35">
      <c r="BZ8326" s="105"/>
      <c r="CA8326" s="20"/>
    </row>
    <row r="8327" spans="78:79" x14ac:dyDescent="0.35">
      <c r="BZ8327" s="105"/>
      <c r="CA8327" s="20"/>
    </row>
    <row r="8328" spans="78:79" x14ac:dyDescent="0.35">
      <c r="BZ8328" s="105"/>
      <c r="CA8328" s="20"/>
    </row>
    <row r="8329" spans="78:79" x14ac:dyDescent="0.35">
      <c r="BZ8329" s="105"/>
      <c r="CA8329" s="20"/>
    </row>
    <row r="8330" spans="78:79" x14ac:dyDescent="0.35">
      <c r="BZ8330" s="105"/>
      <c r="CA8330" s="20"/>
    </row>
    <row r="8331" spans="78:79" x14ac:dyDescent="0.35">
      <c r="BZ8331" s="105"/>
      <c r="CA8331" s="20"/>
    </row>
    <row r="8332" spans="78:79" x14ac:dyDescent="0.35">
      <c r="BZ8332" s="105"/>
      <c r="CA8332" s="20"/>
    </row>
    <row r="8333" spans="78:79" x14ac:dyDescent="0.35">
      <c r="BZ8333" s="105"/>
      <c r="CA8333" s="20"/>
    </row>
    <row r="8334" spans="78:79" x14ac:dyDescent="0.35">
      <c r="BZ8334" s="105"/>
      <c r="CA8334" s="20"/>
    </row>
    <row r="8335" spans="78:79" x14ac:dyDescent="0.35">
      <c r="BZ8335" s="105"/>
      <c r="CA8335" s="20"/>
    </row>
    <row r="8336" spans="78:79" x14ac:dyDescent="0.35">
      <c r="BZ8336" s="105"/>
      <c r="CA8336" s="20"/>
    </row>
    <row r="8337" spans="78:79" x14ac:dyDescent="0.35">
      <c r="BZ8337" s="105"/>
      <c r="CA8337" s="20"/>
    </row>
    <row r="8338" spans="78:79" x14ac:dyDescent="0.35">
      <c r="BZ8338" s="105"/>
      <c r="CA8338" s="20"/>
    </row>
    <row r="8339" spans="78:79" x14ac:dyDescent="0.35">
      <c r="BZ8339" s="105"/>
      <c r="CA8339" s="20"/>
    </row>
    <row r="8340" spans="78:79" x14ac:dyDescent="0.35">
      <c r="BZ8340" s="105"/>
      <c r="CA8340" s="20"/>
    </row>
    <row r="8341" spans="78:79" x14ac:dyDescent="0.35">
      <c r="BZ8341" s="105"/>
      <c r="CA8341" s="20"/>
    </row>
    <row r="8342" spans="78:79" x14ac:dyDescent="0.35">
      <c r="BZ8342" s="105"/>
      <c r="CA8342" s="20"/>
    </row>
    <row r="8343" spans="78:79" x14ac:dyDescent="0.35">
      <c r="BZ8343" s="105"/>
      <c r="CA8343" s="20"/>
    </row>
    <row r="8344" spans="78:79" x14ac:dyDescent="0.35">
      <c r="BZ8344" s="105"/>
      <c r="CA8344" s="20"/>
    </row>
    <row r="8345" spans="78:79" x14ac:dyDescent="0.35">
      <c r="BZ8345" s="105"/>
      <c r="CA8345" s="20"/>
    </row>
    <row r="8346" spans="78:79" x14ac:dyDescent="0.35">
      <c r="BZ8346" s="105"/>
      <c r="CA8346" s="20"/>
    </row>
    <row r="8347" spans="78:79" x14ac:dyDescent="0.35">
      <c r="BZ8347" s="105"/>
      <c r="CA8347" s="20"/>
    </row>
    <row r="8348" spans="78:79" x14ac:dyDescent="0.35">
      <c r="BZ8348" s="105"/>
      <c r="CA8348" s="20"/>
    </row>
    <row r="8349" spans="78:79" x14ac:dyDescent="0.35">
      <c r="BZ8349" s="105"/>
      <c r="CA8349" s="20"/>
    </row>
    <row r="8350" spans="78:79" x14ac:dyDescent="0.35">
      <c r="BZ8350" s="105"/>
      <c r="CA8350" s="20"/>
    </row>
    <row r="8351" spans="78:79" x14ac:dyDescent="0.35">
      <c r="BZ8351" s="105"/>
      <c r="CA8351" s="20"/>
    </row>
    <row r="8352" spans="78:79" x14ac:dyDescent="0.35">
      <c r="BZ8352" s="105"/>
      <c r="CA8352" s="20"/>
    </row>
    <row r="8353" spans="78:79" x14ac:dyDescent="0.35">
      <c r="BZ8353" s="105"/>
      <c r="CA8353" s="20"/>
    </row>
    <row r="8354" spans="78:79" x14ac:dyDescent="0.35">
      <c r="BZ8354" s="105"/>
      <c r="CA8354" s="20"/>
    </row>
    <row r="8355" spans="78:79" x14ac:dyDescent="0.35">
      <c r="BZ8355" s="105"/>
      <c r="CA8355" s="20"/>
    </row>
    <row r="8356" spans="78:79" x14ac:dyDescent="0.35">
      <c r="BZ8356" s="105"/>
      <c r="CA8356" s="20"/>
    </row>
    <row r="8357" spans="78:79" x14ac:dyDescent="0.35">
      <c r="BZ8357" s="105"/>
      <c r="CA8357" s="20"/>
    </row>
    <row r="8358" spans="78:79" x14ac:dyDescent="0.35">
      <c r="BZ8358" s="105"/>
      <c r="CA8358" s="20"/>
    </row>
    <row r="8359" spans="78:79" x14ac:dyDescent="0.35">
      <c r="BZ8359" s="105"/>
      <c r="CA8359" s="20"/>
    </row>
    <row r="8360" spans="78:79" x14ac:dyDescent="0.35">
      <c r="BZ8360" s="105"/>
      <c r="CA8360" s="20"/>
    </row>
    <row r="8361" spans="78:79" x14ac:dyDescent="0.35">
      <c r="BZ8361" s="105"/>
      <c r="CA8361" s="20"/>
    </row>
    <row r="8362" spans="78:79" x14ac:dyDescent="0.35">
      <c r="BZ8362" s="105"/>
      <c r="CA8362" s="20"/>
    </row>
    <row r="8363" spans="78:79" x14ac:dyDescent="0.35">
      <c r="BZ8363" s="105"/>
      <c r="CA8363" s="20"/>
    </row>
    <row r="8364" spans="78:79" x14ac:dyDescent="0.35">
      <c r="BZ8364" s="105"/>
      <c r="CA8364" s="20"/>
    </row>
    <row r="8365" spans="78:79" x14ac:dyDescent="0.35">
      <c r="BZ8365" s="105"/>
      <c r="CA8365" s="20"/>
    </row>
    <row r="8366" spans="78:79" x14ac:dyDescent="0.35">
      <c r="BZ8366" s="105"/>
      <c r="CA8366" s="20"/>
    </row>
    <row r="8367" spans="78:79" x14ac:dyDescent="0.35">
      <c r="BZ8367" s="105"/>
      <c r="CA8367" s="20"/>
    </row>
    <row r="8368" spans="78:79" x14ac:dyDescent="0.35">
      <c r="BZ8368" s="105"/>
      <c r="CA8368" s="20"/>
    </row>
    <row r="8369" spans="78:79" x14ac:dyDescent="0.35">
      <c r="BZ8369" s="105"/>
      <c r="CA8369" s="20"/>
    </row>
    <row r="8370" spans="78:79" x14ac:dyDescent="0.35">
      <c r="BZ8370" s="105"/>
      <c r="CA8370" s="20"/>
    </row>
    <row r="8371" spans="78:79" x14ac:dyDescent="0.35">
      <c r="BZ8371" s="105"/>
      <c r="CA8371" s="20"/>
    </row>
    <row r="8372" spans="78:79" x14ac:dyDescent="0.35">
      <c r="BZ8372" s="105"/>
      <c r="CA8372" s="20"/>
    </row>
    <row r="8373" spans="78:79" x14ac:dyDescent="0.35">
      <c r="BZ8373" s="105"/>
      <c r="CA8373" s="20"/>
    </row>
    <row r="8374" spans="78:79" x14ac:dyDescent="0.35">
      <c r="BZ8374" s="105"/>
      <c r="CA8374" s="20"/>
    </row>
    <row r="8375" spans="78:79" x14ac:dyDescent="0.35">
      <c r="BZ8375" s="105"/>
      <c r="CA8375" s="20"/>
    </row>
    <row r="8376" spans="78:79" x14ac:dyDescent="0.35">
      <c r="BZ8376" s="105"/>
      <c r="CA8376" s="20"/>
    </row>
    <row r="8377" spans="78:79" x14ac:dyDescent="0.35">
      <c r="BZ8377" s="105"/>
      <c r="CA8377" s="20"/>
    </row>
    <row r="8378" spans="78:79" x14ac:dyDescent="0.35">
      <c r="BZ8378" s="105"/>
      <c r="CA8378" s="20"/>
    </row>
    <row r="8379" spans="78:79" x14ac:dyDescent="0.35">
      <c r="BZ8379" s="105"/>
      <c r="CA8379" s="20"/>
    </row>
    <row r="8380" spans="78:79" x14ac:dyDescent="0.35">
      <c r="BZ8380" s="105"/>
      <c r="CA8380" s="20"/>
    </row>
    <row r="8381" spans="78:79" x14ac:dyDescent="0.35">
      <c r="BZ8381" s="105"/>
      <c r="CA8381" s="20"/>
    </row>
    <row r="8382" spans="78:79" x14ac:dyDescent="0.35">
      <c r="BZ8382" s="105"/>
      <c r="CA8382" s="20"/>
    </row>
    <row r="8383" spans="78:79" x14ac:dyDescent="0.35">
      <c r="BZ8383" s="105"/>
      <c r="CA8383" s="20"/>
    </row>
    <row r="8384" spans="78:79" x14ac:dyDescent="0.35">
      <c r="BZ8384" s="105"/>
      <c r="CA8384" s="20"/>
    </row>
    <row r="8385" spans="78:79" x14ac:dyDescent="0.35">
      <c r="BZ8385" s="105"/>
      <c r="CA8385" s="20"/>
    </row>
    <row r="8386" spans="78:79" x14ac:dyDescent="0.35">
      <c r="BZ8386" s="105"/>
      <c r="CA8386" s="20"/>
    </row>
    <row r="8387" spans="78:79" x14ac:dyDescent="0.35">
      <c r="BZ8387" s="105"/>
      <c r="CA8387" s="20"/>
    </row>
    <row r="8388" spans="78:79" x14ac:dyDescent="0.35">
      <c r="BZ8388" s="105"/>
      <c r="CA8388" s="20"/>
    </row>
    <row r="8389" spans="78:79" x14ac:dyDescent="0.35">
      <c r="BZ8389" s="105"/>
      <c r="CA8389" s="20"/>
    </row>
    <row r="8390" spans="78:79" x14ac:dyDescent="0.35">
      <c r="BZ8390" s="105"/>
      <c r="CA8390" s="20"/>
    </row>
    <row r="8391" spans="78:79" x14ac:dyDescent="0.35">
      <c r="BZ8391" s="105"/>
      <c r="CA8391" s="20"/>
    </row>
    <row r="8392" spans="78:79" x14ac:dyDescent="0.35">
      <c r="BZ8392" s="105"/>
      <c r="CA8392" s="20"/>
    </row>
    <row r="8393" spans="78:79" x14ac:dyDescent="0.35">
      <c r="BZ8393" s="105"/>
      <c r="CA8393" s="20"/>
    </row>
    <row r="8394" spans="78:79" x14ac:dyDescent="0.35">
      <c r="BZ8394" s="105"/>
      <c r="CA8394" s="20"/>
    </row>
    <row r="8395" spans="78:79" x14ac:dyDescent="0.35">
      <c r="BZ8395" s="105"/>
      <c r="CA8395" s="20"/>
    </row>
    <row r="8396" spans="78:79" x14ac:dyDescent="0.35">
      <c r="BZ8396" s="105"/>
      <c r="CA8396" s="20"/>
    </row>
    <row r="8397" spans="78:79" x14ac:dyDescent="0.35">
      <c r="BZ8397" s="105"/>
      <c r="CA8397" s="20"/>
    </row>
    <row r="8398" spans="78:79" x14ac:dyDescent="0.35">
      <c r="BZ8398" s="105"/>
      <c r="CA8398" s="20"/>
    </row>
    <row r="8399" spans="78:79" x14ac:dyDescent="0.35">
      <c r="BZ8399" s="105"/>
      <c r="CA8399" s="20"/>
    </row>
    <row r="8400" spans="78:79" x14ac:dyDescent="0.35">
      <c r="BZ8400" s="105"/>
      <c r="CA8400" s="20"/>
    </row>
    <row r="8401" spans="78:79" x14ac:dyDescent="0.35">
      <c r="BZ8401" s="105"/>
      <c r="CA8401" s="20"/>
    </row>
    <row r="8402" spans="78:79" x14ac:dyDescent="0.35">
      <c r="BZ8402" s="105"/>
      <c r="CA8402" s="20"/>
    </row>
    <row r="8403" spans="78:79" x14ac:dyDescent="0.35">
      <c r="BZ8403" s="105"/>
      <c r="CA8403" s="20"/>
    </row>
    <row r="8404" spans="78:79" x14ac:dyDescent="0.35">
      <c r="BZ8404" s="105"/>
      <c r="CA8404" s="20"/>
    </row>
    <row r="8405" spans="78:79" x14ac:dyDescent="0.35">
      <c r="BZ8405" s="105"/>
      <c r="CA8405" s="20"/>
    </row>
    <row r="8406" spans="78:79" x14ac:dyDescent="0.35">
      <c r="BZ8406" s="105"/>
      <c r="CA8406" s="20"/>
    </row>
    <row r="8407" spans="78:79" x14ac:dyDescent="0.35">
      <c r="BZ8407" s="105"/>
      <c r="CA8407" s="20"/>
    </row>
    <row r="8408" spans="78:79" x14ac:dyDescent="0.35">
      <c r="BZ8408" s="105"/>
      <c r="CA8408" s="20"/>
    </row>
    <row r="8409" spans="78:79" x14ac:dyDescent="0.35">
      <c r="BZ8409" s="105"/>
      <c r="CA8409" s="20"/>
    </row>
    <row r="8410" spans="78:79" x14ac:dyDescent="0.35">
      <c r="BZ8410" s="105"/>
      <c r="CA8410" s="20"/>
    </row>
    <row r="8411" spans="78:79" x14ac:dyDescent="0.35">
      <c r="BZ8411" s="105"/>
      <c r="CA8411" s="20"/>
    </row>
    <row r="8412" spans="78:79" x14ac:dyDescent="0.35">
      <c r="BZ8412" s="105"/>
      <c r="CA8412" s="20"/>
    </row>
    <row r="8413" spans="78:79" x14ac:dyDescent="0.35">
      <c r="BZ8413" s="105"/>
      <c r="CA8413" s="20"/>
    </row>
    <row r="8414" spans="78:79" x14ac:dyDescent="0.35">
      <c r="BZ8414" s="105"/>
      <c r="CA8414" s="20"/>
    </row>
    <row r="8415" spans="78:79" x14ac:dyDescent="0.35">
      <c r="BZ8415" s="105"/>
      <c r="CA8415" s="20"/>
    </row>
    <row r="8416" spans="78:79" x14ac:dyDescent="0.35">
      <c r="BZ8416" s="105"/>
      <c r="CA8416" s="20"/>
    </row>
    <row r="8417" spans="78:79" x14ac:dyDescent="0.35">
      <c r="BZ8417" s="105"/>
      <c r="CA8417" s="20"/>
    </row>
    <row r="8418" spans="78:79" x14ac:dyDescent="0.35">
      <c r="BZ8418" s="105"/>
      <c r="CA8418" s="20"/>
    </row>
    <row r="8419" spans="78:79" x14ac:dyDescent="0.35">
      <c r="BZ8419" s="105"/>
      <c r="CA8419" s="20"/>
    </row>
    <row r="8420" spans="78:79" x14ac:dyDescent="0.35">
      <c r="BZ8420" s="105"/>
      <c r="CA8420" s="20"/>
    </row>
    <row r="8421" spans="78:79" x14ac:dyDescent="0.35">
      <c r="BZ8421" s="105"/>
      <c r="CA8421" s="20"/>
    </row>
    <row r="8422" spans="78:79" x14ac:dyDescent="0.35">
      <c r="BZ8422" s="105"/>
      <c r="CA8422" s="20"/>
    </row>
    <row r="8423" spans="78:79" x14ac:dyDescent="0.35">
      <c r="BZ8423" s="105"/>
      <c r="CA8423" s="20"/>
    </row>
    <row r="8424" spans="78:79" x14ac:dyDescent="0.35">
      <c r="BZ8424" s="105"/>
      <c r="CA8424" s="20"/>
    </row>
    <row r="8425" spans="78:79" x14ac:dyDescent="0.35">
      <c r="BZ8425" s="105"/>
      <c r="CA8425" s="20"/>
    </row>
    <row r="8426" spans="78:79" x14ac:dyDescent="0.35">
      <c r="BZ8426" s="105"/>
      <c r="CA8426" s="20"/>
    </row>
    <row r="8427" spans="78:79" x14ac:dyDescent="0.35">
      <c r="BZ8427" s="105"/>
      <c r="CA8427" s="20"/>
    </row>
    <row r="8428" spans="78:79" x14ac:dyDescent="0.35">
      <c r="BZ8428" s="105"/>
      <c r="CA8428" s="20"/>
    </row>
    <row r="8429" spans="78:79" x14ac:dyDescent="0.35">
      <c r="BZ8429" s="105"/>
      <c r="CA8429" s="20"/>
    </row>
    <row r="8430" spans="78:79" x14ac:dyDescent="0.35">
      <c r="BZ8430" s="105"/>
      <c r="CA8430" s="20"/>
    </row>
    <row r="8431" spans="78:79" x14ac:dyDescent="0.35">
      <c r="BZ8431" s="105"/>
      <c r="CA8431" s="20"/>
    </row>
    <row r="8432" spans="78:79" x14ac:dyDescent="0.35">
      <c r="BZ8432" s="105"/>
      <c r="CA8432" s="20"/>
    </row>
    <row r="8433" spans="78:79" x14ac:dyDescent="0.35">
      <c r="BZ8433" s="105"/>
      <c r="CA8433" s="20"/>
    </row>
    <row r="8434" spans="78:79" x14ac:dyDescent="0.35">
      <c r="BZ8434" s="105"/>
      <c r="CA8434" s="20"/>
    </row>
    <row r="8435" spans="78:79" x14ac:dyDescent="0.35">
      <c r="BZ8435" s="105"/>
      <c r="CA8435" s="20"/>
    </row>
    <row r="8436" spans="78:79" x14ac:dyDescent="0.35">
      <c r="BZ8436" s="105"/>
      <c r="CA8436" s="20"/>
    </row>
    <row r="8437" spans="78:79" x14ac:dyDescent="0.35">
      <c r="BZ8437" s="105"/>
      <c r="CA8437" s="20"/>
    </row>
    <row r="8438" spans="78:79" x14ac:dyDescent="0.35">
      <c r="BZ8438" s="105"/>
      <c r="CA8438" s="20"/>
    </row>
    <row r="8439" spans="78:79" x14ac:dyDescent="0.35">
      <c r="BZ8439" s="105"/>
      <c r="CA8439" s="20"/>
    </row>
    <row r="8440" spans="78:79" x14ac:dyDescent="0.35">
      <c r="BZ8440" s="105"/>
      <c r="CA8440" s="20"/>
    </row>
    <row r="8441" spans="78:79" x14ac:dyDescent="0.35">
      <c r="BZ8441" s="105"/>
      <c r="CA8441" s="20"/>
    </row>
    <row r="8442" spans="78:79" x14ac:dyDescent="0.35">
      <c r="BZ8442" s="105"/>
      <c r="CA8442" s="20"/>
    </row>
    <row r="8443" spans="78:79" x14ac:dyDescent="0.35">
      <c r="BZ8443" s="105"/>
      <c r="CA8443" s="20"/>
    </row>
    <row r="8444" spans="78:79" x14ac:dyDescent="0.35">
      <c r="BZ8444" s="105"/>
      <c r="CA8444" s="20"/>
    </row>
    <row r="8445" spans="78:79" x14ac:dyDescent="0.35">
      <c r="BZ8445" s="105"/>
      <c r="CA8445" s="20"/>
    </row>
    <row r="8446" spans="78:79" x14ac:dyDescent="0.35">
      <c r="BZ8446" s="105"/>
      <c r="CA8446" s="20"/>
    </row>
    <row r="8447" spans="78:79" x14ac:dyDescent="0.35">
      <c r="BZ8447" s="105"/>
      <c r="CA8447" s="20"/>
    </row>
    <row r="8448" spans="78:79" x14ac:dyDescent="0.35">
      <c r="BZ8448" s="105"/>
      <c r="CA8448" s="20"/>
    </row>
    <row r="8449" spans="78:79" x14ac:dyDescent="0.35">
      <c r="BZ8449" s="105"/>
      <c r="CA8449" s="20"/>
    </row>
    <row r="8450" spans="78:79" x14ac:dyDescent="0.35">
      <c r="BZ8450" s="105"/>
      <c r="CA8450" s="20"/>
    </row>
    <row r="8451" spans="78:79" x14ac:dyDescent="0.35">
      <c r="BZ8451" s="105"/>
      <c r="CA8451" s="20"/>
    </row>
    <row r="8452" spans="78:79" x14ac:dyDescent="0.35">
      <c r="BZ8452" s="105"/>
      <c r="CA8452" s="20"/>
    </row>
    <row r="8453" spans="78:79" x14ac:dyDescent="0.35">
      <c r="BZ8453" s="105"/>
      <c r="CA8453" s="20"/>
    </row>
    <row r="8454" spans="78:79" x14ac:dyDescent="0.35">
      <c r="BZ8454" s="105"/>
      <c r="CA8454" s="20"/>
    </row>
    <row r="8455" spans="78:79" x14ac:dyDescent="0.35">
      <c r="BZ8455" s="105"/>
      <c r="CA8455" s="20"/>
    </row>
    <row r="8456" spans="78:79" x14ac:dyDescent="0.35">
      <c r="BZ8456" s="105"/>
      <c r="CA8456" s="20"/>
    </row>
    <row r="8457" spans="78:79" x14ac:dyDescent="0.35">
      <c r="BZ8457" s="105"/>
      <c r="CA8457" s="20"/>
    </row>
    <row r="8458" spans="78:79" x14ac:dyDescent="0.35">
      <c r="BZ8458" s="105"/>
      <c r="CA8458" s="20"/>
    </row>
    <row r="8459" spans="78:79" x14ac:dyDescent="0.35">
      <c r="BZ8459" s="105"/>
      <c r="CA8459" s="20"/>
    </row>
    <row r="8460" spans="78:79" x14ac:dyDescent="0.35">
      <c r="BZ8460" s="105"/>
      <c r="CA8460" s="20"/>
    </row>
    <row r="8461" spans="78:79" x14ac:dyDescent="0.35">
      <c r="BZ8461" s="105"/>
      <c r="CA8461" s="20"/>
    </row>
    <row r="8462" spans="78:79" x14ac:dyDescent="0.35">
      <c r="BZ8462" s="105"/>
      <c r="CA8462" s="20"/>
    </row>
    <row r="8463" spans="78:79" x14ac:dyDescent="0.35">
      <c r="BZ8463" s="105"/>
      <c r="CA8463" s="20"/>
    </row>
    <row r="8464" spans="78:79" x14ac:dyDescent="0.35">
      <c r="BZ8464" s="105"/>
      <c r="CA8464" s="20"/>
    </row>
    <row r="8465" spans="78:79" x14ac:dyDescent="0.35">
      <c r="BZ8465" s="105"/>
      <c r="CA8465" s="20"/>
    </row>
    <row r="8466" spans="78:79" x14ac:dyDescent="0.35">
      <c r="BZ8466" s="105"/>
      <c r="CA8466" s="20"/>
    </row>
    <row r="8467" spans="78:79" x14ac:dyDescent="0.35">
      <c r="BZ8467" s="105"/>
      <c r="CA8467" s="20"/>
    </row>
    <row r="8468" spans="78:79" x14ac:dyDescent="0.35">
      <c r="BZ8468" s="105"/>
      <c r="CA8468" s="20"/>
    </row>
    <row r="8469" spans="78:79" x14ac:dyDescent="0.35">
      <c r="BZ8469" s="105"/>
      <c r="CA8469" s="20"/>
    </row>
    <row r="8470" spans="78:79" x14ac:dyDescent="0.35">
      <c r="BZ8470" s="105"/>
      <c r="CA8470" s="20"/>
    </row>
    <row r="8471" spans="78:79" x14ac:dyDescent="0.35">
      <c r="BZ8471" s="105"/>
      <c r="CA8471" s="20"/>
    </row>
    <row r="8472" spans="78:79" x14ac:dyDescent="0.35">
      <c r="BZ8472" s="105"/>
      <c r="CA8472" s="20"/>
    </row>
    <row r="8473" spans="78:79" x14ac:dyDescent="0.35">
      <c r="BZ8473" s="105"/>
      <c r="CA8473" s="20"/>
    </row>
    <row r="8474" spans="78:79" x14ac:dyDescent="0.35">
      <c r="BZ8474" s="105"/>
      <c r="CA8474" s="20"/>
    </row>
    <row r="8475" spans="78:79" x14ac:dyDescent="0.35">
      <c r="BZ8475" s="105"/>
      <c r="CA8475" s="20"/>
    </row>
    <row r="8476" spans="78:79" x14ac:dyDescent="0.35">
      <c r="BZ8476" s="105"/>
      <c r="CA8476" s="20"/>
    </row>
    <row r="8477" spans="78:79" x14ac:dyDescent="0.35">
      <c r="BZ8477" s="105"/>
      <c r="CA8477" s="20"/>
    </row>
    <row r="8478" spans="78:79" x14ac:dyDescent="0.35">
      <c r="BZ8478" s="105"/>
      <c r="CA8478" s="20"/>
    </row>
    <row r="8479" spans="78:79" x14ac:dyDescent="0.35">
      <c r="BZ8479" s="105"/>
      <c r="CA8479" s="20"/>
    </row>
    <row r="8480" spans="78:79" x14ac:dyDescent="0.35">
      <c r="BZ8480" s="105"/>
      <c r="CA8480" s="20"/>
    </row>
    <row r="8481" spans="78:79" x14ac:dyDescent="0.35">
      <c r="BZ8481" s="105"/>
      <c r="CA8481" s="20"/>
    </row>
    <row r="8482" spans="78:79" x14ac:dyDescent="0.35">
      <c r="BZ8482" s="105"/>
      <c r="CA8482" s="20"/>
    </row>
    <row r="8483" spans="78:79" x14ac:dyDescent="0.35">
      <c r="BZ8483" s="105"/>
      <c r="CA8483" s="20"/>
    </row>
    <row r="8484" spans="78:79" x14ac:dyDescent="0.35">
      <c r="BZ8484" s="105"/>
      <c r="CA8484" s="20"/>
    </row>
    <row r="8485" spans="78:79" x14ac:dyDescent="0.35">
      <c r="BZ8485" s="105"/>
      <c r="CA8485" s="20"/>
    </row>
    <row r="8486" spans="78:79" x14ac:dyDescent="0.35">
      <c r="BZ8486" s="105"/>
      <c r="CA8486" s="20"/>
    </row>
    <row r="8487" spans="78:79" x14ac:dyDescent="0.35">
      <c r="BZ8487" s="105"/>
      <c r="CA8487" s="20"/>
    </row>
    <row r="8488" spans="78:79" x14ac:dyDescent="0.35">
      <c r="BZ8488" s="105"/>
      <c r="CA8488" s="20"/>
    </row>
    <row r="8489" spans="78:79" x14ac:dyDescent="0.35">
      <c r="BZ8489" s="105"/>
      <c r="CA8489" s="20"/>
    </row>
    <row r="8490" spans="78:79" x14ac:dyDescent="0.35">
      <c r="BZ8490" s="105"/>
      <c r="CA8490" s="20"/>
    </row>
    <row r="8491" spans="78:79" x14ac:dyDescent="0.35">
      <c r="BZ8491" s="105"/>
      <c r="CA8491" s="20"/>
    </row>
    <row r="8492" spans="78:79" x14ac:dyDescent="0.35">
      <c r="BZ8492" s="105"/>
      <c r="CA8492" s="20"/>
    </row>
    <row r="8493" spans="78:79" x14ac:dyDescent="0.35">
      <c r="BZ8493" s="105"/>
      <c r="CA8493" s="20"/>
    </row>
    <row r="8494" spans="78:79" x14ac:dyDescent="0.35">
      <c r="BZ8494" s="105"/>
      <c r="CA8494" s="20"/>
    </row>
    <row r="8495" spans="78:79" x14ac:dyDescent="0.35">
      <c r="BZ8495" s="105"/>
      <c r="CA8495" s="20"/>
    </row>
    <row r="8496" spans="78:79" x14ac:dyDescent="0.35">
      <c r="BZ8496" s="105"/>
      <c r="CA8496" s="20"/>
    </row>
    <row r="8497" spans="78:79" x14ac:dyDescent="0.35">
      <c r="BZ8497" s="105"/>
      <c r="CA8497" s="20"/>
    </row>
    <row r="8498" spans="78:79" x14ac:dyDescent="0.35">
      <c r="BZ8498" s="105"/>
      <c r="CA8498" s="20"/>
    </row>
    <row r="8499" spans="78:79" x14ac:dyDescent="0.35">
      <c r="BZ8499" s="105"/>
      <c r="CA8499" s="20"/>
    </row>
    <row r="8500" spans="78:79" x14ac:dyDescent="0.35">
      <c r="BZ8500" s="105"/>
      <c r="CA8500" s="20"/>
    </row>
    <row r="8501" spans="78:79" x14ac:dyDescent="0.35">
      <c r="BZ8501" s="105"/>
      <c r="CA8501" s="20"/>
    </row>
    <row r="8502" spans="78:79" x14ac:dyDescent="0.35">
      <c r="BZ8502" s="105"/>
      <c r="CA8502" s="20"/>
    </row>
    <row r="8503" spans="78:79" x14ac:dyDescent="0.35">
      <c r="BZ8503" s="105"/>
      <c r="CA8503" s="20"/>
    </row>
    <row r="8504" spans="78:79" x14ac:dyDescent="0.35">
      <c r="BZ8504" s="105"/>
      <c r="CA8504" s="20"/>
    </row>
    <row r="8505" spans="78:79" x14ac:dyDescent="0.35">
      <c r="BZ8505" s="105"/>
      <c r="CA8505" s="20"/>
    </row>
    <row r="8506" spans="78:79" x14ac:dyDescent="0.35">
      <c r="BZ8506" s="105"/>
      <c r="CA8506" s="20"/>
    </row>
    <row r="8507" spans="78:79" x14ac:dyDescent="0.35">
      <c r="BZ8507" s="105"/>
      <c r="CA8507" s="20"/>
    </row>
    <row r="8508" spans="78:79" x14ac:dyDescent="0.35">
      <c r="BZ8508" s="105"/>
      <c r="CA8508" s="20"/>
    </row>
    <row r="8509" spans="78:79" x14ac:dyDescent="0.35">
      <c r="BZ8509" s="105"/>
      <c r="CA8509" s="20"/>
    </row>
    <row r="8510" spans="78:79" x14ac:dyDescent="0.35">
      <c r="BZ8510" s="105"/>
      <c r="CA8510" s="20"/>
    </row>
    <row r="8511" spans="78:79" x14ac:dyDescent="0.35">
      <c r="BZ8511" s="105"/>
      <c r="CA8511" s="20"/>
    </row>
    <row r="8512" spans="78:79" x14ac:dyDescent="0.35">
      <c r="BZ8512" s="105"/>
      <c r="CA8512" s="20"/>
    </row>
    <row r="8513" spans="78:79" x14ac:dyDescent="0.35">
      <c r="BZ8513" s="105"/>
      <c r="CA8513" s="20"/>
    </row>
    <row r="8514" spans="78:79" x14ac:dyDescent="0.35">
      <c r="BZ8514" s="105"/>
      <c r="CA8514" s="20"/>
    </row>
    <row r="8515" spans="78:79" x14ac:dyDescent="0.35">
      <c r="BZ8515" s="105"/>
      <c r="CA8515" s="20"/>
    </row>
    <row r="8516" spans="78:79" x14ac:dyDescent="0.35">
      <c r="BZ8516" s="105"/>
      <c r="CA8516" s="20"/>
    </row>
    <row r="8517" spans="78:79" x14ac:dyDescent="0.35">
      <c r="BZ8517" s="105"/>
      <c r="CA8517" s="20"/>
    </row>
    <row r="8518" spans="78:79" x14ac:dyDescent="0.35">
      <c r="BZ8518" s="105"/>
      <c r="CA8518" s="20"/>
    </row>
    <row r="8519" spans="78:79" x14ac:dyDescent="0.35">
      <c r="BZ8519" s="105"/>
      <c r="CA8519" s="20"/>
    </row>
    <row r="8520" spans="78:79" x14ac:dyDescent="0.35">
      <c r="BZ8520" s="105"/>
      <c r="CA8520" s="20"/>
    </row>
    <row r="8521" spans="78:79" x14ac:dyDescent="0.35">
      <c r="BZ8521" s="105"/>
      <c r="CA8521" s="20"/>
    </row>
    <row r="8522" spans="78:79" x14ac:dyDescent="0.35">
      <c r="BZ8522" s="105"/>
      <c r="CA8522" s="20"/>
    </row>
    <row r="8523" spans="78:79" x14ac:dyDescent="0.35">
      <c r="BZ8523" s="105"/>
      <c r="CA8523" s="20"/>
    </row>
    <row r="8524" spans="78:79" x14ac:dyDescent="0.35">
      <c r="BZ8524" s="105"/>
      <c r="CA8524" s="20"/>
    </row>
    <row r="8525" spans="78:79" x14ac:dyDescent="0.35">
      <c r="BZ8525" s="105"/>
      <c r="CA8525" s="20"/>
    </row>
    <row r="8526" spans="78:79" x14ac:dyDescent="0.35">
      <c r="BZ8526" s="105"/>
      <c r="CA8526" s="20"/>
    </row>
    <row r="8527" spans="78:79" x14ac:dyDescent="0.35">
      <c r="BZ8527" s="105"/>
      <c r="CA8527" s="20"/>
    </row>
    <row r="8528" spans="78:79" x14ac:dyDescent="0.35">
      <c r="BZ8528" s="105"/>
      <c r="CA8528" s="20"/>
    </row>
    <row r="8529" spans="78:79" x14ac:dyDescent="0.35">
      <c r="BZ8529" s="105"/>
      <c r="CA8529" s="20"/>
    </row>
    <row r="8530" spans="78:79" x14ac:dyDescent="0.35">
      <c r="BZ8530" s="105"/>
      <c r="CA8530" s="20"/>
    </row>
    <row r="8531" spans="78:79" x14ac:dyDescent="0.35">
      <c r="BZ8531" s="105"/>
      <c r="CA8531" s="20"/>
    </row>
    <row r="8532" spans="78:79" x14ac:dyDescent="0.35">
      <c r="BZ8532" s="105"/>
      <c r="CA8532" s="20"/>
    </row>
    <row r="8533" spans="78:79" x14ac:dyDescent="0.35">
      <c r="BZ8533" s="105"/>
      <c r="CA8533" s="20"/>
    </row>
    <row r="8534" spans="78:79" x14ac:dyDescent="0.35">
      <c r="BZ8534" s="105"/>
      <c r="CA8534" s="20"/>
    </row>
    <row r="8535" spans="78:79" x14ac:dyDescent="0.35">
      <c r="BZ8535" s="105"/>
      <c r="CA8535" s="20"/>
    </row>
    <row r="8536" spans="78:79" x14ac:dyDescent="0.35">
      <c r="BZ8536" s="105"/>
      <c r="CA8536" s="20"/>
    </row>
    <row r="8537" spans="78:79" x14ac:dyDescent="0.35">
      <c r="BZ8537" s="105"/>
      <c r="CA8537" s="20"/>
    </row>
    <row r="8538" spans="78:79" x14ac:dyDescent="0.35">
      <c r="BZ8538" s="105"/>
      <c r="CA8538" s="20"/>
    </row>
    <row r="8539" spans="78:79" x14ac:dyDescent="0.35">
      <c r="BZ8539" s="105"/>
      <c r="CA8539" s="20"/>
    </row>
    <row r="8540" spans="78:79" x14ac:dyDescent="0.35">
      <c r="BZ8540" s="105"/>
      <c r="CA8540" s="20"/>
    </row>
    <row r="8541" spans="78:79" x14ac:dyDescent="0.35">
      <c r="BZ8541" s="105"/>
      <c r="CA8541" s="20"/>
    </row>
    <row r="8542" spans="78:79" x14ac:dyDescent="0.35">
      <c r="BZ8542" s="105"/>
      <c r="CA8542" s="20"/>
    </row>
    <row r="8543" spans="78:79" x14ac:dyDescent="0.35">
      <c r="BZ8543" s="105"/>
      <c r="CA8543" s="20"/>
    </row>
    <row r="8544" spans="78:79" x14ac:dyDescent="0.35">
      <c r="BZ8544" s="105"/>
      <c r="CA8544" s="20"/>
    </row>
    <row r="8545" spans="78:79" x14ac:dyDescent="0.35">
      <c r="BZ8545" s="105"/>
      <c r="CA8545" s="20"/>
    </row>
    <row r="8546" spans="78:79" x14ac:dyDescent="0.35">
      <c r="BZ8546" s="105"/>
      <c r="CA8546" s="20"/>
    </row>
    <row r="8547" spans="78:79" x14ac:dyDescent="0.35">
      <c r="BZ8547" s="105"/>
      <c r="CA8547" s="20"/>
    </row>
    <row r="8548" spans="78:79" x14ac:dyDescent="0.35">
      <c r="BZ8548" s="105"/>
      <c r="CA8548" s="20"/>
    </row>
    <row r="8549" spans="78:79" x14ac:dyDescent="0.35">
      <c r="BZ8549" s="105"/>
      <c r="CA8549" s="20"/>
    </row>
    <row r="8550" spans="78:79" x14ac:dyDescent="0.35">
      <c r="BZ8550" s="105"/>
      <c r="CA8550" s="20"/>
    </row>
    <row r="8551" spans="78:79" x14ac:dyDescent="0.35">
      <c r="BZ8551" s="105"/>
      <c r="CA8551" s="20"/>
    </row>
    <row r="8552" spans="78:79" x14ac:dyDescent="0.35">
      <c r="BZ8552" s="105"/>
      <c r="CA8552" s="20"/>
    </row>
    <row r="8553" spans="78:79" x14ac:dyDescent="0.35">
      <c r="BZ8553" s="105"/>
      <c r="CA8553" s="20"/>
    </row>
    <row r="8554" spans="78:79" x14ac:dyDescent="0.35">
      <c r="BZ8554" s="105"/>
      <c r="CA8554" s="20"/>
    </row>
    <row r="8555" spans="78:79" x14ac:dyDescent="0.35">
      <c r="BZ8555" s="105"/>
      <c r="CA8555" s="20"/>
    </row>
    <row r="8556" spans="78:79" x14ac:dyDescent="0.35">
      <c r="BZ8556" s="105"/>
      <c r="CA8556" s="20"/>
    </row>
    <row r="8557" spans="78:79" x14ac:dyDescent="0.35">
      <c r="BZ8557" s="105"/>
      <c r="CA8557" s="20"/>
    </row>
    <row r="8558" spans="78:79" x14ac:dyDescent="0.35">
      <c r="BZ8558" s="105"/>
      <c r="CA8558" s="20"/>
    </row>
    <row r="8559" spans="78:79" x14ac:dyDescent="0.35">
      <c r="BZ8559" s="105"/>
      <c r="CA8559" s="20"/>
    </row>
    <row r="8560" spans="78:79" x14ac:dyDescent="0.35">
      <c r="BZ8560" s="105"/>
      <c r="CA8560" s="20"/>
    </row>
    <row r="8561" spans="78:79" x14ac:dyDescent="0.35">
      <c r="BZ8561" s="105"/>
      <c r="CA8561" s="20"/>
    </row>
    <row r="8562" spans="78:79" x14ac:dyDescent="0.35">
      <c r="BZ8562" s="105"/>
      <c r="CA8562" s="20"/>
    </row>
    <row r="8563" spans="78:79" x14ac:dyDescent="0.35">
      <c r="BZ8563" s="105"/>
      <c r="CA8563" s="20"/>
    </row>
    <row r="8564" spans="78:79" x14ac:dyDescent="0.35">
      <c r="BZ8564" s="105"/>
      <c r="CA8564" s="20"/>
    </row>
    <row r="8565" spans="78:79" x14ac:dyDescent="0.35">
      <c r="BZ8565" s="105"/>
      <c r="CA8565" s="20"/>
    </row>
    <row r="8566" spans="78:79" x14ac:dyDescent="0.35">
      <c r="BZ8566" s="105"/>
      <c r="CA8566" s="20"/>
    </row>
    <row r="8567" spans="78:79" x14ac:dyDescent="0.35">
      <c r="BZ8567" s="105"/>
      <c r="CA8567" s="20"/>
    </row>
    <row r="8568" spans="78:79" x14ac:dyDescent="0.35">
      <c r="BZ8568" s="105"/>
      <c r="CA8568" s="20"/>
    </row>
    <row r="8569" spans="78:79" x14ac:dyDescent="0.35">
      <c r="BZ8569" s="105"/>
      <c r="CA8569" s="20"/>
    </row>
    <row r="8570" spans="78:79" x14ac:dyDescent="0.35">
      <c r="BZ8570" s="105"/>
      <c r="CA8570" s="20"/>
    </row>
    <row r="8571" spans="78:79" x14ac:dyDescent="0.35">
      <c r="BZ8571" s="105"/>
      <c r="CA8571" s="20"/>
    </row>
    <row r="8572" spans="78:79" x14ac:dyDescent="0.35">
      <c r="BZ8572" s="105"/>
      <c r="CA8572" s="20"/>
    </row>
    <row r="8573" spans="78:79" x14ac:dyDescent="0.35">
      <c r="BZ8573" s="105"/>
      <c r="CA8573" s="20"/>
    </row>
    <row r="8574" spans="78:79" x14ac:dyDescent="0.35">
      <c r="BZ8574" s="105"/>
      <c r="CA8574" s="20"/>
    </row>
    <row r="8575" spans="78:79" x14ac:dyDescent="0.35">
      <c r="BZ8575" s="105"/>
      <c r="CA8575" s="20"/>
    </row>
    <row r="8576" spans="78:79" x14ac:dyDescent="0.35">
      <c r="BZ8576" s="105"/>
      <c r="CA8576" s="20"/>
    </row>
    <row r="8577" spans="78:79" x14ac:dyDescent="0.35">
      <c r="BZ8577" s="105"/>
      <c r="CA8577" s="20"/>
    </row>
    <row r="8578" spans="78:79" x14ac:dyDescent="0.35">
      <c r="BZ8578" s="105"/>
      <c r="CA8578" s="20"/>
    </row>
    <row r="8579" spans="78:79" x14ac:dyDescent="0.35">
      <c r="BZ8579" s="105"/>
      <c r="CA8579" s="20"/>
    </row>
    <row r="8580" spans="78:79" x14ac:dyDescent="0.35">
      <c r="BZ8580" s="105"/>
      <c r="CA8580" s="20"/>
    </row>
    <row r="8581" spans="78:79" x14ac:dyDescent="0.35">
      <c r="BZ8581" s="105"/>
      <c r="CA8581" s="20"/>
    </row>
    <row r="8582" spans="78:79" x14ac:dyDescent="0.35">
      <c r="BZ8582" s="105"/>
      <c r="CA8582" s="20"/>
    </row>
    <row r="8583" spans="78:79" x14ac:dyDescent="0.35">
      <c r="BZ8583" s="105"/>
      <c r="CA8583" s="20"/>
    </row>
    <row r="8584" spans="78:79" x14ac:dyDescent="0.35">
      <c r="BZ8584" s="105"/>
      <c r="CA8584" s="20"/>
    </row>
    <row r="8585" spans="78:79" x14ac:dyDescent="0.35">
      <c r="BZ8585" s="105"/>
      <c r="CA8585" s="20"/>
    </row>
    <row r="8586" spans="78:79" x14ac:dyDescent="0.35">
      <c r="BZ8586" s="105"/>
      <c r="CA8586" s="20"/>
    </row>
    <row r="8587" spans="78:79" x14ac:dyDescent="0.35">
      <c r="BZ8587" s="105"/>
      <c r="CA8587" s="20"/>
    </row>
    <row r="8588" spans="78:79" x14ac:dyDescent="0.35">
      <c r="BZ8588" s="105"/>
      <c r="CA8588" s="20"/>
    </row>
    <row r="8589" spans="78:79" x14ac:dyDescent="0.35">
      <c r="BZ8589" s="105"/>
      <c r="CA8589" s="20"/>
    </row>
    <row r="8590" spans="78:79" x14ac:dyDescent="0.35">
      <c r="BZ8590" s="105"/>
      <c r="CA8590" s="20"/>
    </row>
    <row r="8591" spans="78:79" x14ac:dyDescent="0.35">
      <c r="BZ8591" s="105"/>
      <c r="CA8591" s="20"/>
    </row>
    <row r="8592" spans="78:79" x14ac:dyDescent="0.35">
      <c r="BZ8592" s="105"/>
      <c r="CA8592" s="20"/>
    </row>
    <row r="8593" spans="78:79" x14ac:dyDescent="0.35">
      <c r="BZ8593" s="105"/>
      <c r="CA8593" s="20"/>
    </row>
    <row r="8594" spans="78:79" x14ac:dyDescent="0.35">
      <c r="BZ8594" s="105"/>
      <c r="CA8594" s="20"/>
    </row>
    <row r="8595" spans="78:79" x14ac:dyDescent="0.35">
      <c r="BZ8595" s="105"/>
      <c r="CA8595" s="20"/>
    </row>
    <row r="8596" spans="78:79" x14ac:dyDescent="0.35">
      <c r="BZ8596" s="105"/>
      <c r="CA8596" s="20"/>
    </row>
    <row r="8597" spans="78:79" x14ac:dyDescent="0.35">
      <c r="BZ8597" s="105"/>
      <c r="CA8597" s="20"/>
    </row>
    <row r="8598" spans="78:79" x14ac:dyDescent="0.35">
      <c r="BZ8598" s="105"/>
      <c r="CA8598" s="20"/>
    </row>
    <row r="8599" spans="78:79" x14ac:dyDescent="0.35">
      <c r="BZ8599" s="105"/>
      <c r="CA8599" s="20"/>
    </row>
    <row r="8600" spans="78:79" x14ac:dyDescent="0.35">
      <c r="BZ8600" s="105"/>
      <c r="CA8600" s="20"/>
    </row>
    <row r="8601" spans="78:79" x14ac:dyDescent="0.35">
      <c r="BZ8601" s="105"/>
      <c r="CA8601" s="20"/>
    </row>
    <row r="8602" spans="78:79" x14ac:dyDescent="0.35">
      <c r="BZ8602" s="105"/>
      <c r="CA8602" s="20"/>
    </row>
    <row r="8603" spans="78:79" x14ac:dyDescent="0.35">
      <c r="BZ8603" s="105"/>
      <c r="CA8603" s="20"/>
    </row>
    <row r="8604" spans="78:79" x14ac:dyDescent="0.35">
      <c r="BZ8604" s="105"/>
      <c r="CA8604" s="20"/>
    </row>
    <row r="8605" spans="78:79" x14ac:dyDescent="0.35">
      <c r="BZ8605" s="105"/>
      <c r="CA8605" s="20"/>
    </row>
    <row r="8606" spans="78:79" x14ac:dyDescent="0.35">
      <c r="BZ8606" s="105"/>
      <c r="CA8606" s="20"/>
    </row>
    <row r="8607" spans="78:79" x14ac:dyDescent="0.35">
      <c r="BZ8607" s="105"/>
      <c r="CA8607" s="20"/>
    </row>
    <row r="8608" spans="78:79" x14ac:dyDescent="0.35">
      <c r="BZ8608" s="105"/>
      <c r="CA8608" s="20"/>
    </row>
    <row r="8609" spans="78:79" x14ac:dyDescent="0.35">
      <c r="BZ8609" s="105"/>
      <c r="CA8609" s="20"/>
    </row>
    <row r="8610" spans="78:79" x14ac:dyDescent="0.35">
      <c r="BZ8610" s="105"/>
      <c r="CA8610" s="20"/>
    </row>
    <row r="8611" spans="78:79" x14ac:dyDescent="0.35">
      <c r="BZ8611" s="105"/>
      <c r="CA8611" s="20"/>
    </row>
    <row r="8612" spans="78:79" x14ac:dyDescent="0.35">
      <c r="BZ8612" s="105"/>
      <c r="CA8612" s="20"/>
    </row>
    <row r="8613" spans="78:79" x14ac:dyDescent="0.35">
      <c r="BZ8613" s="105"/>
      <c r="CA8613" s="20"/>
    </row>
    <row r="8614" spans="78:79" x14ac:dyDescent="0.35">
      <c r="BZ8614" s="105"/>
      <c r="CA8614" s="20"/>
    </row>
    <row r="8615" spans="78:79" x14ac:dyDescent="0.35">
      <c r="BZ8615" s="105"/>
      <c r="CA8615" s="20"/>
    </row>
    <row r="8616" spans="78:79" x14ac:dyDescent="0.35">
      <c r="BZ8616" s="105"/>
      <c r="CA8616" s="20"/>
    </row>
    <row r="8617" spans="78:79" x14ac:dyDescent="0.35">
      <c r="BZ8617" s="105"/>
      <c r="CA8617" s="20"/>
    </row>
    <row r="8618" spans="78:79" x14ac:dyDescent="0.35">
      <c r="BZ8618" s="105"/>
      <c r="CA8618" s="20"/>
    </row>
    <row r="8619" spans="78:79" x14ac:dyDescent="0.35">
      <c r="BZ8619" s="105"/>
      <c r="CA8619" s="20"/>
    </row>
    <row r="8620" spans="78:79" x14ac:dyDescent="0.35">
      <c r="BZ8620" s="105"/>
      <c r="CA8620" s="20"/>
    </row>
    <row r="8621" spans="78:79" x14ac:dyDescent="0.35">
      <c r="BZ8621" s="105"/>
      <c r="CA8621" s="20"/>
    </row>
    <row r="8622" spans="78:79" x14ac:dyDescent="0.35">
      <c r="BZ8622" s="105"/>
      <c r="CA8622" s="20"/>
    </row>
    <row r="8623" spans="78:79" x14ac:dyDescent="0.35">
      <c r="BZ8623" s="105"/>
      <c r="CA8623" s="20"/>
    </row>
    <row r="8624" spans="78:79" x14ac:dyDescent="0.35">
      <c r="BZ8624" s="105"/>
      <c r="CA8624" s="20"/>
    </row>
    <row r="8625" spans="78:79" x14ac:dyDescent="0.35">
      <c r="BZ8625" s="105"/>
      <c r="CA8625" s="20"/>
    </row>
    <row r="8626" spans="78:79" x14ac:dyDescent="0.35">
      <c r="BZ8626" s="105"/>
      <c r="CA8626" s="20"/>
    </row>
    <row r="8627" spans="78:79" x14ac:dyDescent="0.35">
      <c r="BZ8627" s="105"/>
      <c r="CA8627" s="20"/>
    </row>
    <row r="8628" spans="78:79" x14ac:dyDescent="0.35">
      <c r="BZ8628" s="105"/>
      <c r="CA8628" s="20"/>
    </row>
    <row r="8629" spans="78:79" x14ac:dyDescent="0.35">
      <c r="BZ8629" s="105"/>
      <c r="CA8629" s="20"/>
    </row>
    <row r="8630" spans="78:79" x14ac:dyDescent="0.35">
      <c r="BZ8630" s="105"/>
      <c r="CA8630" s="20"/>
    </row>
    <row r="8631" spans="78:79" x14ac:dyDescent="0.35">
      <c r="BZ8631" s="105"/>
      <c r="CA8631" s="20"/>
    </row>
    <row r="8632" spans="78:79" x14ac:dyDescent="0.35">
      <c r="BZ8632" s="105"/>
      <c r="CA8632" s="20"/>
    </row>
    <row r="8633" spans="78:79" x14ac:dyDescent="0.35">
      <c r="BZ8633" s="105"/>
      <c r="CA8633" s="20"/>
    </row>
    <row r="8634" spans="78:79" x14ac:dyDescent="0.35">
      <c r="BZ8634" s="105"/>
      <c r="CA8634" s="20"/>
    </row>
    <row r="8635" spans="78:79" x14ac:dyDescent="0.35">
      <c r="BZ8635" s="105"/>
      <c r="CA8635" s="20"/>
    </row>
    <row r="8636" spans="78:79" x14ac:dyDescent="0.35">
      <c r="BZ8636" s="105"/>
      <c r="CA8636" s="20"/>
    </row>
    <row r="8637" spans="78:79" x14ac:dyDescent="0.35">
      <c r="BZ8637" s="105"/>
      <c r="CA8637" s="20"/>
    </row>
    <row r="8638" spans="78:79" x14ac:dyDescent="0.35">
      <c r="BZ8638" s="105"/>
      <c r="CA8638" s="20"/>
    </row>
    <row r="8639" spans="78:79" x14ac:dyDescent="0.35">
      <c r="BZ8639" s="105"/>
      <c r="CA8639" s="20"/>
    </row>
    <row r="8640" spans="78:79" x14ac:dyDescent="0.35">
      <c r="BZ8640" s="105"/>
      <c r="CA8640" s="20"/>
    </row>
    <row r="8641" spans="78:79" x14ac:dyDescent="0.35">
      <c r="BZ8641" s="105"/>
      <c r="CA8641" s="20"/>
    </row>
    <row r="8642" spans="78:79" x14ac:dyDescent="0.35">
      <c r="BZ8642" s="105"/>
      <c r="CA8642" s="20"/>
    </row>
    <row r="8643" spans="78:79" x14ac:dyDescent="0.35">
      <c r="BZ8643" s="105"/>
      <c r="CA8643" s="20"/>
    </row>
    <row r="8644" spans="78:79" x14ac:dyDescent="0.35">
      <c r="BZ8644" s="105"/>
      <c r="CA8644" s="20"/>
    </row>
    <row r="8645" spans="78:79" x14ac:dyDescent="0.35">
      <c r="BZ8645" s="105"/>
      <c r="CA8645" s="20"/>
    </row>
    <row r="8646" spans="78:79" x14ac:dyDescent="0.35">
      <c r="BZ8646" s="105"/>
      <c r="CA8646" s="20"/>
    </row>
    <row r="8647" spans="78:79" x14ac:dyDescent="0.35">
      <c r="BZ8647" s="105"/>
      <c r="CA8647" s="20"/>
    </row>
    <row r="8648" spans="78:79" x14ac:dyDescent="0.35">
      <c r="BZ8648" s="105"/>
      <c r="CA8648" s="20"/>
    </row>
    <row r="8649" spans="78:79" x14ac:dyDescent="0.35">
      <c r="BZ8649" s="105"/>
      <c r="CA8649" s="20"/>
    </row>
    <row r="8650" spans="78:79" x14ac:dyDescent="0.35">
      <c r="BZ8650" s="105"/>
      <c r="CA8650" s="20"/>
    </row>
    <row r="8651" spans="78:79" x14ac:dyDescent="0.35">
      <c r="BZ8651" s="105"/>
      <c r="CA8651" s="20"/>
    </row>
    <row r="8652" spans="78:79" x14ac:dyDescent="0.35">
      <c r="BZ8652" s="105"/>
      <c r="CA8652" s="20"/>
    </row>
    <row r="8653" spans="78:79" x14ac:dyDescent="0.35">
      <c r="BZ8653" s="105"/>
      <c r="CA8653" s="20"/>
    </row>
    <row r="8654" spans="78:79" x14ac:dyDescent="0.35">
      <c r="BZ8654" s="105"/>
      <c r="CA8654" s="20"/>
    </row>
    <row r="8655" spans="78:79" x14ac:dyDescent="0.35">
      <c r="BZ8655" s="105"/>
      <c r="CA8655" s="20"/>
    </row>
    <row r="8656" spans="78:79" x14ac:dyDescent="0.35">
      <c r="BZ8656" s="105"/>
      <c r="CA8656" s="20"/>
    </row>
    <row r="8657" spans="78:79" x14ac:dyDescent="0.35">
      <c r="BZ8657" s="105"/>
      <c r="CA8657" s="20"/>
    </row>
    <row r="8658" spans="78:79" x14ac:dyDescent="0.35">
      <c r="BZ8658" s="105"/>
      <c r="CA8658" s="20"/>
    </row>
    <row r="8659" spans="78:79" x14ac:dyDescent="0.35">
      <c r="BZ8659" s="105"/>
      <c r="CA8659" s="20"/>
    </row>
    <row r="8660" spans="78:79" x14ac:dyDescent="0.35">
      <c r="BZ8660" s="105"/>
      <c r="CA8660" s="20"/>
    </row>
    <row r="8661" spans="78:79" x14ac:dyDescent="0.35">
      <c r="BZ8661" s="105"/>
      <c r="CA8661" s="20"/>
    </row>
    <row r="8662" spans="78:79" x14ac:dyDescent="0.35">
      <c r="BZ8662" s="105"/>
      <c r="CA8662" s="20"/>
    </row>
    <row r="8663" spans="78:79" x14ac:dyDescent="0.35">
      <c r="BZ8663" s="105"/>
      <c r="CA8663" s="20"/>
    </row>
    <row r="8664" spans="78:79" x14ac:dyDescent="0.35">
      <c r="BZ8664" s="105"/>
      <c r="CA8664" s="20"/>
    </row>
    <row r="8665" spans="78:79" x14ac:dyDescent="0.35">
      <c r="BZ8665" s="105"/>
      <c r="CA8665" s="20"/>
    </row>
    <row r="8666" spans="78:79" x14ac:dyDescent="0.35">
      <c r="BZ8666" s="105"/>
      <c r="CA8666" s="20"/>
    </row>
    <row r="8667" spans="78:79" x14ac:dyDescent="0.35">
      <c r="BZ8667" s="105"/>
      <c r="CA8667" s="20"/>
    </row>
    <row r="8668" spans="78:79" x14ac:dyDescent="0.35">
      <c r="BZ8668" s="105"/>
      <c r="CA8668" s="20"/>
    </row>
    <row r="8669" spans="78:79" x14ac:dyDescent="0.35">
      <c r="BZ8669" s="105"/>
      <c r="CA8669" s="20"/>
    </row>
    <row r="8670" spans="78:79" x14ac:dyDescent="0.35">
      <c r="BZ8670" s="105"/>
      <c r="CA8670" s="20"/>
    </row>
    <row r="8671" spans="78:79" x14ac:dyDescent="0.35">
      <c r="BZ8671" s="105"/>
      <c r="CA8671" s="20"/>
    </row>
    <row r="8672" spans="78:79" x14ac:dyDescent="0.35">
      <c r="BZ8672" s="105"/>
      <c r="CA8672" s="20"/>
    </row>
    <row r="8673" spans="78:79" x14ac:dyDescent="0.35">
      <c r="BZ8673" s="105"/>
      <c r="CA8673" s="20"/>
    </row>
    <row r="8674" spans="78:79" x14ac:dyDescent="0.35">
      <c r="BZ8674" s="105"/>
      <c r="CA8674" s="20"/>
    </row>
    <row r="8675" spans="78:79" x14ac:dyDescent="0.35">
      <c r="BZ8675" s="105"/>
      <c r="CA8675" s="20"/>
    </row>
    <row r="8676" spans="78:79" x14ac:dyDescent="0.35">
      <c r="BZ8676" s="105"/>
      <c r="CA8676" s="20"/>
    </row>
    <row r="8677" spans="78:79" x14ac:dyDescent="0.35">
      <c r="BZ8677" s="105"/>
      <c r="CA8677" s="20"/>
    </row>
    <row r="8678" spans="78:79" x14ac:dyDescent="0.35">
      <c r="BZ8678" s="105"/>
      <c r="CA8678" s="20"/>
    </row>
    <row r="8679" spans="78:79" x14ac:dyDescent="0.35">
      <c r="BZ8679" s="105"/>
      <c r="CA8679" s="20"/>
    </row>
    <row r="8680" spans="78:79" x14ac:dyDescent="0.35">
      <c r="BZ8680" s="105"/>
      <c r="CA8680" s="20"/>
    </row>
    <row r="8681" spans="78:79" x14ac:dyDescent="0.35">
      <c r="BZ8681" s="105"/>
      <c r="CA8681" s="20"/>
    </row>
    <row r="8682" spans="78:79" x14ac:dyDescent="0.35">
      <c r="BZ8682" s="105"/>
      <c r="CA8682" s="20"/>
    </row>
    <row r="8683" spans="78:79" x14ac:dyDescent="0.35">
      <c r="BZ8683" s="105"/>
      <c r="CA8683" s="20"/>
    </row>
    <row r="8684" spans="78:79" x14ac:dyDescent="0.35">
      <c r="BZ8684" s="105"/>
      <c r="CA8684" s="20"/>
    </row>
    <row r="8685" spans="78:79" x14ac:dyDescent="0.35">
      <c r="BZ8685" s="105"/>
      <c r="CA8685" s="20"/>
    </row>
    <row r="8686" spans="78:79" x14ac:dyDescent="0.35">
      <c r="BZ8686" s="105"/>
      <c r="CA8686" s="20"/>
    </row>
    <row r="8687" spans="78:79" x14ac:dyDescent="0.35">
      <c r="BZ8687" s="105"/>
      <c r="CA8687" s="20"/>
    </row>
    <row r="8688" spans="78:79" x14ac:dyDescent="0.35">
      <c r="BZ8688" s="105"/>
      <c r="CA8688" s="20"/>
    </row>
    <row r="8689" spans="78:79" x14ac:dyDescent="0.35">
      <c r="BZ8689" s="105"/>
      <c r="CA8689" s="20"/>
    </row>
    <row r="8690" spans="78:79" x14ac:dyDescent="0.35">
      <c r="BZ8690" s="105"/>
      <c r="CA8690" s="20"/>
    </row>
    <row r="8691" spans="78:79" x14ac:dyDescent="0.35">
      <c r="BZ8691" s="105"/>
      <c r="CA8691" s="20"/>
    </row>
    <row r="8692" spans="78:79" x14ac:dyDescent="0.35">
      <c r="BZ8692" s="105"/>
      <c r="CA8692" s="20"/>
    </row>
    <row r="8693" spans="78:79" x14ac:dyDescent="0.35">
      <c r="BZ8693" s="105"/>
      <c r="CA8693" s="20"/>
    </row>
    <row r="8694" spans="78:79" x14ac:dyDescent="0.35">
      <c r="BZ8694" s="105"/>
      <c r="CA8694" s="20"/>
    </row>
    <row r="8695" spans="78:79" x14ac:dyDescent="0.35">
      <c r="BZ8695" s="105"/>
      <c r="CA8695" s="20"/>
    </row>
    <row r="8696" spans="78:79" x14ac:dyDescent="0.35">
      <c r="BZ8696" s="105"/>
      <c r="CA8696" s="20"/>
    </row>
    <row r="8697" spans="78:79" x14ac:dyDescent="0.35">
      <c r="BZ8697" s="105"/>
      <c r="CA8697" s="20"/>
    </row>
    <row r="8698" spans="78:79" x14ac:dyDescent="0.35">
      <c r="BZ8698" s="105"/>
      <c r="CA8698" s="20"/>
    </row>
    <row r="8699" spans="78:79" x14ac:dyDescent="0.35">
      <c r="BZ8699" s="105"/>
      <c r="CA8699" s="20"/>
    </row>
    <row r="8700" spans="78:79" x14ac:dyDescent="0.35">
      <c r="BZ8700" s="105"/>
      <c r="CA8700" s="20"/>
    </row>
    <row r="8701" spans="78:79" x14ac:dyDescent="0.35">
      <c r="BZ8701" s="105"/>
      <c r="CA8701" s="20"/>
    </row>
    <row r="8702" spans="78:79" x14ac:dyDescent="0.35">
      <c r="BZ8702" s="105"/>
      <c r="CA8702" s="20"/>
    </row>
    <row r="8703" spans="78:79" x14ac:dyDescent="0.35">
      <c r="BZ8703" s="105"/>
      <c r="CA8703" s="20"/>
    </row>
    <row r="8704" spans="78:79" x14ac:dyDescent="0.35">
      <c r="BZ8704" s="105"/>
      <c r="CA8704" s="20"/>
    </row>
    <row r="8705" spans="78:79" x14ac:dyDescent="0.35">
      <c r="BZ8705" s="105"/>
      <c r="CA8705" s="20"/>
    </row>
    <row r="8706" spans="78:79" x14ac:dyDescent="0.35">
      <c r="BZ8706" s="105"/>
      <c r="CA8706" s="20"/>
    </row>
    <row r="8707" spans="78:79" x14ac:dyDescent="0.35">
      <c r="BZ8707" s="105"/>
      <c r="CA8707" s="20"/>
    </row>
    <row r="8708" spans="78:79" x14ac:dyDescent="0.35">
      <c r="BZ8708" s="105"/>
      <c r="CA8708" s="20"/>
    </row>
    <row r="8709" spans="78:79" x14ac:dyDescent="0.35">
      <c r="BZ8709" s="105"/>
      <c r="CA8709" s="20"/>
    </row>
    <row r="8710" spans="78:79" x14ac:dyDescent="0.35">
      <c r="BZ8710" s="105"/>
      <c r="CA8710" s="20"/>
    </row>
    <row r="8711" spans="78:79" x14ac:dyDescent="0.35">
      <c r="BZ8711" s="105"/>
      <c r="CA8711" s="20"/>
    </row>
    <row r="8712" spans="78:79" x14ac:dyDescent="0.35">
      <c r="BZ8712" s="105"/>
      <c r="CA8712" s="20"/>
    </row>
    <row r="8713" spans="78:79" x14ac:dyDescent="0.35">
      <c r="BZ8713" s="105"/>
      <c r="CA8713" s="20"/>
    </row>
    <row r="8714" spans="78:79" x14ac:dyDescent="0.35">
      <c r="BZ8714" s="105"/>
      <c r="CA8714" s="20"/>
    </row>
    <row r="8715" spans="78:79" x14ac:dyDescent="0.35">
      <c r="BZ8715" s="105"/>
      <c r="CA8715" s="20"/>
    </row>
    <row r="8716" spans="78:79" x14ac:dyDescent="0.35">
      <c r="BZ8716" s="105"/>
      <c r="CA8716" s="20"/>
    </row>
    <row r="8717" spans="78:79" x14ac:dyDescent="0.35">
      <c r="BZ8717" s="105"/>
      <c r="CA8717" s="20"/>
    </row>
    <row r="8718" spans="78:79" x14ac:dyDescent="0.35">
      <c r="BZ8718" s="105"/>
      <c r="CA8718" s="20"/>
    </row>
    <row r="8719" spans="78:79" x14ac:dyDescent="0.35">
      <c r="BZ8719" s="105"/>
      <c r="CA8719" s="20"/>
    </row>
    <row r="8720" spans="78:79" x14ac:dyDescent="0.35">
      <c r="BZ8720" s="105"/>
      <c r="CA8720" s="20"/>
    </row>
    <row r="8721" spans="78:79" x14ac:dyDescent="0.35">
      <c r="BZ8721" s="105"/>
      <c r="CA8721" s="20"/>
    </row>
    <row r="8722" spans="78:79" x14ac:dyDescent="0.35">
      <c r="BZ8722" s="105"/>
      <c r="CA8722" s="20"/>
    </row>
    <row r="8723" spans="78:79" x14ac:dyDescent="0.35">
      <c r="BZ8723" s="105"/>
      <c r="CA8723" s="20"/>
    </row>
    <row r="8724" spans="78:79" x14ac:dyDescent="0.35">
      <c r="BZ8724" s="105"/>
      <c r="CA8724" s="20"/>
    </row>
    <row r="8725" spans="78:79" x14ac:dyDescent="0.35">
      <c r="BZ8725" s="105"/>
      <c r="CA8725" s="20"/>
    </row>
    <row r="8726" spans="78:79" x14ac:dyDescent="0.35">
      <c r="BZ8726" s="105"/>
      <c r="CA8726" s="20"/>
    </row>
    <row r="8727" spans="78:79" x14ac:dyDescent="0.35">
      <c r="BZ8727" s="105"/>
      <c r="CA8727" s="20"/>
    </row>
    <row r="8728" spans="78:79" x14ac:dyDescent="0.35">
      <c r="BZ8728" s="105"/>
      <c r="CA8728" s="20"/>
    </row>
    <row r="8729" spans="78:79" x14ac:dyDescent="0.35">
      <c r="BZ8729" s="105"/>
      <c r="CA8729" s="20"/>
    </row>
    <row r="8730" spans="78:79" x14ac:dyDescent="0.35">
      <c r="BZ8730" s="105"/>
      <c r="CA8730" s="20"/>
    </row>
    <row r="8731" spans="78:79" x14ac:dyDescent="0.35">
      <c r="BZ8731" s="105"/>
      <c r="CA8731" s="20"/>
    </row>
    <row r="8732" spans="78:79" x14ac:dyDescent="0.35">
      <c r="BZ8732" s="105"/>
      <c r="CA8732" s="20"/>
    </row>
    <row r="8733" spans="78:79" x14ac:dyDescent="0.35">
      <c r="BZ8733" s="105"/>
      <c r="CA8733" s="20"/>
    </row>
    <row r="8734" spans="78:79" x14ac:dyDescent="0.35">
      <c r="BZ8734" s="105"/>
      <c r="CA8734" s="20"/>
    </row>
    <row r="8735" spans="78:79" x14ac:dyDescent="0.35">
      <c r="BZ8735" s="105"/>
      <c r="CA8735" s="20"/>
    </row>
    <row r="8736" spans="78:79" x14ac:dyDescent="0.35">
      <c r="BZ8736" s="105"/>
      <c r="CA8736" s="20"/>
    </row>
    <row r="8737" spans="78:79" x14ac:dyDescent="0.35">
      <c r="BZ8737" s="105"/>
      <c r="CA8737" s="20"/>
    </row>
    <row r="8738" spans="78:79" x14ac:dyDescent="0.35">
      <c r="BZ8738" s="105"/>
      <c r="CA8738" s="20"/>
    </row>
    <row r="8739" spans="78:79" x14ac:dyDescent="0.35">
      <c r="BZ8739" s="105"/>
      <c r="CA8739" s="20"/>
    </row>
    <row r="8740" spans="78:79" x14ac:dyDescent="0.35">
      <c r="BZ8740" s="105"/>
      <c r="CA8740" s="20"/>
    </row>
    <row r="8741" spans="78:79" x14ac:dyDescent="0.35">
      <c r="BZ8741" s="105"/>
      <c r="CA8741" s="20"/>
    </row>
    <row r="8742" spans="78:79" x14ac:dyDescent="0.35">
      <c r="BZ8742" s="105"/>
      <c r="CA8742" s="20"/>
    </row>
    <row r="8743" spans="78:79" x14ac:dyDescent="0.35">
      <c r="BZ8743" s="105"/>
      <c r="CA8743" s="20"/>
    </row>
    <row r="8744" spans="78:79" x14ac:dyDescent="0.35">
      <c r="BZ8744" s="105"/>
      <c r="CA8744" s="20"/>
    </row>
    <row r="8745" spans="78:79" x14ac:dyDescent="0.35">
      <c r="BZ8745" s="105"/>
      <c r="CA8745" s="20"/>
    </row>
    <row r="8746" spans="78:79" x14ac:dyDescent="0.35">
      <c r="BZ8746" s="105"/>
      <c r="CA8746" s="20"/>
    </row>
    <row r="8747" spans="78:79" x14ac:dyDescent="0.35">
      <c r="BZ8747" s="105"/>
      <c r="CA8747" s="20"/>
    </row>
    <row r="8748" spans="78:79" x14ac:dyDescent="0.35">
      <c r="BZ8748" s="105"/>
      <c r="CA8748" s="20"/>
    </row>
    <row r="8749" spans="78:79" x14ac:dyDescent="0.35">
      <c r="BZ8749" s="105"/>
      <c r="CA8749" s="20"/>
    </row>
    <row r="8750" spans="78:79" x14ac:dyDescent="0.35">
      <c r="BZ8750" s="105"/>
      <c r="CA8750" s="20"/>
    </row>
    <row r="8751" spans="78:79" x14ac:dyDescent="0.35">
      <c r="BZ8751" s="105"/>
      <c r="CA8751" s="20"/>
    </row>
    <row r="8752" spans="78:79" x14ac:dyDescent="0.35">
      <c r="BZ8752" s="105"/>
      <c r="CA8752" s="20"/>
    </row>
    <row r="8753" spans="78:79" x14ac:dyDescent="0.35">
      <c r="BZ8753" s="105"/>
      <c r="CA8753" s="20"/>
    </row>
    <row r="8754" spans="78:79" x14ac:dyDescent="0.35">
      <c r="BZ8754" s="105"/>
      <c r="CA8754" s="20"/>
    </row>
    <row r="8755" spans="78:79" x14ac:dyDescent="0.35">
      <c r="BZ8755" s="105"/>
      <c r="CA8755" s="20"/>
    </row>
    <row r="8756" spans="78:79" x14ac:dyDescent="0.35">
      <c r="BZ8756" s="105"/>
      <c r="CA8756" s="20"/>
    </row>
    <row r="8757" spans="78:79" x14ac:dyDescent="0.35">
      <c r="BZ8757" s="105"/>
      <c r="CA8757" s="20"/>
    </row>
    <row r="8758" spans="78:79" x14ac:dyDescent="0.35">
      <c r="BZ8758" s="105"/>
      <c r="CA8758" s="20"/>
    </row>
    <row r="8759" spans="78:79" x14ac:dyDescent="0.35">
      <c r="BZ8759" s="105"/>
      <c r="CA8759" s="20"/>
    </row>
    <row r="8760" spans="78:79" x14ac:dyDescent="0.35">
      <c r="BZ8760" s="105"/>
      <c r="CA8760" s="20"/>
    </row>
    <row r="8761" spans="78:79" x14ac:dyDescent="0.35">
      <c r="BZ8761" s="105"/>
      <c r="CA8761" s="20"/>
    </row>
    <row r="8762" spans="78:79" x14ac:dyDescent="0.35">
      <c r="BZ8762" s="105"/>
      <c r="CA8762" s="20"/>
    </row>
  </sheetData>
  <mergeCells count="4">
    <mergeCell ref="J1:K1"/>
    <mergeCell ref="A2:B2"/>
    <mergeCell ref="D1:E1"/>
    <mergeCell ref="G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Guide Sheet</vt:lpstr>
      <vt:lpstr>carriers</vt:lpstr>
      <vt:lpstr>buses_2busSRES</vt:lpstr>
      <vt:lpstr>generators_2busSRES</vt:lpstr>
      <vt:lpstr>links_2busSRES</vt:lpstr>
      <vt:lpstr>loads</vt:lpstr>
      <vt:lpstr>run_of_river_inflow</vt:lpstr>
      <vt:lpstr>store</vt:lpstr>
      <vt:lpstr>storage_units</vt:lpstr>
      <vt:lpstr>demands</vt:lpstr>
      <vt:lpstr>profiles</vt:lpstr>
      <vt:lpstr>Origen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2015-06-05T18:19:34Z</dcterms:created>
  <dcterms:modified xsi:type="dcterms:W3CDTF">2026-04-30T13:56:45Z</dcterms:modified>
</cp:coreProperties>
</file>